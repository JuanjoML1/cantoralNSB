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55AC5245-5008-4F1E-9EFD-42C48789FFAD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4" l="1"/>
  <c r="A1381" i="2" l="1"/>
  <c r="A1380" i="2"/>
  <c r="P1543" i="2" a="1"/>
  <c r="P1543" i="2" s="1"/>
  <c r="R1543" i="2" s="1"/>
  <c r="V1543" i="2" s="1"/>
  <c r="P1595" i="2" a="1"/>
  <c r="P1595" i="2" s="1"/>
  <c r="R1595" i="2" s="1"/>
  <c r="V1595" i="2" s="1"/>
  <c r="P1671" i="2" a="1"/>
  <c r="P1671" i="2" s="1"/>
  <c r="R1671" i="2" s="1"/>
  <c r="V1671" i="2" s="1"/>
  <c r="P1608" i="2" a="1"/>
  <c r="P1608" i="2" s="1"/>
  <c r="R1608" i="2" s="1"/>
  <c r="V1608" i="2" s="1"/>
  <c r="P1571" i="2" a="1"/>
  <c r="P1571" i="2" s="1"/>
  <c r="R1571" i="2" s="1"/>
  <c r="V1571" i="2" s="1"/>
  <c r="P1572" i="2" a="1"/>
  <c r="P1572" i="2" s="1"/>
  <c r="R1572" i="2" s="1"/>
  <c r="V1572" i="2" s="1"/>
  <c r="P1536" i="2" a="1"/>
  <c r="P1536" i="2" s="1"/>
  <c r="R1536" i="2" s="1"/>
  <c r="V1536" i="2" s="1"/>
  <c r="P1521" i="2" a="1"/>
  <c r="P1521" i="2" s="1"/>
  <c r="R1521" i="2" s="1"/>
  <c r="V1521" i="2" s="1"/>
  <c r="P1584" i="2" a="1"/>
  <c r="P1584" i="2" s="1"/>
  <c r="R1584" i="2" s="1"/>
  <c r="V1584" i="2" s="1"/>
  <c r="P1559" i="2" a="1"/>
  <c r="P1559" i="2" s="1"/>
  <c r="R1559" i="2" s="1"/>
  <c r="V1559" i="2" s="1"/>
  <c r="P1537" i="2" a="1"/>
  <c r="P1537" i="2" s="1"/>
  <c r="R1537" i="2" s="1"/>
  <c r="V1537" i="2" s="1"/>
  <c r="P1576" i="2" a="1"/>
  <c r="P1576" i="2" s="1"/>
  <c r="R1576" i="2" s="1"/>
  <c r="V1576" i="2" s="1"/>
  <c r="P1538" i="2" a="1"/>
  <c r="P1538" i="2" s="1"/>
  <c r="R1538" i="2" s="1"/>
  <c r="V1538" i="2" s="1"/>
  <c r="P1560" i="2" a="1"/>
  <c r="P1560" i="2" s="1"/>
  <c r="R1560" i="2" s="1"/>
  <c r="V1560" i="2" s="1"/>
  <c r="P1561" i="2" a="1"/>
  <c r="P1561" i="2" s="1"/>
  <c r="R1561" i="2" s="1"/>
  <c r="V1561" i="2" s="1"/>
  <c r="P1663" i="2" a="1"/>
  <c r="P1663" i="2" s="1"/>
  <c r="R1663" i="2" s="1"/>
  <c r="V1663" i="2" s="1"/>
  <c r="P1636" i="2" a="1"/>
  <c r="P1636" i="2" s="1"/>
  <c r="R1636" i="2" s="1"/>
  <c r="V1636" i="2" s="1"/>
  <c r="P1613" i="2" a="1"/>
  <c r="P1613" i="2" s="1"/>
  <c r="R1613" i="2" s="1"/>
  <c r="V1613" i="2" s="1"/>
  <c r="P1654" i="2" a="1"/>
  <c r="P1654" i="2" s="1"/>
  <c r="R1654" i="2" s="1"/>
  <c r="V1654" i="2" s="1"/>
  <c r="P1614" i="2" a="1"/>
  <c r="P1614" i="2" s="1"/>
  <c r="R1614" i="2" s="1"/>
  <c r="V1614" i="2" s="1"/>
  <c r="P1637" i="2" a="1"/>
  <c r="P1637" i="2" s="1"/>
  <c r="R1637" i="2" s="1"/>
  <c r="V1637" i="2" s="1"/>
  <c r="P1638" i="2" a="1"/>
  <c r="P1638" i="2" s="1"/>
  <c r="R1638" i="2" s="1"/>
  <c r="V1638" i="2" s="1"/>
  <c r="P1615" i="2" a="1"/>
  <c r="P1615" i="2" s="1"/>
  <c r="R1615" i="2" s="1"/>
  <c r="V1615" i="2" s="1"/>
  <c r="P1596" i="2" a="1"/>
  <c r="P1596" i="2" s="1"/>
  <c r="R1596" i="2" s="1"/>
  <c r="V1596" i="2" s="1"/>
  <c r="P1522" i="2" a="1"/>
  <c r="P1522" i="2" s="1"/>
  <c r="R1522" i="2" s="1"/>
  <c r="V1522" i="2" s="1"/>
  <c r="P1577" i="2" a="1"/>
  <c r="P1577" i="2" s="1"/>
  <c r="R1577" i="2" s="1"/>
  <c r="V1577" i="2" s="1"/>
  <c r="P1655" i="2" a="1"/>
  <c r="P1655" i="2" s="1"/>
  <c r="R1655" i="2" s="1"/>
  <c r="V1655" i="2" s="1"/>
  <c r="P1597" i="2" a="1"/>
  <c r="P1597" i="2" s="1"/>
  <c r="R1597" i="2" s="1"/>
  <c r="V1597" i="2" s="1"/>
  <c r="P1620" i="2" a="1"/>
  <c r="P1620" i="2" s="1"/>
  <c r="R1620" i="2" s="1"/>
  <c r="V1620" i="2" s="1"/>
  <c r="P1621" i="2" a="1"/>
  <c r="P1621" i="2" s="1"/>
  <c r="R1621" i="2" s="1"/>
  <c r="V1621" i="2" s="1"/>
  <c r="P1664" i="2" a="1"/>
  <c r="P1664" i="2" s="1"/>
  <c r="R1664" i="2" s="1"/>
  <c r="V1664" i="2" s="1"/>
  <c r="P1665" i="2" a="1"/>
  <c r="P1665" i="2" s="1"/>
  <c r="R1665" i="2" s="1"/>
  <c r="V1665" i="2" s="1"/>
  <c r="P1622" i="2" a="1"/>
  <c r="P1622" i="2" s="1"/>
  <c r="R1622" i="2" s="1"/>
  <c r="V1622" i="2" s="1"/>
  <c r="P1562" i="2" a="1"/>
  <c r="P1562" i="2" s="1"/>
  <c r="R1562" i="2" s="1"/>
  <c r="V1562" i="2" s="1"/>
  <c r="P1639" i="2" a="1"/>
  <c r="P1639" i="2" s="1"/>
  <c r="R1639" i="2" s="1"/>
  <c r="V1639" i="2" s="1"/>
  <c r="P1666" i="2" a="1"/>
  <c r="P1666" i="2" s="1"/>
  <c r="R1666" i="2" s="1"/>
  <c r="V1666" i="2" s="1"/>
  <c r="P1623" i="2" a="1"/>
  <c r="P1623" i="2" s="1"/>
  <c r="R1623" i="2" s="1"/>
  <c r="V1623" i="2" s="1"/>
  <c r="P1661" i="2" a="1"/>
  <c r="P1661" i="2" s="1"/>
  <c r="R1661" i="2" s="1"/>
  <c r="V1661" i="2" s="1"/>
  <c r="P1533" i="2" a="1"/>
  <c r="P1533" i="2" s="1"/>
  <c r="R1533" i="2" s="1"/>
  <c r="V1533" i="2" s="1"/>
  <c r="P424" i="2" a="1"/>
  <c r="P424" i="2" s="1"/>
  <c r="R424" i="2" s="1"/>
  <c r="V424" i="2" s="1"/>
  <c r="P1544" i="2" a="1"/>
  <c r="P1544" i="2" s="1"/>
  <c r="R1544" i="2" s="1"/>
  <c r="V1544" i="2" s="1"/>
  <c r="P1523" i="2" a="1"/>
  <c r="P1523" i="2" s="1"/>
  <c r="R1523" i="2" s="1"/>
  <c r="V1523" i="2" s="1"/>
  <c r="P1516" i="2" a="1"/>
  <c r="P1516" i="2" s="1"/>
  <c r="R1516" i="2" s="1"/>
  <c r="V1516" i="2" s="1"/>
  <c r="P1539" i="2" a="1"/>
  <c r="P1539" i="2" s="1"/>
  <c r="R1539" i="2" s="1"/>
  <c r="V1539" i="2" s="1"/>
  <c r="P1545" i="2" a="1"/>
  <c r="P1545" i="2" s="1"/>
  <c r="R1545" i="2" s="1"/>
  <c r="V1545" i="2" s="1"/>
  <c r="P1656" i="2" a="1"/>
  <c r="P1656" i="2" s="1"/>
  <c r="R1656" i="2" s="1"/>
  <c r="V1656" i="2" s="1"/>
  <c r="P1624" i="2" a="1"/>
  <c r="P1624" i="2" s="1"/>
  <c r="R1624" i="2" s="1"/>
  <c r="V1624" i="2" s="1"/>
  <c r="P1634" i="2" a="1"/>
  <c r="P1634" i="2" s="1"/>
  <c r="R1634" i="2" s="1"/>
  <c r="V1634" i="2" s="1"/>
  <c r="P1563" i="2" a="1"/>
  <c r="P1563" i="2" s="1"/>
  <c r="R1563" i="2" s="1"/>
  <c r="V1563" i="2" s="1"/>
  <c r="P1564" i="2" a="1"/>
  <c r="P1564" i="2" s="1"/>
  <c r="R1564" i="2" s="1"/>
  <c r="V1564" i="2" s="1"/>
  <c r="P1557" i="2" a="1"/>
  <c r="P1557" i="2" s="1"/>
  <c r="R1557" i="2" s="1"/>
  <c r="V1557" i="2" s="1"/>
  <c r="P1546" i="2" a="1"/>
  <c r="P1546" i="2" s="1"/>
  <c r="R1546" i="2" s="1"/>
  <c r="V1546" i="2" s="1"/>
  <c r="P1616" i="2" a="1"/>
  <c r="P1616" i="2" s="1"/>
  <c r="R1616" i="2" s="1"/>
  <c r="V1616" i="2" s="1"/>
  <c r="P415" i="2" a="1"/>
  <c r="P415" i="2" s="1"/>
  <c r="R415" i="2" s="1"/>
  <c r="V415" i="2" s="1"/>
  <c r="P1585" i="2" a="1"/>
  <c r="P1585" i="2" s="1"/>
  <c r="R1585" i="2" s="1"/>
  <c r="V1585" i="2" s="1"/>
  <c r="P1573" i="2" a="1"/>
  <c r="P1573" i="2" s="1"/>
  <c r="R1573" i="2" s="1"/>
  <c r="V1573" i="2" s="1"/>
  <c r="P1598" i="2" a="1"/>
  <c r="P1598" i="2" s="1"/>
  <c r="R1598" i="2" s="1"/>
  <c r="V1598" i="2" s="1"/>
  <c r="P1640" i="2" a="1"/>
  <c r="P1640" i="2" s="1"/>
  <c r="R1640" i="2" s="1"/>
  <c r="V1640" i="2" s="1"/>
  <c r="P1540" i="2" a="1"/>
  <c r="P1540" i="2" s="1"/>
  <c r="R1540" i="2" s="1"/>
  <c r="V1540" i="2" s="1"/>
  <c r="P1599" i="2" a="1"/>
  <c r="P1599" i="2" s="1"/>
  <c r="R1599" i="2" s="1"/>
  <c r="V1599" i="2" s="1"/>
  <c r="P1547" i="2" a="1"/>
  <c r="P1547" i="2" s="1"/>
  <c r="R1547" i="2" s="1"/>
  <c r="V1547" i="2" s="1"/>
  <c r="P1586" i="2" a="1"/>
  <c r="P1586" i="2" s="1"/>
  <c r="R1586" i="2" s="1"/>
  <c r="V1586" i="2" s="1"/>
  <c r="P1587" i="2" a="1"/>
  <c r="P1587" i="2" s="1"/>
  <c r="R1587" i="2" s="1"/>
  <c r="V1587" i="2" s="1"/>
  <c r="P1588" i="2" a="1"/>
  <c r="P1588" i="2" s="1"/>
  <c r="R1588" i="2" s="1"/>
  <c r="V1588" i="2" s="1"/>
  <c r="P1524" i="2" a="1"/>
  <c r="P1524" i="2" s="1"/>
  <c r="R1524" i="2" s="1"/>
  <c r="V1524" i="2" s="1"/>
  <c r="P1625" i="2" a="1"/>
  <c r="P1625" i="2" s="1"/>
  <c r="R1625" i="2" s="1"/>
  <c r="V1625" i="2" s="1"/>
  <c r="P1641" i="2" a="1"/>
  <c r="P1641" i="2" s="1"/>
  <c r="R1641" i="2" s="1"/>
  <c r="V1641" i="2" s="1"/>
  <c r="P1642" i="2" a="1"/>
  <c r="P1642" i="2" s="1"/>
  <c r="R1642" i="2" s="1"/>
  <c r="V1642" i="2" s="1"/>
  <c r="P1520" i="2" a="1"/>
  <c r="P1520" i="2" s="1"/>
  <c r="R1520" i="2" s="1"/>
  <c r="V1520" i="2" s="1"/>
  <c r="P1609" i="2" a="1"/>
  <c r="P1609" i="2" s="1"/>
  <c r="R1609" i="2" s="1"/>
  <c r="V1609" i="2" s="1"/>
  <c r="P1643" i="2" a="1"/>
  <c r="P1643" i="2" s="1"/>
  <c r="R1643" i="2" s="1"/>
  <c r="V1643" i="2" s="1"/>
  <c r="P1578" i="2" a="1"/>
  <c r="P1578" i="2" s="1"/>
  <c r="R1578" i="2" s="1"/>
  <c r="V1578" i="2" s="1"/>
  <c r="P1626" i="2" a="1"/>
  <c r="P1626" i="2" s="1"/>
  <c r="R1626" i="2" s="1"/>
  <c r="V1626" i="2" s="1"/>
  <c r="P1548" i="2" a="1"/>
  <c r="P1548" i="2" s="1"/>
  <c r="R1548" i="2" s="1"/>
  <c r="V1548" i="2" s="1"/>
  <c r="P1582" i="2" a="1"/>
  <c r="P1582" i="2" s="1"/>
  <c r="R1582" i="2" s="1"/>
  <c r="V1582" i="2" s="1"/>
  <c r="P1549" i="2" a="1"/>
  <c r="P1549" i="2" s="1"/>
  <c r="R1549" i="2" s="1"/>
  <c r="V1549" i="2" s="1"/>
  <c r="P1541" i="2" a="1"/>
  <c r="P1541" i="2" s="1"/>
  <c r="R1541" i="2" s="1"/>
  <c r="V1541" i="2" s="1"/>
  <c r="P1534" i="2" a="1"/>
  <c r="P1534" i="2" s="1"/>
  <c r="R1534" i="2" s="1"/>
  <c r="V1534" i="2" s="1"/>
  <c r="P1644" i="2" a="1"/>
  <c r="P1644" i="2" s="1"/>
  <c r="R1644" i="2" s="1"/>
  <c r="V1644" i="2" s="1"/>
  <c r="P1565" i="2" a="1"/>
  <c r="P1565" i="2" s="1"/>
  <c r="R1565" i="2" s="1"/>
  <c r="V1565" i="2" s="1"/>
  <c r="P1589" i="2" a="1"/>
  <c r="P1589" i="2" s="1"/>
  <c r="R1589" i="2" s="1"/>
  <c r="V1589" i="2" s="1"/>
  <c r="P1667" i="2" a="1"/>
  <c r="P1667" i="2" s="1"/>
  <c r="R1667" i="2" s="1"/>
  <c r="V1667" i="2" s="1"/>
  <c r="P1668" i="2" a="1"/>
  <c r="P1668" i="2" s="1"/>
  <c r="R1668" i="2" s="1"/>
  <c r="V1668" i="2" s="1"/>
  <c r="P1649" i="2" a="1"/>
  <c r="P1649" i="2" s="1"/>
  <c r="R1649" i="2" s="1"/>
  <c r="V1649" i="2" s="1"/>
  <c r="P1657" i="2" a="1"/>
  <c r="P1657" i="2" s="1"/>
  <c r="R1657" i="2" s="1"/>
  <c r="V1657" i="2" s="1"/>
  <c r="P1662" i="2" a="1"/>
  <c r="P1662" i="2" s="1"/>
  <c r="R1662" i="2" s="1"/>
  <c r="V1662" i="2" s="1"/>
  <c r="P1600" i="2" a="1"/>
  <c r="P1600" i="2" s="1"/>
  <c r="R1600" i="2" s="1"/>
  <c r="V1600" i="2" s="1"/>
  <c r="P1601" i="2" a="1"/>
  <c r="P1601" i="2" s="1"/>
  <c r="R1601" i="2" s="1"/>
  <c r="V1601" i="2" s="1"/>
  <c r="P1610" i="2" a="1"/>
  <c r="P1610" i="2" s="1"/>
  <c r="R1610" i="2" s="1"/>
  <c r="V1610" i="2" s="1"/>
  <c r="P1627" i="2" a="1"/>
  <c r="P1627" i="2" s="1"/>
  <c r="R1627" i="2" s="1"/>
  <c r="V1627" i="2" s="1"/>
  <c r="P1525" i="2" a="1"/>
  <c r="P1525" i="2" s="1"/>
  <c r="R1525" i="2" s="1"/>
  <c r="V1525" i="2" s="1"/>
  <c r="P1645" i="2" a="1"/>
  <c r="P1645" i="2" s="1"/>
  <c r="R1645" i="2" s="1"/>
  <c r="V1645" i="2" s="1"/>
  <c r="P1566" i="2" a="1"/>
  <c r="P1566" i="2" s="1"/>
  <c r="R1566" i="2" s="1"/>
  <c r="V1566" i="2" s="1"/>
  <c r="P1602" i="2" a="1"/>
  <c r="P1602" i="2" s="1"/>
  <c r="R1602" i="2" s="1"/>
  <c r="V1602" i="2" s="1"/>
  <c r="P1617" i="2" a="1"/>
  <c r="P1617" i="2" s="1"/>
  <c r="R1617" i="2" s="1"/>
  <c r="V1617" i="2" s="1"/>
  <c r="P1603" i="2" a="1"/>
  <c r="P1603" i="2" s="1"/>
  <c r="R1603" i="2" s="1"/>
  <c r="V1603" i="2" s="1"/>
  <c r="P1650" i="2" a="1"/>
  <c r="P1650" i="2" s="1"/>
  <c r="R1650" i="2" s="1"/>
  <c r="V1650" i="2" s="1"/>
  <c r="P1526" i="2" a="1"/>
  <c r="P1526" i="2" s="1"/>
  <c r="R1526" i="2" s="1"/>
  <c r="V1526" i="2" s="1"/>
  <c r="P1669" i="2" a="1"/>
  <c r="P1669" i="2" s="1"/>
  <c r="R1669" i="2" s="1"/>
  <c r="V1669" i="2" s="1"/>
  <c r="P1628" i="2" a="1"/>
  <c r="P1628" i="2" s="1"/>
  <c r="R1628" i="2" s="1"/>
  <c r="V1628" i="2" s="1"/>
  <c r="P1646" i="2" a="1"/>
  <c r="P1646" i="2" s="1"/>
  <c r="R1646" i="2" s="1"/>
  <c r="V1646" i="2" s="1"/>
  <c r="P1629" i="2" a="1"/>
  <c r="P1629" i="2" s="1"/>
  <c r="R1629" i="2" s="1"/>
  <c r="V1629" i="2" s="1"/>
  <c r="P1635" i="2" a="1"/>
  <c r="P1635" i="2" s="1"/>
  <c r="R1635" i="2" s="1"/>
  <c r="V1635" i="2" s="1"/>
  <c r="P1558" i="2" a="1"/>
  <c r="P1558" i="2" s="1"/>
  <c r="R1558" i="2" s="1"/>
  <c r="V1558" i="2" s="1"/>
  <c r="P1518" i="2" a="1"/>
  <c r="P1518" i="2" s="1"/>
  <c r="R1518" i="2" s="1"/>
  <c r="V1518" i="2" s="1"/>
  <c r="P1647" i="2" a="1"/>
  <c r="P1647" i="2" s="1"/>
  <c r="R1647" i="2" s="1"/>
  <c r="V1647" i="2" s="1"/>
  <c r="P431" i="2" a="1"/>
  <c r="P431" i="2" s="1"/>
  <c r="R431" i="2" s="1"/>
  <c r="V431" i="2" s="1"/>
  <c r="P1604" i="2" a="1"/>
  <c r="P1604" i="2" s="1"/>
  <c r="R1604" i="2" s="1"/>
  <c r="V1604" i="2" s="1"/>
  <c r="P1592" i="2" a="1"/>
  <c r="P1592" i="2" s="1"/>
  <c r="R1592" i="2" s="1"/>
  <c r="V1592" i="2" s="1"/>
  <c r="P423" i="2" a="1"/>
  <c r="P423" i="2" s="1"/>
  <c r="R423" i="2" s="1"/>
  <c r="V423" i="2" s="1"/>
  <c r="P69" i="2" a="1"/>
  <c r="P69" i="2" s="1"/>
  <c r="R69" i="2" s="1"/>
  <c r="V69" i="2" s="1"/>
  <c r="P70" i="2" a="1"/>
  <c r="P70" i="2" s="1"/>
  <c r="R70" i="2" s="1"/>
  <c r="V70" i="2" s="1"/>
  <c r="P1527" i="2" a="1"/>
  <c r="P1527" i="2" s="1"/>
  <c r="R1527" i="2" s="1"/>
  <c r="V1527" i="2" s="1"/>
  <c r="P1579" i="2" a="1"/>
  <c r="P1579" i="2" s="1"/>
  <c r="R1579" i="2" s="1"/>
  <c r="V1579" i="2" s="1"/>
  <c r="P1593" i="2" a="1"/>
  <c r="P1593" i="2" s="1"/>
  <c r="R1593" i="2" s="1"/>
  <c r="V1593" i="2" s="1"/>
  <c r="P319" i="2" a="1"/>
  <c r="P319" i="2" s="1"/>
  <c r="R319" i="2" s="1"/>
  <c r="V319" i="2" s="1"/>
  <c r="P1670" i="2" a="1"/>
  <c r="P1670" i="2" s="1"/>
  <c r="R1670" i="2" s="1"/>
  <c r="V1670" i="2" s="1"/>
  <c r="P1517" i="2" a="1"/>
  <c r="P1517" i="2" s="1"/>
  <c r="R1517" i="2" s="1"/>
  <c r="V1517" i="2" s="1"/>
  <c r="P1567" i="2" a="1"/>
  <c r="P1567" i="2" s="1"/>
  <c r="R1567" i="2" s="1"/>
  <c r="V1567" i="2" s="1"/>
  <c r="P1568" i="2" a="1"/>
  <c r="P1568" i="2" s="1"/>
  <c r="R1568" i="2" s="1"/>
  <c r="V1568" i="2" s="1"/>
  <c r="P1528" i="2" a="1"/>
  <c r="P1528" i="2" s="1"/>
  <c r="R1528" i="2" s="1"/>
  <c r="V1528" i="2" s="1"/>
  <c r="P421" i="2" a="1"/>
  <c r="P421" i="2" s="1"/>
  <c r="R421" i="2" s="1"/>
  <c r="V421" i="2" s="1"/>
  <c r="P1529" i="2" a="1"/>
  <c r="P1529" i="2" s="1"/>
  <c r="R1529" i="2" s="1"/>
  <c r="V1529" i="2" s="1"/>
  <c r="P1605" i="2" a="1"/>
  <c r="P1605" i="2" s="1"/>
  <c r="R1605" i="2" s="1"/>
  <c r="V1605" i="2" s="1"/>
  <c r="P1630" i="2" a="1"/>
  <c r="P1630" i="2" s="1"/>
  <c r="R1630" i="2" s="1"/>
  <c r="V1630" i="2" s="1"/>
  <c r="P1550" i="2" a="1"/>
  <c r="P1550" i="2" s="1"/>
  <c r="R1550" i="2" s="1"/>
  <c r="V1550" i="2" s="1"/>
  <c r="P1551" i="2" a="1"/>
  <c r="P1551" i="2" s="1"/>
  <c r="R1551" i="2" s="1"/>
  <c r="V1551" i="2" s="1"/>
  <c r="P1530" i="2" a="1"/>
  <c r="P1530" i="2" s="1"/>
  <c r="R1530" i="2" s="1"/>
  <c r="V1530" i="2" s="1"/>
  <c r="P1648" i="2" a="1"/>
  <c r="P1648" i="2" s="1"/>
  <c r="R1648" i="2" s="1"/>
  <c r="V1648" i="2" s="1"/>
  <c r="P1569" i="2" a="1"/>
  <c r="P1569" i="2" s="1"/>
  <c r="R1569" i="2" s="1"/>
  <c r="V1569" i="2" s="1"/>
  <c r="P1552" i="2" a="1"/>
  <c r="P1552" i="2" s="1"/>
  <c r="R1552" i="2" s="1"/>
  <c r="V1552" i="2" s="1"/>
  <c r="P430" i="2" a="1"/>
  <c r="P430" i="2" s="1"/>
  <c r="R430" i="2" s="1"/>
  <c r="V430" i="2" s="1"/>
  <c r="P1531" i="2" a="1"/>
  <c r="P1531" i="2" s="1"/>
  <c r="R1531" i="2" s="1"/>
  <c r="V1531" i="2" s="1"/>
  <c r="P1631" i="2" a="1"/>
  <c r="P1631" i="2" s="1"/>
  <c r="R1631" i="2" s="1"/>
  <c r="V1631" i="2" s="1"/>
  <c r="P1542" i="2" a="1"/>
  <c r="P1542" i="2" s="1"/>
  <c r="R1542" i="2" s="1"/>
  <c r="V1542" i="2" s="1"/>
  <c r="P1658" i="2" a="1"/>
  <c r="P1658" i="2" s="1"/>
  <c r="R1658" i="2" s="1"/>
  <c r="V1658" i="2" s="1"/>
  <c r="P1611" i="2" a="1"/>
  <c r="P1611" i="2" s="1"/>
  <c r="R1611" i="2" s="1"/>
  <c r="V1611" i="2" s="1"/>
  <c r="P1618" i="2" a="1"/>
  <c r="P1618" i="2" s="1"/>
  <c r="R1618" i="2" s="1"/>
  <c r="V1618" i="2" s="1"/>
  <c r="P1606" i="2" a="1"/>
  <c r="P1606" i="2" s="1"/>
  <c r="R1606" i="2" s="1"/>
  <c r="V1606" i="2" s="1"/>
  <c r="P1619" i="2" a="1"/>
  <c r="P1619" i="2" s="1"/>
  <c r="R1619" i="2" s="1"/>
  <c r="V1619" i="2" s="1"/>
  <c r="P1535" i="2" a="1"/>
  <c r="P1535" i="2" s="1"/>
  <c r="R1535" i="2" s="1"/>
  <c r="V1535" i="2" s="1"/>
  <c r="P1590" i="2" a="1"/>
  <c r="P1590" i="2" s="1"/>
  <c r="R1590" i="2" s="1"/>
  <c r="V1590" i="2" s="1"/>
  <c r="P1553" i="2" a="1"/>
  <c r="P1553" i="2" s="1"/>
  <c r="R1553" i="2" s="1"/>
  <c r="V1553" i="2" s="1"/>
  <c r="P1570" i="2" a="1"/>
  <c r="P1570" i="2" s="1"/>
  <c r="R1570" i="2" s="1"/>
  <c r="V1570" i="2" s="1"/>
  <c r="P1554" i="2" a="1"/>
  <c r="P1554" i="2" s="1"/>
  <c r="R1554" i="2" s="1"/>
  <c r="V1554" i="2" s="1"/>
  <c r="P1555" i="2" a="1"/>
  <c r="P1555" i="2" s="1"/>
  <c r="R1555" i="2" s="1"/>
  <c r="V1555" i="2" s="1"/>
  <c r="P1659" i="2" a="1"/>
  <c r="P1659" i="2" s="1"/>
  <c r="R1659" i="2" s="1"/>
  <c r="V1659" i="2" s="1"/>
  <c r="P1532" i="2" a="1"/>
  <c r="P1532" i="2" s="1"/>
  <c r="R1532" i="2" s="1"/>
  <c r="V1532" i="2" s="1"/>
  <c r="P1556" i="2" a="1"/>
  <c r="P1556" i="2" s="1"/>
  <c r="R1556" i="2" s="1"/>
  <c r="V1556" i="2" s="1"/>
  <c r="P1612" i="2" a="1"/>
  <c r="P1612" i="2" s="1"/>
  <c r="R1612" i="2" s="1"/>
  <c r="V1612" i="2" s="1"/>
  <c r="P1580" i="2" a="1"/>
  <c r="P1580" i="2" s="1"/>
  <c r="R1580" i="2" s="1"/>
  <c r="V1580" i="2" s="1"/>
  <c r="P1607" i="2" a="1"/>
  <c r="P1607" i="2" s="1"/>
  <c r="R1607" i="2" s="1"/>
  <c r="V1607" i="2" s="1"/>
  <c r="P1519" i="2" a="1"/>
  <c r="P1519" i="2" s="1"/>
  <c r="R1519" i="2" s="1"/>
  <c r="V1519" i="2" s="1"/>
  <c r="P1583" i="2" a="1"/>
  <c r="P1583" i="2" s="1"/>
  <c r="R1583" i="2" s="1"/>
  <c r="V1583" i="2" s="1"/>
  <c r="P1660" i="2" a="1"/>
  <c r="P1660" i="2" s="1"/>
  <c r="R1660" i="2" s="1"/>
  <c r="V1660" i="2" s="1"/>
  <c r="P1594" i="2" a="1"/>
  <c r="P1594" i="2" s="1"/>
  <c r="R1594" i="2" s="1"/>
  <c r="V1594" i="2" s="1"/>
  <c r="P1591" i="2" a="1"/>
  <c r="P1591" i="2" s="1"/>
  <c r="R1591" i="2" s="1"/>
  <c r="V1591" i="2" s="1"/>
  <c r="P1651" i="2" a="1"/>
  <c r="P1651" i="2" s="1"/>
  <c r="R1651" i="2" s="1"/>
  <c r="V1651" i="2" s="1"/>
  <c r="P1574" i="2" a="1"/>
  <c r="P1574" i="2" s="1"/>
  <c r="R1574" i="2" s="1"/>
  <c r="V1574" i="2" s="1"/>
  <c r="P1581" i="2" a="1"/>
  <c r="P1581" i="2" s="1"/>
  <c r="R1581" i="2" s="1"/>
  <c r="V1581" i="2" s="1"/>
  <c r="P1652" i="2" a="1"/>
  <c r="P1652" i="2" s="1"/>
  <c r="R1652" i="2" s="1"/>
  <c r="V1652" i="2" s="1"/>
  <c r="P1632" i="2" a="1"/>
  <c r="P1632" i="2" s="1"/>
  <c r="R1632" i="2" s="1"/>
  <c r="V1632" i="2" s="1"/>
  <c r="P1653" i="2" a="1"/>
  <c r="P1653" i="2" s="1"/>
  <c r="R1653" i="2" s="1"/>
  <c r="V1653" i="2" s="1"/>
  <c r="P1575" i="2" a="1"/>
  <c r="P1575" i="2" s="1"/>
  <c r="R1575" i="2" s="1"/>
  <c r="V1575" i="2" s="1"/>
  <c r="P1633" i="2" a="1"/>
  <c r="P1633" i="2" s="1"/>
  <c r="R1633" i="2" s="1"/>
  <c r="V1633" i="2" s="1"/>
  <c r="L2" i="4" l="1"/>
  <c r="Q1390" i="2" a="1"/>
  <c r="Q1390" i="2" s="1"/>
  <c r="Q1065" i="2" a="1"/>
  <c r="Q1065" i="2" s="1"/>
  <c r="Q1719" i="2" a="1"/>
  <c r="Q1719" i="2" s="1"/>
  <c r="Q432" i="2" a="1"/>
  <c r="Q432" i="2" s="1"/>
  <c r="Q1101" i="2" a="1"/>
  <c r="Q1101" i="2" s="1"/>
  <c r="Q196" i="2" a="1"/>
  <c r="Q196" i="2" s="1"/>
  <c r="Q1543" i="2" a="1"/>
  <c r="Q1543" i="2" s="1"/>
  <c r="Q886" i="2" a="1"/>
  <c r="Q886" i="2" s="1"/>
  <c r="Q1430" i="2" a="1"/>
  <c r="Q1430" i="2" s="1"/>
  <c r="Q844" i="2" a="1"/>
  <c r="Q844" i="2" s="1"/>
  <c r="Q1393" i="2" a="1"/>
  <c r="Q1393" i="2" s="1"/>
  <c r="Q1440" i="2" a="1"/>
  <c r="Q1440" i="2" s="1"/>
  <c r="Q177" i="2" a="1"/>
  <c r="Q177" i="2" s="1"/>
  <c r="Q365" i="2" a="1"/>
  <c r="Q365" i="2" s="1"/>
  <c r="Q309" i="2" a="1"/>
  <c r="Q309" i="2" s="1"/>
  <c r="Q1595" i="2" a="1"/>
  <c r="Q1595" i="2" s="1"/>
  <c r="Q150" i="2" a="1"/>
  <c r="Q150" i="2" s="1"/>
  <c r="Q697" i="2" a="1"/>
  <c r="Q697" i="2" s="1"/>
  <c r="Q1435" i="2" a="1"/>
  <c r="Q1435" i="2" s="1"/>
  <c r="Q124" i="2" a="1"/>
  <c r="Q124" i="2" s="1"/>
  <c r="Q806" i="2" a="1"/>
  <c r="Q806" i="2" s="1"/>
  <c r="Q1391" i="2" a="1"/>
  <c r="Q1391" i="2" s="1"/>
  <c r="Q109" i="2" a="1"/>
  <c r="Q109" i="2" s="1"/>
  <c r="Q405" i="2" a="1"/>
  <c r="Q405" i="2" s="1"/>
  <c r="Q918" i="2" a="1"/>
  <c r="Q918" i="2" s="1"/>
  <c r="Q626" i="2" a="1"/>
  <c r="Q626" i="2" s="1"/>
  <c r="Q1370" i="2" a="1"/>
  <c r="Q1370" i="2" s="1"/>
  <c r="Q1671" i="2" a="1"/>
  <c r="Q1671" i="2" s="1"/>
  <c r="Q1386" i="2" a="1"/>
  <c r="Q1386" i="2" s="1"/>
  <c r="Q360" i="2" a="1"/>
  <c r="Q360" i="2" s="1"/>
  <c r="Q1608" i="2" a="1"/>
  <c r="Q1608" i="2" s="1"/>
  <c r="Q1428" i="2" a="1"/>
  <c r="Q1428" i="2" s="1"/>
  <c r="Q400" i="2" a="1"/>
  <c r="Q400" i="2" s="1"/>
  <c r="Q408" i="2" a="1"/>
  <c r="Q408" i="2" s="1"/>
  <c r="Q433" i="2" a="1"/>
  <c r="Q433" i="2" s="1"/>
  <c r="Q209" i="2" a="1"/>
  <c r="Q209" i="2" s="1"/>
  <c r="Q404" i="2" a="1"/>
  <c r="Q404" i="2" s="1"/>
  <c r="Q181" i="2" a="1"/>
  <c r="Q181" i="2" s="1"/>
  <c r="Q735" i="2" a="1"/>
  <c r="Q735" i="2" s="1"/>
  <c r="Q190" i="2" a="1"/>
  <c r="Q190" i="2" s="1"/>
  <c r="Q300" i="2" a="1"/>
  <c r="Q300" i="2" s="1"/>
  <c r="Q205" i="2" a="1"/>
  <c r="Q205" i="2" s="1"/>
  <c r="Q1571" i="2" a="1"/>
  <c r="Q1571" i="2" s="1"/>
  <c r="Q1044" i="2" a="1"/>
  <c r="Q1044" i="2" s="1"/>
  <c r="Q386" i="2" a="1"/>
  <c r="Q386" i="2" s="1"/>
  <c r="Q1096" i="2" a="1"/>
  <c r="Q1096" i="2" s="1"/>
  <c r="Q253" i="2" a="1"/>
  <c r="Q253" i="2" s="1"/>
  <c r="Q440" i="2" a="1"/>
  <c r="Q440" i="2" s="1"/>
  <c r="Q1572" i="2" a="1"/>
  <c r="Q1572" i="2" s="1"/>
  <c r="Q291" i="2" a="1"/>
  <c r="Q291" i="2" s="1"/>
  <c r="Q179" i="2" a="1"/>
  <c r="Q179" i="2" s="1"/>
  <c r="Q89" i="2" a="1"/>
  <c r="Q89" i="2" s="1"/>
  <c r="Q10" i="2" a="1"/>
  <c r="Q10" i="2" s="1"/>
  <c r="Q1536" i="2" a="1"/>
  <c r="Q1536" i="2" s="1"/>
  <c r="Q301" i="2" a="1"/>
  <c r="Q301" i="2" s="1"/>
  <c r="Q1060" i="2" a="1"/>
  <c r="Q1060" i="2" s="1"/>
  <c r="Q1521" i="2" a="1"/>
  <c r="Q1521" i="2" s="1"/>
  <c r="Q1736" i="2" a="1"/>
  <c r="Q1736" i="2" s="1"/>
  <c r="Q293" i="2" a="1"/>
  <c r="Q293" i="2" s="1"/>
  <c r="Q146" i="2" a="1"/>
  <c r="Q146" i="2" s="1"/>
  <c r="Q1130" i="2" a="1"/>
  <c r="Q1130" i="2" s="1"/>
  <c r="Q1420" i="2" a="1"/>
  <c r="Q1420" i="2" s="1"/>
  <c r="Q1584" i="2" a="1"/>
  <c r="Q1584" i="2" s="1"/>
  <c r="Q1559" i="2" a="1"/>
  <c r="Q1559" i="2" s="1"/>
  <c r="Q1537" i="2" a="1"/>
  <c r="Q1537" i="2" s="1"/>
  <c r="Q1576" i="2" a="1"/>
  <c r="Q1576" i="2" s="1"/>
  <c r="Q1538" i="2" a="1"/>
  <c r="Q1538" i="2" s="1"/>
  <c r="Q1560" i="2" a="1"/>
  <c r="Q1560" i="2" s="1"/>
  <c r="Q1561" i="2" a="1"/>
  <c r="Q1561" i="2" s="1"/>
  <c r="Q687" i="2" a="1"/>
  <c r="Q687" i="2" s="1"/>
  <c r="Q495" i="2" a="1"/>
  <c r="Q495" i="2" s="1"/>
  <c r="Q1038" i="2" a="1"/>
  <c r="Q1038" i="2" s="1"/>
  <c r="Q65" i="2" a="1"/>
  <c r="Q65" i="2" s="1"/>
  <c r="Q763" i="2" a="1"/>
  <c r="Q763" i="2" s="1"/>
  <c r="Q136" i="2" a="1"/>
  <c r="Q136" i="2" s="1"/>
  <c r="Q164" i="2" a="1"/>
  <c r="Q164" i="2" s="1"/>
  <c r="Q297" i="2" a="1"/>
  <c r="Q297" i="2" s="1"/>
  <c r="Q1392" i="2" a="1"/>
  <c r="Q1392" i="2" s="1"/>
  <c r="Q698" i="2" a="1"/>
  <c r="Q698" i="2" s="1"/>
  <c r="Q1052" i="2" a="1"/>
  <c r="Q1052" i="2" s="1"/>
  <c r="Q321" i="2" a="1"/>
  <c r="Q321" i="2" s="1"/>
  <c r="Q36" i="2" a="1"/>
  <c r="Q36" i="2" s="1"/>
  <c r="Q315" i="2" a="1"/>
  <c r="Q315" i="2" s="1"/>
  <c r="Q223" i="2" a="1"/>
  <c r="Q223" i="2" s="1"/>
  <c r="Q1720" i="2" a="1"/>
  <c r="Q1720" i="2" s="1"/>
  <c r="Q117" i="2" a="1"/>
  <c r="Q117" i="2" s="1"/>
  <c r="Q102" i="2" a="1"/>
  <c r="Q102" i="2" s="1"/>
  <c r="Q933" i="2" a="1"/>
  <c r="Q933" i="2" s="1"/>
  <c r="Q1663" i="2" a="1"/>
  <c r="Q1663" i="2" s="1"/>
  <c r="Q1636" i="2" a="1"/>
  <c r="Q1636" i="2" s="1"/>
  <c r="Q1613" i="2" a="1"/>
  <c r="Q1613" i="2" s="1"/>
  <c r="Q1654" i="2" a="1"/>
  <c r="Q1654" i="2" s="1"/>
  <c r="Q1614" i="2" a="1"/>
  <c r="Q1614" i="2" s="1"/>
  <c r="Q1637" i="2" a="1"/>
  <c r="Q1637" i="2" s="1"/>
  <c r="Q1638" i="2" a="1"/>
  <c r="Q1638" i="2" s="1"/>
  <c r="Q1394" i="2" a="1"/>
  <c r="Q1394" i="2" s="1"/>
  <c r="Q788" i="2" a="1"/>
  <c r="Q788" i="2" s="1"/>
  <c r="Q797" i="2" a="1"/>
  <c r="Q797" i="2" s="1"/>
  <c r="Q766" i="2" a="1"/>
  <c r="Q766" i="2" s="1"/>
  <c r="Q1382" i="2" a="1"/>
  <c r="Q1382" i="2" s="1"/>
  <c r="Q239" i="2" a="1"/>
  <c r="Q239" i="2" s="1"/>
  <c r="Q173" i="2" a="1"/>
  <c r="Q173" i="2" s="1"/>
  <c r="Q787" i="2" a="1"/>
  <c r="Q787" i="2" s="1"/>
  <c r="Q1436" i="2" a="1"/>
  <c r="Q1436" i="2" s="1"/>
  <c r="Q96" i="2" a="1"/>
  <c r="Q96" i="2" s="1"/>
  <c r="Q155" i="2" a="1"/>
  <c r="Q155" i="2" s="1"/>
  <c r="Q1045" i="2" a="1"/>
  <c r="Q1045" i="2" s="1"/>
  <c r="Q363" i="2" a="1"/>
  <c r="Q363" i="2" s="1"/>
  <c r="Q699" i="2" a="1"/>
  <c r="Q699" i="2" s="1"/>
  <c r="Q628" i="2" a="1"/>
  <c r="Q628" i="2" s="1"/>
  <c r="Q212" i="2" a="1"/>
  <c r="Q212" i="2" s="1"/>
  <c r="Q1371" i="2" a="1"/>
  <c r="Q1371" i="2" s="1"/>
  <c r="Q153" i="2" a="1"/>
  <c r="Q153" i="2" s="1"/>
  <c r="Q231" i="2" a="1"/>
  <c r="Q231" i="2" s="1"/>
  <c r="Q1426" i="2" a="1"/>
  <c r="Q1426" i="2" s="1"/>
  <c r="Q332" i="2" a="1"/>
  <c r="Q332" i="2" s="1"/>
  <c r="Q1731" i="2" a="1"/>
  <c r="Q1731" i="2" s="1"/>
  <c r="Q695" i="2" a="1"/>
  <c r="Q695" i="2" s="1"/>
  <c r="Q725" i="2" a="1"/>
  <c r="Q725" i="2" s="1"/>
  <c r="Q383" i="2" a="1"/>
  <c r="Q383" i="2" s="1"/>
  <c r="Q1698" i="2" a="1"/>
  <c r="Q1698" i="2" s="1"/>
  <c r="Q78" i="2" a="1"/>
  <c r="Q78" i="2" s="1"/>
  <c r="Q213" i="2" a="1"/>
  <c r="Q213" i="2" s="1"/>
  <c r="Q1738" i="2" a="1"/>
  <c r="Q1738" i="2" s="1"/>
  <c r="Q1064" i="2" a="1"/>
  <c r="Q1064" i="2" s="1"/>
  <c r="Q1615" i="2" a="1"/>
  <c r="Q1615" i="2" s="1"/>
  <c r="Q1596" i="2" a="1"/>
  <c r="Q1596" i="2" s="1"/>
  <c r="Q54" i="2" a="1"/>
  <c r="Q54" i="2" s="1"/>
  <c r="Q364" i="2" a="1"/>
  <c r="Q364" i="2" s="1"/>
  <c r="Q320" i="2" a="1"/>
  <c r="Q320" i="2" s="1"/>
  <c r="Q133" i="2" a="1"/>
  <c r="Q133" i="2" s="1"/>
  <c r="Q1522" i="2" a="1"/>
  <c r="Q1522" i="2" s="1"/>
  <c r="Q325" i="2" a="1"/>
  <c r="Q325" i="2" s="1"/>
  <c r="Q63" i="2" a="1"/>
  <c r="Q63" i="2" s="1"/>
  <c r="Q185" i="2" a="1"/>
  <c r="Q185" i="2" s="1"/>
  <c r="Q1577" i="2" a="1"/>
  <c r="Q1577" i="2" s="1"/>
  <c r="Q390" i="2" a="1"/>
  <c r="Q390" i="2" s="1"/>
  <c r="Q116" i="2" a="1"/>
  <c r="Q116" i="2" s="1"/>
  <c r="Q1655" i="2" a="1"/>
  <c r="Q1655" i="2" s="1"/>
  <c r="Q1597" i="2" a="1"/>
  <c r="Q1597" i="2" s="1"/>
  <c r="Q776" i="2" a="1"/>
  <c r="Q776" i="2" s="1"/>
  <c r="Q1699" i="2" a="1"/>
  <c r="Q1699" i="2" s="1"/>
  <c r="Q1218" i="2" a="1"/>
  <c r="Q1218" i="2" s="1"/>
  <c r="Q252" i="2" a="1"/>
  <c r="Q252" i="2" s="1"/>
  <c r="Q1687" i="2" a="1"/>
  <c r="Q1687" i="2" s="1"/>
  <c r="Q1620" i="2" a="1"/>
  <c r="Q1620" i="2" s="1"/>
  <c r="Q1621" i="2" a="1"/>
  <c r="Q1621" i="2" s="1"/>
  <c r="Q1664" i="2" a="1"/>
  <c r="Q1664" i="2" s="1"/>
  <c r="Q1665" i="2" a="1"/>
  <c r="Q1665" i="2" s="1"/>
  <c r="Q1622" i="2" a="1"/>
  <c r="Q1622" i="2" s="1"/>
  <c r="Q13" i="2" a="1"/>
  <c r="Q13" i="2" s="1"/>
  <c r="Q429" i="2" a="1"/>
  <c r="Q429" i="2" s="1"/>
  <c r="Q1066" i="2" a="1"/>
  <c r="Q1066" i="2" s="1"/>
  <c r="Q736" i="2" a="1"/>
  <c r="Q736" i="2" s="1"/>
  <c r="Q849" i="2" a="1"/>
  <c r="Q849" i="2" s="1"/>
  <c r="Q1067" i="2" a="1"/>
  <c r="Q1067" i="2" s="1"/>
  <c r="Q1035" i="2" a="1"/>
  <c r="Q1035" i="2" s="1"/>
  <c r="Q142" i="2" a="1"/>
  <c r="Q142" i="2" s="1"/>
  <c r="Q1725" i="2" a="1"/>
  <c r="Q1725" i="2" s="1"/>
  <c r="Q437" i="2" a="1"/>
  <c r="Q437" i="2" s="1"/>
  <c r="Q152" i="2" a="1"/>
  <c r="Q152" i="2" s="1"/>
  <c r="Q1431" i="2" a="1"/>
  <c r="Q1431" i="2" s="1"/>
  <c r="Q928" i="2" a="1"/>
  <c r="Q928" i="2" s="1"/>
  <c r="Q1562" i="2" a="1"/>
  <c r="Q1562" i="2" s="1"/>
  <c r="Q917" i="2" a="1"/>
  <c r="Q917" i="2" s="1"/>
  <c r="Q1639" i="2" a="1"/>
  <c r="Q1639" i="2" s="1"/>
  <c r="Q1666" i="2" a="1"/>
  <c r="Q1666" i="2" s="1"/>
  <c r="Q195" i="2" a="1"/>
  <c r="Q195" i="2" s="1"/>
  <c r="Q331" i="2" a="1"/>
  <c r="Q331" i="2" s="1"/>
  <c r="Q777" i="2" a="1"/>
  <c r="Q777" i="2" s="1"/>
  <c r="Q843" i="2" a="1"/>
  <c r="Q843" i="2" s="1"/>
  <c r="Q435" i="2" a="1"/>
  <c r="Q435" i="2" s="1"/>
  <c r="Q346" i="2" a="1"/>
  <c r="Q346" i="2" s="1"/>
  <c r="Q1514" i="2" a="1"/>
  <c r="Q1514" i="2" s="1"/>
  <c r="Q702" i="2" a="1"/>
  <c r="Q702" i="2" s="1"/>
  <c r="Q1623" i="2" a="1"/>
  <c r="Q1623" i="2" s="1"/>
  <c r="Q1661" i="2" a="1"/>
  <c r="Q1661" i="2" s="1"/>
  <c r="Q655" i="2" a="1"/>
  <c r="Q655" i="2" s="1"/>
  <c r="Q350" i="2" a="1"/>
  <c r="Q350" i="2" s="1"/>
  <c r="Q199" i="2" a="1"/>
  <c r="Q199" i="2" s="1"/>
  <c r="Q1533" i="2" a="1"/>
  <c r="Q1533" i="2" s="1"/>
  <c r="Q1110" i="2" a="1"/>
  <c r="Q1110" i="2" s="1"/>
  <c r="Q1046" i="2" a="1"/>
  <c r="Q1046" i="2" s="1"/>
  <c r="Q236" i="2" a="1"/>
  <c r="Q236" i="2" s="1"/>
  <c r="Q794" i="2" a="1"/>
  <c r="Q794" i="2" s="1"/>
  <c r="Q927" i="2" a="1"/>
  <c r="Q927" i="2" s="1"/>
  <c r="Q636" i="2" a="1"/>
  <c r="Q636" i="2" s="1"/>
  <c r="Q141" i="2" a="1"/>
  <c r="Q141" i="2" s="1"/>
  <c r="Q1446" i="2" a="1"/>
  <c r="Q1446" i="2" s="1"/>
  <c r="Q1441" i="2" a="1"/>
  <c r="Q1441" i="2" s="1"/>
  <c r="Q1036" i="2" a="1"/>
  <c r="Q1036" i="2" s="1"/>
  <c r="Q409" i="2" a="1"/>
  <c r="Q409" i="2" s="1"/>
  <c r="Q1374" i="2" a="1"/>
  <c r="Q1374" i="2" s="1"/>
  <c r="Q701" i="2" a="1"/>
  <c r="Q701" i="2" s="1"/>
  <c r="Q366" i="2" a="1"/>
  <c r="Q366" i="2" s="1"/>
  <c r="Q4" i="2" a="1"/>
  <c r="Q4" i="2" s="1"/>
  <c r="Q700" i="2" a="1"/>
  <c r="Q700" i="2" s="1"/>
  <c r="Q1445" i="2" a="1"/>
  <c r="Q1445" i="2" s="1"/>
  <c r="Q1395" i="2" a="1"/>
  <c r="Q1395" i="2" s="1"/>
  <c r="Q407" i="2" a="1"/>
  <c r="Q407" i="2" s="1"/>
  <c r="Q627" i="2" a="1"/>
  <c r="Q627" i="2" s="1"/>
  <c r="Q424" i="2" a="1"/>
  <c r="Q424" i="2" s="1"/>
  <c r="Q260" i="2" a="1"/>
  <c r="Q260" i="2" s="1"/>
  <c r="Q775" i="2" a="1"/>
  <c r="Q775" i="2" s="1"/>
  <c r="Q129" i="2" a="1"/>
  <c r="Q129" i="2" s="1"/>
  <c r="Q491" i="2" a="1"/>
  <c r="Q491" i="2" s="1"/>
  <c r="Q1674" i="2" a="1"/>
  <c r="Q1674" i="2" s="1"/>
  <c r="Q475" i="2" a="1"/>
  <c r="Q475" i="2" s="1"/>
  <c r="Q1408" i="2" a="1"/>
  <c r="Q1408" i="2" s="1"/>
  <c r="Q634" i="2" a="1"/>
  <c r="Q634" i="2" s="1"/>
  <c r="Q1418" i="2" a="1"/>
  <c r="Q1418" i="2" s="1"/>
  <c r="Q307" i="2" a="1"/>
  <c r="Q307" i="2" s="1"/>
  <c r="Q789" i="2" a="1"/>
  <c r="Q789" i="2" s="1"/>
  <c r="Q730" i="2" a="1"/>
  <c r="Q730" i="2" s="1"/>
  <c r="Q171" i="2" a="1"/>
  <c r="Q171" i="2" s="1"/>
  <c r="Q1413" i="2" a="1"/>
  <c r="Q1413" i="2" s="1"/>
  <c r="Q268" i="2" a="1"/>
  <c r="Q268" i="2" s="1"/>
  <c r="Q1387" i="2" a="1"/>
  <c r="Q1387" i="2" s="1"/>
  <c r="Q193" i="2" a="1"/>
  <c r="Q193" i="2" s="1"/>
  <c r="Q1544" i="2" a="1"/>
  <c r="Q1544" i="2" s="1"/>
  <c r="Q705" i="2" a="1"/>
  <c r="Q705" i="2" s="1"/>
  <c r="Q1523" i="2" a="1"/>
  <c r="Q1523" i="2" s="1"/>
  <c r="Q703" i="2" a="1"/>
  <c r="Q703" i="2" s="1"/>
  <c r="Q1516" i="2" a="1"/>
  <c r="Q1516" i="2" s="1"/>
  <c r="Q1539" i="2" a="1"/>
  <c r="Q1539" i="2" s="1"/>
  <c r="Q1545" i="2" a="1"/>
  <c r="Q1545" i="2" s="1"/>
  <c r="Q707" i="2" a="1"/>
  <c r="Q707" i="2" s="1"/>
  <c r="Q706" i="2" a="1"/>
  <c r="Q706" i="2" s="1"/>
  <c r="Q704" i="2" a="1"/>
  <c r="Q704" i="2" s="1"/>
  <c r="Q754" i="2" a="1"/>
  <c r="Q754" i="2" s="1"/>
  <c r="Q261" i="2" a="1"/>
  <c r="Q261" i="2" s="1"/>
  <c r="Q16" i="2" a="1"/>
  <c r="Q16" i="2" s="1"/>
  <c r="Q330" i="2" a="1"/>
  <c r="Q330" i="2" s="1"/>
  <c r="Q1656" i="2" a="1"/>
  <c r="Q1656" i="2" s="1"/>
  <c r="Q286" i="2" a="1"/>
  <c r="Q286" i="2" s="1"/>
  <c r="Q166" i="2" a="1"/>
  <c r="Q166" i="2" s="1"/>
  <c r="Q391" i="2" a="1"/>
  <c r="Q391" i="2" s="1"/>
  <c r="Q1041" i="2" a="1"/>
  <c r="Q1041" i="2" s="1"/>
  <c r="Q1397" i="2" a="1"/>
  <c r="Q1397" i="2" s="1"/>
  <c r="Q94" i="2" a="1"/>
  <c r="Q94" i="2" s="1"/>
  <c r="Q737" i="2" a="1"/>
  <c r="Q737" i="2" s="1"/>
  <c r="Q1396" i="2" a="1"/>
  <c r="Q1396" i="2" s="1"/>
  <c r="Q708" i="2" a="1"/>
  <c r="Q708" i="2" s="1"/>
  <c r="Q251" i="2" a="1"/>
  <c r="Q251" i="2" s="1"/>
  <c r="Q1683" i="2" a="1"/>
  <c r="Q1683" i="2" s="1"/>
  <c r="Q1624" i="2" a="1"/>
  <c r="Q1624" i="2" s="1"/>
  <c r="Q1634" i="2" a="1"/>
  <c r="Q1634" i="2" s="1"/>
  <c r="Q813" i="2" a="1"/>
  <c r="Q813" i="2" s="1"/>
  <c r="Q1068" i="2" a="1"/>
  <c r="Q1068" i="2" s="1"/>
  <c r="Q311" i="2" a="1"/>
  <c r="Q311" i="2" s="1"/>
  <c r="Q926" i="2" a="1"/>
  <c r="Q926" i="2" s="1"/>
  <c r="Q1563" i="2" a="1"/>
  <c r="Q1563" i="2" s="1"/>
  <c r="Q1564" i="2" a="1"/>
  <c r="Q1564" i="2" s="1"/>
  <c r="Q1557" i="2" a="1"/>
  <c r="Q1557" i="2" s="1"/>
  <c r="Q1726" i="2" a="1"/>
  <c r="Q1726" i="2" s="1"/>
  <c r="Q1069" i="2" a="1"/>
  <c r="Q1069" i="2" s="1"/>
  <c r="Q1546" i="2" a="1"/>
  <c r="Q1546" i="2" s="1"/>
  <c r="Q1616" i="2" a="1"/>
  <c r="Q1616" i="2" s="1"/>
  <c r="Q696" i="2" a="1"/>
  <c r="Q696" i="2" s="1"/>
  <c r="Q646" i="2" a="1"/>
  <c r="Q646" i="2" s="1"/>
  <c r="Q415" i="2" a="1"/>
  <c r="Q415" i="2" s="1"/>
  <c r="Q411" i="2" a="1"/>
  <c r="Q411" i="2" s="1"/>
  <c r="Q1585" i="2" a="1"/>
  <c r="Q1585" i="2" s="1"/>
  <c r="Q434" i="2" a="1"/>
  <c r="Q434" i="2" s="1"/>
  <c r="Q1573" i="2" a="1"/>
  <c r="Q1573" i="2" s="1"/>
  <c r="Q1388" i="2" a="1"/>
  <c r="Q1388" i="2" s="1"/>
  <c r="Q344" i="2" a="1"/>
  <c r="Q344" i="2" s="1"/>
  <c r="Q1398" i="2" a="1"/>
  <c r="Q1398" i="2" s="1"/>
  <c r="Q184" i="2" a="1"/>
  <c r="Q184" i="2" s="1"/>
  <c r="Q131" i="2" a="1"/>
  <c r="Q131" i="2" s="1"/>
  <c r="Q1598" i="2" a="1"/>
  <c r="Q1598" i="2" s="1"/>
  <c r="Q1640" i="2" a="1"/>
  <c r="Q1640" i="2" s="1"/>
  <c r="Q1540" i="2" a="1"/>
  <c r="Q1540" i="2" s="1"/>
  <c r="Q1599" i="2" a="1"/>
  <c r="Q1599" i="2" s="1"/>
  <c r="Q294" i="2" a="1"/>
  <c r="Q294" i="2" s="1"/>
  <c r="Q31" i="2" a="1"/>
  <c r="Q31" i="2" s="1"/>
  <c r="Q1513" i="2" a="1"/>
  <c r="Q1513" i="2" s="1"/>
  <c r="Q1727" i="2" a="1"/>
  <c r="Q1727" i="2" s="1"/>
  <c r="Q1547" i="2" a="1"/>
  <c r="Q1547" i="2" s="1"/>
  <c r="Q761" i="2" a="1"/>
  <c r="Q761" i="2" s="1"/>
  <c r="Q629" i="2" a="1"/>
  <c r="Q629" i="2" s="1"/>
  <c r="Q1586" i="2" a="1"/>
  <c r="Q1586" i="2" s="1"/>
  <c r="Q338" i="2" a="1"/>
  <c r="Q338" i="2" s="1"/>
  <c r="Q347" i="2" a="1"/>
  <c r="Q347" i="2" s="1"/>
  <c r="Q732" i="2" a="1"/>
  <c r="Q732" i="2" s="1"/>
  <c r="Q148" i="2" a="1"/>
  <c r="Q148" i="2" s="1"/>
  <c r="Q1587" i="2" a="1"/>
  <c r="Q1587" i="2" s="1"/>
  <c r="Q709" i="2" a="1"/>
  <c r="Q709" i="2" s="1"/>
  <c r="Q710" i="2" a="1"/>
  <c r="Q710" i="2" s="1"/>
  <c r="Q778" i="2" a="1"/>
  <c r="Q778" i="2" s="1"/>
  <c r="Q302" i="2" a="1"/>
  <c r="Q302" i="2" s="1"/>
  <c r="Q1588" i="2" a="1"/>
  <c r="Q1588" i="2" s="1"/>
  <c r="Q1524" i="2" a="1"/>
  <c r="Q1524" i="2" s="1"/>
  <c r="Q149" i="2" a="1"/>
  <c r="Q149" i="2" s="1"/>
  <c r="Q1070" i="2" a="1"/>
  <c r="Q1070" i="2" s="1"/>
  <c r="Q1625" i="2" a="1"/>
  <c r="Q1625" i="2" s="1"/>
  <c r="Q1641" i="2" a="1"/>
  <c r="Q1641" i="2" s="1"/>
  <c r="Q1642" i="2" a="1"/>
  <c r="Q1642" i="2" s="1"/>
  <c r="Q1520" i="2" a="1"/>
  <c r="Q1520" i="2" s="1"/>
  <c r="Q1448" i="2" a="1"/>
  <c r="Q1448" i="2" s="1"/>
  <c r="Q1047" i="2" a="1"/>
  <c r="Q1047" i="2" s="1"/>
  <c r="Q1447" i="2" a="1"/>
  <c r="Q1447" i="2" s="1"/>
  <c r="Q165" i="2" a="1"/>
  <c r="Q165" i="2" s="1"/>
  <c r="Q483" i="2" a="1"/>
  <c r="Q483" i="2" s="1"/>
  <c r="Q1609" i="2" a="1"/>
  <c r="Q1609" i="2" s="1"/>
  <c r="Q23" i="2" a="1"/>
  <c r="Q23" i="2" s="1"/>
  <c r="Q448" i="2" a="1"/>
  <c r="Q448" i="2" s="1"/>
  <c r="Q1643" i="2" a="1"/>
  <c r="Q1643" i="2" s="1"/>
  <c r="Q183" i="2" a="1"/>
  <c r="Q183" i="2" s="1"/>
  <c r="Q281" i="2" a="1"/>
  <c r="Q281" i="2" s="1"/>
  <c r="Q1361" i="2" a="1"/>
  <c r="Q1361" i="2" s="1"/>
  <c r="Q815" i="2" a="1"/>
  <c r="Q815" i="2" s="1"/>
  <c r="Q249" i="2" a="1"/>
  <c r="Q249" i="2" s="1"/>
  <c r="Q846" i="2" a="1"/>
  <c r="Q846" i="2" s="1"/>
  <c r="Q688" i="2" a="1"/>
  <c r="Q688" i="2" s="1"/>
  <c r="Q923" i="2" a="1"/>
  <c r="Q923" i="2" s="1"/>
  <c r="Q143" i="2" a="1"/>
  <c r="Q143" i="2" s="1"/>
  <c r="Q1700" i="2" a="1"/>
  <c r="Q1700" i="2" s="1"/>
  <c r="Q194" i="2" a="1"/>
  <c r="Q194" i="2" s="1"/>
  <c r="Q104" i="2" a="1"/>
  <c r="Q104" i="2" s="1"/>
  <c r="Q1744" i="2" a="1"/>
  <c r="Q1744" i="2" s="1"/>
  <c r="Q238" i="2" a="1"/>
  <c r="Q238" i="2" s="1"/>
  <c r="Q419" i="2" a="1"/>
  <c r="Q419" i="2" s="1"/>
  <c r="Q764" i="2" a="1"/>
  <c r="Q764" i="2" s="1"/>
  <c r="Q49" i="2" a="1"/>
  <c r="Q49" i="2" s="1"/>
  <c r="Q1399" i="2" a="1"/>
  <c r="Q1399" i="2" s="1"/>
  <c r="Q795" i="2" a="1"/>
  <c r="Q795" i="2" s="1"/>
  <c r="Q1578" i="2" a="1"/>
  <c r="Q1578" i="2" s="1"/>
  <c r="Q1626" i="2" a="1"/>
  <c r="Q1626" i="2" s="1"/>
  <c r="Q453" i="2" a="1"/>
  <c r="Q453" i="2" s="1"/>
  <c r="Q850" i="2" a="1"/>
  <c r="Q850" i="2" s="1"/>
  <c r="Q920" i="2" a="1"/>
  <c r="Q920" i="2" s="1"/>
  <c r="Q1548" i="2" a="1"/>
  <c r="Q1548" i="2" s="1"/>
  <c r="Q1072" i="2" a="1"/>
  <c r="Q1072" i="2" s="1"/>
  <c r="Q630" i="2" a="1"/>
  <c r="Q630" i="2" s="1"/>
  <c r="Q841" i="2" a="1"/>
  <c r="Q841" i="2" s="1"/>
  <c r="Q847" i="2" a="1"/>
  <c r="Q847" i="2" s="1"/>
  <c r="Q122" i="2" a="1"/>
  <c r="Q122" i="2" s="1"/>
  <c r="Q445" i="2" a="1"/>
  <c r="Q445" i="2" s="1"/>
  <c r="Q1582" i="2" a="1"/>
  <c r="Q1582" i="2" s="1"/>
  <c r="Q101" i="2" a="1"/>
  <c r="Q101" i="2" s="1"/>
  <c r="Q900" i="2" a="1"/>
  <c r="Q900" i="2" s="1"/>
  <c r="Q779" i="2" a="1"/>
  <c r="Q779" i="2" s="1"/>
  <c r="Q1340" i="2" a="1"/>
  <c r="Q1340" i="2" s="1"/>
  <c r="Q210" i="2" a="1"/>
  <c r="Q210" i="2" s="1"/>
  <c r="Q337" i="2" a="1"/>
  <c r="Q337" i="2" s="1"/>
  <c r="Q1051" i="2" a="1"/>
  <c r="Q1051" i="2" s="1"/>
  <c r="Q848" i="2" a="1"/>
  <c r="Q848" i="2" s="1"/>
  <c r="Q1549" i="2" a="1"/>
  <c r="Q1549" i="2" s="1"/>
  <c r="Q1728" i="2" a="1"/>
  <c r="Q1728" i="2" s="1"/>
  <c r="Q154" i="2" a="1"/>
  <c r="Q154" i="2" s="1"/>
  <c r="Q474" i="2" a="1"/>
  <c r="Q474" i="2" s="1"/>
  <c r="Q303" i="2" a="1"/>
  <c r="Q303" i="2" s="1"/>
  <c r="Q158" i="2" a="1"/>
  <c r="Q158" i="2" s="1"/>
  <c r="Q374" i="2" a="1"/>
  <c r="Q374" i="2" s="1"/>
  <c r="Q455" i="2" a="1"/>
  <c r="Q455" i="2" s="1"/>
  <c r="Q454" i="2" a="1"/>
  <c r="Q454" i="2" s="1"/>
  <c r="Q738" i="2" a="1"/>
  <c r="Q738" i="2" s="1"/>
  <c r="Q637" i="2" a="1"/>
  <c r="Q637" i="2" s="1"/>
  <c r="Q1071" i="2" a="1"/>
  <c r="Q1071" i="2" s="1"/>
  <c r="Q369" i="2" a="1"/>
  <c r="Q369" i="2" s="1"/>
  <c r="Q689" i="2" a="1"/>
  <c r="Q689" i="2" s="1"/>
  <c r="Q772" i="2" a="1"/>
  <c r="Q772" i="2" s="1"/>
  <c r="Q269" i="2" a="1"/>
  <c r="Q269" i="2" s="1"/>
  <c r="Q1541" i="2" a="1"/>
  <c r="Q1541" i="2" s="1"/>
  <c r="Q367" i="2" a="1"/>
  <c r="Q367" i="2" s="1"/>
  <c r="Q35" i="2" a="1"/>
  <c r="Q35" i="2" s="1"/>
  <c r="Q266" i="2" a="1"/>
  <c r="Q266" i="2" s="1"/>
  <c r="Q438" i="2" a="1"/>
  <c r="Q438" i="2" s="1"/>
  <c r="Q957" i="2" a="1"/>
  <c r="Q957" i="2" s="1"/>
  <c r="Q221" i="2" a="1"/>
  <c r="Q221" i="2" s="1"/>
  <c r="Q739" i="2" a="1"/>
  <c r="Q739" i="2" s="1"/>
  <c r="Q389" i="2" a="1"/>
  <c r="Q389" i="2" s="1"/>
  <c r="Q71" i="2" a="1"/>
  <c r="Q71" i="2" s="1"/>
  <c r="Q456" i="2" a="1"/>
  <c r="Q456" i="2" s="1"/>
  <c r="Q694" i="2" a="1"/>
  <c r="Q694" i="2" s="1"/>
  <c r="Q1210" i="2" a="1"/>
  <c r="Q1210" i="2" s="1"/>
  <c r="Q420" i="2" a="1"/>
  <c r="Q420" i="2" s="1"/>
  <c r="Q740" i="2" a="1"/>
  <c r="Q740" i="2" s="1"/>
  <c r="Q47" i="2" a="1"/>
  <c r="Q47" i="2" s="1"/>
  <c r="Q1073" i="2" a="1"/>
  <c r="Q1073" i="2" s="1"/>
  <c r="Q631" i="2" a="1"/>
  <c r="Q631" i="2" s="1"/>
  <c r="Q413" i="2" a="1"/>
  <c r="Q413" i="2" s="1"/>
  <c r="Q279" i="2" a="1"/>
  <c r="Q279" i="2" s="1"/>
  <c r="Q62" i="2" a="1"/>
  <c r="Q62" i="2" s="1"/>
  <c r="Q1074" i="2" a="1"/>
  <c r="Q1074" i="2" s="1"/>
  <c r="Q711" i="2" a="1"/>
  <c r="Q711" i="2" s="1"/>
  <c r="Q159" i="2" a="1"/>
  <c r="Q159" i="2" s="1"/>
  <c r="Q51" i="2" a="1"/>
  <c r="Q51" i="2" s="1"/>
  <c r="Q1437" i="2" a="1"/>
  <c r="Q1437" i="2" s="1"/>
  <c r="Q741" i="2" a="1"/>
  <c r="Q741" i="2" s="1"/>
  <c r="Q1534" i="2" a="1"/>
  <c r="Q1534" i="2" s="1"/>
  <c r="Q72" i="2" a="1"/>
  <c r="Q72" i="2" s="1"/>
  <c r="Q45" i="2" a="1"/>
  <c r="Q45" i="2" s="1"/>
  <c r="Q1644" i="2" a="1"/>
  <c r="Q1644" i="2" s="1"/>
  <c r="Q147" i="2" a="1"/>
  <c r="Q147" i="2" s="1"/>
  <c r="Q457" i="2" a="1"/>
  <c r="Q457" i="2" s="1"/>
  <c r="Q1048" i="2" a="1"/>
  <c r="Q1048" i="2" s="1"/>
  <c r="Q647" i="2" a="1"/>
  <c r="Q647" i="2" s="1"/>
  <c r="Q9" i="2" a="1"/>
  <c r="Q9" i="2" s="1"/>
  <c r="Q1075" i="2" a="1"/>
  <c r="Q1075" i="2" s="1"/>
  <c r="Q1565" i="2" a="1"/>
  <c r="Q1565" i="2" s="1"/>
  <c r="Q1097" i="2" a="1"/>
  <c r="Q1097" i="2" s="1"/>
  <c r="Q1400" i="2" a="1"/>
  <c r="Q1400" i="2" s="1"/>
  <c r="Q427" i="2" a="1"/>
  <c r="Q427" i="2" s="1"/>
  <c r="Q931" i="2" a="1"/>
  <c r="Q931" i="2" s="1"/>
  <c r="Q774" i="2" a="1"/>
  <c r="Q774" i="2" s="1"/>
  <c r="Q188" i="2" a="1"/>
  <c r="Q188" i="2" s="1"/>
  <c r="Q167" i="2" a="1"/>
  <c r="Q167" i="2" s="1"/>
  <c r="Q170" i="2" a="1"/>
  <c r="Q170" i="2" s="1"/>
  <c r="Q348" i="2" a="1"/>
  <c r="Q348" i="2" s="1"/>
  <c r="Q362" i="2" a="1"/>
  <c r="Q362" i="2" s="1"/>
  <c r="Q1369" i="2" a="1"/>
  <c r="Q1369" i="2" s="1"/>
  <c r="Q1076" i="2" a="1"/>
  <c r="Q1076" i="2" s="1"/>
  <c r="Q1589" i="2" a="1"/>
  <c r="Q1589" i="2" s="1"/>
  <c r="Q139" i="2" a="1"/>
  <c r="Q139" i="2" s="1"/>
  <c r="Q108" i="2" a="1"/>
  <c r="Q108" i="2" s="1"/>
  <c r="Q333" i="2" a="1"/>
  <c r="Q333" i="2" s="1"/>
  <c r="Q241" i="2" a="1"/>
  <c r="Q241" i="2" s="1"/>
  <c r="Q799" i="2" a="1"/>
  <c r="Q799" i="2" s="1"/>
  <c r="Q284" i="2" a="1"/>
  <c r="Q284" i="2" s="1"/>
  <c r="Q255" i="2" a="1"/>
  <c r="Q255" i="2" s="1"/>
  <c r="Q227" i="2" a="1"/>
  <c r="Q227" i="2" s="1"/>
  <c r="Q385" i="2" a="1"/>
  <c r="Q385" i="2" s="1"/>
  <c r="Q470" i="2" a="1"/>
  <c r="Q470" i="2" s="1"/>
  <c r="Q1677" i="2" a="1"/>
  <c r="Q1677" i="2" s="1"/>
  <c r="Q644" i="2" a="1"/>
  <c r="Q644" i="2" s="1"/>
  <c r="Q38" i="2" a="1"/>
  <c r="Q38" i="2" s="1"/>
  <c r="Q282" i="2" a="1"/>
  <c r="Q282" i="2" s="1"/>
  <c r="Q314" i="2" a="1"/>
  <c r="Q314" i="2" s="1"/>
  <c r="Q387" i="2" a="1"/>
  <c r="Q387" i="2" s="1"/>
  <c r="Q1457" i="2" a="1"/>
  <c r="Q1457" i="2" s="1"/>
  <c r="Q1432" i="2" a="1"/>
  <c r="Q1432" i="2" s="1"/>
  <c r="Q712" i="2" a="1"/>
  <c r="Q712" i="2" s="1"/>
  <c r="Q1422" i="2" a="1"/>
  <c r="Q1422" i="2" s="1"/>
  <c r="Q125" i="2" a="1"/>
  <c r="Q125" i="2" s="1"/>
  <c r="Q172" i="2" a="1"/>
  <c r="Q172" i="2" s="1"/>
  <c r="Q1054" i="2" a="1"/>
  <c r="Q1054" i="2" s="1"/>
  <c r="Q1742" i="2" a="1"/>
  <c r="Q1742" i="2" s="1"/>
  <c r="Q1409" i="2" a="1"/>
  <c r="Q1409" i="2" s="1"/>
  <c r="Q120" i="2" a="1"/>
  <c r="Q120" i="2" s="1"/>
  <c r="Q359" i="2" a="1"/>
  <c r="Q359" i="2" s="1"/>
  <c r="Q790" i="2" a="1"/>
  <c r="Q790" i="2" s="1"/>
  <c r="Q334" i="2" a="1"/>
  <c r="Q334" i="2" s="1"/>
  <c r="Q182" i="2" a="1"/>
  <c r="Q182" i="2" s="1"/>
  <c r="Q84" i="2" a="1"/>
  <c r="Q84" i="2" s="1"/>
  <c r="Q446" i="2" a="1"/>
  <c r="Q446" i="2" s="1"/>
  <c r="Q1427" i="2" a="1"/>
  <c r="Q1427" i="2" s="1"/>
  <c r="Q352" i="2" a="1"/>
  <c r="Q352" i="2" s="1"/>
  <c r="Q322" i="2" a="1"/>
  <c r="Q322" i="2" s="1"/>
  <c r="Q327" i="2" a="1"/>
  <c r="Q327" i="2" s="1"/>
  <c r="Q426" i="2" a="1"/>
  <c r="Q426" i="2" s="1"/>
  <c r="Q742" i="2" a="1"/>
  <c r="Q742" i="2" s="1"/>
  <c r="Q64" i="2" a="1"/>
  <c r="Q64" i="2" s="1"/>
  <c r="Q53" i="2" a="1"/>
  <c r="Q53" i="2" s="1"/>
  <c r="Q509" i="2" a="1"/>
  <c r="Q509" i="2" s="1"/>
  <c r="Q394" i="2" a="1"/>
  <c r="Q394" i="2" s="1"/>
  <c r="Q8" i="2" a="1"/>
  <c r="Q8" i="2" s="1"/>
  <c r="Q39" i="2" a="1"/>
  <c r="Q39" i="2" s="1"/>
  <c r="Q1667" i="2" a="1"/>
  <c r="Q1667" i="2" s="1"/>
  <c r="Q1668" i="2" a="1"/>
  <c r="Q1668" i="2" s="1"/>
  <c r="Q412" i="2" a="1"/>
  <c r="Q412" i="2" s="1"/>
  <c r="Q232" i="2" a="1"/>
  <c r="Q232" i="2" s="1"/>
  <c r="Q852" i="2" a="1"/>
  <c r="Q852" i="2" s="1"/>
  <c r="Q1055" i="2" a="1"/>
  <c r="Q1055" i="2" s="1"/>
  <c r="Q264" i="2" a="1"/>
  <c r="Q264" i="2" s="1"/>
  <c r="Q326" i="2" a="1"/>
  <c r="Q326" i="2" s="1"/>
  <c r="Q713" i="2" a="1"/>
  <c r="Q713" i="2" s="1"/>
  <c r="Q1102" i="2" a="1"/>
  <c r="Q1102" i="2" s="1"/>
  <c r="Q254" i="2" a="1"/>
  <c r="Q254" i="2" s="1"/>
  <c r="Q67" i="2" a="1"/>
  <c r="Q67" i="2" s="1"/>
  <c r="Q354" i="2" a="1"/>
  <c r="Q354" i="2" s="1"/>
  <c r="Q458" i="2" a="1"/>
  <c r="Q458" i="2" s="1"/>
  <c r="Q929" i="2" a="1"/>
  <c r="Q929" i="2" s="1"/>
  <c r="Q1743" i="2" a="1"/>
  <c r="Q1743" i="2" s="1"/>
  <c r="Q714" i="2" a="1"/>
  <c r="Q714" i="2" s="1"/>
  <c r="Q55" i="2" a="1"/>
  <c r="Q55" i="2" s="1"/>
  <c r="Q715" i="2" a="1"/>
  <c r="Q715" i="2" s="1"/>
  <c r="Q635" i="2" a="1"/>
  <c r="Q635" i="2" s="1"/>
  <c r="Q1077" i="2" a="1"/>
  <c r="Q1077" i="2" s="1"/>
  <c r="Q339" i="2" a="1"/>
  <c r="Q339" i="2" s="1"/>
  <c r="Q999" i="2" a="1"/>
  <c r="Q999" i="2" s="1"/>
  <c r="Q1649" i="2" a="1"/>
  <c r="Q1649" i="2" s="1"/>
  <c r="Q1657" i="2" a="1"/>
  <c r="Q1657" i="2" s="1"/>
  <c r="Q743" i="2" a="1"/>
  <c r="Q743" i="2" s="1"/>
  <c r="Q1662" i="2" a="1"/>
  <c r="Q1662" i="2" s="1"/>
  <c r="Q112" i="2" a="1"/>
  <c r="Q112" i="2" s="1"/>
  <c r="Q406" i="2" a="1"/>
  <c r="Q406" i="2" s="1"/>
  <c r="Q1600" i="2" a="1"/>
  <c r="Q1600" i="2" s="1"/>
  <c r="Q1601" i="2" a="1"/>
  <c r="Q1601" i="2" s="1"/>
  <c r="Q24" i="2" a="1"/>
  <c r="Q24" i="2" s="1"/>
  <c r="Q178" i="2" a="1"/>
  <c r="Q178" i="2" s="1"/>
  <c r="Q304" i="2" a="1"/>
  <c r="Q304" i="2" s="1"/>
  <c r="Q1610" i="2" a="1"/>
  <c r="Q1610" i="2" s="1"/>
  <c r="Q471" i="2" a="1"/>
  <c r="Q471" i="2" s="1"/>
  <c r="Q353" i="2" a="1"/>
  <c r="Q353" i="2" s="1"/>
  <c r="Q2" i="2" a="1"/>
  <c r="Q2" i="2" s="1"/>
  <c r="Q107" i="2" a="1"/>
  <c r="Q107" i="2" s="1"/>
  <c r="Q12" i="2" a="1"/>
  <c r="Q12" i="2" s="1"/>
  <c r="Q1627" i="2" a="1"/>
  <c r="Q1627" i="2" s="1"/>
  <c r="Q298" i="2" a="1"/>
  <c r="Q298" i="2" s="1"/>
  <c r="Q168" i="2" a="1"/>
  <c r="Q168" i="2" s="1"/>
  <c r="Q296" i="2" a="1"/>
  <c r="Q296" i="2" s="1"/>
  <c r="Q1525" i="2" a="1"/>
  <c r="Q1525" i="2" s="1"/>
  <c r="Q1383" i="2" a="1"/>
  <c r="Q1383" i="2" s="1"/>
  <c r="Q186" i="2" a="1"/>
  <c r="Q186" i="2" s="1"/>
  <c r="Q1645" i="2" a="1"/>
  <c r="Q1645" i="2" s="1"/>
  <c r="Q1566" i="2" a="1"/>
  <c r="Q1566" i="2" s="1"/>
  <c r="Q1062" i="2" a="1"/>
  <c r="Q1062" i="2" s="1"/>
  <c r="Q163" i="2" a="1"/>
  <c r="Q163" i="2" s="1"/>
  <c r="Q1602" i="2" a="1"/>
  <c r="Q1602" i="2" s="1"/>
  <c r="Q377" i="2" a="1"/>
  <c r="Q377" i="2" s="1"/>
  <c r="Q1685" i="2" a="1"/>
  <c r="Q1685" i="2" s="1"/>
  <c r="Q1617" i="2" a="1"/>
  <c r="Q1617" i="2" s="1"/>
  <c r="Q1603" i="2" a="1"/>
  <c r="Q1603" i="2" s="1"/>
  <c r="Q1650" i="2" a="1"/>
  <c r="Q1650" i="2" s="1"/>
  <c r="Q1526" i="2" a="1"/>
  <c r="Q1526" i="2" s="1"/>
  <c r="Q1673" i="2" a="1"/>
  <c r="Q1673" i="2" s="1"/>
  <c r="Q1246" i="2" a="1"/>
  <c r="Q1246" i="2" s="1"/>
  <c r="Q1680" i="2" a="1"/>
  <c r="Q1680" i="2" s="1"/>
  <c r="Q472" i="2" a="1"/>
  <c r="Q472" i="2" s="1"/>
  <c r="Q1061" i="2" a="1"/>
  <c r="Q1061" i="2" s="1"/>
  <c r="Q744" i="2" a="1"/>
  <c r="Q744" i="2" s="1"/>
  <c r="Q1425" i="2" a="1"/>
  <c r="Q1425" i="2" s="1"/>
  <c r="Q1103" i="2" a="1"/>
  <c r="Q1103" i="2" s="1"/>
  <c r="Q1669" i="2" a="1"/>
  <c r="Q1669" i="2" s="1"/>
  <c r="Q1628" i="2" a="1"/>
  <c r="Q1628" i="2" s="1"/>
  <c r="Q1646" i="2" a="1"/>
  <c r="Q1646" i="2" s="1"/>
  <c r="Q1629" i="2" a="1"/>
  <c r="Q1629" i="2" s="1"/>
  <c r="Q1635" i="2" a="1"/>
  <c r="Q1635" i="2" s="1"/>
  <c r="Q1558" i="2" a="1"/>
  <c r="Q1558" i="2" s="1"/>
  <c r="Q1125" i="2" a="1"/>
  <c r="Q1125" i="2" s="1"/>
  <c r="Q128" i="2" a="1"/>
  <c r="Q128" i="2" s="1"/>
  <c r="Q1042" i="2" a="1"/>
  <c r="Q1042" i="2" s="1"/>
  <c r="Q1732" i="2" a="1"/>
  <c r="Q1732" i="2" s="1"/>
  <c r="Q755" i="2" a="1"/>
  <c r="Q755" i="2" s="1"/>
  <c r="Q756" i="2" a="1"/>
  <c r="Q756" i="2" s="1"/>
  <c r="Q1518" i="2" a="1"/>
  <c r="Q1518" i="2" s="1"/>
  <c r="Q1733" i="2" a="1"/>
  <c r="Q1733" i="2" s="1"/>
  <c r="Q1423" i="2" a="1"/>
  <c r="Q1423" i="2" s="1"/>
  <c r="Q1095" i="2" a="1"/>
  <c r="Q1095" i="2" s="1"/>
  <c r="Q200" i="2" a="1"/>
  <c r="Q200" i="2" s="1"/>
  <c r="Q403" i="2" a="1"/>
  <c r="Q403" i="2" s="1"/>
  <c r="Q492" i="2" a="1"/>
  <c r="Q492" i="2" s="1"/>
  <c r="Q77" i="2" a="1"/>
  <c r="Q77" i="2" s="1"/>
  <c r="Q1402" i="2" a="1"/>
  <c r="Q1402" i="2" s="1"/>
  <c r="Q442" i="2" a="1"/>
  <c r="Q442" i="2" s="1"/>
  <c r="Q476" i="2" a="1"/>
  <c r="Q476" i="2" s="1"/>
  <c r="Q1098" i="2" a="1"/>
  <c r="Q1098" i="2" s="1"/>
  <c r="Q614" i="2" a="1"/>
  <c r="Q614" i="2" s="1"/>
  <c r="Q226" i="2" a="1"/>
  <c r="Q226" i="2" s="1"/>
  <c r="Q716" i="2" a="1"/>
  <c r="Q716" i="2" s="1"/>
  <c r="Q1647" i="2" a="1"/>
  <c r="Q1647" i="2" s="1"/>
  <c r="Q431" i="2" a="1"/>
  <c r="Q431" i="2" s="1"/>
  <c r="Q204" i="2" a="1"/>
  <c r="Q204" i="2" s="1"/>
  <c r="Q1604" i="2" a="1"/>
  <c r="Q1604" i="2" s="1"/>
  <c r="Q484" i="2" a="1"/>
  <c r="Q484" i="2" s="1"/>
  <c r="Q217" i="2" a="1"/>
  <c r="Q217" i="2" s="1"/>
  <c r="Q717" i="2" a="1"/>
  <c r="Q717" i="2" s="1"/>
  <c r="Q1592" i="2" a="1"/>
  <c r="Q1592" i="2" s="1"/>
  <c r="Q1401" i="2" a="1"/>
  <c r="Q1401" i="2" s="1"/>
  <c r="Q718" i="2" a="1"/>
  <c r="Q718" i="2" s="1"/>
  <c r="Q7" i="2" a="1"/>
  <c r="Q7" i="2" s="1"/>
  <c r="Q423" i="2" a="1"/>
  <c r="Q423" i="2" s="1"/>
  <c r="Q493" i="2" a="1"/>
  <c r="Q493" i="2" s="1"/>
  <c r="Q246" i="2" a="1"/>
  <c r="Q246" i="2" s="1"/>
  <c r="Q187" i="2" a="1"/>
  <c r="Q187" i="2" s="1"/>
  <c r="Q648" i="2" a="1"/>
  <c r="Q648" i="2" s="1"/>
  <c r="Q780" i="2" a="1"/>
  <c r="Q780" i="2" s="1"/>
  <c r="Q1734" i="2" a="1"/>
  <c r="Q1734" i="2" s="1"/>
  <c r="Q1104" i="2" a="1"/>
  <c r="Q1104" i="2" s="1"/>
  <c r="Q745" i="2" a="1"/>
  <c r="Q745" i="2" s="1"/>
  <c r="Q197" i="2" a="1"/>
  <c r="Q197" i="2" s="1"/>
  <c r="Q126" i="2" a="1"/>
  <c r="Q126" i="2" s="1"/>
  <c r="Q854" i="2" a="1"/>
  <c r="Q854" i="2" s="1"/>
  <c r="Q1078" i="2" a="1"/>
  <c r="Q1078" i="2" s="1"/>
  <c r="Q229" i="2" a="1"/>
  <c r="Q229" i="2" s="1"/>
  <c r="Q235" i="2" a="1"/>
  <c r="Q235" i="2" s="1"/>
  <c r="Q69" i="2" a="1"/>
  <c r="Q69" i="2" s="1"/>
  <c r="Q70" i="2" a="1"/>
  <c r="Q70" i="2" s="1"/>
  <c r="Q219" i="2" a="1"/>
  <c r="Q219" i="2" s="1"/>
  <c r="Q382" i="2" a="1"/>
  <c r="Q382" i="2" s="1"/>
  <c r="Q211" i="2" a="1"/>
  <c r="Q211" i="2" s="1"/>
  <c r="Q222" i="2" a="1"/>
  <c r="Q222" i="2" s="1"/>
  <c r="Q250" i="2" a="1"/>
  <c r="Q250" i="2" s="1"/>
  <c r="Q66" i="2" a="1"/>
  <c r="Q66" i="2" s="1"/>
  <c r="Q60" i="2" a="1"/>
  <c r="Q60" i="2" s="1"/>
  <c r="Q1411" i="2" a="1"/>
  <c r="Q1411" i="2" s="1"/>
  <c r="Q1433" i="2" a="1"/>
  <c r="Q1433" i="2" s="1"/>
  <c r="Q1442" i="2" a="1"/>
  <c r="Q1442" i="2" s="1"/>
  <c r="Q1129" i="2" a="1"/>
  <c r="Q1129" i="2" s="1"/>
  <c r="Q477" i="2" a="1"/>
  <c r="Q477" i="2" s="1"/>
  <c r="Q50" i="2" a="1"/>
  <c r="Q50" i="2" s="1"/>
  <c r="Q1686" i="2" a="1"/>
  <c r="Q1686" i="2" s="1"/>
  <c r="Q932" i="2" a="1"/>
  <c r="Q932" i="2" s="1"/>
  <c r="Q32" i="2" a="1"/>
  <c r="Q32" i="2" s="1"/>
  <c r="Q719" i="2" a="1"/>
  <c r="Q719" i="2" s="1"/>
  <c r="Q103" i="2" a="1"/>
  <c r="Q103" i="2" s="1"/>
  <c r="Q316" i="2" a="1"/>
  <c r="Q316" i="2" s="1"/>
  <c r="Q1527" i="2" a="1"/>
  <c r="Q1527" i="2" s="1"/>
  <c r="Q44" i="2" a="1"/>
  <c r="Q44" i="2" s="1"/>
  <c r="Q295" i="2" a="1"/>
  <c r="Q295" i="2" s="1"/>
  <c r="Q289" i="2" a="1"/>
  <c r="Q289" i="2" s="1"/>
  <c r="Q690" i="2" a="1"/>
  <c r="Q690" i="2" s="1"/>
  <c r="Q392" i="2" a="1"/>
  <c r="Q392" i="2" s="1"/>
  <c r="Q256" i="2" a="1"/>
  <c r="Q256" i="2" s="1"/>
  <c r="Q11" i="2" a="1"/>
  <c r="Q11" i="2" s="1"/>
  <c r="Q132" i="2" a="1"/>
  <c r="Q132" i="2" s="1"/>
  <c r="Q52" i="2" a="1"/>
  <c r="Q52" i="2" s="1"/>
  <c r="Q257" i="2" a="1"/>
  <c r="Q257" i="2" s="1"/>
  <c r="Q1579" i="2" a="1"/>
  <c r="Q1579" i="2" s="1"/>
  <c r="Q373" i="2" a="1"/>
  <c r="Q373" i="2" s="1"/>
  <c r="Q451" i="2" a="1"/>
  <c r="Q451" i="2" s="1"/>
  <c r="Q345" i="2" a="1"/>
  <c r="Q345" i="2" s="1"/>
  <c r="Q378" i="2" a="1"/>
  <c r="Q378" i="2" s="1"/>
  <c r="Q381" i="2" a="1"/>
  <c r="Q381" i="2" s="1"/>
  <c r="Q243" i="2" a="1"/>
  <c r="Q243" i="2" s="1"/>
  <c r="Q111" i="2" a="1"/>
  <c r="Q111" i="2" s="1"/>
  <c r="Q1403" i="2" a="1"/>
  <c r="Q1403" i="2" s="1"/>
  <c r="Q1344" i="2" a="1"/>
  <c r="Q1344" i="2" s="1"/>
  <c r="Q372" i="2" a="1"/>
  <c r="Q372" i="2" s="1"/>
  <c r="Q1593" i="2" a="1"/>
  <c r="Q1593" i="2" s="1"/>
  <c r="Q81" i="2" a="1"/>
  <c r="Q81" i="2" s="1"/>
  <c r="Q97" i="2" a="1"/>
  <c r="Q97" i="2" s="1"/>
  <c r="Q1037" i="2" a="1"/>
  <c r="Q1037" i="2" s="1"/>
  <c r="Q853" i="2" a="1"/>
  <c r="Q853" i="2" s="1"/>
  <c r="Q1739" i="2" a="1"/>
  <c r="Q1739" i="2" s="1"/>
  <c r="Q1434" i="2" a="1"/>
  <c r="Q1434" i="2" s="1"/>
  <c r="Q1080" i="2" a="1"/>
  <c r="Q1080" i="2" s="1"/>
  <c r="Q220" i="2" a="1"/>
  <c r="Q220" i="2" s="1"/>
  <c r="Q691" i="2" a="1"/>
  <c r="Q691" i="2" s="1"/>
  <c r="Q317" i="2" a="1"/>
  <c r="Q317" i="2" s="1"/>
  <c r="Q319" i="2" a="1"/>
  <c r="Q319" i="2" s="1"/>
  <c r="Q449" i="2" a="1"/>
  <c r="Q449" i="2" s="1"/>
  <c r="Q206" i="2" a="1"/>
  <c r="Q206" i="2" s="1"/>
  <c r="Q328" i="2" a="1"/>
  <c r="Q328" i="2" s="1"/>
  <c r="Q267" i="2" a="1"/>
  <c r="Q267" i="2" s="1"/>
  <c r="Q1722" i="2" a="1"/>
  <c r="Q1722" i="2" s="1"/>
  <c r="Q1057" i="2" a="1"/>
  <c r="Q1057" i="2" s="1"/>
  <c r="Q1056" i="2" a="1"/>
  <c r="Q1056" i="2" s="1"/>
  <c r="Q1105" i="2" a="1"/>
  <c r="Q1105" i="2" s="1"/>
  <c r="Q93" i="2" a="1"/>
  <c r="Q93" i="2" s="1"/>
  <c r="Q1414" i="2" a="1"/>
  <c r="Q1414" i="2" s="1"/>
  <c r="Q335" i="2" a="1"/>
  <c r="Q335" i="2" s="1"/>
  <c r="Q312" i="2" a="1"/>
  <c r="Q312" i="2" s="1"/>
  <c r="Q214" i="2" a="1"/>
  <c r="Q214" i="2" s="1"/>
  <c r="Q450" i="2" a="1"/>
  <c r="Q450" i="2" s="1"/>
  <c r="Q478" i="2" a="1"/>
  <c r="Q478" i="2" s="1"/>
  <c r="Q1094" i="2" a="1"/>
  <c r="Q1094" i="2" s="1"/>
  <c r="Q274" i="2" a="1"/>
  <c r="Q274" i="2" s="1"/>
  <c r="Q355" i="2" a="1"/>
  <c r="Q355" i="2" s="1"/>
  <c r="Q1449" i="2" a="1"/>
  <c r="Q1449" i="2" s="1"/>
  <c r="Q501" i="2" a="1"/>
  <c r="Q501" i="2" s="1"/>
  <c r="Q176" i="2" a="1"/>
  <c r="Q176" i="2" s="1"/>
  <c r="Q1410" i="2" a="1"/>
  <c r="Q1410" i="2" s="1"/>
  <c r="Q280" i="2" a="1"/>
  <c r="Q280" i="2" s="1"/>
  <c r="Q228" i="2" a="1"/>
  <c r="Q228" i="2" s="1"/>
  <c r="Q1040" i="2" a="1"/>
  <c r="Q1040" i="2" s="1"/>
  <c r="Q275" i="2" a="1"/>
  <c r="Q275" i="2" s="1"/>
  <c r="Q376" i="2" a="1"/>
  <c r="Q376" i="2" s="1"/>
  <c r="Q459" i="2" a="1"/>
  <c r="Q459" i="2" s="1"/>
  <c r="Q1081" i="2" a="1"/>
  <c r="Q1081" i="2" s="1"/>
  <c r="Q1729" i="2" a="1"/>
  <c r="Q1729" i="2" s="1"/>
  <c r="Q1737" i="2" a="1"/>
  <c r="Q1737" i="2" s="1"/>
  <c r="Q720" i="2" a="1"/>
  <c r="Q720" i="2" s="1"/>
  <c r="Q90" i="2" a="1"/>
  <c r="Q90" i="2" s="1"/>
  <c r="Q384" i="2" a="1"/>
  <c r="Q384" i="2" s="1"/>
  <c r="Q649" i="2" a="1"/>
  <c r="Q649" i="2" s="1"/>
  <c r="Q645" i="2" a="1"/>
  <c r="Q645" i="2" s="1"/>
  <c r="Q340" i="2" a="1"/>
  <c r="Q340" i="2" s="1"/>
  <c r="Q624" i="2" a="1"/>
  <c r="Q624" i="2" s="1"/>
  <c r="Q1670" i="2" a="1"/>
  <c r="Q1670" i="2" s="1"/>
  <c r="Q1740" i="2" a="1"/>
  <c r="Q1740" i="2" s="1"/>
  <c r="Q1517" i="2" a="1"/>
  <c r="Q1517" i="2" s="1"/>
  <c r="Q242" i="2" a="1"/>
  <c r="Q242" i="2" s="1"/>
  <c r="Q240" i="2" a="1"/>
  <c r="Q240" i="2" s="1"/>
  <c r="Q1567" i="2" a="1"/>
  <c r="Q1567" i="2" s="1"/>
  <c r="Q1450" i="2" a="1"/>
  <c r="Q1450" i="2" s="1"/>
  <c r="Q1099" i="2" a="1"/>
  <c r="Q1099" i="2" s="1"/>
  <c r="Q1100" i="2" a="1"/>
  <c r="Q1100" i="2" s="1"/>
  <c r="Q37" i="2" a="1"/>
  <c r="Q37" i="2" s="1"/>
  <c r="Q1568" i="2" a="1"/>
  <c r="Q1568" i="2" s="1"/>
  <c r="Q722" i="2" a="1"/>
  <c r="Q722" i="2" s="1"/>
  <c r="Q85" i="2" a="1"/>
  <c r="Q85" i="2" s="1"/>
  <c r="Q1528" i="2" a="1"/>
  <c r="Q1528" i="2" s="1"/>
  <c r="Q26" i="2" a="1"/>
  <c r="Q26" i="2" s="1"/>
  <c r="Q421" i="2" a="1"/>
  <c r="Q421" i="2" s="1"/>
  <c r="Q1372" i="2" a="1"/>
  <c r="Q1372" i="2" s="1"/>
  <c r="Q460" i="2" a="1"/>
  <c r="Q460" i="2" s="1"/>
  <c r="Q80" i="2" a="1"/>
  <c r="Q80" i="2" s="1"/>
  <c r="Q721" i="2" a="1"/>
  <c r="Q721" i="2" s="1"/>
  <c r="Q746" i="2" a="1"/>
  <c r="Q746" i="2" s="1"/>
  <c r="Q208" i="2" a="1"/>
  <c r="Q208" i="2" s="1"/>
  <c r="Q834" i="2" a="1"/>
  <c r="Q834" i="2" s="1"/>
  <c r="Q1451" i="2" a="1"/>
  <c r="Q1451" i="2" s="1"/>
  <c r="Q447" i="2" a="1"/>
  <c r="Q447" i="2" s="1"/>
  <c r="Q1200" i="2" a="1"/>
  <c r="Q1200" i="2" s="1"/>
  <c r="Q733" i="2" a="1"/>
  <c r="Q733" i="2" s="1"/>
  <c r="Q479" i="2" a="1"/>
  <c r="Q479" i="2" s="1"/>
  <c r="Q306" i="2" a="1"/>
  <c r="Q306" i="2" s="1"/>
  <c r="Q1429" i="2" a="1"/>
  <c r="Q1429" i="2" s="1"/>
  <c r="Q1684" i="2" a="1"/>
  <c r="Q1684" i="2" s="1"/>
  <c r="Q791" i="2" a="1"/>
  <c r="Q791" i="2" s="1"/>
  <c r="Q203" i="2" a="1"/>
  <c r="Q203" i="2" s="1"/>
  <c r="Q638" i="2" a="1"/>
  <c r="Q638" i="2" s="1"/>
  <c r="Q137" i="2" a="1"/>
  <c r="Q137" i="2" s="1"/>
  <c r="Q323" i="2" a="1"/>
  <c r="Q323" i="2" s="1"/>
  <c r="Q6" i="2" a="1"/>
  <c r="Q6" i="2" s="1"/>
  <c r="Q1128" i="2" a="1"/>
  <c r="Q1128" i="2" s="1"/>
  <c r="Q114" i="2" a="1"/>
  <c r="Q114" i="2" s="1"/>
  <c r="Q480" i="2" a="1"/>
  <c r="Q480" i="2" s="1"/>
  <c r="Q1529" i="2" a="1"/>
  <c r="Q1529" i="2" s="1"/>
  <c r="Q1605" i="2" a="1"/>
  <c r="Q1605" i="2" s="1"/>
  <c r="Q192" i="2" a="1"/>
  <c r="Q192" i="2" s="1"/>
  <c r="Q130" i="2" a="1"/>
  <c r="Q130" i="2" s="1"/>
  <c r="Q1741" i="2" a="1"/>
  <c r="Q1741" i="2" s="1"/>
  <c r="Q115" i="2" a="1"/>
  <c r="Q115" i="2" s="1"/>
  <c r="Q1357" i="2" a="1"/>
  <c r="Q1357" i="2" s="1"/>
  <c r="Q461" i="2" a="1"/>
  <c r="Q461" i="2" s="1"/>
  <c r="Q225" i="2" a="1"/>
  <c r="Q225" i="2" s="1"/>
  <c r="Q1630" i="2" a="1"/>
  <c r="Q1630" i="2" s="1"/>
  <c r="Q1083" i="2" a="1"/>
  <c r="Q1083" i="2" s="1"/>
  <c r="Q1106" i="2" a="1"/>
  <c r="Q1106" i="2" s="1"/>
  <c r="Q765" i="2" a="1"/>
  <c r="Q765" i="2" s="1"/>
  <c r="Q650" i="2" a="1"/>
  <c r="Q650" i="2" s="1"/>
  <c r="Q1550" i="2" a="1"/>
  <c r="Q1550" i="2" s="1"/>
  <c r="Q318" i="2" a="1"/>
  <c r="Q318" i="2" s="1"/>
  <c r="Q792" i="2" a="1"/>
  <c r="Q792" i="2" s="1"/>
  <c r="Q263" i="2" a="1"/>
  <c r="Q263" i="2" s="1"/>
  <c r="Q191" i="2" a="1"/>
  <c r="Q191" i="2" s="1"/>
  <c r="Q310" i="2" a="1"/>
  <c r="Q310" i="2" s="1"/>
  <c r="Q639" i="2" a="1"/>
  <c r="Q639" i="2" s="1"/>
  <c r="Q462" i="2" a="1"/>
  <c r="Q462" i="2" s="1"/>
  <c r="Q1082" i="2" a="1"/>
  <c r="Q1082" i="2" s="1"/>
  <c r="Q1551" i="2" a="1"/>
  <c r="Q1551" i="2" s="1"/>
  <c r="Q1404" i="2" a="1"/>
  <c r="Q1404" i="2" s="1"/>
  <c r="Q230" i="2" a="1"/>
  <c r="Q230" i="2" s="1"/>
  <c r="Q399" i="2" a="1"/>
  <c r="Q399" i="2" s="1"/>
  <c r="Q110" i="2" a="1"/>
  <c r="Q110" i="2" s="1"/>
  <c r="Q1343" i="2" a="1"/>
  <c r="Q1343" i="2" s="1"/>
  <c r="Q215" i="2" a="1"/>
  <c r="Q215" i="2" s="1"/>
  <c r="Q1059" i="2" a="1"/>
  <c r="Q1059" i="2" s="1"/>
  <c r="Q1530" i="2" a="1"/>
  <c r="Q1530" i="2" s="1"/>
  <c r="Q1452" i="2" a="1"/>
  <c r="Q1452" i="2" s="1"/>
  <c r="Q851" i="2" a="1"/>
  <c r="Q851" i="2" s="1"/>
  <c r="Q1648" i="2" a="1"/>
  <c r="Q1648" i="2" s="1"/>
  <c r="Q83" i="2" a="1"/>
  <c r="Q83" i="2" s="1"/>
  <c r="Q1453" i="2" a="1"/>
  <c r="Q1453" i="2" s="1"/>
  <c r="Q1063" i="2" a="1"/>
  <c r="Q1063" i="2" s="1"/>
  <c r="Q723" i="2" a="1"/>
  <c r="Q723" i="2" s="1"/>
  <c r="Q1569" i="2" a="1"/>
  <c r="Q1569" i="2" s="1"/>
  <c r="Q1405" i="2" a="1"/>
  <c r="Q1405" i="2" s="1"/>
  <c r="Q189" i="2" a="1"/>
  <c r="Q189" i="2" s="1"/>
  <c r="Q1552" i="2" a="1"/>
  <c r="Q1552" i="2" s="1"/>
  <c r="Q140" i="2" a="1"/>
  <c r="Q140" i="2" s="1"/>
  <c r="Q793" i="2" a="1"/>
  <c r="Q793" i="2" s="1"/>
  <c r="Q1723" i="2" a="1"/>
  <c r="Q1723" i="2" s="1"/>
  <c r="Q358" i="2" a="1"/>
  <c r="Q358" i="2" s="1"/>
  <c r="Q692" i="2" a="1"/>
  <c r="Q692" i="2" s="1"/>
  <c r="Q439" i="2" a="1"/>
  <c r="Q439" i="2" s="1"/>
  <c r="Q401" i="2" a="1"/>
  <c r="Q401" i="2" s="1"/>
  <c r="Q651" i="2" a="1"/>
  <c r="Q651" i="2" s="1"/>
  <c r="Q417" i="2" a="1"/>
  <c r="Q417" i="2" s="1"/>
  <c r="Q430" i="2" a="1"/>
  <c r="Q430" i="2" s="1"/>
  <c r="Q1678" i="2" a="1"/>
  <c r="Q1678" i="2" s="1"/>
  <c r="Q1531" i="2" a="1"/>
  <c r="Q1531" i="2" s="1"/>
  <c r="Q1084" i="2" a="1"/>
  <c r="Q1084" i="2" s="1"/>
  <c r="Q1085" i="2" a="1"/>
  <c r="Q1085" i="2" s="1"/>
  <c r="Q422" i="2" a="1"/>
  <c r="Q422" i="2" s="1"/>
  <c r="Q342" i="2" a="1"/>
  <c r="Q342" i="2" s="1"/>
  <c r="Q443" i="2" a="1"/>
  <c r="Q443" i="2" s="1"/>
  <c r="Q202" i="2" a="1"/>
  <c r="Q202" i="2" s="1"/>
  <c r="Q1389" i="2" a="1"/>
  <c r="Q1389" i="2" s="1"/>
  <c r="Q1385" i="2" a="1"/>
  <c r="Q1385" i="2" s="1"/>
  <c r="Q218" i="2" a="1"/>
  <c r="Q218" i="2" s="1"/>
  <c r="Q201" i="2" a="1"/>
  <c r="Q201" i="2" s="1"/>
  <c r="Q299" i="2" a="1"/>
  <c r="Q299" i="2" s="1"/>
  <c r="Q1515" i="2" a="1"/>
  <c r="Q1515" i="2" s="1"/>
  <c r="Q657" i="2" a="1"/>
  <c r="Q657" i="2" s="1"/>
  <c r="Q15" i="2" a="1"/>
  <c r="Q15" i="2" s="1"/>
  <c r="Q234" i="2" a="1"/>
  <c r="Q234" i="2" s="1"/>
  <c r="Q343" i="2" a="1"/>
  <c r="Q343" i="2" s="1"/>
  <c r="Q773" i="2" a="1"/>
  <c r="Q773" i="2" s="1"/>
  <c r="Q796" i="2" a="1"/>
  <c r="Q796" i="2" s="1"/>
  <c r="Q856" i="2" a="1"/>
  <c r="Q856" i="2" s="1"/>
  <c r="Q356" i="2" a="1"/>
  <c r="Q356" i="2" s="1"/>
  <c r="Q134" i="2" a="1"/>
  <c r="Q134" i="2" s="1"/>
  <c r="Q233" i="2" a="1"/>
  <c r="Q233" i="2" s="1"/>
  <c r="Q308" i="2" a="1"/>
  <c r="Q308" i="2" s="1"/>
  <c r="Q1366" i="2" a="1"/>
  <c r="Q1366" i="2" s="1"/>
  <c r="Q901" i="2" a="1"/>
  <c r="Q901" i="2" s="1"/>
  <c r="Q29" i="2" a="1"/>
  <c r="Q29" i="2" s="1"/>
  <c r="Q138" i="2" a="1"/>
  <c r="Q138" i="2" s="1"/>
  <c r="Q1195" i="2" a="1"/>
  <c r="Q1195" i="2" s="1"/>
  <c r="Q88" i="2" a="1"/>
  <c r="Q88" i="2" s="1"/>
  <c r="Q1406" i="2" a="1"/>
  <c r="Q1406" i="2" s="1"/>
  <c r="Q245" i="2" a="1"/>
  <c r="Q245" i="2" s="1"/>
  <c r="Q244" i="2" a="1"/>
  <c r="Q244" i="2" s="1"/>
  <c r="Q485" i="2" a="1"/>
  <c r="Q485" i="2" s="1"/>
  <c r="Q99" i="2" a="1"/>
  <c r="Q99" i="2" s="1"/>
  <c r="Q285" i="2" a="1"/>
  <c r="Q285" i="2" s="1"/>
  <c r="Q341" i="2" a="1"/>
  <c r="Q341" i="2" s="1"/>
  <c r="Q1631" i="2" a="1"/>
  <c r="Q1631" i="2" s="1"/>
  <c r="Q1079" i="2" a="1"/>
  <c r="Q1079" i="2" s="1"/>
  <c r="Q640" i="2" a="1"/>
  <c r="Q640" i="2" s="1"/>
  <c r="Q46" i="2" a="1"/>
  <c r="Q46" i="2" s="1"/>
  <c r="Q1681" i="2" a="1"/>
  <c r="Q1681" i="2" s="1"/>
  <c r="Q113" i="2" a="1"/>
  <c r="Q113" i="2" s="1"/>
  <c r="Q76" i="2" a="1"/>
  <c r="Q76" i="2" s="1"/>
  <c r="Q1693" i="2" a="1"/>
  <c r="Q1693" i="2" s="1"/>
  <c r="Q1419" i="2" a="1"/>
  <c r="Q1419" i="2" s="1"/>
  <c r="Q1039" i="2" a="1"/>
  <c r="Q1039" i="2" s="1"/>
  <c r="Q802" i="2" a="1"/>
  <c r="Q802" i="2" s="1"/>
  <c r="Q486" i="2" a="1"/>
  <c r="Q486" i="2" s="1"/>
  <c r="Q1672" i="2" a="1"/>
  <c r="Q1672" i="2" s="1"/>
  <c r="Q487" i="2" a="1"/>
  <c r="Q487" i="2" s="1"/>
  <c r="Q161" i="2" a="1"/>
  <c r="Q161" i="2" s="1"/>
  <c r="Q497" i="2" a="1"/>
  <c r="Q497" i="2" s="1"/>
  <c r="Q1416" i="2" a="1"/>
  <c r="Q1416" i="2" s="1"/>
  <c r="Q19" i="2" a="1"/>
  <c r="Q19" i="2" s="1"/>
  <c r="Q379" i="2" a="1"/>
  <c r="Q379" i="2" s="1"/>
  <c r="Q73" i="2" a="1"/>
  <c r="Q73" i="2" s="1"/>
  <c r="Q74" i="2" a="1"/>
  <c r="Q74" i="2" s="1"/>
  <c r="Q1721" i="2" a="1"/>
  <c r="Q1721" i="2" s="1"/>
  <c r="Q724" i="2" a="1"/>
  <c r="Q724" i="2" s="1"/>
  <c r="Q463" i="2" a="1"/>
  <c r="Q463" i="2" s="1"/>
  <c r="Q388" i="2" a="1"/>
  <c r="Q388" i="2" s="1"/>
  <c r="Q396" i="2" a="1"/>
  <c r="Q396" i="2" s="1"/>
  <c r="Q5" i="2" a="1"/>
  <c r="Q5" i="2" s="1"/>
  <c r="Q14" i="2" a="1"/>
  <c r="Q14" i="2" s="1"/>
  <c r="Q1542" i="2" a="1"/>
  <c r="Q1542" i="2" s="1"/>
  <c r="Q361" i="2" a="1"/>
  <c r="Q361" i="2" s="1"/>
  <c r="Q34" i="2" a="1"/>
  <c r="Q34" i="2" s="1"/>
  <c r="Q503" i="2" a="1"/>
  <c r="Q503" i="2" s="1"/>
  <c r="Q248" i="2" a="1"/>
  <c r="Q248" i="2" s="1"/>
  <c r="Q30" i="2" a="1"/>
  <c r="Q30" i="2" s="1"/>
  <c r="Q121" i="2" a="1"/>
  <c r="Q121" i="2" s="1"/>
  <c r="Q18" i="2" a="1"/>
  <c r="Q18" i="2" s="1"/>
  <c r="Q653" i="2" a="1"/>
  <c r="Q653" i="2" s="1"/>
  <c r="Q1438" i="2" a="1"/>
  <c r="Q1438" i="2" s="1"/>
  <c r="Q398" i="2" a="1"/>
  <c r="Q398" i="2" s="1"/>
  <c r="Q1658" i="2" a="1"/>
  <c r="Q1658" i="2" s="1"/>
  <c r="Q768" i="2" a="1"/>
  <c r="Q768" i="2" s="1"/>
  <c r="Q105" i="2" a="1"/>
  <c r="Q105" i="2" s="1"/>
  <c r="Q127" i="2" a="1"/>
  <c r="Q127" i="2" s="1"/>
  <c r="Q498" i="2" a="1"/>
  <c r="Q498" i="2" s="1"/>
  <c r="Q916" i="2" a="1"/>
  <c r="Q916" i="2" s="1"/>
  <c r="Q1086" i="2" a="1"/>
  <c r="Q1086" i="2" s="1"/>
  <c r="Q464" i="2" a="1"/>
  <c r="Q464" i="2" s="1"/>
  <c r="Q380" i="2" a="1"/>
  <c r="Q380" i="2" s="1"/>
  <c r="Q22" i="2" a="1"/>
  <c r="Q22" i="2" s="1"/>
  <c r="Q930" i="2" a="1"/>
  <c r="Q930" i="2" s="1"/>
  <c r="Q625" i="2" a="1"/>
  <c r="Q625" i="2" s="1"/>
  <c r="Q465" i="2" a="1"/>
  <c r="Q465" i="2" s="1"/>
  <c r="Q156" i="2" a="1"/>
  <c r="Q156" i="2" s="1"/>
  <c r="Q174" i="2" a="1"/>
  <c r="Q174" i="2" s="1"/>
  <c r="Q98" i="2" a="1"/>
  <c r="Q98" i="2" s="1"/>
  <c r="Q20" i="2" a="1"/>
  <c r="Q20" i="2" s="1"/>
  <c r="Q922" i="2" a="1"/>
  <c r="Q922" i="2" s="1"/>
  <c r="Q1454" i="2" a="1"/>
  <c r="Q1454" i="2" s="1"/>
  <c r="Q25" i="2" a="1"/>
  <c r="Q25" i="2" s="1"/>
  <c r="Q43" i="2" a="1"/>
  <c r="Q43" i="2" s="1"/>
  <c r="Q160" i="2" a="1"/>
  <c r="Q160" i="2" s="1"/>
  <c r="Q496" i="2" a="1"/>
  <c r="Q496" i="2" s="1"/>
  <c r="Q1701" i="2" a="1"/>
  <c r="Q1701" i="2" s="1"/>
  <c r="Q1107" i="2" a="1"/>
  <c r="Q1107" i="2" s="1"/>
  <c r="Q782" i="2" a="1"/>
  <c r="Q782" i="2" s="1"/>
  <c r="Q169" i="2" a="1"/>
  <c r="Q169" i="2" s="1"/>
  <c r="Q397" i="2" a="1"/>
  <c r="Q397" i="2" s="1"/>
  <c r="Q1034" i="2" a="1"/>
  <c r="Q1034" i="2" s="1"/>
  <c r="Q1378" i="2" a="1"/>
  <c r="Q1378" i="2" s="1"/>
  <c r="Q747" i="2" a="1"/>
  <c r="Q747" i="2" s="1"/>
  <c r="Q1375" i="2" a="1"/>
  <c r="Q1375" i="2" s="1"/>
  <c r="Q473" i="2" a="1"/>
  <c r="Q473" i="2" s="1"/>
  <c r="Q781" i="2" a="1"/>
  <c r="Q781" i="2" s="1"/>
  <c r="Q783" i="2" a="1"/>
  <c r="Q783" i="2" s="1"/>
  <c r="Q466" i="2" a="1"/>
  <c r="Q466" i="2" s="1"/>
  <c r="Q1611" i="2" a="1"/>
  <c r="Q1611" i="2" s="1"/>
  <c r="Q1618" i="2" a="1"/>
  <c r="Q1618" i="2" s="1"/>
  <c r="Q1606" i="2" a="1"/>
  <c r="Q1606" i="2" s="1"/>
  <c r="Q1619" i="2" a="1"/>
  <c r="Q1619" i="2" s="1"/>
  <c r="Q27" i="2" a="1"/>
  <c r="Q27" i="2" s="1"/>
  <c r="Q642" i="2" a="1"/>
  <c r="Q642" i="2" s="1"/>
  <c r="Q1535" i="2" a="1"/>
  <c r="Q1535" i="2" s="1"/>
  <c r="Q336" i="2" a="1"/>
  <c r="Q336" i="2" s="1"/>
  <c r="Q1201" i="2" a="1"/>
  <c r="Q1201" i="2" s="1"/>
  <c r="Q123" i="2" a="1"/>
  <c r="Q123" i="2" s="1"/>
  <c r="Q1384" i="2" a="1"/>
  <c r="Q1384" i="2" s="1"/>
  <c r="Q784" i="2" a="1"/>
  <c r="Q784" i="2" s="1"/>
  <c r="Q118" i="2" a="1"/>
  <c r="Q118" i="2" s="1"/>
  <c r="Q371" i="2" a="1"/>
  <c r="Q371" i="2" s="1"/>
  <c r="Q1088" i="2" a="1"/>
  <c r="Q1088" i="2" s="1"/>
  <c r="Q329" i="2" a="1"/>
  <c r="Q329" i="2" s="1"/>
  <c r="Q441" i="2" a="1"/>
  <c r="Q441" i="2" s="1"/>
  <c r="Q86" i="2" a="1"/>
  <c r="Q86" i="2" s="1"/>
  <c r="Q1455" i="2" a="1"/>
  <c r="Q1455" i="2" s="1"/>
  <c r="Q1692" i="2" a="1"/>
  <c r="Q1692" i="2" s="1"/>
  <c r="Q91" i="2" a="1"/>
  <c r="Q91" i="2" s="1"/>
  <c r="Q494" i="2" a="1"/>
  <c r="Q494" i="2" s="1"/>
  <c r="Q1590" i="2" a="1"/>
  <c r="Q1590" i="2" s="1"/>
  <c r="Q1553" i="2" a="1"/>
  <c r="Q1553" i="2" s="1"/>
  <c r="Q1570" i="2" a="1"/>
  <c r="Q1570" i="2" s="1"/>
  <c r="Q1554" i="2" a="1"/>
  <c r="Q1554" i="2" s="1"/>
  <c r="Q731" i="2" a="1"/>
  <c r="Q731" i="2" s="1"/>
  <c r="Q28" i="2" a="1"/>
  <c r="Q28" i="2" s="1"/>
  <c r="Q467" i="2" a="1"/>
  <c r="Q467" i="2" s="1"/>
  <c r="Q1555" i="2" a="1"/>
  <c r="Q1555" i="2" s="1"/>
  <c r="Q1659" i="2" a="1"/>
  <c r="Q1659" i="2" s="1"/>
  <c r="Q785" i="2" a="1"/>
  <c r="Q785" i="2" s="1"/>
  <c r="Q1724" i="2" a="1"/>
  <c r="Q1724" i="2" s="1"/>
  <c r="Q157" i="2" a="1"/>
  <c r="Q157" i="2" s="1"/>
  <c r="Q1439" i="2" a="1"/>
  <c r="Q1439" i="2" s="1"/>
  <c r="Q1359" i="2" a="1"/>
  <c r="Q1359" i="2" s="1"/>
  <c r="Q1033" i="2" a="1"/>
  <c r="Q1033" i="2" s="1"/>
  <c r="Q749" i="2" a="1"/>
  <c r="Q749" i="2" s="1"/>
  <c r="Q357" i="2" a="1"/>
  <c r="Q357" i="2" s="1"/>
  <c r="Q48" i="2" a="1"/>
  <c r="Q48" i="2" s="1"/>
  <c r="Q958" i="2" a="1"/>
  <c r="Q958" i="2" s="1"/>
  <c r="Q75" i="2" a="1"/>
  <c r="Q75" i="2" s="1"/>
  <c r="Q270" i="2" a="1"/>
  <c r="Q270" i="2" s="1"/>
  <c r="Q468" i="2" a="1"/>
  <c r="Q468" i="2" s="1"/>
  <c r="Q370" i="2" a="1"/>
  <c r="Q370" i="2" s="1"/>
  <c r="Q41" i="2" a="1"/>
  <c r="Q41" i="2" s="1"/>
  <c r="Q925" i="2" a="1"/>
  <c r="Q925" i="2" s="1"/>
  <c r="Q410" i="2" a="1"/>
  <c r="Q410" i="2" s="1"/>
  <c r="Q1089" i="2" a="1"/>
  <c r="Q1089" i="2" s="1"/>
  <c r="Q1532" i="2" a="1"/>
  <c r="Q1532" i="2" s="1"/>
  <c r="Q375" i="2" a="1"/>
  <c r="Q375" i="2" s="1"/>
  <c r="Q216" i="2" a="1"/>
  <c r="Q216" i="2" s="1"/>
  <c r="Q444" i="2" a="1"/>
  <c r="Q444" i="2" s="1"/>
  <c r="Q265" i="2" a="1"/>
  <c r="Q265" i="2" s="1"/>
  <c r="Q748" i="2" a="1"/>
  <c r="Q748" i="2" s="1"/>
  <c r="Q1556" i="2" a="1"/>
  <c r="Q1556" i="2" s="1"/>
  <c r="Q1087" i="2" a="1"/>
  <c r="Q1087" i="2" s="1"/>
  <c r="Q1612" i="2" a="1"/>
  <c r="Q1612" i="2" s="1"/>
  <c r="Q1407" i="2" a="1"/>
  <c r="Q1407" i="2" s="1"/>
  <c r="Q3" i="2" a="1"/>
  <c r="Q3" i="2" s="1"/>
  <c r="Q1580" i="2" a="1"/>
  <c r="Q1580" i="2" s="1"/>
  <c r="Q1607" i="2" a="1"/>
  <c r="Q1607" i="2" s="1"/>
  <c r="Q1519" i="2" a="1"/>
  <c r="Q1519" i="2" s="1"/>
  <c r="Q100" i="2" a="1"/>
  <c r="Q100" i="2" s="1"/>
  <c r="Q1583" i="2" a="1"/>
  <c r="Q1583" i="2" s="1"/>
  <c r="Q758" i="2" a="1"/>
  <c r="Q758" i="2" s="1"/>
  <c r="Q1660" i="2" a="1"/>
  <c r="Q1660" i="2" s="1"/>
  <c r="Q1053" i="2" a="1"/>
  <c r="Q1053" i="2" s="1"/>
  <c r="Q68" i="2" a="1"/>
  <c r="Q68" i="2" s="1"/>
  <c r="Q277" i="2" a="1"/>
  <c r="Q277" i="2" s="1"/>
  <c r="Q1594" i="2" a="1"/>
  <c r="Q1594" i="2" s="1"/>
  <c r="Q1591" i="2" a="1"/>
  <c r="Q1591" i="2" s="1"/>
  <c r="Q1108" i="2" a="1"/>
  <c r="Q1108" i="2" s="1"/>
  <c r="Q769" i="2" a="1"/>
  <c r="Q769" i="2" s="1"/>
  <c r="Q760" i="2" a="1"/>
  <c r="Q760" i="2" s="1"/>
  <c r="Q1376" i="2" a="1"/>
  <c r="Q1376" i="2" s="1"/>
  <c r="Q469" i="2" a="1"/>
  <c r="Q469" i="2" s="1"/>
  <c r="Q1091" i="2" a="1"/>
  <c r="Q1091" i="2" s="1"/>
  <c r="Q1373" i="2" a="1"/>
  <c r="Q1373" i="2" s="1"/>
  <c r="Q1090" i="2" a="1"/>
  <c r="Q1090" i="2" s="1"/>
  <c r="Q750" i="2" a="1"/>
  <c r="Q750" i="2" s="1"/>
  <c r="Q751" i="2" a="1"/>
  <c r="Q751" i="2" s="1"/>
  <c r="Q1377" i="2" a="1"/>
  <c r="Q1377" i="2" s="1"/>
  <c r="Q1421" i="2" a="1"/>
  <c r="Q1421" i="2" s="1"/>
  <c r="Q654" i="2" a="1"/>
  <c r="Q654" i="2" s="1"/>
  <c r="Q1093" i="2" a="1"/>
  <c r="Q1093" i="2" s="1"/>
  <c r="Q1049" i="2" a="1"/>
  <c r="Q1049" i="2" s="1"/>
  <c r="Q1651" i="2" a="1"/>
  <c r="Q1651" i="2" s="1"/>
  <c r="Q106" i="2" a="1"/>
  <c r="Q106" i="2" s="1"/>
  <c r="Q349" i="2" a="1"/>
  <c r="Q349" i="2" s="1"/>
  <c r="Q59" i="2" a="1"/>
  <c r="Q59" i="2" s="1"/>
  <c r="Q33" i="2" a="1"/>
  <c r="Q33" i="2" s="1"/>
  <c r="Q1415" i="2" a="1"/>
  <c r="Q1415" i="2" s="1"/>
  <c r="Q727" i="2" a="1"/>
  <c r="Q727" i="2" s="1"/>
  <c r="Q1050" i="2" a="1"/>
  <c r="Q1050" i="2" s="1"/>
  <c r="Q1092" i="2" a="1"/>
  <c r="Q1092" i="2" s="1"/>
  <c r="Q162" i="2" a="1"/>
  <c r="Q162" i="2" s="1"/>
  <c r="Q324" i="2" a="1"/>
  <c r="Q324" i="2" s="1"/>
  <c r="Q1417" i="2" a="1"/>
  <c r="Q1417" i="2" s="1"/>
  <c r="Q452" i="2" a="1"/>
  <c r="Q452" i="2" s="1"/>
  <c r="Q290" i="2" a="1"/>
  <c r="Q290" i="2" s="1"/>
  <c r="Q313" i="2" a="1"/>
  <c r="Q313" i="2" s="1"/>
  <c r="Q633" i="2" a="1"/>
  <c r="Q633" i="2" s="1"/>
  <c r="Q224" i="2" a="1"/>
  <c r="Q224" i="2" s="1"/>
  <c r="Q1675" i="2" a="1"/>
  <c r="Q1675" i="2" s="1"/>
  <c r="Q771" i="2" a="1"/>
  <c r="Q771" i="2" s="1"/>
  <c r="Q921" i="2" a="1"/>
  <c r="Q921" i="2" s="1"/>
  <c r="Q278" i="2" a="1"/>
  <c r="Q278" i="2" s="1"/>
  <c r="Q271" i="2" a="1"/>
  <c r="Q271" i="2" s="1"/>
  <c r="Q418" i="2" a="1"/>
  <c r="Q418" i="2" s="1"/>
  <c r="Q40" i="2" a="1"/>
  <c r="Q40" i="2" s="1"/>
  <c r="Q79" i="2" a="1"/>
  <c r="Q79" i="2" s="1"/>
  <c r="Q368" i="2" a="1"/>
  <c r="Q368" i="2" s="1"/>
  <c r="Q395" i="2" a="1"/>
  <c r="Q395" i="2" s="1"/>
  <c r="Q283" i="2" a="1"/>
  <c r="Q283" i="2" s="1"/>
  <c r="Q258" i="2" a="1"/>
  <c r="Q258" i="2" s="1"/>
  <c r="Q414" i="2" a="1"/>
  <c r="Q414" i="2" s="1"/>
  <c r="Q175" i="2" a="1"/>
  <c r="Q175" i="2" s="1"/>
  <c r="Q1574" i="2" a="1"/>
  <c r="Q1574" i="2" s="1"/>
  <c r="Q144" i="2" a="1"/>
  <c r="Q144" i="2" s="1"/>
  <c r="Q95" i="2" a="1"/>
  <c r="Q95" i="2" s="1"/>
  <c r="Q1581" i="2" a="1"/>
  <c r="Q1581" i="2" s="1"/>
  <c r="Q490" i="2" a="1"/>
  <c r="Q490" i="2" s="1"/>
  <c r="Q135" i="2" a="1"/>
  <c r="Q135" i="2" s="1"/>
  <c r="Q56" i="2" a="1"/>
  <c r="Q56" i="2" s="1"/>
  <c r="Q935" i="2" a="1"/>
  <c r="Q935" i="2" s="1"/>
  <c r="Q728" i="2" a="1"/>
  <c r="Q728" i="2" s="1"/>
  <c r="Q273" i="2" a="1"/>
  <c r="Q273" i="2" s="1"/>
  <c r="Q425" i="2" a="1"/>
  <c r="Q425" i="2" s="1"/>
  <c r="Q428" i="2" a="1"/>
  <c r="Q428" i="2" s="1"/>
  <c r="Q693" i="2" a="1"/>
  <c r="Q693" i="2" s="1"/>
  <c r="Q726" i="2" a="1"/>
  <c r="Q726" i="2" s="1"/>
  <c r="Q237" i="2" a="1"/>
  <c r="Q237" i="2" s="1"/>
  <c r="Q652" i="2" a="1"/>
  <c r="Q652" i="2" s="1"/>
  <c r="Q934" i="2" a="1"/>
  <c r="Q934" i="2" s="1"/>
  <c r="Q436" i="2" a="1"/>
  <c r="Q436" i="2" s="1"/>
  <c r="Q786" i="2" a="1"/>
  <c r="Q786" i="2" s="1"/>
  <c r="Q416" i="2" a="1"/>
  <c r="Q416" i="2" s="1"/>
  <c r="Q259" i="2" a="1"/>
  <c r="Q259" i="2" s="1"/>
  <c r="Q276" i="2" a="1"/>
  <c r="Q276" i="2" s="1"/>
  <c r="Q305" i="2" a="1"/>
  <c r="Q305" i="2" s="1"/>
  <c r="Q1730" i="2" a="1"/>
  <c r="Q1730" i="2" s="1"/>
  <c r="Q1109" i="2" a="1"/>
  <c r="Q1109" i="2" s="1"/>
  <c r="Q42" i="2" a="1"/>
  <c r="Q42" i="2" s="1"/>
  <c r="Q1443" i="2" a="1"/>
  <c r="Q1443" i="2" s="1"/>
  <c r="Q770" i="2" a="1"/>
  <c r="Q770" i="2" s="1"/>
  <c r="Q57" i="2" a="1"/>
  <c r="Q57" i="2" s="1"/>
  <c r="Q752" i="2" a="1"/>
  <c r="Q752" i="2" s="1"/>
  <c r="Q1652" i="2" a="1"/>
  <c r="Q1652" i="2" s="1"/>
  <c r="Q272" i="2" a="1"/>
  <c r="Q272" i="2" s="1"/>
  <c r="Q119" i="2" a="1"/>
  <c r="Q119" i="2" s="1"/>
  <c r="Q247" i="2" a="1"/>
  <c r="Q247" i="2" s="1"/>
  <c r="Q481" i="2" a="1"/>
  <c r="Q481" i="2" s="1"/>
  <c r="Q767" i="2" a="1"/>
  <c r="Q767" i="2" s="1"/>
  <c r="Q1702" i="2" a="1"/>
  <c r="Q1702" i="2" s="1"/>
  <c r="Q1632" i="2" a="1"/>
  <c r="Q1632" i="2" s="1"/>
  <c r="Q482" i="2" a="1"/>
  <c r="Q482" i="2" s="1"/>
  <c r="Q87" i="2" a="1"/>
  <c r="Q87" i="2" s="1"/>
  <c r="Q262" i="2" a="1"/>
  <c r="Q262" i="2" s="1"/>
  <c r="Q1653" i="2" a="1"/>
  <c r="Q1653" i="2" s="1"/>
  <c r="Q393" i="2" a="1"/>
  <c r="Q393" i="2" s="1"/>
  <c r="Q1735" i="2" a="1"/>
  <c r="Q1735" i="2" s="1"/>
  <c r="Q1412" i="2" a="1"/>
  <c r="Q1412" i="2" s="1"/>
  <c r="Q17" i="2" a="1"/>
  <c r="Q17" i="2" s="1"/>
  <c r="Q288" i="2" a="1"/>
  <c r="Q288" i="2" s="1"/>
  <c r="Q61" i="2" a="1"/>
  <c r="Q61" i="2" s="1"/>
  <c r="Q351" i="2" a="1"/>
  <c r="Q351" i="2" s="1"/>
  <c r="Q180" i="2" a="1"/>
  <c r="Q180" i="2" s="1"/>
  <c r="Q287" i="2" a="1"/>
  <c r="Q287" i="2" s="1"/>
  <c r="Q753" i="2" a="1"/>
  <c r="Q753" i="2" s="1"/>
  <c r="Q198" i="2" a="1"/>
  <c r="Q198" i="2" s="1"/>
  <c r="Q729" i="2" a="1"/>
  <c r="Q729" i="2" s="1"/>
  <c r="Q145" i="2" a="1"/>
  <c r="Q145" i="2" s="1"/>
  <c r="Q92" i="2" a="1"/>
  <c r="Q92" i="2" s="1"/>
  <c r="Q759" i="2" a="1"/>
  <c r="Q759" i="2" s="1"/>
  <c r="Q151" i="2" a="1"/>
  <c r="Q151" i="2" s="1"/>
  <c r="Q58" i="2" a="1"/>
  <c r="Q58" i="2" s="1"/>
  <c r="Q641" i="2" a="1"/>
  <c r="Q641" i="2" s="1"/>
  <c r="Q632" i="2" a="1"/>
  <c r="Q632" i="2" s="1"/>
  <c r="Q21" i="2" a="1"/>
  <c r="Q21" i="2" s="1"/>
  <c r="Q402" i="2" a="1"/>
  <c r="Q402" i="2" s="1"/>
  <c r="Q82" i="2" a="1"/>
  <c r="Q82" i="2" s="1"/>
  <c r="Q924" i="2" a="1"/>
  <c r="Q924" i="2" s="1"/>
  <c r="Q757" i="2" a="1"/>
  <c r="Q757" i="2" s="1"/>
  <c r="Q207" i="2" a="1"/>
  <c r="Q207" i="2" s="1"/>
  <c r="Q1456" i="2" a="1"/>
  <c r="Q1456" i="2" s="1"/>
  <c r="Q1575" i="2" a="1"/>
  <c r="Q1575" i="2" s="1"/>
  <c r="Q292" i="2" a="1"/>
  <c r="Q292" i="2" s="1"/>
  <c r="Q1633" i="2" a="1"/>
  <c r="Q1633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2" i="2"/>
  <c r="A1713" i="2"/>
  <c r="A1714" i="2"/>
  <c r="A1715" i="2"/>
  <c r="A1716" i="2"/>
  <c r="A1717" i="2"/>
  <c r="A1718" i="2"/>
  <c r="A1704" i="2"/>
  <c r="A1705" i="2"/>
  <c r="A1706" i="2"/>
  <c r="A1707" i="2"/>
  <c r="A1708" i="2"/>
  <c r="A1709" i="2"/>
  <c r="A1710" i="2"/>
  <c r="A1711" i="2"/>
  <c r="A1703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516" i="2"/>
  <c r="W1518" i="2"/>
  <c r="W1593" i="2"/>
  <c r="W319" i="2"/>
  <c r="W1517" i="2"/>
  <c r="W1519" i="2"/>
  <c r="W1520" i="2"/>
  <c r="W1594" i="2"/>
  <c r="W1543" i="2"/>
  <c r="W1595" i="2"/>
  <c r="W1671" i="2"/>
  <c r="W1608" i="2"/>
  <c r="W1571" i="2"/>
  <c r="W1572" i="2"/>
  <c r="W1536" i="2"/>
  <c r="W1521" i="2"/>
  <c r="W1584" i="2"/>
  <c r="W1559" i="2"/>
  <c r="W1537" i="2"/>
  <c r="W1576" i="2"/>
  <c r="W1538" i="2"/>
  <c r="W1560" i="2"/>
  <c r="W1561" i="2"/>
  <c r="W1663" i="2"/>
  <c r="W1636" i="2"/>
  <c r="W1613" i="2"/>
  <c r="W1654" i="2"/>
  <c r="W1614" i="2"/>
  <c r="W1637" i="2"/>
  <c r="W1638" i="2"/>
  <c r="W1615" i="2"/>
  <c r="W1596" i="2"/>
  <c r="W1522" i="2"/>
  <c r="W1577" i="2"/>
  <c r="W1655" i="2"/>
  <c r="W1597" i="2"/>
  <c r="W1620" i="2"/>
  <c r="W1621" i="2"/>
  <c r="W1664" i="2"/>
  <c r="W1665" i="2"/>
  <c r="W1622" i="2"/>
  <c r="W1562" i="2"/>
  <c r="W1639" i="2"/>
  <c r="W1666" i="2"/>
  <c r="W1623" i="2"/>
  <c r="W1661" i="2"/>
  <c r="W1533" i="2"/>
  <c r="W424" i="2"/>
  <c r="W1544" i="2"/>
  <c r="W1523" i="2"/>
  <c r="W1539" i="2"/>
  <c r="W1545" i="2"/>
  <c r="W1656" i="2"/>
  <c r="W1624" i="2"/>
  <c r="W1634" i="2"/>
  <c r="W1563" i="2"/>
  <c r="W1564" i="2"/>
  <c r="W1557" i="2"/>
  <c r="W1546" i="2"/>
  <c r="W1616" i="2"/>
  <c r="W415" i="2"/>
  <c r="W1585" i="2"/>
  <c r="W1573" i="2"/>
  <c r="W1598" i="2"/>
  <c r="W1640" i="2"/>
  <c r="W1540" i="2"/>
  <c r="W1599" i="2"/>
  <c r="W1547" i="2"/>
  <c r="W1586" i="2"/>
  <c r="W1587" i="2"/>
  <c r="W1588" i="2"/>
  <c r="W1524" i="2"/>
  <c r="W1625" i="2"/>
  <c r="W1641" i="2"/>
  <c r="W1642" i="2"/>
  <c r="W1609" i="2"/>
  <c r="W1643" i="2"/>
  <c r="W1578" i="2"/>
  <c r="W1626" i="2"/>
  <c r="W1548" i="2"/>
  <c r="W1582" i="2"/>
  <c r="W1549" i="2"/>
  <c r="W1541" i="2"/>
  <c r="W1534" i="2"/>
  <c r="W1644" i="2"/>
  <c r="W1565" i="2"/>
  <c r="W1589" i="2"/>
  <c r="W1667" i="2"/>
  <c r="W1668" i="2"/>
  <c r="W1649" i="2"/>
  <c r="W1657" i="2"/>
  <c r="W1662" i="2"/>
  <c r="W1600" i="2"/>
  <c r="W1601" i="2"/>
  <c r="W1610" i="2"/>
  <c r="W1627" i="2"/>
  <c r="W1525" i="2"/>
  <c r="W1645" i="2"/>
  <c r="W1566" i="2"/>
  <c r="W1602" i="2"/>
  <c r="W1617" i="2"/>
  <c r="W1603" i="2"/>
  <c r="W1650" i="2"/>
  <c r="W1526" i="2"/>
  <c r="W1669" i="2"/>
  <c r="W1628" i="2"/>
  <c r="W1646" i="2"/>
  <c r="W1629" i="2"/>
  <c r="W1635" i="2"/>
  <c r="W1558" i="2"/>
  <c r="W1647" i="2"/>
  <c r="W431" i="2"/>
  <c r="W1604" i="2"/>
  <c r="W1592" i="2"/>
  <c r="W423" i="2"/>
  <c r="W69" i="2"/>
  <c r="W70" i="2"/>
  <c r="W1527" i="2"/>
  <c r="W1579" i="2"/>
  <c r="W1670" i="2"/>
  <c r="W1567" i="2"/>
  <c r="W1568" i="2"/>
  <c r="W1528" i="2"/>
  <c r="W421" i="2"/>
  <c r="W1529" i="2"/>
  <c r="W1605" i="2"/>
  <c r="W1630" i="2"/>
  <c r="W1550" i="2"/>
  <c r="W1551" i="2"/>
  <c r="W1530" i="2"/>
  <c r="W1648" i="2"/>
  <c r="W1569" i="2"/>
  <c r="W1552" i="2"/>
  <c r="W430" i="2"/>
  <c r="W1531" i="2"/>
  <c r="W1631" i="2"/>
  <c r="W1542" i="2"/>
  <c r="W1658" i="2"/>
  <c r="W1611" i="2"/>
  <c r="W1618" i="2"/>
  <c r="W1606" i="2"/>
  <c r="W1619" i="2"/>
  <c r="W1535" i="2"/>
  <c r="W1590" i="2"/>
  <c r="W1553" i="2"/>
  <c r="W1570" i="2"/>
  <c r="W1554" i="2"/>
  <c r="W1555" i="2"/>
  <c r="W1659" i="2"/>
  <c r="W1532" i="2"/>
  <c r="W1556" i="2"/>
  <c r="W1612" i="2"/>
  <c r="W1580" i="2"/>
  <c r="W1607" i="2"/>
  <c r="W1583" i="2"/>
  <c r="W1660" i="2"/>
  <c r="W1591" i="2"/>
  <c r="W1651" i="2"/>
  <c r="W1574" i="2"/>
  <c r="W1581" i="2"/>
  <c r="W1652" i="2"/>
  <c r="W1632" i="2"/>
  <c r="W1653" i="2"/>
  <c r="W1575" i="2"/>
  <c r="W1633" i="2"/>
  <c r="O6" i="4" l="1" a="1"/>
  <c r="O6" i="4" s="1"/>
  <c r="A1025" i="2"/>
  <c r="A1024" i="2"/>
  <c r="A1023" i="2"/>
  <c r="A1022" i="2"/>
  <c r="A1021" i="2"/>
  <c r="A1020" i="2"/>
  <c r="A1018" i="2"/>
  <c r="A951" i="2"/>
  <c r="K5" i="4" l="1" a="1"/>
  <c r="A1519" i="2"/>
  <c r="A1424" i="2"/>
  <c r="A1444" i="2"/>
  <c r="A762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13" i="2"/>
  <c r="A14" i="2"/>
  <c r="A15" i="2"/>
  <c r="A16" i="2"/>
  <c r="A17" i="2"/>
  <c r="A19" i="2"/>
  <c r="A20" i="2"/>
  <c r="A21" i="2"/>
  <c r="A22" i="2"/>
  <c r="A24" i="2"/>
  <c r="A25" i="2"/>
  <c r="A26" i="2"/>
  <c r="A28" i="2"/>
  <c r="A29" i="2"/>
  <c r="A30" i="2"/>
  <c r="A31" i="2"/>
  <c r="A33" i="2"/>
  <c r="A34" i="2"/>
  <c r="A35" i="2"/>
  <c r="A36" i="2"/>
  <c r="A38" i="2"/>
  <c r="A39" i="2"/>
  <c r="A40" i="2"/>
  <c r="A41" i="2"/>
  <c r="A42" i="2"/>
  <c r="A43" i="2"/>
  <c r="A44" i="2"/>
  <c r="A45" i="2"/>
  <c r="A47" i="2"/>
  <c r="A48" i="2"/>
  <c r="A49" i="2"/>
  <c r="A50" i="2"/>
  <c r="A51" i="2"/>
  <c r="A52" i="2"/>
  <c r="A53" i="2"/>
  <c r="A54" i="2"/>
  <c r="A55" i="2"/>
  <c r="A56" i="2"/>
  <c r="A57" i="2"/>
  <c r="A59" i="2"/>
  <c r="A60" i="2"/>
  <c r="A62" i="2"/>
  <c r="A63" i="2"/>
  <c r="A64" i="2"/>
  <c r="A65" i="2"/>
  <c r="A66" i="2"/>
  <c r="A67" i="2"/>
  <c r="A68" i="2"/>
  <c r="A71" i="2"/>
  <c r="A72" i="2"/>
  <c r="A73" i="2"/>
  <c r="A74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100" i="2"/>
  <c r="A101" i="2"/>
  <c r="A102" i="2"/>
  <c r="A104" i="2"/>
  <c r="A105" i="2"/>
  <c r="A106" i="2"/>
  <c r="A107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122" i="2"/>
  <c r="A123" i="2"/>
  <c r="A125" i="2"/>
  <c r="A126" i="2"/>
  <c r="A127" i="2"/>
  <c r="A128" i="2"/>
  <c r="A129" i="2"/>
  <c r="A130" i="2"/>
  <c r="A131" i="2"/>
  <c r="A132" i="2"/>
  <c r="A133" i="2"/>
  <c r="A134" i="2"/>
  <c r="A136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2" i="2"/>
  <c r="A193" i="2"/>
  <c r="A194" i="2"/>
  <c r="A196" i="2"/>
  <c r="A197" i="2"/>
  <c r="A199" i="2"/>
  <c r="A200" i="2"/>
  <c r="A201" i="2"/>
  <c r="A204" i="2"/>
  <c r="A207" i="2"/>
  <c r="A209" i="2"/>
  <c r="A211" i="2"/>
  <c r="A212" i="2"/>
  <c r="A213" i="2"/>
  <c r="A216" i="2"/>
  <c r="A217" i="2"/>
  <c r="A219" i="2"/>
  <c r="A221" i="2"/>
  <c r="A222" i="2"/>
  <c r="A223" i="2"/>
  <c r="A224" i="2"/>
  <c r="A225" i="2"/>
  <c r="A227" i="2"/>
  <c r="A228" i="2"/>
  <c r="A229" i="2"/>
  <c r="A230" i="2"/>
  <c r="A231" i="2"/>
  <c r="A233" i="2"/>
  <c r="A234" i="2"/>
  <c r="A235" i="2"/>
  <c r="A236" i="2"/>
  <c r="A237" i="2"/>
  <c r="A238" i="2"/>
  <c r="A240" i="2"/>
  <c r="A242" i="2"/>
  <c r="A243" i="2"/>
  <c r="A244" i="2"/>
  <c r="A245" i="2"/>
  <c r="A246" i="2"/>
  <c r="A247" i="2"/>
  <c r="A248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1" i="2"/>
  <c r="A282" i="2"/>
  <c r="A283" i="2"/>
  <c r="A285" i="2"/>
  <c r="A286" i="2"/>
  <c r="A288" i="2"/>
  <c r="A289" i="2"/>
  <c r="A290" i="2"/>
  <c r="A291" i="2"/>
  <c r="A292" i="2"/>
  <c r="A294" i="2"/>
  <c r="A295" i="2"/>
  <c r="A296" i="2"/>
  <c r="A297" i="2"/>
  <c r="A298" i="2"/>
  <c r="A300" i="2"/>
  <c r="A302" i="2"/>
  <c r="A304" i="2"/>
  <c r="A305" i="2"/>
  <c r="A307" i="2"/>
  <c r="A308" i="2"/>
  <c r="A309" i="2"/>
  <c r="A310" i="2"/>
  <c r="A311" i="2"/>
  <c r="A312" i="2"/>
  <c r="A313" i="2"/>
  <c r="A314" i="2"/>
  <c r="A316" i="2"/>
  <c r="A320" i="2"/>
  <c r="A321" i="2"/>
  <c r="A322" i="2"/>
  <c r="A323" i="2"/>
  <c r="A324" i="2"/>
  <c r="A326" i="2"/>
  <c r="A327" i="2"/>
  <c r="A330" i="2"/>
  <c r="A331" i="2"/>
  <c r="A332" i="2"/>
  <c r="A333" i="2"/>
  <c r="A334" i="2"/>
  <c r="A335" i="2"/>
  <c r="A336" i="2"/>
  <c r="A337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6" i="2"/>
  <c r="A357" i="2"/>
  <c r="A358" i="2"/>
  <c r="A359" i="2"/>
  <c r="A360" i="2"/>
  <c r="A361" i="2"/>
  <c r="A362" i="2"/>
  <c r="A363" i="2"/>
  <c r="A364" i="2"/>
  <c r="A366" i="2"/>
  <c r="A367" i="2"/>
  <c r="A369" i="2"/>
  <c r="A370" i="2"/>
  <c r="A371" i="2"/>
  <c r="A372" i="2"/>
  <c r="A373" i="2"/>
  <c r="A374" i="2"/>
  <c r="A375" i="2"/>
  <c r="A376" i="2"/>
  <c r="A377" i="2"/>
  <c r="A378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6" i="2"/>
  <c r="A417" i="2"/>
  <c r="A418" i="2"/>
  <c r="A419" i="2"/>
  <c r="A420" i="2"/>
  <c r="A421" i="2"/>
  <c r="A422" i="2"/>
  <c r="A425" i="2"/>
  <c r="A426" i="2"/>
  <c r="A427" i="2"/>
  <c r="A428" i="2"/>
  <c r="A429" i="2"/>
  <c r="A432" i="2"/>
  <c r="A434" i="2"/>
  <c r="A435" i="2"/>
  <c r="A436" i="2"/>
  <c r="A437" i="2"/>
  <c r="A438" i="2"/>
  <c r="A439" i="2"/>
  <c r="A440" i="2"/>
  <c r="A442" i="2"/>
  <c r="A443" i="2"/>
  <c r="A444" i="2"/>
  <c r="A446" i="2"/>
  <c r="A447" i="2"/>
  <c r="A448" i="2"/>
  <c r="A449" i="2"/>
  <c r="A450" i="2"/>
  <c r="A11" i="2"/>
  <c r="A10" i="2"/>
  <c r="A9" i="2"/>
  <c r="A8" i="2"/>
  <c r="A7" i="2"/>
  <c r="A5" i="2"/>
  <c r="A4" i="2"/>
  <c r="A3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35" i="2"/>
  <c r="A249" i="2"/>
  <c r="A1031" i="2"/>
  <c r="A226" i="2"/>
  <c r="A218" i="2"/>
  <c r="A214" i="2"/>
  <c r="A202" i="2"/>
  <c r="A198" i="2"/>
  <c r="A280" i="2"/>
  <c r="A1032" i="2"/>
  <c r="A1236" i="2"/>
  <c r="A1227" i="2"/>
  <c r="A1225" i="2"/>
  <c r="A1235" i="2"/>
  <c r="A220" i="2"/>
  <c r="A809" i="2"/>
  <c r="A810" i="2"/>
  <c r="A811" i="2"/>
  <c r="A812" i="2"/>
  <c r="A813" i="2"/>
  <c r="A814" i="2"/>
  <c r="A815" i="2"/>
  <c r="A816" i="2"/>
  <c r="A817" i="2"/>
  <c r="A818" i="2"/>
  <c r="A819" i="2"/>
  <c r="A903" i="2"/>
  <c r="A904" i="2"/>
  <c r="A905" i="2"/>
  <c r="A906" i="2"/>
  <c r="A907" i="2"/>
  <c r="A908" i="2"/>
  <c r="A910" i="2"/>
  <c r="A1306" i="2"/>
  <c r="A1734" i="2"/>
  <c r="A1732" i="2"/>
  <c r="A1742" i="2"/>
  <c r="A1731" i="2"/>
  <c r="C5" i="16"/>
  <c r="A734" i="2"/>
  <c r="A658" i="2"/>
  <c r="A205" i="2"/>
  <c r="A315" i="2"/>
  <c r="A1058" i="2"/>
  <c r="A499" i="2"/>
  <c r="A643" i="2"/>
  <c r="A1379" i="2"/>
  <c r="A488" i="2"/>
  <c r="A1043" i="2"/>
  <c r="A1368" i="2"/>
  <c r="A489" i="2"/>
  <c r="A1512" i="2"/>
  <c r="A502" i="2"/>
  <c r="A1511" i="2"/>
  <c r="A103" i="2"/>
  <c r="A441" i="2"/>
  <c r="A656" i="2"/>
  <c r="A500" i="2"/>
  <c r="A1733" i="2"/>
  <c r="A32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232" i="2"/>
  <c r="A1222" i="2"/>
  <c r="A137" i="2"/>
  <c r="A265" i="2"/>
  <c r="A23" i="2"/>
  <c r="A1223" i="2"/>
  <c r="A1320" i="2"/>
  <c r="A1321" i="2"/>
  <c r="A1322" i="2"/>
  <c r="A1323" i="2"/>
  <c r="A1324" i="2"/>
  <c r="A1325" i="2"/>
  <c r="A1326" i="2"/>
  <c r="A1327" i="2"/>
  <c r="A1328" i="2"/>
  <c r="A1329" i="2"/>
  <c r="A1330" i="2"/>
  <c r="A1238" i="2"/>
  <c r="A1239" i="2"/>
  <c r="A1240" i="2"/>
  <c r="A1241" i="2"/>
  <c r="A1242" i="2"/>
  <c r="A1243" i="2"/>
  <c r="A1244" i="2"/>
  <c r="A1245" i="2"/>
  <c r="A1247" i="2"/>
  <c r="A1229" i="2"/>
  <c r="A1230" i="2"/>
  <c r="A1231" i="2"/>
  <c r="A1232" i="2"/>
  <c r="A1233" i="2"/>
  <c r="A1234" i="2"/>
  <c r="A1237" i="2"/>
  <c r="A1358" i="2"/>
  <c r="A1360" i="2"/>
  <c r="A1362" i="2"/>
  <c r="A1363" i="2"/>
  <c r="A1364" i="2"/>
  <c r="A306" i="2"/>
  <c r="A1365" i="2"/>
  <c r="A1331" i="2"/>
  <c r="A1332" i="2"/>
  <c r="A1333" i="2"/>
  <c r="A1334" i="2"/>
  <c r="A1335" i="2"/>
  <c r="A1336" i="2"/>
  <c r="A1337" i="2"/>
  <c r="A1338" i="2"/>
  <c r="A1339" i="2"/>
  <c r="A1341" i="2"/>
  <c r="A1342" i="2"/>
  <c r="A1346" i="2"/>
  <c r="A1204" i="2"/>
  <c r="A1205" i="2"/>
  <c r="A1206" i="2"/>
  <c r="A1207" i="2"/>
  <c r="A1208" i="2"/>
  <c r="A1209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83" i="2"/>
  <c r="A1127" i="2"/>
  <c r="A1131" i="2"/>
  <c r="A1132" i="2"/>
  <c r="A1133" i="2"/>
  <c r="A113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11" i="2"/>
  <c r="A1212" i="2"/>
  <c r="A1213" i="2"/>
  <c r="A1214" i="2"/>
  <c r="A1215" i="2"/>
  <c r="A1216" i="2"/>
  <c r="A1217" i="2"/>
  <c r="A1219" i="2"/>
  <c r="A1220" i="2"/>
  <c r="A1221" i="2"/>
  <c r="A1193" i="2"/>
  <c r="A1194" i="2"/>
  <c r="A1196" i="2"/>
  <c r="A1197" i="2"/>
  <c r="A1198" i="2"/>
  <c r="A1199" i="2"/>
  <c r="A1200" i="2"/>
  <c r="A1201" i="2"/>
  <c r="A1202" i="2"/>
  <c r="A1203" i="2"/>
  <c r="A1297" i="2"/>
  <c r="A1298" i="2"/>
  <c r="A1299" i="2"/>
  <c r="A1300" i="2"/>
  <c r="A1301" i="2"/>
  <c r="A1302" i="2"/>
  <c r="A1303" i="2"/>
  <c r="A1304" i="2"/>
  <c r="A1305" i="2"/>
  <c r="A1345" i="2"/>
  <c r="A1307" i="2"/>
  <c r="A1308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181" i="2"/>
  <c r="A1182" i="2"/>
  <c r="A1126" i="2"/>
  <c r="A1184" i="2"/>
  <c r="A1185" i="2"/>
  <c r="A1186" i="2"/>
  <c r="A1188" i="2"/>
  <c r="A1187" i="2"/>
  <c r="A1190" i="2"/>
  <c r="A1189" i="2"/>
  <c r="A1191" i="2"/>
  <c r="A1192" i="2"/>
  <c r="A1147" i="2"/>
  <c r="A1148" i="2"/>
  <c r="A1149" i="2"/>
  <c r="A1150" i="2"/>
  <c r="A1151" i="2"/>
  <c r="A1152" i="2"/>
  <c r="A1153" i="2"/>
  <c r="A1154" i="2"/>
  <c r="A1155" i="2"/>
  <c r="A1156" i="2"/>
  <c r="A1309" i="2"/>
  <c r="A1310" i="2"/>
  <c r="A1311" i="2"/>
  <c r="A1312" i="2"/>
  <c r="A1313" i="2"/>
  <c r="A1314" i="2"/>
  <c r="A1315" i="2"/>
  <c r="A1316" i="2"/>
  <c r="A1317" i="2"/>
  <c r="A1318" i="2"/>
  <c r="A1319" i="2"/>
  <c r="A1347" i="2"/>
  <c r="A1348" i="2"/>
  <c r="A1349" i="2"/>
  <c r="A1350" i="2"/>
  <c r="A1351" i="2"/>
  <c r="A1352" i="2"/>
  <c r="A1353" i="2"/>
  <c r="A1354" i="2"/>
  <c r="A1355" i="2"/>
  <c r="A1356" i="2"/>
  <c r="A1275" i="2"/>
  <c r="A1276" i="2"/>
  <c r="A1277" i="2"/>
  <c r="A1278" i="2"/>
  <c r="A1279" i="2"/>
  <c r="A1280" i="2"/>
  <c r="A1281" i="2"/>
  <c r="A1282" i="2"/>
  <c r="A1283" i="2"/>
  <c r="A1284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224" i="2"/>
  <c r="A1226" i="2"/>
  <c r="A1228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611" i="2"/>
  <c r="A612" i="2"/>
  <c r="A613" i="2"/>
  <c r="A615" i="2"/>
  <c r="A616" i="2"/>
  <c r="A617" i="2"/>
  <c r="A618" i="2"/>
  <c r="A619" i="2"/>
  <c r="A620" i="2"/>
  <c r="A621" i="2"/>
  <c r="A622" i="2"/>
  <c r="A623" i="2"/>
  <c r="A504" i="2"/>
  <c r="A505" i="2"/>
  <c r="A506" i="2"/>
  <c r="A507" i="2"/>
  <c r="A508" i="2"/>
  <c r="A510" i="2"/>
  <c r="A511" i="2"/>
  <c r="A512" i="2"/>
  <c r="A513" i="2"/>
  <c r="A514" i="2"/>
  <c r="A515" i="2"/>
  <c r="A516" i="2"/>
  <c r="A517" i="2"/>
  <c r="A518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1676" i="2"/>
  <c r="A1679" i="2"/>
  <c r="A1682" i="2"/>
  <c r="A1688" i="2"/>
  <c r="A1689" i="2"/>
  <c r="A1690" i="2"/>
  <c r="A1691" i="2"/>
  <c r="A1694" i="2"/>
  <c r="A1695" i="2"/>
  <c r="A1696" i="2"/>
  <c r="A1697" i="2"/>
  <c r="A1473" i="2"/>
  <c r="A1474" i="2"/>
  <c r="A1475" i="2"/>
  <c r="A1476" i="2"/>
  <c r="A1477" i="2"/>
  <c r="A1478" i="2"/>
  <c r="A1479" i="2"/>
  <c r="A1480" i="2"/>
  <c r="A1481" i="2"/>
  <c r="A1482" i="2"/>
  <c r="A1483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484" i="2"/>
  <c r="A1485" i="2"/>
  <c r="A1486" i="2"/>
  <c r="A1487" i="2"/>
  <c r="A1488" i="2"/>
  <c r="A1489" i="2"/>
  <c r="A1490" i="2"/>
  <c r="A1491" i="2"/>
  <c r="A1492" i="2"/>
  <c r="A1493" i="2"/>
  <c r="A1494" i="2"/>
  <c r="A1017" i="2"/>
  <c r="A956" i="2"/>
  <c r="A1013" i="2"/>
  <c r="A937" i="2"/>
  <c r="A966" i="2"/>
  <c r="A1012" i="2"/>
  <c r="A960" i="2"/>
  <c r="A940" i="2"/>
  <c r="A1009" i="2"/>
  <c r="A1003" i="2"/>
  <c r="A1011" i="2"/>
  <c r="A939" i="2"/>
  <c r="A970" i="2"/>
  <c r="A1029" i="2"/>
  <c r="A995" i="2"/>
  <c r="A959" i="2"/>
  <c r="A945" i="2"/>
  <c r="A1007" i="2"/>
  <c r="A948" i="2"/>
  <c r="A998" i="2"/>
  <c r="A955" i="2"/>
  <c r="A1026" i="2"/>
  <c r="A1008" i="2"/>
  <c r="A1019" i="2"/>
  <c r="A944" i="2"/>
  <c r="A946" i="2"/>
  <c r="A1015" i="2"/>
  <c r="A1027" i="2"/>
  <c r="A964" i="2"/>
  <c r="A978" i="2"/>
  <c r="A1030" i="2"/>
  <c r="A950" i="2"/>
  <c r="A1006" i="2"/>
  <c r="A962" i="2"/>
  <c r="A1028" i="2"/>
  <c r="A1016" i="2"/>
  <c r="A994" i="2"/>
  <c r="A949" i="2"/>
  <c r="A976" i="2"/>
  <c r="A1000" i="2"/>
  <c r="A942" i="2"/>
  <c r="A953" i="2"/>
  <c r="A952" i="2"/>
  <c r="A1002" i="2"/>
  <c r="A973" i="2"/>
  <c r="A1005" i="2"/>
  <c r="A938" i="2"/>
  <c r="A936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65" i="2"/>
  <c r="A941" i="2"/>
  <c r="A943" i="2"/>
  <c r="A1001" i="2"/>
  <c r="A961" i="2"/>
  <c r="A972" i="2"/>
  <c r="A968" i="2"/>
  <c r="A977" i="2"/>
  <c r="A1004" i="2"/>
  <c r="A971" i="2"/>
  <c r="A963" i="2"/>
  <c r="A997" i="2"/>
  <c r="A1014" i="2"/>
  <c r="A975" i="2"/>
  <c r="A954" i="2"/>
  <c r="A967" i="2"/>
  <c r="A974" i="2"/>
  <c r="A969" i="2"/>
  <c r="A996" i="2"/>
  <c r="A947" i="2"/>
  <c r="A1010" i="2"/>
  <c r="A798" i="2"/>
  <c r="A800" i="2"/>
  <c r="A801" i="2"/>
  <c r="A803" i="2"/>
  <c r="A804" i="2"/>
  <c r="A909" i="2"/>
  <c r="A805" i="2"/>
  <c r="A807" i="2"/>
  <c r="A842" i="2"/>
  <c r="A843" i="2"/>
  <c r="A845" i="2"/>
  <c r="A848" i="2"/>
  <c r="A849" i="2"/>
  <c r="A850" i="2"/>
  <c r="A851" i="2"/>
  <c r="A855" i="2"/>
  <c r="A857" i="2"/>
  <c r="A858" i="2"/>
  <c r="A859" i="2"/>
  <c r="A860" i="2"/>
  <c r="A861" i="2"/>
  <c r="A862" i="2"/>
  <c r="A911" i="2"/>
  <c r="A912" i="2"/>
  <c r="A913" i="2"/>
  <c r="A914" i="2"/>
  <c r="A915" i="2"/>
  <c r="A18" i="2"/>
  <c r="A37" i="2"/>
  <c r="A870" i="2"/>
  <c r="A871" i="2"/>
  <c r="A872" i="2"/>
  <c r="A873" i="2"/>
  <c r="A874" i="2"/>
  <c r="A875" i="2"/>
  <c r="A876" i="2"/>
  <c r="A877" i="2"/>
  <c r="A878" i="2"/>
  <c r="A879" i="2"/>
  <c r="A863" i="2"/>
  <c r="A864" i="2"/>
  <c r="A865" i="2"/>
  <c r="A866" i="2"/>
  <c r="A867" i="2"/>
  <c r="A868" i="2"/>
  <c r="A86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7" i="2"/>
  <c r="A836" i="2"/>
  <c r="A838" i="2"/>
  <c r="A839" i="2"/>
  <c r="A840" i="2"/>
  <c r="A902" i="2"/>
  <c r="A919" i="2"/>
  <c r="A808" i="2"/>
  <c r="A1565" i="2"/>
  <c r="A474" i="2"/>
  <c r="A759" i="2"/>
  <c r="A654" i="2"/>
  <c r="A653" i="2"/>
  <c r="A731" i="2"/>
  <c r="A758" i="2"/>
  <c r="A757" i="2"/>
  <c r="A471" i="2"/>
  <c r="A472" i="2"/>
  <c r="A755" i="2"/>
  <c r="A756" i="2"/>
  <c r="A206" i="2"/>
  <c r="A473" i="2"/>
  <c r="A1386" i="2"/>
  <c r="A730" i="2"/>
  <c r="A1456" i="2"/>
  <c r="A729" i="2"/>
  <c r="A754" i="2"/>
  <c r="A728" i="2"/>
  <c r="A652" i="2"/>
  <c r="A753" i="2"/>
  <c r="A794" i="2"/>
  <c r="A1050" i="2"/>
  <c r="A1443" i="2"/>
  <c r="A1415" i="2"/>
  <c r="A771" i="2"/>
  <c r="A921" i="2"/>
  <c r="A786" i="2"/>
  <c r="A1108" i="2"/>
  <c r="A1376" i="2"/>
  <c r="A1033" i="2"/>
  <c r="A1373" i="2"/>
  <c r="A1090" i="2"/>
  <c r="A1439" i="2"/>
  <c r="A725" i="2"/>
  <c r="A1053" i="2"/>
  <c r="A785" i="2"/>
  <c r="A784" i="2"/>
  <c r="A1724" i="2"/>
  <c r="A783" i="2"/>
  <c r="A1107" i="2"/>
  <c r="A466" i="2"/>
  <c r="A930" i="2"/>
  <c r="A931" i="2"/>
  <c r="A625" i="2"/>
  <c r="A1086" i="2"/>
  <c r="A724" i="2"/>
  <c r="A1375" i="2"/>
  <c r="A782" i="2"/>
  <c r="A916" i="2"/>
  <c r="A1406" i="2"/>
  <c r="A1454" i="2"/>
  <c r="A1438" i="2"/>
  <c r="A1195" i="2"/>
  <c r="A793" i="2"/>
  <c r="A1723" i="2"/>
  <c r="A1389" i="2"/>
  <c r="A796" i="2"/>
  <c r="A1106" i="2"/>
  <c r="A1063" i="2"/>
  <c r="A1083" i="2"/>
  <c r="A640" i="2"/>
  <c r="A924" i="2"/>
  <c r="A1404" i="2"/>
  <c r="A792" i="2"/>
  <c r="A791" i="2"/>
  <c r="A638" i="2"/>
  <c r="A1372" i="2"/>
  <c r="A1099" i="2"/>
  <c r="A721" i="2"/>
  <c r="A1517" i="2"/>
  <c r="A1450" i="2"/>
  <c r="A1414" i="2"/>
  <c r="A1722" i="2"/>
  <c r="A1081" i="2"/>
  <c r="A720" i="2"/>
  <c r="A459" i="2"/>
  <c r="A649" i="2"/>
  <c r="A624" i="2"/>
  <c r="A645" i="2"/>
  <c r="A1080" i="2"/>
  <c r="A1449" i="2"/>
  <c r="A1434" i="2"/>
  <c r="A1729" i="2"/>
  <c r="A719" i="2"/>
  <c r="A1442" i="2"/>
  <c r="A718" i="2"/>
  <c r="A745" i="2"/>
  <c r="A854" i="2"/>
  <c r="A1433" i="2"/>
  <c r="A1095" i="2"/>
  <c r="A716" i="2"/>
  <c r="A1402" i="2"/>
  <c r="A717" i="2"/>
  <c r="A1423" i="2"/>
  <c r="A1401" i="2"/>
  <c r="A1673" i="2"/>
  <c r="A1103" i="2"/>
  <c r="A1098" i="2"/>
  <c r="A1104" i="2"/>
  <c r="A714" i="2"/>
  <c r="A1432" i="2"/>
  <c r="A1102" i="2"/>
  <c r="A1054" i="2"/>
  <c r="A790" i="2"/>
  <c r="A742" i="2"/>
  <c r="A929" i="2"/>
  <c r="A458" i="2"/>
  <c r="A1076" i="2"/>
  <c r="A712" i="2"/>
  <c r="A1369" i="2"/>
  <c r="A1074" i="2"/>
  <c r="A457" i="2"/>
  <c r="A1097" i="2"/>
  <c r="A647" i="2"/>
  <c r="A637" i="2"/>
  <c r="A741" i="2"/>
  <c r="A1437" i="2"/>
  <c r="A1073" i="2"/>
  <c r="A456" i="2"/>
  <c r="A900" i="2"/>
  <c r="A739" i="2"/>
  <c r="A1072" i="2"/>
  <c r="A841" i="2"/>
  <c r="A920" i="2"/>
  <c r="A1744" i="2"/>
  <c r="A710" i="2"/>
  <c r="A646" i="2"/>
  <c r="A738" i="2"/>
  <c r="A1399" i="2"/>
  <c r="A778" i="2"/>
  <c r="A1448" i="2"/>
  <c r="A1398" i="2"/>
  <c r="A1388" i="2"/>
  <c r="A696" i="2"/>
  <c r="A709" i="2"/>
  <c r="A708" i="2"/>
  <c r="A1041" i="2"/>
  <c r="A737" i="2"/>
  <c r="A1726" i="2"/>
  <c r="A1068" i="2"/>
  <c r="A926" i="2"/>
  <c r="A1447" i="2"/>
  <c r="A1396" i="2"/>
  <c r="A1441" i="2"/>
  <c r="A655" i="2"/>
  <c r="A789" i="2"/>
  <c r="A1413" i="2"/>
  <c r="A1446" i="2"/>
  <c r="A703" i="2"/>
  <c r="A636" i="2"/>
  <c r="A704" i="2"/>
  <c r="A705" i="2"/>
  <c r="A1387" i="2"/>
  <c r="A928" i="2"/>
  <c r="A1374" i="2"/>
  <c r="A1046" i="2"/>
  <c r="A927" i="2"/>
  <c r="A700" i="2"/>
  <c r="A1067" i="2"/>
  <c r="A1445" i="2"/>
  <c r="A1394" i="2"/>
  <c r="A628" i="2"/>
  <c r="A695" i="2"/>
  <c r="A844" i="2"/>
  <c r="A1393" i="2"/>
  <c r="A1096" i="2"/>
  <c r="A1391" i="2"/>
  <c r="A1435" i="2"/>
  <c r="A626" i="2"/>
  <c r="A1436" i="2"/>
  <c r="A918" i="2"/>
  <c r="A1370" i="2"/>
  <c r="A3" i="29" l="1" a="1"/>
  <c r="K5" i="4"/>
  <c r="Q6" i="4" a="1"/>
  <c r="Q6" i="4" s="1"/>
  <c r="Q8" i="4" s="1"/>
  <c r="A3" i="29" l="1"/>
  <c r="P1390" i="2" s="1" a="1"/>
  <c r="P1390" i="2" s="1"/>
  <c r="P692" i="2" a="1"/>
  <c r="P692" i="2" s="1"/>
  <c r="P1127" i="2" a="1"/>
  <c r="P1127" i="2" s="1"/>
  <c r="P1162" i="2" a="1"/>
  <c r="P1162" i="2" s="1"/>
  <c r="P1495" i="2" a="1"/>
  <c r="P1495" i="2" s="1"/>
  <c r="P844" i="2" a="1"/>
  <c r="P844" i="2" s="1"/>
  <c r="P190" i="2" a="1"/>
  <c r="P190" i="2" s="1"/>
  <c r="P787" i="2" a="1"/>
  <c r="P787" i="2" s="1"/>
  <c r="P801" i="2" a="1"/>
  <c r="P801" i="2" s="1"/>
  <c r="P702" i="2" a="1"/>
  <c r="P702" i="2" s="1"/>
  <c r="P794" i="2" a="1"/>
  <c r="P794" i="2" s="1"/>
  <c r="P1374" i="2" a="1"/>
  <c r="P1374" i="2" s="1"/>
  <c r="P549" i="2" a="1"/>
  <c r="P549" i="2" s="1"/>
  <c r="P268" i="2" a="1"/>
  <c r="P268" i="2" s="1"/>
  <c r="P704" i="2" a="1"/>
  <c r="P704" i="2" s="1"/>
  <c r="P1396" i="2" a="1"/>
  <c r="P1396" i="2" s="1"/>
  <c r="P926" i="2" a="1"/>
  <c r="P926" i="2" s="1"/>
  <c r="P1139" i="2" a="1"/>
  <c r="P1139" i="2" s="1"/>
  <c r="P337" i="2" a="1"/>
  <c r="P337" i="2" s="1"/>
  <c r="P1332" i="2" a="1"/>
  <c r="P1332" i="2" s="1"/>
  <c r="P1210" i="2" a="1"/>
  <c r="P1210" i="2" s="1"/>
  <c r="P62" i="2" a="1"/>
  <c r="P62" i="2" s="1"/>
  <c r="P774" i="2" a="1"/>
  <c r="P774" i="2" s="1"/>
  <c r="P1076" i="2" a="1"/>
  <c r="P1076" i="2" s="1"/>
  <c r="P333" i="2" a="1"/>
  <c r="P333" i="2" s="1"/>
  <c r="P1422" i="2" a="1"/>
  <c r="P1422" i="2" s="1"/>
  <c r="P120" i="2" a="1"/>
  <c r="P120" i="2" s="1"/>
  <c r="P403" i="2" a="1"/>
  <c r="P403" i="2" s="1"/>
  <c r="P962" i="2" a="1"/>
  <c r="P962" i="2" s="1"/>
  <c r="P250" i="2" a="1"/>
  <c r="P250" i="2" s="1"/>
  <c r="P50" i="2" a="1"/>
  <c r="P50" i="2" s="1"/>
  <c r="P1211" i="2" a="1"/>
  <c r="P1211" i="2" s="1"/>
  <c r="P373" i="2" a="1"/>
  <c r="P373" i="2" s="1"/>
  <c r="P544" i="2" a="1"/>
  <c r="P544" i="2" s="1"/>
  <c r="P1105" i="2" a="1"/>
  <c r="P1105" i="2" s="1"/>
  <c r="P450" i="2" a="1"/>
  <c r="P450" i="2" s="1"/>
  <c r="P952" i="2" a="1"/>
  <c r="P952" i="2" s="1"/>
  <c r="P1164" i="2" a="1"/>
  <c r="P1164" i="2" s="1"/>
  <c r="P987" i="2" a="1"/>
  <c r="P987" i="2" s="1"/>
  <c r="P822" i="2" a="1"/>
  <c r="P822" i="2" s="1"/>
  <c r="P943" i="2" a="1"/>
  <c r="P943" i="2" s="1"/>
  <c r="P1405" i="2" a="1"/>
  <c r="P1405" i="2" s="1"/>
  <c r="P1301" i="2" a="1"/>
  <c r="P1301" i="2" s="1"/>
  <c r="P1085" i="2" a="1"/>
  <c r="P1085" i="2" s="1"/>
  <c r="P201" i="2" a="1"/>
  <c r="P201" i="2" s="1"/>
  <c r="P584" i="2" a="1"/>
  <c r="P584" i="2" s="1"/>
  <c r="P1065" i="2" a="1"/>
  <c r="P1065" i="2" s="1"/>
  <c r="P1185" i="2" a="1"/>
  <c r="P1185" i="2" s="1"/>
  <c r="P315" i="2" a="1"/>
  <c r="P315" i="2" s="1"/>
  <c r="P803" i="2" a="1"/>
  <c r="P803" i="2" s="1"/>
  <c r="P383" i="2" a="1"/>
  <c r="P383" i="2" s="1"/>
  <c r="P364" i="2" a="1"/>
  <c r="P364" i="2" s="1"/>
  <c r="P621" i="2" a="1"/>
  <c r="P621" i="2" s="1"/>
  <c r="P1489" i="2" a="1"/>
  <c r="P1489" i="2" s="1"/>
  <c r="P881" i="2" a="1"/>
  <c r="P881" i="2" s="1"/>
  <c r="P195" i="2" a="1"/>
  <c r="P195" i="2" s="1"/>
  <c r="P1268" i="2" a="1"/>
  <c r="P1268" i="2" s="1"/>
  <c r="P1285" i="2" a="1"/>
  <c r="P1285" i="2" s="1"/>
  <c r="P595" i="2" a="1"/>
  <c r="P595" i="2" s="1"/>
  <c r="P562" i="2" a="1"/>
  <c r="P562" i="2" s="1"/>
  <c r="P629" i="2" a="1"/>
  <c r="P629" i="2" s="1"/>
  <c r="P149" i="2" a="1"/>
  <c r="P149" i="2" s="1"/>
  <c r="P896" i="2" a="1"/>
  <c r="P896" i="2" s="1"/>
  <c r="P948" i="2" a="1"/>
  <c r="P948" i="2" s="1"/>
  <c r="P1203" i="2" a="1"/>
  <c r="P1203" i="2" s="1"/>
  <c r="P898" i="2" a="1"/>
  <c r="P898" i="2" s="1"/>
  <c r="P630" i="2" a="1"/>
  <c r="P630" i="2" s="1"/>
  <c r="P879" i="2" a="1"/>
  <c r="P879" i="2" s="1"/>
  <c r="P147" i="2" a="1"/>
  <c r="P147" i="2" s="1"/>
  <c r="P865" i="2" a="1"/>
  <c r="P865" i="2" s="1"/>
  <c r="P644" i="2" a="1"/>
  <c r="P644" i="2" s="1"/>
  <c r="P548" i="2" a="1"/>
  <c r="P548" i="2" s="1"/>
  <c r="P458" i="2" a="1"/>
  <c r="P458" i="2" s="1"/>
  <c r="P582" i="2" a="1"/>
  <c r="P582" i="2" s="1"/>
  <c r="P1144" i="2" a="1"/>
  <c r="P1144" i="2" s="1"/>
  <c r="P1300" i="2" a="1"/>
  <c r="P1300" i="2" s="1"/>
  <c r="P492" i="2" a="1"/>
  <c r="P492" i="2" s="1"/>
  <c r="P1477" i="2" a="1"/>
  <c r="P1477" i="2" s="1"/>
  <c r="P1329" i="2" a="1"/>
  <c r="P1329" i="2" s="1"/>
  <c r="P1472" i="2" a="1"/>
  <c r="P1472" i="2" s="1"/>
  <c r="P1261" i="2" a="1"/>
  <c r="P1261" i="2" s="1"/>
  <c r="P1206" i="2" a="1"/>
  <c r="P1206" i="2" s="1"/>
  <c r="P478" i="2" a="1"/>
  <c r="P478" i="2" s="1"/>
  <c r="P1299" i="2" a="1"/>
  <c r="P1299" i="2" s="1"/>
  <c r="P1237" i="2" a="1"/>
  <c r="P1237" i="2" s="1"/>
  <c r="P1100" i="2" a="1"/>
  <c r="P1100" i="2" s="1"/>
  <c r="P664" i="2" a="1"/>
  <c r="P664" i="2" s="1"/>
  <c r="P792" i="2" a="1"/>
  <c r="P792" i="2" s="1"/>
  <c r="P1719" i="2" a="1"/>
  <c r="P1719" i="2" s="1"/>
  <c r="P800" i="2" a="1"/>
  <c r="P800" i="2" s="1"/>
  <c r="P883" i="2" a="1"/>
  <c r="P883" i="2" s="1"/>
  <c r="P1143" i="2" a="1"/>
  <c r="P1143" i="2" s="1"/>
  <c r="P179" i="2" a="1"/>
  <c r="P179" i="2" s="1"/>
  <c r="P1038" i="2" a="1"/>
  <c r="P1038" i="2" s="1"/>
  <c r="P1352" i="2" a="1"/>
  <c r="P1352" i="2" s="1"/>
  <c r="P1137" i="2" a="1"/>
  <c r="P1137" i="2" s="1"/>
  <c r="P807" i="2" a="1"/>
  <c r="P807" i="2" s="1"/>
  <c r="P331" i="2" a="1"/>
  <c r="P331" i="2" s="1"/>
  <c r="P1003" i="2" a="1"/>
  <c r="P1003" i="2" s="1"/>
  <c r="P634" i="2" a="1"/>
  <c r="P634" i="2" s="1"/>
  <c r="P1387" i="2" a="1"/>
  <c r="P1387" i="2" s="1"/>
  <c r="P754" i="2" a="1"/>
  <c r="P754" i="2" s="1"/>
  <c r="P939" i="2" a="1"/>
  <c r="P939" i="2" s="1"/>
  <c r="P995" i="2" a="1"/>
  <c r="P995" i="2" s="1"/>
  <c r="P872" i="2" a="1"/>
  <c r="P872" i="2" s="1"/>
  <c r="P483" i="2" a="1"/>
  <c r="P483" i="2" s="1"/>
  <c r="P815" i="2" a="1"/>
  <c r="P815" i="2" s="1"/>
  <c r="P438" i="2" a="1"/>
  <c r="P438" i="2" s="1"/>
  <c r="P420" i="2" a="1"/>
  <c r="P420" i="2" s="1"/>
  <c r="P711" i="2" a="1"/>
  <c r="P711" i="2" s="1"/>
  <c r="P167" i="2" a="1"/>
  <c r="P167" i="2" s="1"/>
  <c r="P1461" i="2" a="1"/>
  <c r="P1461" i="2" s="1"/>
  <c r="P1266" i="2" a="1"/>
  <c r="P1266" i="2" s="1"/>
  <c r="P1331" i="2" a="1"/>
  <c r="P1331" i="2" s="1"/>
  <c r="P1292" i="2" a="1"/>
  <c r="P1292" i="2" s="1"/>
  <c r="P359" i="2" a="1"/>
  <c r="P359" i="2" s="1"/>
  <c r="P64" i="2" a="1"/>
  <c r="P64" i="2" s="1"/>
  <c r="P1027" i="2" a="1"/>
  <c r="P1027" i="2" s="1"/>
  <c r="P1349" i="2" a="1"/>
  <c r="P1349" i="2" s="1"/>
  <c r="P606" i="2" a="1"/>
  <c r="P606" i="2" s="1"/>
  <c r="P716" i="2" a="1"/>
  <c r="P716" i="2" s="1"/>
  <c r="P1341" i="2" a="1"/>
  <c r="P1341" i="2" s="1"/>
  <c r="P861" i="2" a="1"/>
  <c r="P861" i="2" s="1"/>
  <c r="P66" i="2" a="1"/>
  <c r="P66" i="2" s="1"/>
  <c r="P932" i="2" a="1"/>
  <c r="P932" i="2" s="1"/>
  <c r="P953" i="2" a="1"/>
  <c r="P953" i="2" s="1"/>
  <c r="P603" i="2" a="1"/>
  <c r="P603" i="2" s="1"/>
  <c r="P228" i="2" a="1"/>
  <c r="P228" i="2" s="1"/>
  <c r="P1140" i="2" a="1"/>
  <c r="P1140" i="2" s="1"/>
  <c r="P340" i="2" a="1"/>
  <c r="P340" i="2" s="1"/>
  <c r="P37" i="2" a="1"/>
  <c r="P37" i="2" s="1"/>
  <c r="P1199" i="2" a="1"/>
  <c r="P1199" i="2" s="1"/>
  <c r="P804" i="2" a="1"/>
  <c r="P804" i="2" s="1"/>
  <c r="P432" i="2" a="1"/>
  <c r="P432" i="2" s="1"/>
  <c r="P855" i="2" a="1"/>
  <c r="P855" i="2" s="1"/>
  <c r="P658" i="2" a="1"/>
  <c r="P658" i="2" s="1"/>
  <c r="P360" i="2" a="1"/>
  <c r="P360" i="2" s="1"/>
  <c r="P300" i="2" a="1"/>
  <c r="P300" i="2" s="1"/>
  <c r="P1504" i="2" a="1"/>
  <c r="P1504" i="2" s="1"/>
  <c r="P1367" i="2" a="1"/>
  <c r="P1367" i="2" s="1"/>
  <c r="P1058" i="2" a="1"/>
  <c r="P1058" i="2" s="1"/>
  <c r="P96" i="2" a="1"/>
  <c r="P96" i="2" s="1"/>
  <c r="P1371" i="2" a="1"/>
  <c r="P1371" i="2" s="1"/>
  <c r="P507" i="2" a="1"/>
  <c r="P507" i="2" s="1"/>
  <c r="P133" i="2" a="1"/>
  <c r="P133" i="2" s="1"/>
  <c r="P13" i="2" a="1"/>
  <c r="P13" i="2" s="1"/>
  <c r="P555" i="2" a="1"/>
  <c r="P555" i="2" s="1"/>
  <c r="P840" i="2" a="1"/>
  <c r="P840" i="2" s="1"/>
  <c r="P535" i="2" a="1"/>
  <c r="P535" i="2" s="1"/>
  <c r="P613" i="2" a="1"/>
  <c r="P613" i="2" s="1"/>
  <c r="P1418" i="2" a="1"/>
  <c r="P1418" i="2" s="1"/>
  <c r="P1287" i="2" a="1"/>
  <c r="P1287" i="2" s="1"/>
  <c r="P261" i="2" a="1"/>
  <c r="P261" i="2" s="1"/>
  <c r="P888" i="2" a="1"/>
  <c r="P888" i="2" s="1"/>
  <c r="P541" i="2" a="1"/>
  <c r="P541" i="2" s="1"/>
  <c r="P338" i="2" a="1"/>
  <c r="P338" i="2" s="1"/>
  <c r="P1225" i="2" a="1"/>
  <c r="P1225" i="2" s="1"/>
  <c r="P249" i="2" a="1"/>
  <c r="P249" i="2" s="1"/>
  <c r="P194" i="2" a="1"/>
  <c r="P194" i="2" s="1"/>
  <c r="P1284" i="2" a="1"/>
  <c r="P1284" i="2" s="1"/>
  <c r="P841" i="2" a="1"/>
  <c r="P841" i="2" s="1"/>
  <c r="P454" i="2" a="1"/>
  <c r="P454" i="2" s="1"/>
  <c r="P269" i="2" a="1"/>
  <c r="P269" i="2" s="1"/>
  <c r="P957" i="2" a="1"/>
  <c r="P957" i="2" s="1"/>
  <c r="P740" i="2" a="1"/>
  <c r="P740" i="2" s="1"/>
  <c r="P1192" i="2" a="1"/>
  <c r="P1192" i="2" s="1"/>
  <c r="P1048" i="2" a="1"/>
  <c r="P1048" i="2" s="1"/>
  <c r="P1186" i="2" a="1"/>
  <c r="P1186" i="2" s="1"/>
  <c r="P1015" i="2" a="1"/>
  <c r="P1015" i="2" s="1"/>
  <c r="P1689" i="2" a="1"/>
  <c r="P1689" i="2" s="1"/>
  <c r="P38" i="2" a="1"/>
  <c r="P38" i="2" s="1"/>
  <c r="P125" i="2" a="1"/>
  <c r="P125" i="2" s="1"/>
  <c r="P790" i="2" a="1"/>
  <c r="P790" i="2" s="1"/>
  <c r="P53" i="2" a="1"/>
  <c r="P53" i="2" s="1"/>
  <c r="P929" i="2" a="1"/>
  <c r="P929" i="2" s="1"/>
  <c r="P743" i="2" a="1"/>
  <c r="P743" i="2" s="1"/>
  <c r="P186" i="2" a="1"/>
  <c r="P186" i="2" s="1"/>
  <c r="P808" i="2" a="1"/>
  <c r="P808" i="2" s="1"/>
  <c r="P1138" i="2" a="1"/>
  <c r="P1138" i="2" s="1"/>
  <c r="P1006" i="2" a="1"/>
  <c r="P1006" i="2" s="1"/>
  <c r="P1249" i="2" a="1"/>
  <c r="P1249" i="2" s="1"/>
  <c r="P718" i="2" a="1"/>
  <c r="P718" i="2" s="1"/>
  <c r="P508" i="2" a="1"/>
  <c r="P508" i="2" s="1"/>
  <c r="P229" i="2" a="1"/>
  <c r="P229" i="2" s="1"/>
  <c r="P32" i="2" a="1"/>
  <c r="P32" i="2" s="1"/>
  <c r="P690" i="2" a="1"/>
  <c r="P690" i="2" s="1"/>
  <c r="P1259" i="2" a="1"/>
  <c r="P1259" i="2" s="1"/>
  <c r="P858" i="2" a="1"/>
  <c r="P858" i="2" s="1"/>
  <c r="P220" i="2" a="1"/>
  <c r="P220" i="2" s="1"/>
  <c r="P93" i="2" a="1"/>
  <c r="P93" i="2" s="1"/>
  <c r="P593" i="2" a="1"/>
  <c r="P593" i="2" s="1"/>
  <c r="P885" i="2" a="1"/>
  <c r="P885" i="2" s="1"/>
  <c r="P622" i="2" a="1"/>
  <c r="P622" i="2" s="1"/>
  <c r="P638" i="2" a="1"/>
  <c r="P638" i="2" s="1"/>
  <c r="P1470" i="2" a="1"/>
  <c r="P1470" i="2" s="1"/>
  <c r="P1459" i="2" a="1"/>
  <c r="P1459" i="2" s="1"/>
  <c r="P1153" i="2" a="1"/>
  <c r="P1153" i="2" s="1"/>
  <c r="P1001" i="2" a="1"/>
  <c r="P1001" i="2" s="1"/>
  <c r="P342" i="2" a="1"/>
  <c r="P342" i="2" s="1"/>
  <c r="P657" i="2" a="1"/>
  <c r="P657" i="2" s="1"/>
  <c r="P134" i="2" a="1"/>
  <c r="P134" i="2" s="1"/>
  <c r="P527" i="2" a="1"/>
  <c r="P527" i="2" s="1"/>
  <c r="P1465" i="2" a="1"/>
  <c r="P1465" i="2" s="1"/>
  <c r="P1017" i="2" a="1"/>
  <c r="P1017" i="2" s="1"/>
  <c r="P806" i="2" a="1"/>
  <c r="P806" i="2" s="1"/>
  <c r="P878" i="2" a="1"/>
  <c r="P878" i="2" s="1"/>
  <c r="P1481" i="2" a="1"/>
  <c r="P1481" i="2" s="1"/>
  <c r="P1130" i="2" a="1"/>
  <c r="P1130" i="2" s="1"/>
  <c r="P65" i="2" a="1"/>
  <c r="P65" i="2" s="1"/>
  <c r="P223" i="2" a="1"/>
  <c r="P223" i="2" s="1"/>
  <c r="P1288" i="2" a="1"/>
  <c r="P1288" i="2" s="1"/>
  <c r="P155" i="2" a="1"/>
  <c r="P155" i="2" s="1"/>
  <c r="P615" i="2" a="1"/>
  <c r="P615" i="2" s="1"/>
  <c r="P862" i="2" a="1"/>
  <c r="P862" i="2" s="1"/>
  <c r="P960" i="2" a="1"/>
  <c r="P960" i="2" s="1"/>
  <c r="P897" i="2" a="1"/>
  <c r="P897" i="2" s="1"/>
  <c r="P1189" i="2" a="1"/>
  <c r="P1189" i="2" s="1"/>
  <c r="P655" i="2" a="1"/>
  <c r="P655" i="2" s="1"/>
  <c r="P141" i="2" a="1"/>
  <c r="P141" i="2" s="1"/>
  <c r="P366" i="2" a="1"/>
  <c r="P366" i="2" s="1"/>
  <c r="P1311" i="2" a="1"/>
  <c r="P1311" i="2" s="1"/>
  <c r="P869" i="2" a="1"/>
  <c r="P869" i="2" s="1"/>
  <c r="P193" i="2" a="1"/>
  <c r="P193" i="2" s="1"/>
  <c r="P16" i="2" a="1"/>
  <c r="P16" i="2" s="1"/>
  <c r="P970" i="2" a="1"/>
  <c r="P970" i="2" s="1"/>
  <c r="P1260" i="2" a="1"/>
  <c r="P1260" i="2" s="1"/>
  <c r="P534" i="2" a="1"/>
  <c r="P534" i="2" s="1"/>
  <c r="P294" i="2" a="1"/>
  <c r="P294" i="2" s="1"/>
  <c r="P547" i="2" a="1"/>
  <c r="P547" i="2" s="1"/>
  <c r="P602" i="2" a="1"/>
  <c r="P602" i="2" s="1"/>
  <c r="P1258" i="2" a="1"/>
  <c r="P1258" i="2" s="1"/>
  <c r="P104" i="2" a="1"/>
  <c r="P104" i="2" s="1"/>
  <c r="P1399" i="2" a="1"/>
  <c r="P1399" i="2" s="1"/>
  <c r="P847" i="2" a="1"/>
  <c r="P847" i="2" s="1"/>
  <c r="P738" i="2" a="1"/>
  <c r="P738" i="2" s="1"/>
  <c r="P221" i="2" a="1"/>
  <c r="P221" i="2" s="1"/>
  <c r="P159" i="2" a="1"/>
  <c r="P159" i="2" s="1"/>
  <c r="P647" i="2" a="1"/>
  <c r="P647" i="2" s="1"/>
  <c r="P1120" i="2" a="1"/>
  <c r="P1120" i="2" s="1"/>
  <c r="P1314" i="2" a="1"/>
  <c r="P1314" i="2" s="1"/>
  <c r="P903" i="2" a="1"/>
  <c r="P903" i="2" s="1"/>
  <c r="P282" i="2" a="1"/>
  <c r="P282" i="2" s="1"/>
  <c r="P334" i="2" a="1"/>
  <c r="P334" i="2" s="1"/>
  <c r="P661" i="2" a="1"/>
  <c r="P661" i="2" s="1"/>
  <c r="P412" i="2" a="1"/>
  <c r="P412" i="2" s="1"/>
  <c r="P471" i="2" a="1"/>
  <c r="P471" i="2" s="1"/>
  <c r="P1673" i="2" a="1"/>
  <c r="P1673" i="2" s="1"/>
  <c r="P755" i="2" a="1"/>
  <c r="P755" i="2" s="1"/>
  <c r="P676" i="2" a="1"/>
  <c r="P676" i="2" s="1"/>
  <c r="P814" i="2" a="1"/>
  <c r="P814" i="2" s="1"/>
  <c r="P780" i="2" a="1"/>
  <c r="P780" i="2" s="1"/>
  <c r="P568" i="2" a="1"/>
  <c r="P568" i="2" s="1"/>
  <c r="P60" i="2" a="1"/>
  <c r="P60" i="2" s="1"/>
  <c r="P719" i="2" a="1"/>
  <c r="P719" i="2" s="1"/>
  <c r="P392" i="2" a="1"/>
  <c r="P392" i="2" s="1"/>
  <c r="P345" i="2" a="1"/>
  <c r="P345" i="2" s="1"/>
  <c r="P81" i="2" a="1"/>
  <c r="P81" i="2" s="1"/>
  <c r="P691" i="2" a="1"/>
  <c r="P691" i="2" s="1"/>
  <c r="P1216" i="2" a="1"/>
  <c r="P1216" i="2" s="1"/>
  <c r="P1479" i="2" a="1"/>
  <c r="P1479" i="2" s="1"/>
  <c r="P1040" i="2" a="1"/>
  <c r="P1040" i="2" s="1"/>
  <c r="P720" i="2" a="1"/>
  <c r="P720" i="2" s="1"/>
  <c r="P1490" i="2" a="1"/>
  <c r="P1490" i="2" s="1"/>
  <c r="P722" i="2" a="1"/>
  <c r="P722" i="2" s="1"/>
  <c r="P208" i="2" a="1"/>
  <c r="P208" i="2" s="1"/>
  <c r="P733" i="2" a="1"/>
  <c r="P733" i="2" s="1"/>
  <c r="P137" i="2" a="1"/>
  <c r="P137" i="2" s="1"/>
  <c r="P985" i="2" a="1"/>
  <c r="P985" i="2" s="1"/>
  <c r="P225" i="2" a="1"/>
  <c r="P225" i="2" s="1"/>
  <c r="P1159" i="2" a="1"/>
  <c r="P1159" i="2" s="1"/>
  <c r="P1276" i="2" a="1"/>
  <c r="P1276" i="2" s="1"/>
  <c r="P651" i="2" a="1"/>
  <c r="P651" i="2" s="1"/>
  <c r="P1503" i="2" a="1"/>
  <c r="P1503" i="2" s="1"/>
  <c r="P968" i="2" a="1"/>
  <c r="P968" i="2" s="1"/>
  <c r="P1021" i="2" a="1"/>
  <c r="P1021" i="2" s="1"/>
  <c r="P1101" i="2" a="1"/>
  <c r="P1101" i="2" s="1"/>
  <c r="P612" i="2" a="1"/>
  <c r="P612" i="2" s="1"/>
  <c r="P1391" i="2" a="1"/>
  <c r="P1391" i="2" s="1"/>
  <c r="P1428" i="2" a="1"/>
  <c r="P1428" i="2" s="1"/>
  <c r="P205" i="2" a="1"/>
  <c r="P205" i="2" s="1"/>
  <c r="P89" i="2" a="1"/>
  <c r="P89" i="2" s="1"/>
  <c r="P866" i="2" a="1"/>
  <c r="P866" i="2" s="1"/>
  <c r="P914" i="2" a="1"/>
  <c r="P914" i="2" s="1"/>
  <c r="P499" i="2" a="1"/>
  <c r="P499" i="2" s="1"/>
  <c r="P1045" i="2" a="1"/>
  <c r="P1045" i="2" s="1"/>
  <c r="P1466" i="2" a="1"/>
  <c r="P1466" i="2" s="1"/>
  <c r="P1698" i="2" a="1"/>
  <c r="P1698" i="2" s="1"/>
  <c r="P911" i="2" a="1"/>
  <c r="P911" i="2" s="1"/>
  <c r="P776" i="2" a="1"/>
  <c r="P776" i="2" s="1"/>
  <c r="P1310" i="2" a="1"/>
  <c r="P1310" i="2" s="1"/>
  <c r="P437" i="2" a="1"/>
  <c r="P437" i="2" s="1"/>
  <c r="P777" i="2" a="1"/>
  <c r="P777" i="2" s="1"/>
  <c r="P350" i="2" a="1"/>
  <c r="P350" i="2" s="1"/>
  <c r="P1446" i="2" a="1"/>
  <c r="P1446" i="2" s="1"/>
  <c r="P1141" i="2" a="1"/>
  <c r="P1141" i="2" s="1"/>
  <c r="P643" i="2" a="1"/>
  <c r="P643" i="2" s="1"/>
  <c r="P876" i="2" a="1"/>
  <c r="P876" i="2" s="1"/>
  <c r="P330" i="2" a="1"/>
  <c r="P330" i="2" s="1"/>
  <c r="P251" i="2" a="1"/>
  <c r="P251" i="2" s="1"/>
  <c r="P1502" i="2" a="1"/>
  <c r="P1502" i="2" s="1"/>
  <c r="P344" i="2" a="1"/>
  <c r="P344" i="2" s="1"/>
  <c r="P31" i="2" a="1"/>
  <c r="P31" i="2" s="1"/>
  <c r="P347" i="2" a="1"/>
  <c r="P347" i="2" s="1"/>
  <c r="P1070" i="2" a="1"/>
  <c r="P1070" i="2" s="1"/>
  <c r="P1007" i="2" a="1"/>
  <c r="P1007" i="2" s="1"/>
  <c r="P1744" i="2" a="1"/>
  <c r="P1744" i="2" s="1"/>
  <c r="P795" i="2" a="1"/>
  <c r="P795" i="2" s="1"/>
  <c r="P1031" i="2" a="1"/>
  <c r="P1031" i="2" s="1"/>
  <c r="P513" i="2" a="1"/>
  <c r="P513" i="2" s="1"/>
  <c r="P637" i="2" a="1"/>
  <c r="P637" i="2" s="1"/>
  <c r="P1487" i="2" a="1"/>
  <c r="P1487" i="2" s="1"/>
  <c r="P739" i="2" a="1"/>
  <c r="P739" i="2" s="1"/>
  <c r="P47" i="2" a="1"/>
  <c r="P47" i="2" s="1"/>
  <c r="P51" i="2" a="1"/>
  <c r="P51" i="2" s="1"/>
  <c r="P9" i="2" a="1"/>
  <c r="P9" i="2" s="1"/>
  <c r="P170" i="2" a="1"/>
  <c r="P170" i="2" s="1"/>
  <c r="P1151" i="2" a="1"/>
  <c r="P1151" i="2" s="1"/>
  <c r="P241" i="2" a="1"/>
  <c r="P241" i="2" s="1"/>
  <c r="P1468" i="2" a="1"/>
  <c r="P1468" i="2" s="1"/>
  <c r="P905" i="2" a="1"/>
  <c r="P905" i="2" s="1"/>
  <c r="P509" i="2" a="1"/>
  <c r="P509" i="2" s="1"/>
  <c r="P232" i="2" a="1"/>
  <c r="P232" i="2" s="1"/>
  <c r="P1743" i="2" a="1"/>
  <c r="P1743" i="2" s="1"/>
  <c r="P112" i="2" a="1"/>
  <c r="P112" i="2" s="1"/>
  <c r="P353" i="2" a="1"/>
  <c r="P353" i="2" s="1"/>
  <c r="P1246" i="2" a="1"/>
  <c r="P1246" i="2" s="1"/>
  <c r="P756" i="2" a="1"/>
  <c r="P756" i="2" s="1"/>
  <c r="P77" i="2" a="1"/>
  <c r="P77" i="2" s="1"/>
  <c r="P7" i="2" a="1"/>
  <c r="P7" i="2" s="1"/>
  <c r="P832" i="2" a="1"/>
  <c r="P832" i="2" s="1"/>
  <c r="P857" i="2" a="1"/>
  <c r="P857" i="2" s="1"/>
  <c r="P1165" i="2" a="1"/>
  <c r="P1165" i="2" s="1"/>
  <c r="P1254" i="2" a="1"/>
  <c r="P1254" i="2" s="1"/>
  <c r="P1295" i="2" a="1"/>
  <c r="P1295" i="2" s="1"/>
  <c r="P97" i="2" a="1"/>
  <c r="P97" i="2" s="1"/>
  <c r="P317" i="2" a="1"/>
  <c r="P317" i="2" s="1"/>
  <c r="P1220" i="2" a="1"/>
  <c r="P1220" i="2" s="1"/>
  <c r="P1168" i="2" a="1"/>
  <c r="P1168" i="2" s="1"/>
  <c r="P567" i="2" a="1"/>
  <c r="P567" i="2" s="1"/>
  <c r="P90" i="2" a="1"/>
  <c r="P90" i="2" s="1"/>
  <c r="P85" i="2" a="1"/>
  <c r="P85" i="2" s="1"/>
  <c r="P834" i="2" a="1"/>
  <c r="P834" i="2" s="1"/>
  <c r="P1499" i="2" a="1"/>
  <c r="P1499" i="2" s="1"/>
  <c r="P1131" i="2" a="1"/>
  <c r="P1131" i="2" s="1"/>
  <c r="P109" i="2" a="1"/>
  <c r="P109" i="2" s="1"/>
  <c r="P400" i="2" a="1"/>
  <c r="P400" i="2" s="1"/>
  <c r="P10" i="2" a="1"/>
  <c r="P10" i="2" s="1"/>
  <c r="P1420" i="2" a="1"/>
  <c r="P1420" i="2" s="1"/>
  <c r="P763" i="2" a="1"/>
  <c r="P763" i="2" s="1"/>
  <c r="P1720" i="2" a="1"/>
  <c r="P1720" i="2" s="1"/>
  <c r="P1394" i="2" a="1"/>
  <c r="P1394" i="2" s="1"/>
  <c r="P1173" i="2" a="1"/>
  <c r="P1173" i="2" s="1"/>
  <c r="P153" i="2" a="1"/>
  <c r="P153" i="2" s="1"/>
  <c r="P1238" i="2" a="1"/>
  <c r="P1238" i="2" s="1"/>
  <c r="P325" i="2" a="1"/>
  <c r="P325" i="2" s="1"/>
  <c r="P1699" i="2" a="1"/>
  <c r="P1699" i="2" s="1"/>
  <c r="P429" i="2" a="1"/>
  <c r="P429" i="2" s="1"/>
  <c r="P152" i="2" a="1"/>
  <c r="P152" i="2" s="1"/>
  <c r="P843" i="2" a="1"/>
  <c r="P843" i="2" s="1"/>
  <c r="P199" i="2" a="1"/>
  <c r="P199" i="2" s="1"/>
  <c r="P1441" i="2" a="1"/>
  <c r="P1441" i="2" s="1"/>
  <c r="P4" i="2" a="1"/>
  <c r="P4" i="2" s="1"/>
  <c r="P819" i="2" a="1"/>
  <c r="P819" i="2" s="1"/>
  <c r="P908" i="2" a="1"/>
  <c r="P908" i="2" s="1"/>
  <c r="P705" i="2" a="1"/>
  <c r="P705" i="2" s="1"/>
  <c r="P1683" i="2" a="1"/>
  <c r="P1683" i="2" s="1"/>
  <c r="P1726" i="2" a="1"/>
  <c r="P1726" i="2" s="1"/>
  <c r="P1398" i="2" a="1"/>
  <c r="P1398" i="2" s="1"/>
  <c r="P1379" i="2" a="1"/>
  <c r="P1379" i="2" s="1"/>
  <c r="P732" i="2" a="1"/>
  <c r="P732" i="2" s="1"/>
  <c r="P23" i="2" a="1"/>
  <c r="P23" i="2" s="1"/>
  <c r="P1476" i="2" a="1"/>
  <c r="P1476" i="2" s="1"/>
  <c r="P238" i="2" a="1"/>
  <c r="P238" i="2" s="1"/>
  <c r="P583" i="2" a="1"/>
  <c r="P583" i="2" s="1"/>
  <c r="P122" i="2" a="1"/>
  <c r="P122" i="2" s="1"/>
  <c r="P1112" i="2" a="1"/>
  <c r="P1112" i="2" s="1"/>
  <c r="P1071" i="2" a="1"/>
  <c r="P1071" i="2" s="1"/>
  <c r="P367" i="2" a="1"/>
  <c r="P367" i="2" s="1"/>
  <c r="P1362" i="2" a="1"/>
  <c r="P1362" i="2" s="1"/>
  <c r="P1073" i="2" a="1"/>
  <c r="P1073" i="2" s="1"/>
  <c r="P1512" i="2" a="1"/>
  <c r="P1512" i="2" s="1"/>
  <c r="P502" i="2" a="1"/>
  <c r="P502" i="2" s="1"/>
  <c r="P1507" i="2" a="1"/>
  <c r="P1507" i="2" s="1"/>
  <c r="P799" i="2" a="1"/>
  <c r="P799" i="2" s="1"/>
  <c r="P314" i="2" a="1"/>
  <c r="P314" i="2" s="1"/>
  <c r="P601" i="2" a="1"/>
  <c r="P601" i="2" s="1"/>
  <c r="P182" i="2" a="1"/>
  <c r="P182" i="2" s="1"/>
  <c r="P394" i="2" a="1"/>
  <c r="P394" i="2" s="1"/>
  <c r="P852" i="2" a="1"/>
  <c r="P852" i="2" s="1"/>
  <c r="P714" i="2" a="1"/>
  <c r="P714" i="2" s="1"/>
  <c r="P406" i="2" a="1"/>
  <c r="P406" i="2" s="1"/>
  <c r="P2" i="2" a="1"/>
  <c r="P2" i="2" s="1"/>
  <c r="P1281" i="2" a="1"/>
  <c r="P1281" i="2" s="1"/>
  <c r="P1402" i="2" a="1"/>
  <c r="P1402" i="2" s="1"/>
  <c r="P1734" i="2" a="1"/>
  <c r="P1734" i="2" s="1"/>
  <c r="P235" i="2" a="1"/>
  <c r="P235" i="2" s="1"/>
  <c r="P103" i="2" a="1"/>
  <c r="P103" i="2" s="1"/>
  <c r="P256" i="2" a="1"/>
  <c r="P256" i="2" s="1"/>
  <c r="P378" i="2" a="1"/>
  <c r="P378" i="2" s="1"/>
  <c r="P1037" i="2" a="1"/>
  <c r="P1037" i="2" s="1"/>
  <c r="P528" i="2" a="1"/>
  <c r="P528" i="2" s="1"/>
  <c r="P1094" i="2" a="1"/>
  <c r="P1094" i="2" s="1"/>
  <c r="P1328" i="2" a="1"/>
  <c r="P1328" i="2" s="1"/>
  <c r="P973" i="2" a="1"/>
  <c r="P973" i="2" s="1"/>
  <c r="P624" i="2" a="1"/>
  <c r="P624" i="2" s="1"/>
  <c r="P1451" i="2" a="1"/>
  <c r="P1451" i="2" s="1"/>
  <c r="P1694" i="2" a="1"/>
  <c r="P1694" i="2" s="1"/>
  <c r="P323" i="2" a="1"/>
  <c r="P323" i="2" s="1"/>
  <c r="P880" i="2" a="1"/>
  <c r="P880" i="2" s="1"/>
  <c r="P986" i="2" a="1"/>
  <c r="P986" i="2" s="1"/>
  <c r="P587" i="2" a="1"/>
  <c r="P587" i="2" s="1"/>
  <c r="P263" i="2" a="1"/>
  <c r="P263" i="2" s="1"/>
  <c r="P1404" i="2" a="1"/>
  <c r="P1404" i="2" s="1"/>
  <c r="P1452" i="2" a="1"/>
  <c r="P1452" i="2" s="1"/>
  <c r="P793" i="2" a="1"/>
  <c r="P793" i="2" s="1"/>
  <c r="P417" i="2" a="1"/>
  <c r="P417" i="2" s="1"/>
  <c r="P443" i="2" a="1"/>
  <c r="P443" i="2" s="1"/>
  <c r="P15" i="2" a="1"/>
  <c r="P15" i="2" s="1"/>
  <c r="P1491" i="2" a="1"/>
  <c r="P1491" i="2" s="1"/>
  <c r="P405" i="2" a="1"/>
  <c r="P405" i="2" s="1"/>
  <c r="P408" i="2" a="1"/>
  <c r="P408" i="2" s="1"/>
  <c r="P1145" i="2" a="1"/>
  <c r="P1145" i="2" s="1"/>
  <c r="P136" i="2" a="1"/>
  <c r="P136" i="2" s="1"/>
  <c r="P117" i="2" a="1"/>
  <c r="P117" i="2" s="1"/>
  <c r="P1180" i="2" a="1"/>
  <c r="P1180" i="2" s="1"/>
  <c r="P231" i="2" a="1"/>
  <c r="P231" i="2" s="1"/>
  <c r="P1114" i="2" a="1"/>
  <c r="P1114" i="2" s="1"/>
  <c r="P829" i="2" a="1"/>
  <c r="P829" i="2" s="1"/>
  <c r="P1218" i="2" a="1"/>
  <c r="P1218" i="2" s="1"/>
  <c r="P539" i="2" a="1"/>
  <c r="P539" i="2" s="1"/>
  <c r="P1223" i="2" a="1"/>
  <c r="P1223" i="2" s="1"/>
  <c r="P1197" i="2" a="1"/>
  <c r="P1197" i="2" s="1"/>
  <c r="P1193" i="2" a="1"/>
  <c r="P1193" i="2" s="1"/>
  <c r="P1205" i="2" a="1"/>
  <c r="P1205" i="2" s="1"/>
  <c r="P700" i="2" a="1"/>
  <c r="P700" i="2" s="1"/>
  <c r="P260" i="2" a="1"/>
  <c r="P260" i="2" s="1"/>
  <c r="P1235" i="2" a="1"/>
  <c r="P1235" i="2" s="1"/>
  <c r="P286" i="2" a="1"/>
  <c r="P286" i="2" s="1"/>
  <c r="P1695" i="2" a="1"/>
  <c r="P1695" i="2" s="1"/>
  <c r="P411" i="2" a="1"/>
  <c r="P411" i="2" s="1"/>
  <c r="P1111" i="2" a="1"/>
  <c r="P1111" i="2" s="1"/>
  <c r="P148" i="2" a="1"/>
  <c r="P148" i="2" s="1"/>
  <c r="P675" i="2" a="1"/>
  <c r="P675" i="2" s="1"/>
  <c r="P889" i="2" a="1"/>
  <c r="P889" i="2" s="1"/>
  <c r="P445" i="2" a="1"/>
  <c r="P445" i="2" s="1"/>
  <c r="P674" i="2" a="1"/>
  <c r="P674" i="2" s="1"/>
  <c r="P1333" i="2" a="1"/>
  <c r="P1333" i="2" s="1"/>
  <c r="P1175" i="2" a="1"/>
  <c r="P1175" i="2" s="1"/>
  <c r="P1224" i="2" a="1"/>
  <c r="P1224" i="2" s="1"/>
  <c r="P811" i="2" a="1"/>
  <c r="P811" i="2" s="1"/>
  <c r="P827" i="2" a="1"/>
  <c r="P827" i="2" s="1"/>
  <c r="P348" i="2" a="1"/>
  <c r="P348" i="2" s="1"/>
  <c r="P591" i="2" a="1"/>
  <c r="P591" i="2" s="1"/>
  <c r="P172" i="2" a="1"/>
  <c r="P172" i="2" s="1"/>
  <c r="P84" i="2" a="1"/>
  <c r="P84" i="2" s="1"/>
  <c r="P623" i="2" a="1"/>
  <c r="P623" i="2" s="1"/>
  <c r="P1055" i="2" a="1"/>
  <c r="P1055" i="2" s="1"/>
  <c r="P1204" i="2" a="1"/>
  <c r="P1204" i="2" s="1"/>
  <c r="P1680" i="2" a="1"/>
  <c r="P1680" i="2" s="1"/>
  <c r="P514" i="2" a="1"/>
  <c r="P514" i="2" s="1"/>
  <c r="P1116" i="2" a="1"/>
  <c r="P1116" i="2" s="1"/>
  <c r="P204" i="2" a="1"/>
  <c r="P204" i="2" s="1"/>
  <c r="P1104" i="2" a="1"/>
  <c r="P1104" i="2" s="1"/>
  <c r="P1241" i="2" a="1"/>
  <c r="P1241" i="2" s="1"/>
  <c r="P543" i="2" a="1"/>
  <c r="P543" i="2" s="1"/>
  <c r="P316" i="2" a="1"/>
  <c r="P316" i="2" s="1"/>
  <c r="P994" i="2" a="1"/>
  <c r="P994" i="2" s="1"/>
  <c r="P976" i="2" a="1"/>
  <c r="P976" i="2" s="1"/>
  <c r="P853" i="2" a="1"/>
  <c r="P853" i="2" s="1"/>
  <c r="P1414" i="2" a="1"/>
  <c r="P1414" i="2" s="1"/>
  <c r="P274" i="2" a="1"/>
  <c r="P274" i="2" s="1"/>
  <c r="P275" i="2" a="1"/>
  <c r="P275" i="2" s="1"/>
  <c r="P384" i="2" a="1"/>
  <c r="P384" i="2" s="1"/>
  <c r="P26" i="2" a="1"/>
  <c r="P26" i="2" s="1"/>
  <c r="P590" i="2" a="1"/>
  <c r="P590" i="2" s="1"/>
  <c r="P479" i="2" a="1"/>
  <c r="P479" i="2" s="1"/>
  <c r="P6" i="2" a="1"/>
  <c r="P6" i="2" s="1"/>
  <c r="P192" i="2" a="1"/>
  <c r="P192" i="2" s="1"/>
  <c r="P191" i="2" a="1"/>
  <c r="P191" i="2" s="1"/>
  <c r="P851" i="2" a="1"/>
  <c r="P851" i="2" s="1"/>
  <c r="P818" i="2" a="1"/>
  <c r="P818" i="2" s="1"/>
  <c r="P234" i="2" a="1"/>
  <c r="P234" i="2" s="1"/>
  <c r="P308" i="2" a="1"/>
  <c r="P308" i="2" s="1"/>
  <c r="P1406" i="2" a="1"/>
  <c r="P1406" i="2" s="1"/>
  <c r="P1271" i="2" a="1"/>
  <c r="P1271" i="2" s="1"/>
  <c r="P177" i="2" a="1"/>
  <c r="P177" i="2" s="1"/>
  <c r="P918" i="2" a="1"/>
  <c r="P918" i="2" s="1"/>
  <c r="P599" i="2" a="1"/>
  <c r="P599" i="2" s="1"/>
  <c r="P1044" i="2" a="1"/>
  <c r="P1044" i="2" s="1"/>
  <c r="P912" i="2" a="1"/>
  <c r="P912" i="2" s="1"/>
  <c r="P164" i="2" a="1"/>
  <c r="P164" i="2" s="1"/>
  <c r="P102" i="2" a="1"/>
  <c r="P102" i="2" s="1"/>
  <c r="P788" i="2" a="1"/>
  <c r="P788" i="2" s="1"/>
  <c r="P1426" i="2" a="1"/>
  <c r="P1426" i="2" s="1"/>
  <c r="P78" i="2" a="1"/>
  <c r="P78" i="2" s="1"/>
  <c r="P63" i="2" a="1"/>
  <c r="P63" i="2" s="1"/>
  <c r="P252" i="2" a="1"/>
  <c r="P252" i="2" s="1"/>
  <c r="P1460" i="2" a="1"/>
  <c r="P1460" i="2" s="1"/>
  <c r="P1431" i="2" a="1"/>
  <c r="P1431" i="2" s="1"/>
  <c r="P435" i="2" a="1"/>
  <c r="P435" i="2" s="1"/>
  <c r="P1194" i="2" a="1"/>
  <c r="P1194" i="2" s="1"/>
  <c r="P1350" i="2" a="1"/>
  <c r="P1350" i="2" s="1"/>
  <c r="P1150" i="2" a="1"/>
  <c r="P1150" i="2" s="1"/>
  <c r="P1188" i="2" a="1"/>
  <c r="P1188" i="2" s="1"/>
  <c r="P618" i="2" a="1"/>
  <c r="P618" i="2" s="1"/>
  <c r="P703" i="2" a="1"/>
  <c r="P703" i="2" s="1"/>
  <c r="P828" i="2" a="1"/>
  <c r="P828" i="2" s="1"/>
  <c r="P1264" i="2" a="1"/>
  <c r="P1264" i="2" s="1"/>
  <c r="P575" i="2" a="1"/>
  <c r="P575" i="2" s="1"/>
  <c r="P959" i="2" a="1"/>
  <c r="P959" i="2" s="1"/>
  <c r="P1513" i="2" a="1"/>
  <c r="P1513" i="2" s="1"/>
  <c r="P448" i="2" a="1"/>
  <c r="P448" i="2" s="1"/>
  <c r="P1255" i="2" a="1"/>
  <c r="P1255" i="2" s="1"/>
  <c r="P955" i="2" a="1"/>
  <c r="P955" i="2" s="1"/>
  <c r="P1728" i="2" a="1"/>
  <c r="P1728" i="2" s="1"/>
  <c r="P1149" i="2" a="1"/>
  <c r="P1149" i="2" s="1"/>
  <c r="P1368" i="2" a="1"/>
  <c r="P1368" i="2" s="1"/>
  <c r="P631" i="2" a="1"/>
  <c r="P631" i="2" s="1"/>
  <c r="P1437" i="2" a="1"/>
  <c r="P1437" i="2" s="1"/>
  <c r="P1075" i="2" a="1"/>
  <c r="P1075" i="2" s="1"/>
  <c r="P362" i="2" a="1"/>
  <c r="P362" i="2" s="1"/>
  <c r="P139" i="2" a="1"/>
  <c r="P139" i="2" s="1"/>
  <c r="P284" i="2" a="1"/>
  <c r="P284" i="2" s="1"/>
  <c r="P1227" i="2" a="1"/>
  <c r="P1227" i="2" s="1"/>
  <c r="P1054" i="2" a="1"/>
  <c r="P1054" i="2" s="1"/>
  <c r="P264" i="2" a="1"/>
  <c r="P264" i="2" s="1"/>
  <c r="P55" i="2" a="1"/>
  <c r="P55" i="2" s="1"/>
  <c r="P978" i="2" a="1"/>
  <c r="P978" i="2" s="1"/>
  <c r="P107" i="2" a="1"/>
  <c r="P107" i="2" s="1"/>
  <c r="P1062" i="2" a="1"/>
  <c r="P1062" i="2" s="1"/>
  <c r="P1030" i="2" a="1"/>
  <c r="P1030" i="2" s="1"/>
  <c r="P512" i="2" a="1"/>
  <c r="P512" i="2" s="1"/>
  <c r="P442" i="2" a="1"/>
  <c r="P442" i="2" s="1"/>
  <c r="P493" i="2" a="1"/>
  <c r="P493" i="2" s="1"/>
  <c r="P745" i="2" a="1"/>
  <c r="P745" i="2" s="1"/>
  <c r="P1411" i="2" a="1"/>
  <c r="P1411" i="2" s="1"/>
  <c r="P11" i="2" a="1"/>
  <c r="P11" i="2" s="1"/>
  <c r="P381" i="2" a="1"/>
  <c r="P381" i="2" s="1"/>
  <c r="P592" i="2" a="1"/>
  <c r="P592" i="2" s="1"/>
  <c r="P449" i="2" a="1"/>
  <c r="P449" i="2" s="1"/>
  <c r="P561" i="2" a="1"/>
  <c r="P561" i="2" s="1"/>
  <c r="P1324" i="2" a="1"/>
  <c r="P1324" i="2" s="1"/>
  <c r="P376" i="2" a="1"/>
  <c r="P376" i="2" s="1"/>
  <c r="P868" i="2" a="1"/>
  <c r="P868" i="2" s="1"/>
  <c r="P1128" i="2" a="1"/>
  <c r="P1128" i="2" s="1"/>
  <c r="P130" i="2" a="1"/>
  <c r="P130" i="2" s="1"/>
  <c r="P988" i="2" a="1"/>
  <c r="P988" i="2" s="1"/>
  <c r="P230" i="2" a="1"/>
  <c r="P230" i="2" s="1"/>
  <c r="P196" i="2" a="1"/>
  <c r="P196" i="2" s="1"/>
  <c r="P365" i="2" a="1"/>
  <c r="P365" i="2" s="1"/>
  <c r="P1338" i="2" a="1"/>
  <c r="P1338" i="2" s="1"/>
  <c r="P433" i="2" a="1"/>
  <c r="P433" i="2" s="1"/>
  <c r="P386" i="2" a="1"/>
  <c r="P386" i="2" s="1"/>
  <c r="P301" i="2" a="1"/>
  <c r="P301" i="2" s="1"/>
  <c r="P297" i="2" a="1"/>
  <c r="P297" i="2" s="1"/>
  <c r="P1467" i="2" a="1"/>
  <c r="P1467" i="2" s="1"/>
  <c r="P797" i="2" a="1"/>
  <c r="P797" i="2" s="1"/>
  <c r="P1242" i="2" a="1"/>
  <c r="P1242" i="2" s="1"/>
  <c r="P1483" i="2" a="1"/>
  <c r="P1483" i="2" s="1"/>
  <c r="P213" i="2" a="1"/>
  <c r="P213" i="2" s="1"/>
  <c r="P1687" i="2" a="1"/>
  <c r="P1687" i="2" s="1"/>
  <c r="P1337" i="2" a="1"/>
  <c r="P1337" i="2" s="1"/>
  <c r="P598" i="2" a="1"/>
  <c r="P598" i="2" s="1"/>
  <c r="P576" i="2" a="1"/>
  <c r="P576" i="2" s="1"/>
  <c r="P1009" i="2" a="1"/>
  <c r="P1009" i="2" s="1"/>
  <c r="P1509" i="2" a="1"/>
  <c r="P1509" i="2" s="1"/>
  <c r="P1445" i="2" a="1"/>
  <c r="P1445" i="2" s="1"/>
  <c r="P775" i="2" a="1"/>
  <c r="P775" i="2" s="1"/>
  <c r="P1269" i="2" a="1"/>
  <c r="P1269" i="2" s="1"/>
  <c r="P166" i="2" a="1"/>
  <c r="P166" i="2" s="1"/>
  <c r="P813" i="2" a="1"/>
  <c r="P813" i="2" s="1"/>
  <c r="P1069" i="2" a="1"/>
  <c r="P1069" i="2" s="1"/>
  <c r="P1119" i="2" a="1"/>
  <c r="P1119" i="2" s="1"/>
  <c r="P1212" i="2" a="1"/>
  <c r="P1212" i="2" s="1"/>
  <c r="P1727" i="2" a="1"/>
  <c r="P1727" i="2" s="1"/>
  <c r="P1497" i="2" a="1"/>
  <c r="P1497" i="2" s="1"/>
  <c r="P679" i="2" a="1"/>
  <c r="P679" i="2" s="1"/>
  <c r="P619" i="2" a="1"/>
  <c r="P619" i="2" s="1"/>
  <c r="P1336" i="2" a="1"/>
  <c r="P1336" i="2" s="1"/>
  <c r="P154" i="2" a="1"/>
  <c r="P154" i="2" s="1"/>
  <c r="P1123" i="2" a="1"/>
  <c r="P1123" i="2" s="1"/>
  <c r="P35" i="2" a="1"/>
  <c r="P35" i="2" s="1"/>
  <c r="P389" i="2" a="1"/>
  <c r="P389" i="2" s="1"/>
  <c r="P413" i="2" a="1"/>
  <c r="P413" i="2" s="1"/>
  <c r="P1498" i="2" a="1"/>
  <c r="P1498" i="2" s="1"/>
  <c r="P946" i="2" a="1"/>
  <c r="P946" i="2" s="1"/>
  <c r="P600" i="2" a="1"/>
  <c r="P600" i="2" s="1"/>
  <c r="P255" i="2" a="1"/>
  <c r="P255" i="2" s="1"/>
  <c r="P387" i="2" a="1"/>
  <c r="P387" i="2" s="1"/>
  <c r="P1262" i="2" a="1"/>
  <c r="P1262" i="2" s="1"/>
  <c r="P446" i="2" a="1"/>
  <c r="P446" i="2" s="1"/>
  <c r="P8" i="2" a="1"/>
  <c r="P8" i="2" s="1"/>
  <c r="P326" i="2" a="1"/>
  <c r="P326" i="2" s="1"/>
  <c r="P964" i="2" a="1"/>
  <c r="P964" i="2" s="1"/>
  <c r="P12" i="2" a="1"/>
  <c r="P12" i="2" s="1"/>
  <c r="P163" i="2" a="1"/>
  <c r="P163" i="2" s="1"/>
  <c r="P472" i="2" a="1"/>
  <c r="P472" i="2" s="1"/>
  <c r="P873" i="2" a="1"/>
  <c r="P873" i="2" s="1"/>
  <c r="P558" i="2" a="1"/>
  <c r="P558" i="2" s="1"/>
  <c r="P563" i="2" a="1"/>
  <c r="P563" i="2" s="1"/>
  <c r="P484" i="2" a="1"/>
  <c r="P484" i="2" s="1"/>
  <c r="P573" i="2" a="1"/>
  <c r="P573" i="2" s="1"/>
  <c r="P243" i="2" a="1"/>
  <c r="P243" i="2" s="1"/>
  <c r="P1169" i="2" a="1"/>
  <c r="P1169" i="2" s="1"/>
  <c r="P666" i="2" a="1"/>
  <c r="P666" i="2" s="1"/>
  <c r="P355" i="2" a="1"/>
  <c r="P355" i="2" s="1"/>
  <c r="P459" i="2" a="1"/>
  <c r="P459" i="2" s="1"/>
  <c r="P649" i="2" a="1"/>
  <c r="P649" i="2" s="1"/>
  <c r="P1740" i="2" a="1"/>
  <c r="P1740" i="2" s="1"/>
  <c r="P1488" i="2" a="1"/>
  <c r="P1488" i="2" s="1"/>
  <c r="P907" i="2" a="1"/>
  <c r="P907" i="2" s="1"/>
  <c r="P114" i="2" a="1"/>
  <c r="P114" i="2" s="1"/>
  <c r="P965" i="2" a="1"/>
  <c r="P965" i="2" s="1"/>
  <c r="P989" i="2" a="1"/>
  <c r="P989" i="2" s="1"/>
  <c r="P1083" i="2" a="1"/>
  <c r="P1083" i="2" s="1"/>
  <c r="P521" i="2" a="1"/>
  <c r="P521" i="2" s="1"/>
  <c r="P399" i="2" a="1"/>
  <c r="P399" i="2" s="1"/>
  <c r="P83" i="2" a="1"/>
  <c r="P83" i="2" s="1"/>
  <c r="P835" i="2" a="1"/>
  <c r="P835" i="2" s="1"/>
  <c r="P1678" i="2" a="1"/>
  <c r="P1678" i="2" s="1"/>
  <c r="P309" i="2" a="1"/>
  <c r="P309" i="2" s="1"/>
  <c r="P626" i="2" a="1"/>
  <c r="P626" i="2" s="1"/>
  <c r="P1032" i="2" a="1"/>
  <c r="P1032" i="2" s="1"/>
  <c r="P1096" i="2" a="1"/>
  <c r="P1096" i="2" s="1"/>
  <c r="P1060" i="2" a="1"/>
  <c r="P1060" i="2" s="1"/>
  <c r="P1392" i="2" a="1"/>
  <c r="P1392" i="2" s="1"/>
  <c r="P933" i="2" a="1"/>
  <c r="P933" i="2" s="1"/>
  <c r="P1424" i="2" a="1"/>
  <c r="P1424" i="2" s="1"/>
  <c r="P860" i="2" a="1"/>
  <c r="P860" i="2" s="1"/>
  <c r="P1244" i="2" a="1"/>
  <c r="P1244" i="2" s="1"/>
  <c r="P1738" i="2" a="1"/>
  <c r="P1738" i="2" s="1"/>
  <c r="P185" i="2" a="1"/>
  <c r="P185" i="2" s="1"/>
  <c r="P1066" i="2" a="1"/>
  <c r="P1066" i="2" s="1"/>
  <c r="P928" i="2" a="1"/>
  <c r="P928" i="2" s="1"/>
  <c r="P1132" i="2" a="1"/>
  <c r="P1132" i="2" s="1"/>
  <c r="P607" i="2" a="1"/>
  <c r="P607" i="2" s="1"/>
  <c r="P1395" i="2" a="1"/>
  <c r="P1395" i="2" s="1"/>
  <c r="P1157" i="2" a="1"/>
  <c r="P1157" i="2" s="1"/>
  <c r="P307" i="2" a="1"/>
  <c r="P307" i="2" s="1"/>
  <c r="P391" i="2" a="1"/>
  <c r="P391" i="2" s="1"/>
  <c r="P1068" i="2" a="1"/>
  <c r="P1068" i="2" s="1"/>
  <c r="P1161" i="2" a="1"/>
  <c r="P1161" i="2" s="1"/>
  <c r="P184" i="2" a="1"/>
  <c r="P184" i="2" s="1"/>
  <c r="P945" i="2" a="1"/>
  <c r="P945" i="2" s="1"/>
  <c r="P709" i="2" a="1"/>
  <c r="P709" i="2" s="1"/>
  <c r="P842" i="2" a="1"/>
  <c r="P842" i="2" s="1"/>
  <c r="P846" i="2" a="1"/>
  <c r="P846" i="2" s="1"/>
  <c r="P685" i="2" a="1"/>
  <c r="P685" i="2" s="1"/>
  <c r="P845" i="2" a="1"/>
  <c r="P845" i="2" s="1"/>
  <c r="P101" i="2" a="1"/>
  <c r="P101" i="2" s="1"/>
  <c r="P474" i="2" a="1"/>
  <c r="P474" i="2" s="1"/>
  <c r="P890" i="2" a="1"/>
  <c r="P890" i="2" s="1"/>
  <c r="P489" i="2" a="1"/>
  <c r="P489" i="2" s="1"/>
  <c r="P1308" i="2" a="1"/>
  <c r="P1308" i="2" s="1"/>
  <c r="P1097" i="2" a="1"/>
  <c r="P1097" i="2" s="1"/>
  <c r="P1697" i="2" a="1"/>
  <c r="P1697" i="2" s="1"/>
  <c r="P108" i="2" a="1"/>
  <c r="P108" i="2" s="1"/>
  <c r="P227" i="2" a="1"/>
  <c r="P227" i="2" s="1"/>
  <c r="P1742" i="2" a="1"/>
  <c r="P1742" i="2" s="1"/>
  <c r="P1427" i="2" a="1"/>
  <c r="P1427" i="2" s="1"/>
  <c r="P39" i="2" a="1"/>
  <c r="P39" i="2" s="1"/>
  <c r="P830" i="2" a="1"/>
  <c r="P830" i="2" s="1"/>
  <c r="P715" i="2" a="1"/>
  <c r="P715" i="2" s="1"/>
  <c r="P1061" i="2" a="1"/>
  <c r="P1061" i="2" s="1"/>
  <c r="P1253" i="2" a="1"/>
  <c r="P1253" i="2" s="1"/>
  <c r="P531" i="2" a="1"/>
  <c r="P531" i="2" s="1"/>
  <c r="P620" i="2" a="1"/>
  <c r="P620" i="2" s="1"/>
  <c r="P197" i="2" a="1"/>
  <c r="P197" i="2" s="1"/>
  <c r="P219" i="2" a="1"/>
  <c r="P219" i="2" s="1"/>
  <c r="P1433" i="2" a="1"/>
  <c r="P1433" i="2" s="1"/>
  <c r="P1492" i="2" a="1"/>
  <c r="P1492" i="2" s="1"/>
  <c r="P132" i="2" a="1"/>
  <c r="P132" i="2" s="1"/>
  <c r="P111" i="2" a="1"/>
  <c r="P111" i="2" s="1"/>
  <c r="P1739" i="2" a="1"/>
  <c r="P1739" i="2" s="1"/>
  <c r="P206" i="2" a="1"/>
  <c r="P206" i="2" s="1"/>
  <c r="P1289" i="2" a="1"/>
  <c r="P1289" i="2" s="1"/>
  <c r="P1449" i="2" a="1"/>
  <c r="P1449" i="2" s="1"/>
  <c r="P1485" i="2" a="1"/>
  <c r="P1485" i="2" s="1"/>
  <c r="P1372" i="2" a="1"/>
  <c r="P1372" i="2" s="1"/>
  <c r="P306" i="2" a="1"/>
  <c r="P306" i="2" s="1"/>
  <c r="P886" i="2" a="1"/>
  <c r="P886" i="2" s="1"/>
  <c r="P1370" i="2" a="1"/>
  <c r="P1370" i="2" s="1"/>
  <c r="P209" i="2" a="1"/>
  <c r="P209" i="2" s="1"/>
  <c r="P253" i="2" a="1"/>
  <c r="P253" i="2" s="1"/>
  <c r="P686" i="2" a="1"/>
  <c r="P686" i="2" s="1"/>
  <c r="P672" i="2" a="1"/>
  <c r="P672" i="2" s="1"/>
  <c r="P766" i="2" a="1"/>
  <c r="P766" i="2" s="1"/>
  <c r="P556" i="2" a="1"/>
  <c r="P556" i="2" s="1"/>
  <c r="P1013" i="2" a="1"/>
  <c r="P1013" i="2" s="1"/>
  <c r="P1064" i="2" a="1"/>
  <c r="P1064" i="2" s="1"/>
  <c r="P966" i="2" a="1"/>
  <c r="P966" i="2" s="1"/>
  <c r="P736" i="2" a="1"/>
  <c r="P736" i="2" s="1"/>
  <c r="P940" i="2" a="1"/>
  <c r="P940" i="2" s="1"/>
  <c r="P1110" i="2" a="1"/>
  <c r="P1110" i="2" s="1"/>
  <c r="P523" i="2" a="1"/>
  <c r="P523" i="2" s="1"/>
  <c r="P1011" i="2" a="1"/>
  <c r="P1011" i="2" s="1"/>
  <c r="P805" i="2" a="1"/>
  <c r="P805" i="2" s="1"/>
  <c r="P789" i="2" a="1"/>
  <c r="P789" i="2" s="1"/>
  <c r="P1041" i="2" a="1"/>
  <c r="P1041" i="2" s="1"/>
  <c r="P871" i="2" a="1"/>
  <c r="P871" i="2" s="1"/>
  <c r="P131" i="2" a="1"/>
  <c r="P131" i="2" s="1"/>
  <c r="P1469" i="2" a="1"/>
  <c r="P1469" i="2" s="1"/>
  <c r="P710" i="2" a="1"/>
  <c r="P710" i="2" s="1"/>
  <c r="P542" i="2" a="1"/>
  <c r="P542" i="2" s="1"/>
  <c r="P688" i="2" a="1"/>
  <c r="P688" i="2" s="1"/>
  <c r="P419" i="2" a="1"/>
  <c r="P419" i="2" s="1"/>
  <c r="P453" i="2" a="1"/>
  <c r="P453" i="2" s="1"/>
  <c r="P900" i="2" a="1"/>
  <c r="P900" i="2" s="1"/>
  <c r="P1026" i="2" a="1"/>
  <c r="P1026" i="2" s="1"/>
  <c r="P369" i="2" a="1"/>
  <c r="P369" i="2" s="1"/>
  <c r="P1500" i="2" a="1"/>
  <c r="P1500" i="2" s="1"/>
  <c r="P944" i="2" a="1"/>
  <c r="P944" i="2" s="1"/>
  <c r="P581" i="2" a="1"/>
  <c r="P581" i="2" s="1"/>
  <c r="P1364" i="2" a="1"/>
  <c r="P1364" i="2" s="1"/>
  <c r="P1400" i="2" a="1"/>
  <c r="P1400" i="2" s="1"/>
  <c r="P1316" i="2" a="1"/>
  <c r="P1316" i="2" s="1"/>
  <c r="P385" i="2" a="1"/>
  <c r="P385" i="2" s="1"/>
  <c r="P1243" i="2" a="1"/>
  <c r="P1243" i="2" s="1"/>
  <c r="P352" i="2" a="1"/>
  <c r="P352" i="2" s="1"/>
  <c r="P713" i="2" a="1"/>
  <c r="P713" i="2" s="1"/>
  <c r="P1696" i="2" a="1"/>
  <c r="P1696" i="2" s="1"/>
  <c r="P298" i="2" a="1"/>
  <c r="P298" i="2" s="1"/>
  <c r="P744" i="2" a="1"/>
  <c r="P744" i="2" s="1"/>
  <c r="P1733" i="2" a="1"/>
  <c r="P1733" i="2" s="1"/>
  <c r="P683" i="2" a="1"/>
  <c r="P683" i="2" s="1"/>
  <c r="P217" i="2" a="1"/>
  <c r="P217" i="2" s="1"/>
  <c r="P1303" i="2" a="1"/>
  <c r="P1303" i="2" s="1"/>
  <c r="P126" i="2" a="1"/>
  <c r="P126" i="2" s="1"/>
  <c r="P382" i="2" a="1"/>
  <c r="P382" i="2" s="1"/>
  <c r="P1442" i="2" a="1"/>
  <c r="P1442" i="2" s="1"/>
  <c r="P44" i="2" a="1"/>
  <c r="P44" i="2" s="1"/>
  <c r="P52" i="2" a="1"/>
  <c r="P52" i="2" s="1"/>
  <c r="P1403" i="2" a="1"/>
  <c r="P1403" i="2" s="1"/>
  <c r="P1434" i="2" a="1"/>
  <c r="P1434" i="2" s="1"/>
  <c r="P328" i="2" a="1"/>
  <c r="P328" i="2" s="1"/>
  <c r="P335" i="2" a="1"/>
  <c r="P335" i="2" s="1"/>
  <c r="P501" i="2" a="1"/>
  <c r="P501" i="2" s="1"/>
  <c r="P1081" i="2" a="1"/>
  <c r="P1081" i="2" s="1"/>
  <c r="P1351" i="2" a="1"/>
  <c r="P1351" i="2" s="1"/>
  <c r="P1005" i="2" a="1"/>
  <c r="P1005" i="2" s="1"/>
  <c r="P460" i="2" a="1"/>
  <c r="P460" i="2" s="1"/>
  <c r="P447" i="2" a="1"/>
  <c r="P447" i="2" s="1"/>
  <c r="P1190" i="2" a="1"/>
  <c r="P1190" i="2" s="1"/>
  <c r="P510" i="2" a="1"/>
  <c r="P510" i="2" s="1"/>
  <c r="P979" i="2" a="1"/>
  <c r="P979" i="2" s="1"/>
  <c r="P991" i="2" a="1"/>
  <c r="P991" i="2" s="1"/>
  <c r="P1106" i="2" a="1"/>
  <c r="P1106" i="2" s="1"/>
  <c r="P310" i="2" a="1"/>
  <c r="P310" i="2" s="1"/>
  <c r="P1248" i="2" a="1"/>
  <c r="P1248" i="2" s="1"/>
  <c r="P836" i="2" a="1"/>
  <c r="P836" i="2" s="1"/>
  <c r="P972" i="2" a="1"/>
  <c r="P972" i="2" s="1"/>
  <c r="P1084" i="2" a="1"/>
  <c r="P1084" i="2" s="1"/>
  <c r="P762" i="2" a="1"/>
  <c r="P762" i="2" s="1"/>
  <c r="P150" i="2" a="1"/>
  <c r="P150" i="2" s="1"/>
  <c r="P1317" i="2" a="1"/>
  <c r="P1317" i="2" s="1"/>
  <c r="P404" i="2" a="1"/>
  <c r="P404" i="2" s="1"/>
  <c r="P915" i="2" a="1"/>
  <c r="P915" i="2" s="1"/>
  <c r="P1736" i="2" a="1"/>
  <c r="P1736" i="2" s="1"/>
  <c r="P1382" i="2" a="1"/>
  <c r="P1382" i="2" s="1"/>
  <c r="P1179" i="2" a="1"/>
  <c r="P1179" i="2" s="1"/>
  <c r="P569" i="2" a="1"/>
  <c r="P569" i="2" s="1"/>
  <c r="P937" i="2" a="1"/>
  <c r="P937" i="2" s="1"/>
  <c r="P1012" i="2" a="1"/>
  <c r="P1012" i="2" s="1"/>
  <c r="P1226" i="2" a="1"/>
  <c r="P1226" i="2" s="1"/>
  <c r="P1171" i="2" a="1"/>
  <c r="P1171" i="2" s="1"/>
  <c r="P1046" i="2" a="1"/>
  <c r="P1046" i="2" s="1"/>
  <c r="P1036" i="2" a="1"/>
  <c r="P1036" i="2" s="1"/>
  <c r="P585" i="2" a="1"/>
  <c r="P585" i="2" s="1"/>
  <c r="P129" i="2" a="1"/>
  <c r="P129" i="2" s="1"/>
  <c r="P730" i="2" a="1"/>
  <c r="P730" i="2" s="1"/>
  <c r="P1397" i="2" a="1"/>
  <c r="P1397" i="2" s="1"/>
  <c r="P892" i="2" a="1"/>
  <c r="P892" i="2" s="1"/>
  <c r="P1290" i="2" a="1"/>
  <c r="P1290" i="2" s="1"/>
  <c r="P530" i="2" a="1"/>
  <c r="P530" i="2" s="1"/>
  <c r="P778" i="2" a="1"/>
  <c r="P778" i="2" s="1"/>
  <c r="P1448" i="2" a="1"/>
  <c r="P1448" i="2" s="1"/>
  <c r="P923" i="2" a="1"/>
  <c r="P923" i="2" s="1"/>
  <c r="P764" i="2" a="1"/>
  <c r="P764" i="2" s="1"/>
  <c r="P850" i="2" a="1"/>
  <c r="P850" i="2" s="1"/>
  <c r="P303" i="2" a="1"/>
  <c r="P303" i="2" s="1"/>
  <c r="P894" i="2" a="1"/>
  <c r="P894" i="2" s="1"/>
  <c r="P608" i="2" a="1"/>
  <c r="P608" i="2" s="1"/>
  <c r="P71" i="2" a="1"/>
  <c r="P71" i="2" s="1"/>
  <c r="P741" i="2" a="1"/>
  <c r="P741" i="2" s="1"/>
  <c r="P877" i="2" a="1"/>
  <c r="P877" i="2" s="1"/>
  <c r="P1283" i="2" a="1"/>
  <c r="P1283" i="2" s="1"/>
  <c r="P1306" i="2" a="1"/>
  <c r="P1306" i="2" s="1"/>
  <c r="P552" i="2" a="1"/>
  <c r="P552" i="2" s="1"/>
  <c r="P1457" i="2" a="1"/>
  <c r="P1457" i="2" s="1"/>
  <c r="P1156" i="2" a="1"/>
  <c r="P1156" i="2" s="1"/>
  <c r="P322" i="2" a="1"/>
  <c r="P322" i="2" s="1"/>
  <c r="P1234" i="2" a="1"/>
  <c r="P1234" i="2" s="1"/>
  <c r="P1102" i="2" a="1"/>
  <c r="P1102" i="2" s="1"/>
  <c r="P635" i="2" a="1"/>
  <c r="P635" i="2" s="1"/>
  <c r="P1250" i="2" a="1"/>
  <c r="P1250" i="2" s="1"/>
  <c r="P1196" i="2" a="1"/>
  <c r="P1196" i="2" s="1"/>
  <c r="P377" i="2" a="1"/>
  <c r="P377" i="2" s="1"/>
  <c r="P1425" i="2" a="1"/>
  <c r="P1425" i="2" s="1"/>
  <c r="P1125" i="2" a="1"/>
  <c r="P1125" i="2" s="1"/>
  <c r="P1423" i="2" a="1"/>
  <c r="P1423" i="2" s="1"/>
  <c r="P476" i="2" a="1"/>
  <c r="P476" i="2" s="1"/>
  <c r="P717" i="2" a="1"/>
  <c r="P717" i="2" s="1"/>
  <c r="P1028" i="2" a="1"/>
  <c r="P1028" i="2" s="1"/>
  <c r="P211" i="2" a="1"/>
  <c r="P211" i="2" s="1"/>
  <c r="P1129" i="2" a="1"/>
  <c r="P1129" i="2" s="1"/>
  <c r="P295" i="2" a="1"/>
  <c r="P295" i="2" s="1"/>
  <c r="P257" i="2" a="1"/>
  <c r="P257" i="2" s="1"/>
  <c r="P1221" i="2" a="1"/>
  <c r="P1221" i="2" s="1"/>
  <c r="P267" i="2" a="1"/>
  <c r="P267" i="2" s="1"/>
  <c r="P1002" i="2" a="1"/>
  <c r="P1002" i="2" s="1"/>
  <c r="P242" i="2" a="1"/>
  <c r="P242" i="2" s="1"/>
  <c r="P80" i="2" a="1"/>
  <c r="P80" i="2" s="1"/>
  <c r="P1117" i="2" a="1"/>
  <c r="P1117" i="2" s="1"/>
  <c r="P524" i="2" a="1"/>
  <c r="P524" i="2" s="1"/>
  <c r="P992" i="2" a="1"/>
  <c r="P992" i="2" s="1"/>
  <c r="P765" i="2" a="1"/>
  <c r="P765" i="2" s="1"/>
  <c r="P1343" i="2" a="1"/>
  <c r="P1343" i="2" s="1"/>
  <c r="P1063" i="2" a="1"/>
  <c r="P1063" i="2" s="1"/>
  <c r="P1118" i="2" a="1"/>
  <c r="P1118" i="2" s="1"/>
  <c r="P1385" i="2" a="1"/>
  <c r="P1385" i="2" s="1"/>
  <c r="P138" i="2" a="1"/>
  <c r="P138" i="2" s="1"/>
  <c r="P485" i="2" a="1"/>
  <c r="P485" i="2" s="1"/>
  <c r="P390" i="2" a="1"/>
  <c r="P390" i="2" s="1"/>
  <c r="P427" i="2" a="1"/>
  <c r="P427" i="2" s="1"/>
  <c r="P1401" i="2" a="1"/>
  <c r="P1401" i="2" s="1"/>
  <c r="P1321" i="2" a="1"/>
  <c r="P1321" i="2" s="1"/>
  <c r="P1251" i="2" a="1"/>
  <c r="P1251" i="2" s="1"/>
  <c r="P203" i="2" a="1"/>
  <c r="P203" i="2" s="1"/>
  <c r="P461" i="2" a="1"/>
  <c r="P461" i="2" s="1"/>
  <c r="P505" i="2" a="1"/>
  <c r="P505" i="2" s="1"/>
  <c r="P816" i="2" a="1"/>
  <c r="P816" i="2" s="1"/>
  <c r="P977" i="2" a="1"/>
  <c r="P977" i="2" s="1"/>
  <c r="P560" i="2" a="1"/>
  <c r="P560" i="2" s="1"/>
  <c r="P867" i="2" a="1"/>
  <c r="P867" i="2" s="1"/>
  <c r="P1416" i="2" a="1"/>
  <c r="P1416" i="2" s="1"/>
  <c r="P14" i="2" a="1"/>
  <c r="P14" i="2" s="1"/>
  <c r="P121" i="2" a="1"/>
  <c r="P121" i="2" s="1"/>
  <c r="P105" i="2" a="1"/>
  <c r="P105" i="2" s="1"/>
  <c r="P625" i="2" a="1"/>
  <c r="P625" i="2" s="1"/>
  <c r="P43" i="2" a="1"/>
  <c r="P43" i="2" s="1"/>
  <c r="P1034" i="2" a="1"/>
  <c r="P1034" i="2" s="1"/>
  <c r="P517" i="2" a="1"/>
  <c r="P517" i="2" s="1"/>
  <c r="P1473" i="2" a="1"/>
  <c r="P1473" i="2" s="1"/>
  <c r="P520" i="2" a="1"/>
  <c r="P520" i="2" s="1"/>
  <c r="P1307" i="2" a="1"/>
  <c r="P1307" i="2" s="1"/>
  <c r="P28" i="2" a="1"/>
  <c r="P28" i="2" s="1"/>
  <c r="P997" i="2" a="1"/>
  <c r="P997" i="2" s="1"/>
  <c r="P1170" i="2" a="1"/>
  <c r="P1170" i="2" s="1"/>
  <c r="P533" i="2" a="1"/>
  <c r="P533" i="2" s="1"/>
  <c r="P1229" i="2" a="1"/>
  <c r="P1229" i="2" s="1"/>
  <c r="P1176" i="2" a="1"/>
  <c r="P1176" i="2" s="1"/>
  <c r="P1415" i="2" a="1"/>
  <c r="P1415" i="2" s="1"/>
  <c r="P1675" i="2" a="1"/>
  <c r="P1675" i="2" s="1"/>
  <c r="P175" i="2" a="1"/>
  <c r="P175" i="2" s="1"/>
  <c r="P726" i="2" a="1"/>
  <c r="P726" i="2" s="1"/>
  <c r="P305" i="2" a="1"/>
  <c r="P305" i="2" s="1"/>
  <c r="P1709" i="2" a="1"/>
  <c r="P1709" i="2" s="1"/>
  <c r="P180" i="2" a="1"/>
  <c r="P180" i="2" s="1"/>
  <c r="P641" i="2" a="1"/>
  <c r="P641" i="2" s="1"/>
  <c r="P887" i="2" a="1"/>
  <c r="P887" i="2" s="1"/>
  <c r="P727" i="2" a="1"/>
  <c r="P727" i="2" s="1"/>
  <c r="P1710" i="2" a="1"/>
  <c r="P1710" i="2" s="1"/>
  <c r="P1146" i="2" a="1"/>
  <c r="P1146" i="2" s="1"/>
  <c r="P632" i="2" a="1"/>
  <c r="P632" i="2" s="1"/>
  <c r="P482" i="2" a="1"/>
  <c r="P482" i="2" s="1"/>
  <c r="P1508" i="2" a="1"/>
  <c r="P1508" i="2" s="1"/>
  <c r="P1389" i="2" a="1"/>
  <c r="P1389" i="2" s="1"/>
  <c r="P919" i="2" a="1"/>
  <c r="P919" i="2" s="1"/>
  <c r="P895" i="2" a="1"/>
  <c r="P895" i="2" s="1"/>
  <c r="P100" i="2" a="1"/>
  <c r="P100" i="2" s="1"/>
  <c r="P522" i="2" a="1"/>
  <c r="P522" i="2" s="1"/>
  <c r="P572" i="2" a="1"/>
  <c r="P572" i="2" s="1"/>
  <c r="P1178" i="2" a="1"/>
  <c r="P1178" i="2" s="1"/>
  <c r="P293" i="2" a="1"/>
  <c r="P293" i="2" s="1"/>
  <c r="P346" i="2" a="1"/>
  <c r="P346" i="2" s="1"/>
  <c r="P183" i="2" a="1"/>
  <c r="P183" i="2" s="1"/>
  <c r="P158" i="2" a="1"/>
  <c r="P158" i="2" s="1"/>
  <c r="P891" i="2" a="1"/>
  <c r="P891" i="2" s="1"/>
  <c r="P168" i="2" a="1"/>
  <c r="P168" i="2" s="1"/>
  <c r="P833" i="2" a="1"/>
  <c r="P833" i="2" s="1"/>
  <c r="P1365" i="2" a="1"/>
  <c r="P1365" i="2" s="1"/>
  <c r="P1267" i="2" a="1"/>
  <c r="P1267" i="2" s="1"/>
  <c r="P1059" i="2" a="1"/>
  <c r="P1059" i="2" s="1"/>
  <c r="P439" i="2" a="1"/>
  <c r="P439" i="2" s="1"/>
  <c r="P299" i="2" a="1"/>
  <c r="P299" i="2" s="1"/>
  <c r="P29" i="2" a="1"/>
  <c r="P29" i="2" s="1"/>
  <c r="P1419" i="2" a="1"/>
  <c r="P1419" i="2" s="1"/>
  <c r="P19" i="2" a="1"/>
  <c r="P19" i="2" s="1"/>
  <c r="P1294" i="2" a="1"/>
  <c r="P1294" i="2" s="1"/>
  <c r="P465" i="2" a="1"/>
  <c r="P465" i="2" s="1"/>
  <c r="P160" i="2" a="1"/>
  <c r="P160" i="2" s="1"/>
  <c r="P1501" i="2" a="1"/>
  <c r="P1501" i="2" s="1"/>
  <c r="P1160" i="2" a="1"/>
  <c r="P1160" i="2" s="1"/>
  <c r="P1356" i="2" a="1"/>
  <c r="P1356" i="2" s="1"/>
  <c r="P1273" i="2" a="1"/>
  <c r="P1273" i="2" s="1"/>
  <c r="P467" i="2" a="1"/>
  <c r="P467" i="2" s="1"/>
  <c r="P656" i="2" a="1"/>
  <c r="P656" i="2" s="1"/>
  <c r="P667" i="2" a="1"/>
  <c r="P667" i="2" s="1"/>
  <c r="P1239" i="2" a="1"/>
  <c r="P1239" i="2" s="1"/>
  <c r="P823" i="2" a="1"/>
  <c r="P823" i="2" s="1"/>
  <c r="P758" i="2" a="1"/>
  <c r="P758" i="2" s="1"/>
  <c r="P751" i="2" a="1"/>
  <c r="P751" i="2" s="1"/>
  <c r="P771" i="2" a="1"/>
  <c r="P771" i="2" s="1"/>
  <c r="P1730" i="2" a="1"/>
  <c r="P1730" i="2" s="1"/>
  <c r="P119" i="2" a="1"/>
  <c r="P119" i="2" s="1"/>
  <c r="P287" i="2" a="1"/>
  <c r="P287" i="2" s="1"/>
  <c r="P611" i="2" a="1"/>
  <c r="P611" i="2" s="1"/>
  <c r="P1410" i="2" a="1"/>
  <c r="P1410" i="2" s="1"/>
  <c r="P1347" i="2" a="1"/>
  <c r="P1347" i="2" s="1"/>
  <c r="P769" i="2" a="1"/>
  <c r="P769" i="2" s="1"/>
  <c r="P516" i="2" a="1"/>
  <c r="P516" i="2" s="1"/>
  <c r="P930" i="2" a="1"/>
  <c r="P930" i="2" s="1"/>
  <c r="P59" i="2" a="1"/>
  <c r="P59" i="2" s="1"/>
  <c r="P1444" i="2" a="1"/>
  <c r="P1444" i="2" s="1"/>
  <c r="P1384" i="2" a="1"/>
  <c r="P1384" i="2" s="1"/>
  <c r="P1272" i="2" a="1"/>
  <c r="P1272" i="2" s="1"/>
  <c r="P553" i="2" a="1"/>
  <c r="P553" i="2" s="1"/>
  <c r="P532" i="2" a="1"/>
  <c r="P532" i="2" s="1"/>
  <c r="P1355" i="2" a="1"/>
  <c r="P1355" i="2" s="1"/>
  <c r="P281" i="2" a="1"/>
  <c r="P281" i="2" s="1"/>
  <c r="P1008" i="2" a="1"/>
  <c r="P1008" i="2" s="1"/>
  <c r="P1369" i="2" a="1"/>
  <c r="P1369" i="2" s="1"/>
  <c r="P296" i="2" a="1"/>
  <c r="P296" i="2" s="1"/>
  <c r="P246" i="2" a="1"/>
  <c r="P246" i="2" s="1"/>
  <c r="P1344" i="2" a="1"/>
  <c r="P1344" i="2" s="1"/>
  <c r="P506" i="2" a="1"/>
  <c r="P506" i="2" s="1"/>
  <c r="P401" i="2" a="1"/>
  <c r="P401" i="2" s="1"/>
  <c r="P1515" i="2" a="1"/>
  <c r="P1515" i="2" s="1"/>
  <c r="P341" i="2" a="1"/>
  <c r="P341" i="2" s="1"/>
  <c r="P379" i="2" a="1"/>
  <c r="P379" i="2" s="1"/>
  <c r="P361" i="2" a="1"/>
  <c r="P361" i="2" s="1"/>
  <c r="P540" i="2" a="1"/>
  <c r="P540" i="2" s="1"/>
  <c r="P798" i="2" a="1"/>
  <c r="P798" i="2" s="1"/>
  <c r="P156" i="2" a="1"/>
  <c r="P156" i="2" s="1"/>
  <c r="P1297" i="2" a="1"/>
  <c r="P1297" i="2" s="1"/>
  <c r="P669" i="2" a="1"/>
  <c r="P669" i="2" s="1"/>
  <c r="P473" i="2" a="1"/>
  <c r="P473" i="2" s="1"/>
  <c r="P784" i="2" a="1"/>
  <c r="P784" i="2" s="1"/>
  <c r="P1484" i="2" a="1"/>
  <c r="P1484" i="2" s="1"/>
  <c r="P1359" i="2" a="1"/>
  <c r="P1359" i="2" s="1"/>
  <c r="P882" i="2" a="1"/>
  <c r="P882" i="2" s="1"/>
  <c r="P375" i="2" a="1"/>
  <c r="P375" i="2" s="1"/>
  <c r="P1407" i="2" a="1"/>
  <c r="P1407" i="2" s="1"/>
  <c r="P1363" i="2" a="1"/>
  <c r="P1363" i="2" s="1"/>
  <c r="P1377" i="2" a="1"/>
  <c r="P1377" i="2" s="1"/>
  <c r="P1050" i="2" a="1"/>
  <c r="P1050" i="2" s="1"/>
  <c r="P921" i="2" a="1"/>
  <c r="P921" i="2" s="1"/>
  <c r="P144" i="2" a="1"/>
  <c r="P144" i="2" s="1"/>
  <c r="P609" i="2" a="1"/>
  <c r="P609" i="2" s="1"/>
  <c r="P1109" i="2" a="1"/>
  <c r="P1109" i="2" s="1"/>
  <c r="P1711" i="2" a="1"/>
  <c r="P1711" i="2" s="1"/>
  <c r="P247" i="2" a="1"/>
  <c r="P247" i="2" s="1"/>
  <c r="P753" i="2" a="1"/>
  <c r="P753" i="2" s="1"/>
  <c r="P21" i="2" a="1"/>
  <c r="P21" i="2" s="1"/>
  <c r="P198" i="2" a="1"/>
  <c r="P198" i="2" s="1"/>
  <c r="P68" i="2" a="1"/>
  <c r="P68" i="2" s="1"/>
  <c r="P418" i="2" a="1"/>
  <c r="P418" i="2" s="1"/>
  <c r="P1715" i="2" a="1"/>
  <c r="P1715" i="2" s="1"/>
  <c r="P924" i="2" a="1"/>
  <c r="P924" i="2" s="1"/>
  <c r="P1717" i="2" a="1"/>
  <c r="P1717" i="2" s="1"/>
  <c r="P1703" i="2" a="1"/>
  <c r="P1703" i="2" s="1"/>
  <c r="P820" i="2" a="1"/>
  <c r="P820" i="2" s="1"/>
  <c r="P659" i="2" a="1"/>
  <c r="P659" i="2" s="1"/>
  <c r="P349" i="2" a="1"/>
  <c r="P349" i="2" s="1"/>
  <c r="P110" i="2" a="1"/>
  <c r="P110" i="2" s="1"/>
  <c r="P1202" i="2" a="1"/>
  <c r="P1202" i="2" s="1"/>
  <c r="P682" i="2" a="1"/>
  <c r="P682" i="2" s="1"/>
  <c r="P358" i="2" a="1"/>
  <c r="P358" i="2" s="1"/>
  <c r="P1167" i="2" a="1"/>
  <c r="P1167" i="2" s="1"/>
  <c r="P750" i="2" a="1"/>
  <c r="P750" i="2" s="1"/>
  <c r="P998" i="2" a="1"/>
  <c r="P998" i="2" s="1"/>
  <c r="P488" i="2" a="1"/>
  <c r="P488" i="2" s="1"/>
  <c r="P187" i="2" a="1"/>
  <c r="P187" i="2" s="1"/>
  <c r="P372" i="2" a="1"/>
  <c r="P372" i="2" s="1"/>
  <c r="P551" i="2" a="1"/>
  <c r="P551" i="2" s="1"/>
  <c r="P1163" i="2" a="1"/>
  <c r="P1163" i="2" s="1"/>
  <c r="P1474" i="2" a="1"/>
  <c r="P1474" i="2" s="1"/>
  <c r="P1195" i="2" a="1"/>
  <c r="P1195" i="2" s="1"/>
  <c r="P1024" i="2" a="1"/>
  <c r="P1024" i="2" s="1"/>
  <c r="P1039" i="2" a="1"/>
  <c r="P1039" i="2" s="1"/>
  <c r="P73" i="2" a="1"/>
  <c r="P73" i="2" s="1"/>
  <c r="P34" i="2" a="1"/>
  <c r="P34" i="2" s="1"/>
  <c r="P1217" i="2" a="1"/>
  <c r="P1217" i="2" s="1"/>
  <c r="P902" i="2" a="1"/>
  <c r="P902" i="2" s="1"/>
  <c r="P174" i="2" a="1"/>
  <c r="P174" i="2" s="1"/>
  <c r="P496" i="2" a="1"/>
  <c r="P496" i="2" s="1"/>
  <c r="P1345" i="2" a="1"/>
  <c r="P1345" i="2" s="1"/>
  <c r="P91" i="2" a="1"/>
  <c r="P91" i="2" s="1"/>
  <c r="P1152" i="2" a="1"/>
  <c r="P1152" i="2" s="1"/>
  <c r="P1033" i="2" a="1"/>
  <c r="P1033" i="2" s="1"/>
  <c r="P954" i="2" a="1"/>
  <c r="P954" i="2" s="1"/>
  <c r="P216" i="2" a="1"/>
  <c r="P216" i="2" s="1"/>
  <c r="P3" i="2" a="1"/>
  <c r="P3" i="2" s="1"/>
  <c r="P1252" i="2" a="1"/>
  <c r="P1252" i="2" s="1"/>
  <c r="P1207" i="2" a="1"/>
  <c r="P1207" i="2" s="1"/>
  <c r="P1092" i="2" a="1"/>
  <c r="P1092" i="2" s="1"/>
  <c r="P278" i="2" a="1"/>
  <c r="P278" i="2" s="1"/>
  <c r="P564" i="2" a="1"/>
  <c r="P564" i="2" s="1"/>
  <c r="P237" i="2" a="1"/>
  <c r="P237" i="2" s="1"/>
  <c r="P42" i="2" a="1"/>
  <c r="P42" i="2" s="1"/>
  <c r="P1713" i="2" a="1"/>
  <c r="P1713" i="2" s="1"/>
  <c r="P481" i="2" a="1"/>
  <c r="P481" i="2" s="1"/>
  <c r="P893" i="2" a="1"/>
  <c r="P893" i="2" s="1"/>
  <c r="P402" i="2" a="1"/>
  <c r="P402" i="2" s="1"/>
  <c r="P1421" i="2" a="1"/>
  <c r="P1421" i="2" s="1"/>
  <c r="P652" i="2" a="1"/>
  <c r="P652" i="2" s="1"/>
  <c r="P393" i="2" a="1"/>
  <c r="P393" i="2" s="1"/>
  <c r="P135" i="2" a="1"/>
  <c r="P135" i="2" s="1"/>
  <c r="P92" i="2" a="1"/>
  <c r="P92" i="2" s="1"/>
  <c r="P1257" i="2" a="1"/>
  <c r="P1257" i="2" s="1"/>
  <c r="P1201" i="2" a="1"/>
  <c r="P1201" i="2" s="1"/>
  <c r="P258" i="2" a="1"/>
  <c r="P258" i="2" s="1"/>
  <c r="P1103" i="2" a="1"/>
  <c r="P1103" i="2" s="1"/>
  <c r="P99" i="2" a="1"/>
  <c r="P99" i="2" s="1"/>
  <c r="P1004" i="2" a="1"/>
  <c r="P1004" i="2" s="1"/>
  <c r="P1172" i="2" a="1"/>
  <c r="P1172" i="2" s="1"/>
  <c r="P594" i="2" a="1"/>
  <c r="P594" i="2" s="1"/>
  <c r="P812" i="2" a="1"/>
  <c r="P812" i="2" s="1"/>
  <c r="P518" i="2" a="1"/>
  <c r="P518" i="2" s="1"/>
  <c r="P254" i="2" a="1"/>
  <c r="P254" i="2" s="1"/>
  <c r="P1016" i="2" a="1"/>
  <c r="P1016" i="2" s="1"/>
  <c r="P240" i="2" a="1"/>
  <c r="P240" i="2" s="1"/>
  <c r="P662" i="2" a="1"/>
  <c r="P662" i="2" s="1"/>
  <c r="P650" i="2" a="1"/>
  <c r="P650" i="2" s="1"/>
  <c r="P343" i="2" a="1"/>
  <c r="P343" i="2" s="1"/>
  <c r="P74" i="2" a="1"/>
  <c r="P74" i="2" s="1"/>
  <c r="P1493" i="2" a="1"/>
  <c r="P1493" i="2" s="1"/>
  <c r="P127" i="2" a="1"/>
  <c r="P127" i="2" s="1"/>
  <c r="P98" i="2" a="1"/>
  <c r="P98" i="2" s="1"/>
  <c r="P684" i="2" a="1"/>
  <c r="P684" i="2" s="1"/>
  <c r="P1320" i="2" a="1"/>
  <c r="P1320" i="2" s="1"/>
  <c r="P781" i="2" a="1"/>
  <c r="P781" i="2" s="1"/>
  <c r="P550" i="2" a="1"/>
  <c r="P550" i="2" s="1"/>
  <c r="P118" i="2" a="1"/>
  <c r="P118" i="2" s="1"/>
  <c r="P1464" i="2" a="1"/>
  <c r="P1464" i="2" s="1"/>
  <c r="P670" i="2" a="1"/>
  <c r="P670" i="2" s="1"/>
  <c r="P370" i="2" a="1"/>
  <c r="P370" i="2" s="1"/>
  <c r="P1219" i="2" a="1"/>
  <c r="P1219" i="2" s="1"/>
  <c r="P974" i="2" a="1"/>
  <c r="P974" i="2" s="1"/>
  <c r="P1053" i="2" a="1"/>
  <c r="P1053" i="2" s="1"/>
  <c r="P760" i="2" a="1"/>
  <c r="P760" i="2" s="1"/>
  <c r="P1213" i="2" a="1"/>
  <c r="P1213" i="2" s="1"/>
  <c r="P271" i="2" a="1"/>
  <c r="P271" i="2" s="1"/>
  <c r="P95" i="2" a="1"/>
  <c r="P95" i="2" s="1"/>
  <c r="P1222" i="2" a="1"/>
  <c r="P1222" i="2" s="1"/>
  <c r="P1122" i="2" a="1"/>
  <c r="P1122" i="2" s="1"/>
  <c r="P1714" i="2" a="1"/>
  <c r="P1714" i="2" s="1"/>
  <c r="P588" i="2" a="1"/>
  <c r="P588" i="2" s="1"/>
  <c r="P671" i="2" a="1"/>
  <c r="P671" i="2" s="1"/>
  <c r="P82" i="2" a="1"/>
  <c r="P82" i="2" s="1"/>
  <c r="P1376" i="2" a="1"/>
  <c r="P1376" i="2" s="1"/>
  <c r="P729" i="2" a="1"/>
  <c r="P729" i="2" s="1"/>
  <c r="P1704" i="2" a="1"/>
  <c r="P1704" i="2" s="1"/>
  <c r="P57" i="2" a="1"/>
  <c r="P57" i="2" s="1"/>
  <c r="P870" i="2" a="1"/>
  <c r="P870" i="2" s="1"/>
  <c r="P22" i="2" a="1"/>
  <c r="P22" i="2" s="1"/>
  <c r="P633" i="2" a="1"/>
  <c r="P633" i="2" s="1"/>
  <c r="P288" i="2" a="1"/>
  <c r="P288" i="2" s="1"/>
  <c r="P1270" i="2" a="1"/>
  <c r="P1270" i="2" s="1"/>
  <c r="P577" i="2" a="1"/>
  <c r="P577" i="2" s="1"/>
  <c r="P1690" i="2" a="1"/>
  <c r="P1690" i="2" s="1"/>
  <c r="P61" i="2" a="1"/>
  <c r="P61" i="2" s="1"/>
  <c r="P1429" i="2" a="1"/>
  <c r="P1429" i="2" s="1"/>
  <c r="P874" i="2" a="1"/>
  <c r="P874" i="2" s="1"/>
  <c r="P276" i="2" a="1"/>
  <c r="P276" i="2" s="1"/>
  <c r="P697" i="2" a="1"/>
  <c r="P697" i="2" s="1"/>
  <c r="P239" i="2" a="1"/>
  <c r="P239" i="2" s="1"/>
  <c r="P839" i="2" a="1"/>
  <c r="P839" i="2" s="1"/>
  <c r="P696" i="2" a="1"/>
  <c r="P696" i="2" s="1"/>
  <c r="P49" i="2" a="1"/>
  <c r="P49" i="2" s="1"/>
  <c r="P266" i="2" a="1"/>
  <c r="P266" i="2" s="1"/>
  <c r="P1077" i="2" a="1"/>
  <c r="P1077" i="2" s="1"/>
  <c r="P128" i="2" a="1"/>
  <c r="P128" i="2" s="1"/>
  <c r="P854" i="2" a="1"/>
  <c r="P854" i="2" s="1"/>
  <c r="P1453" i="2" a="1"/>
  <c r="P1453" i="2" s="1"/>
  <c r="P773" i="2" a="1"/>
  <c r="P773" i="2" s="1"/>
  <c r="P1136" i="2" a="1"/>
  <c r="P1136" i="2" s="1"/>
  <c r="P1280" i="2" a="1"/>
  <c r="P1280" i="2" s="1"/>
  <c r="P802" i="2" a="1"/>
  <c r="P802" i="2" s="1"/>
  <c r="P1721" i="2" a="1"/>
  <c r="P1721" i="2" s="1"/>
  <c r="P503" i="2" a="1"/>
  <c r="P503" i="2" s="1"/>
  <c r="P515" i="2" a="1"/>
  <c r="P515" i="2" s="1"/>
  <c r="P498" i="2" a="1"/>
  <c r="P498" i="2" s="1"/>
  <c r="P580" i="2" a="1"/>
  <c r="P580" i="2" s="1"/>
  <c r="P1378" i="2" a="1"/>
  <c r="P1378" i="2" s="1"/>
  <c r="P783" i="2" a="1"/>
  <c r="P783" i="2" s="1"/>
  <c r="P963" i="2" a="1"/>
  <c r="P963" i="2" s="1"/>
  <c r="P371" i="2" a="1"/>
  <c r="P371" i="2" s="1"/>
  <c r="P538" i="2" a="1"/>
  <c r="P538" i="2" s="1"/>
  <c r="P1236" i="2" a="1"/>
  <c r="P1236" i="2" s="1"/>
  <c r="P1014" i="2" a="1"/>
  <c r="P1014" i="2" s="1"/>
  <c r="P41" i="2" a="1"/>
  <c r="P41" i="2" s="1"/>
  <c r="P554" i="2" a="1"/>
  <c r="P554" i="2" s="1"/>
  <c r="P162" i="2" a="1"/>
  <c r="P162" i="2" s="1"/>
  <c r="P767" i="2" a="1"/>
  <c r="P767" i="2" s="1"/>
  <c r="P1702" i="2" a="1"/>
  <c r="P1702" i="2" s="1"/>
  <c r="P24" i="2" a="1"/>
  <c r="P24" i="2" s="1"/>
  <c r="P25" i="2" a="1"/>
  <c r="P25" i="2" s="1"/>
  <c r="P425" i="2" a="1"/>
  <c r="P425" i="2" s="1"/>
  <c r="P1312" i="2" a="1"/>
  <c r="P1312" i="2" s="1"/>
  <c r="P1181" i="2" a="1"/>
  <c r="P1181" i="2" s="1"/>
  <c r="P428" i="2" a="1"/>
  <c r="P428" i="2" s="1"/>
  <c r="P1318" i="2" a="1"/>
  <c r="P1318" i="2" s="1"/>
  <c r="P731" i="2" a="1"/>
  <c r="P731" i="2" s="1"/>
  <c r="P821" i="2" a="1"/>
  <c r="P821" i="2" s="1"/>
  <c r="P681" i="2" a="1"/>
  <c r="P681" i="2" s="1"/>
  <c r="P566" i="2" a="1"/>
  <c r="P566" i="2" s="1"/>
  <c r="P707" i="2" a="1"/>
  <c r="P707" i="2" s="1"/>
  <c r="P825" i="2" a="1"/>
  <c r="P825" i="2" s="1"/>
  <c r="P302" i="2" a="1"/>
  <c r="P302" i="2" s="1"/>
  <c r="P677" i="2" a="1"/>
  <c r="P677" i="2" s="1"/>
  <c r="P1354" i="2" a="1"/>
  <c r="P1354" i="2" s="1"/>
  <c r="P470" i="2" a="1"/>
  <c r="P470" i="2" s="1"/>
  <c r="P1042" i="2" a="1"/>
  <c r="P1042" i="2" s="1"/>
  <c r="P1080" i="2" a="1"/>
  <c r="P1080" i="2" s="1"/>
  <c r="P1232" i="2" a="1"/>
  <c r="P1232" i="2" s="1"/>
  <c r="P578" i="2" a="1"/>
  <c r="P578" i="2" s="1"/>
  <c r="P579" i="2" a="1"/>
  <c r="P579" i="2" s="1"/>
  <c r="P1079" i="2" a="1"/>
  <c r="P1079" i="2" s="1"/>
  <c r="P1174" i="2" a="1"/>
  <c r="P1174" i="2" s="1"/>
  <c r="P596" i="2" a="1"/>
  <c r="P596" i="2" s="1"/>
  <c r="P1676" i="2" a="1"/>
  <c r="P1676" i="2" s="1"/>
  <c r="P20" i="2" a="1"/>
  <c r="P20" i="2" s="1"/>
  <c r="P1701" i="2" a="1"/>
  <c r="P1701" i="2" s="1"/>
  <c r="P747" i="2" a="1"/>
  <c r="P747" i="2" s="1"/>
  <c r="P1209" i="2" a="1"/>
  <c r="P1209" i="2" s="1"/>
  <c r="P27" i="2" a="1"/>
  <c r="P27" i="2" s="1"/>
  <c r="P1088" i="2" a="1"/>
  <c r="P1088" i="2" s="1"/>
  <c r="P660" i="2" a="1"/>
  <c r="P660" i="2" s="1"/>
  <c r="P749" i="2" a="1"/>
  <c r="P749" i="2" s="1"/>
  <c r="P1346" i="2" a="1"/>
  <c r="P1346" i="2" s="1"/>
  <c r="P444" i="2" a="1"/>
  <c r="P444" i="2" s="1"/>
  <c r="P277" i="2" a="1"/>
  <c r="P277" i="2" s="1"/>
  <c r="P469" i="2" a="1"/>
  <c r="P469" i="2" s="1"/>
  <c r="P654" i="2" a="1"/>
  <c r="P654" i="2" s="1"/>
  <c r="P324" i="2" a="1"/>
  <c r="P324" i="2" s="1"/>
  <c r="P1134" i="2" a="1"/>
  <c r="P1134" i="2" s="1"/>
  <c r="P934" i="2" a="1"/>
  <c r="P934" i="2" s="1"/>
  <c r="P1443" i="2" a="1"/>
  <c r="P1443" i="2" s="1"/>
  <c r="P1716" i="2" a="1"/>
  <c r="P1716" i="2" s="1"/>
  <c r="P1510" i="2" a="1"/>
  <c r="P1510" i="2" s="1"/>
  <c r="P1275" i="2" a="1"/>
  <c r="P1275" i="2" s="1"/>
  <c r="P1296" i="2" a="1"/>
  <c r="P1296" i="2" s="1"/>
  <c r="P1010" i="2" a="1"/>
  <c r="P1010" i="2" s="1"/>
  <c r="P1348" i="2" a="1"/>
  <c r="P1348" i="2" s="1"/>
  <c r="P757" i="2" a="1"/>
  <c r="P757" i="2" s="1"/>
  <c r="P838" i="2" a="1"/>
  <c r="P838" i="2" s="1"/>
  <c r="P909" i="2" a="1"/>
  <c r="P909" i="2" s="1"/>
  <c r="P1049" i="2" a="1"/>
  <c r="P1049" i="2" s="1"/>
  <c r="P786" i="2" a="1"/>
  <c r="P786" i="2" s="1"/>
  <c r="P207" i="2" a="1"/>
  <c r="P207" i="2" s="1"/>
  <c r="P817" i="2" a="1"/>
  <c r="P817" i="2" s="1"/>
  <c r="P76" i="2" a="1"/>
  <c r="P76" i="2" s="1"/>
  <c r="P468" i="2" a="1"/>
  <c r="P468" i="2" s="1"/>
  <c r="P87" i="2" a="1"/>
  <c r="P87" i="2" s="1"/>
  <c r="P734" i="2" a="1"/>
  <c r="P734" i="2" s="1"/>
  <c r="P1279" i="2" a="1"/>
  <c r="P1279" i="2" s="1"/>
  <c r="P1708" i="2" a="1"/>
  <c r="P1708" i="2" s="1"/>
  <c r="P363" i="2" a="1"/>
  <c r="P363" i="2" s="1"/>
  <c r="P586" i="2" a="1"/>
  <c r="P586" i="2" s="1"/>
  <c r="P706" i="2" a="1"/>
  <c r="P706" i="2" s="1"/>
  <c r="P456" i="2" a="1"/>
  <c r="P456" i="2" s="1"/>
  <c r="P831" i="2" a="1"/>
  <c r="P831" i="2" s="1"/>
  <c r="P1685" i="2" a="1"/>
  <c r="P1685" i="2" s="1"/>
  <c r="P941" i="2" a="1"/>
  <c r="P941" i="2" s="1"/>
  <c r="P723" i="2" a="1"/>
  <c r="P723" i="2" s="1"/>
  <c r="P796" i="2" a="1"/>
  <c r="P796" i="2" s="1"/>
  <c r="P88" i="2" a="1"/>
  <c r="P88" i="2" s="1"/>
  <c r="P640" i="2" a="1"/>
  <c r="P640" i="2" s="1"/>
  <c r="P875" i="2" a="1"/>
  <c r="P875" i="2" s="1"/>
  <c r="P537" i="2" a="1"/>
  <c r="P537" i="2" s="1"/>
  <c r="P18" i="2" a="1"/>
  <c r="P18" i="2" s="1"/>
  <c r="P1688" i="2" a="1"/>
  <c r="P1688" i="2" s="1"/>
  <c r="P922" i="2" a="1"/>
  <c r="P922" i="2" s="1"/>
  <c r="P971" i="2" a="1"/>
  <c r="P971" i="2" s="1"/>
  <c r="P1375" i="2" a="1"/>
  <c r="P1375" i="2" s="1"/>
  <c r="P546" i="2" a="1"/>
  <c r="P546" i="2" s="1"/>
  <c r="P826" i="2" a="1"/>
  <c r="P826" i="2" s="1"/>
  <c r="P864" i="2" a="1"/>
  <c r="P864" i="2" s="1"/>
  <c r="P1147" i="2" a="1"/>
  <c r="P1147" i="2" s="1"/>
  <c r="P357" i="2" a="1"/>
  <c r="P357" i="2" s="1"/>
  <c r="P265" i="2" a="1"/>
  <c r="P265" i="2" s="1"/>
  <c r="P1319" i="2" a="1"/>
  <c r="P1319" i="2" s="1"/>
  <c r="P1478" i="2" a="1"/>
  <c r="P1478" i="2" s="1"/>
  <c r="P969" i="2" a="1"/>
  <c r="P969" i="2" s="1"/>
  <c r="P1093" i="2" a="1"/>
  <c r="P1093" i="2" s="1"/>
  <c r="P1126" i="2" a="1"/>
  <c r="P1126" i="2" s="1"/>
  <c r="P665" i="2" a="1"/>
  <c r="P665" i="2" s="1"/>
  <c r="P490" i="2" a="1"/>
  <c r="P490" i="2" s="1"/>
  <c r="P436" i="2" a="1"/>
  <c r="P436" i="2" s="1"/>
  <c r="P680" i="2" a="1"/>
  <c r="P680" i="2" s="1"/>
  <c r="P145" i="2" a="1"/>
  <c r="P145" i="2" s="1"/>
  <c r="P1463" i="2" a="1"/>
  <c r="P1463" i="2" s="1"/>
  <c r="P1091" i="2" a="1"/>
  <c r="P1091" i="2" s="1"/>
  <c r="P1417" i="2" a="1"/>
  <c r="P1417" i="2" s="1"/>
  <c r="P1198" i="2" a="1"/>
  <c r="P1198" i="2" s="1"/>
  <c r="P58" i="2" a="1"/>
  <c r="P58" i="2" s="1"/>
  <c r="P779" i="2" a="1"/>
  <c r="P779" i="2" s="1"/>
  <c r="P113" i="2" a="1"/>
  <c r="P113" i="2" s="1"/>
  <c r="P1089" i="2" a="1"/>
  <c r="P1089" i="2" s="1"/>
  <c r="P1712" i="2" a="1"/>
  <c r="P1712" i="2" s="1"/>
  <c r="P289" i="2" a="1"/>
  <c r="P289" i="2" s="1"/>
  <c r="P5" i="2" a="1"/>
  <c r="P5" i="2" s="1"/>
  <c r="P272" i="2" a="1"/>
  <c r="P272" i="2" s="1"/>
  <c r="P218" i="2" a="1"/>
  <c r="P218" i="2" s="1"/>
  <c r="P1334" i="2" a="1"/>
  <c r="P1334" i="2" s="1"/>
  <c r="P33" i="2" a="1"/>
  <c r="P33" i="2" s="1"/>
  <c r="P699" i="2" a="1"/>
  <c r="P699" i="2" s="1"/>
  <c r="P1277" i="2" a="1"/>
  <c r="P1277" i="2" s="1"/>
  <c r="P694" i="2" a="1"/>
  <c r="P694" i="2" s="1"/>
  <c r="P1432" i="2" a="1"/>
  <c r="P1432" i="2" s="1"/>
  <c r="P574" i="2" a="1"/>
  <c r="P574" i="2" s="1"/>
  <c r="P884" i="2" a="1"/>
  <c r="P884" i="2" s="1"/>
  <c r="P222" i="2" a="1"/>
  <c r="P222" i="2" s="1"/>
  <c r="P1722" i="2" a="1"/>
  <c r="P1722" i="2" s="1"/>
  <c r="P1302" i="2" a="1"/>
  <c r="P1302" i="2" s="1"/>
  <c r="P1323" i="2" a="1"/>
  <c r="P1323" i="2" s="1"/>
  <c r="P571" i="2" a="1"/>
  <c r="P571" i="2" s="1"/>
  <c r="P557" i="2" a="1"/>
  <c r="P557" i="2" s="1"/>
  <c r="P904" i="2" a="1"/>
  <c r="P904" i="2" s="1"/>
  <c r="P724" i="2" a="1"/>
  <c r="P724" i="2" s="1"/>
  <c r="P248" i="2" a="1"/>
  <c r="P248" i="2" s="1"/>
  <c r="P916" i="2" a="1"/>
  <c r="P916" i="2" s="1"/>
  <c r="P1454" i="2" a="1"/>
  <c r="P1454" i="2" s="1"/>
  <c r="P1326" i="2" a="1"/>
  <c r="P1326" i="2" s="1"/>
  <c r="P597" i="2" a="1"/>
  <c r="P597" i="2" s="1"/>
  <c r="P1155" i="2" a="1"/>
  <c r="P1155" i="2" s="1"/>
  <c r="P642" i="2" a="1"/>
  <c r="P642" i="2" s="1"/>
  <c r="P329" i="2" a="1"/>
  <c r="P329" i="2" s="1"/>
  <c r="P1182" i="2" a="1"/>
  <c r="P1182" i="2" s="1"/>
  <c r="P48" i="2" a="1"/>
  <c r="P48" i="2" s="1"/>
  <c r="P1286" i="2" a="1"/>
  <c r="P1286" i="2" s="1"/>
  <c r="P40" i="2" a="1"/>
  <c r="P40" i="2" s="1"/>
  <c r="P1511" i="2" a="1"/>
  <c r="P1511" i="2" s="1"/>
  <c r="P397" i="2" a="1"/>
  <c r="P397" i="2" s="1"/>
  <c r="P1256" i="2" a="1"/>
  <c r="P1256" i="2" s="1"/>
  <c r="P1177" i="2" a="1"/>
  <c r="P1177" i="2" s="1"/>
  <c r="P901" i="2" a="1"/>
  <c r="P901" i="2" s="1"/>
  <c r="P181" i="2" a="1"/>
  <c r="P181" i="2" s="1"/>
  <c r="P332" i="2" a="1"/>
  <c r="P332" i="2" s="1"/>
  <c r="P849" i="2" a="1"/>
  <c r="P849" i="2" s="1"/>
  <c r="P407" i="2" a="1"/>
  <c r="P407" i="2" s="1"/>
  <c r="P94" i="2" a="1"/>
  <c r="P94" i="2" s="1"/>
  <c r="P1029" i="2" a="1"/>
  <c r="P1029" i="2" s="1"/>
  <c r="P920" i="2" a="1"/>
  <c r="P920" i="2" s="1"/>
  <c r="P279" i="2" a="1"/>
  <c r="P279" i="2" s="1"/>
  <c r="P712" i="2" a="1"/>
  <c r="P712" i="2" s="1"/>
  <c r="P1095" i="2" a="1"/>
  <c r="P1095" i="2" s="1"/>
  <c r="P1154" i="2" a="1"/>
  <c r="P1154" i="2" s="1"/>
  <c r="P1057" i="2" a="1"/>
  <c r="P1057" i="2" s="1"/>
  <c r="P721" i="2" a="1"/>
  <c r="P721" i="2" s="1"/>
  <c r="P980" i="2" a="1"/>
  <c r="P980" i="2" s="1"/>
  <c r="P604" i="2" a="1"/>
  <c r="P604" i="2" s="1"/>
  <c r="P961" i="2" a="1"/>
  <c r="P961" i="2" s="1"/>
  <c r="P422" i="2" a="1"/>
  <c r="P422" i="2" s="1"/>
  <c r="P565" i="2" a="1"/>
  <c r="P565" i="2" s="1"/>
  <c r="P1480" i="2" a="1"/>
  <c r="P1480" i="2" s="1"/>
  <c r="P663" i="2" a="1"/>
  <c r="P663" i="2" s="1"/>
  <c r="P486" i="2" a="1"/>
  <c r="P486" i="2" s="1"/>
  <c r="P653" i="2" a="1"/>
  <c r="P653" i="2" s="1"/>
  <c r="P1086" i="2" a="1"/>
  <c r="P1086" i="2" s="1"/>
  <c r="P1107" i="2" a="1"/>
  <c r="P1107" i="2" s="1"/>
  <c r="P1327" i="2" a="1"/>
  <c r="P1327" i="2" s="1"/>
  <c r="P913" i="2" a="1"/>
  <c r="P913" i="2" s="1"/>
  <c r="P494" i="2" a="1"/>
  <c r="P494" i="2" s="1"/>
  <c r="P785" i="2" a="1"/>
  <c r="P785" i="2" s="1"/>
  <c r="P958" i="2" a="1"/>
  <c r="P958" i="2" s="1"/>
  <c r="P1282" i="2" a="1"/>
  <c r="P1282" i="2" s="1"/>
  <c r="P1293" i="2" a="1"/>
  <c r="P1293" i="2" s="1"/>
  <c r="P996" i="2" a="1"/>
  <c r="P996" i="2" s="1"/>
  <c r="P863" i="2" a="1"/>
  <c r="P863" i="2" s="1"/>
  <c r="P500" i="2" a="1"/>
  <c r="P500" i="2" s="1"/>
  <c r="P79" i="2" a="1"/>
  <c r="P79" i="2" s="1"/>
  <c r="P56" i="2" a="1"/>
  <c r="P56" i="2" s="1"/>
  <c r="P1342" i="2" a="1"/>
  <c r="P1342" i="2" s="1"/>
  <c r="P1705" i="2" a="1"/>
  <c r="P1705" i="2" s="1"/>
  <c r="P1718" i="2" a="1"/>
  <c r="P1718" i="2" s="1"/>
  <c r="P1735" i="2" a="1"/>
  <c r="P1735" i="2" s="1"/>
  <c r="P759" i="2" a="1"/>
  <c r="P759" i="2" s="1"/>
  <c r="P1456" i="2" a="1"/>
  <c r="P1456" i="2" s="1"/>
  <c r="P368" i="2" a="1"/>
  <c r="P368" i="2" s="1"/>
  <c r="P589" i="2" a="1"/>
  <c r="P589" i="2" s="1"/>
  <c r="P770" i="2" a="1"/>
  <c r="P770" i="2" s="1"/>
  <c r="P1412" i="2" a="1"/>
  <c r="P1412" i="2" s="1"/>
  <c r="P151" i="2" a="1"/>
  <c r="P151" i="2" s="1"/>
  <c r="P728" i="2" a="1"/>
  <c r="P728" i="2" s="1"/>
  <c r="P1358" i="2" a="1"/>
  <c r="P1358" i="2" s="1"/>
  <c r="P396" i="2" a="1"/>
  <c r="P396" i="2" s="1"/>
  <c r="P1087" i="2" a="1"/>
  <c r="P1087" i="2" s="1"/>
  <c r="P824" i="2" a="1"/>
  <c r="P824" i="2" s="1"/>
  <c r="P1340" i="2" a="1"/>
  <c r="P1340" i="2" s="1"/>
  <c r="P1366" i="2" a="1"/>
  <c r="P1366" i="2" s="1"/>
  <c r="P1360" i="2" a="1"/>
  <c r="P1360" i="2" s="1"/>
  <c r="P414" i="2" a="1"/>
  <c r="P414" i="2" s="1"/>
  <c r="P1729" i="2" a="1"/>
  <c r="P1729" i="2" s="1"/>
  <c r="P768" i="2" a="1"/>
  <c r="P768" i="2" s="1"/>
  <c r="P1133" i="2" a="1"/>
  <c r="P1133" i="2" s="1"/>
  <c r="P262" i="2" a="1"/>
  <c r="P262" i="2" s="1"/>
  <c r="P519" i="2" a="1"/>
  <c r="P519" i="2" s="1"/>
  <c r="P687" i="2" a="1"/>
  <c r="P687" i="2" s="1"/>
  <c r="P1731" i="2" a="1"/>
  <c r="P1731" i="2" s="1"/>
  <c r="P1067" i="2" a="1"/>
  <c r="P1067" i="2" s="1"/>
  <c r="P1233" i="2" a="1"/>
  <c r="P1233" i="2" s="1"/>
  <c r="P1298" i="2" a="1"/>
  <c r="P1298" i="2" s="1"/>
  <c r="P434" i="2" a="1"/>
  <c r="P434" i="2" s="1"/>
  <c r="P1335" i="2" a="1"/>
  <c r="P1335" i="2" s="1"/>
  <c r="P1135" i="2" a="1"/>
  <c r="P1135" i="2" s="1"/>
  <c r="P1409" i="2" a="1"/>
  <c r="P1409" i="2" s="1"/>
  <c r="P312" i="2" a="1"/>
  <c r="P312" i="2" s="1"/>
  <c r="P938" i="2" a="1"/>
  <c r="P938" i="2" s="1"/>
  <c r="P981" i="2" a="1"/>
  <c r="P981" i="2" s="1"/>
  <c r="P639" i="2" a="1"/>
  <c r="P639" i="2" s="1"/>
  <c r="P189" i="2" a="1"/>
  <c r="P189" i="2" s="1"/>
  <c r="P1121" i="2" a="1"/>
  <c r="P1121" i="2" s="1"/>
  <c r="P856" i="2" a="1"/>
  <c r="P856" i="2" s="1"/>
  <c r="P1184" i="2" a="1"/>
  <c r="P1184" i="2" s="1"/>
  <c r="P1187" i="2" a="1"/>
  <c r="P1187" i="2" s="1"/>
  <c r="P1672" i="2" a="1"/>
  <c r="P1672" i="2" s="1"/>
  <c r="P463" i="2" a="1"/>
  <c r="P463" i="2" s="1"/>
  <c r="P525" i="2" a="1"/>
  <c r="P525" i="2" s="1"/>
  <c r="P810" i="2" a="1"/>
  <c r="P810" i="2" s="1"/>
  <c r="P1215" i="2" a="1"/>
  <c r="P1215" i="2" s="1"/>
  <c r="P1496" i="2" a="1"/>
  <c r="P1496" i="2" s="1"/>
  <c r="P782" i="2" a="1"/>
  <c r="P782" i="2" s="1"/>
  <c r="P536" i="2" a="1"/>
  <c r="P536" i="2" s="1"/>
  <c r="P1475" i="2" a="1"/>
  <c r="P1475" i="2" s="1"/>
  <c r="P1191" i="2" a="1"/>
  <c r="P1191" i="2" s="1"/>
  <c r="P441" i="2" a="1"/>
  <c r="P441" i="2" s="1"/>
  <c r="P1724" i="2" a="1"/>
  <c r="P1724" i="2" s="1"/>
  <c r="P75" i="2" a="1"/>
  <c r="P75" i="2" s="1"/>
  <c r="P925" i="2" a="1"/>
  <c r="P925" i="2" s="1"/>
  <c r="P967" i="2" a="1"/>
  <c r="P967" i="2" s="1"/>
  <c r="P1462" i="2" a="1"/>
  <c r="P1462" i="2" s="1"/>
  <c r="P947" i="2" a="1"/>
  <c r="P947" i="2" s="1"/>
  <c r="P452" i="2" a="1"/>
  <c r="P452" i="2" s="1"/>
  <c r="P935" i="2" a="1"/>
  <c r="P935" i="2" s="1"/>
  <c r="P1706" i="2" a="1"/>
  <c r="P1706" i="2" s="1"/>
  <c r="P292" i="2" a="1"/>
  <c r="P292" i="2" s="1"/>
  <c r="P1047" i="2" a="1"/>
  <c r="P1047" i="2" s="1"/>
  <c r="P1723" i="2" a="1"/>
  <c r="P1723" i="2" s="1"/>
  <c r="P1692" i="2" a="1"/>
  <c r="P1692" i="2" s="1"/>
  <c r="P1113" i="2" a="1"/>
  <c r="P1113" i="2" s="1"/>
  <c r="P899" i="2" a="1"/>
  <c r="P899" i="2" s="1"/>
  <c r="P1325" i="2" a="1"/>
  <c r="P1325" i="2" s="1"/>
  <c r="P906" i="2" a="1"/>
  <c r="P906" i="2" s="1"/>
  <c r="P545" i="2" a="1"/>
  <c r="P545" i="2" s="1"/>
  <c r="P171" i="2" a="1"/>
  <c r="P171" i="2" s="1"/>
  <c r="P1439" i="2" a="1"/>
  <c r="P1439" i="2" s="1"/>
  <c r="P693" i="2" a="1"/>
  <c r="P693" i="2" s="1"/>
  <c r="P698" i="2" a="1"/>
  <c r="P698" i="2" s="1"/>
  <c r="P1505" i="2" a="1"/>
  <c r="P1505" i="2" s="1"/>
  <c r="P1098" i="2" a="1"/>
  <c r="P1098" i="2" s="1"/>
  <c r="P1339" i="2" a="1"/>
  <c r="P1339" i="2" s="1"/>
  <c r="P214" i="2" a="1"/>
  <c r="P214" i="2" s="1"/>
  <c r="P1022" i="2" a="1"/>
  <c r="P1022" i="2" s="1"/>
  <c r="P984" i="2" a="1"/>
  <c r="P984" i="2" s="1"/>
  <c r="P1082" i="2" a="1"/>
  <c r="P1082" i="2" s="1"/>
  <c r="P202" i="2" a="1"/>
  <c r="P202" i="2" s="1"/>
  <c r="P356" i="2" a="1"/>
  <c r="P356" i="2" s="1"/>
  <c r="P245" i="2" a="1"/>
  <c r="P245" i="2" s="1"/>
  <c r="P46" i="2" a="1"/>
  <c r="P46" i="2" s="1"/>
  <c r="P487" i="2" a="1"/>
  <c r="P487" i="2" s="1"/>
  <c r="P1438" i="2" a="1"/>
  <c r="P1438" i="2" s="1"/>
  <c r="P464" i="2" a="1"/>
  <c r="P464" i="2" s="1"/>
  <c r="P1278" i="2" a="1"/>
  <c r="P1278" i="2" s="1"/>
  <c r="P1025" i="2" a="1"/>
  <c r="P1025" i="2" s="1"/>
  <c r="P1353" i="2" a="1"/>
  <c r="P1353" i="2" s="1"/>
  <c r="P336" i="2" a="1"/>
  <c r="P336" i="2" s="1"/>
  <c r="P86" i="2" a="1"/>
  <c r="P86" i="2" s="1"/>
  <c r="P1291" i="2" a="1"/>
  <c r="P1291" i="2" s="1"/>
  <c r="P270" i="2" a="1"/>
  <c r="P270" i="2" s="1"/>
  <c r="P1245" i="2" a="1"/>
  <c r="P1245" i="2" s="1"/>
  <c r="P748" i="2" a="1"/>
  <c r="P748" i="2" s="1"/>
  <c r="P1108" i="2" a="1"/>
  <c r="P1108" i="2" s="1"/>
  <c r="P1274" i="2" a="1"/>
  <c r="P1274" i="2" s="1"/>
  <c r="P106" i="2" a="1"/>
  <c r="P106" i="2" s="1"/>
  <c r="P290" i="2" a="1"/>
  <c r="P290" i="2" s="1"/>
  <c r="P395" i="2" a="1"/>
  <c r="P395" i="2" s="1"/>
  <c r="P416" i="2" a="1"/>
  <c r="P416" i="2" s="1"/>
  <c r="P157" i="2" a="1"/>
  <c r="P157" i="2" s="1"/>
  <c r="P1231" i="2" a="1"/>
  <c r="P1231" i="2" s="1"/>
  <c r="P1166" i="2" a="1"/>
  <c r="P1166" i="2" s="1"/>
  <c r="P224" i="2" a="1"/>
  <c r="P224" i="2" s="1"/>
  <c r="P285" i="2" a="1"/>
  <c r="P285" i="2" s="1"/>
  <c r="P1682" i="2" a="1"/>
  <c r="P1682" i="2" s="1"/>
  <c r="P504" i="2" a="1"/>
  <c r="P504" i="2" s="1"/>
  <c r="P440" i="2" a="1"/>
  <c r="P440" i="2" s="1"/>
  <c r="P1052" i="2" a="1"/>
  <c r="P1052" i="2" s="1"/>
  <c r="P917" i="2" a="1"/>
  <c r="P917" i="2" s="1"/>
  <c r="P491" i="2" a="1"/>
  <c r="P491" i="2" s="1"/>
  <c r="P72" i="2" a="1"/>
  <c r="P72" i="2" s="1"/>
  <c r="P327" i="2" a="1"/>
  <c r="P327" i="2" s="1"/>
  <c r="P176" i="2" a="1"/>
  <c r="P176" i="2" s="1"/>
  <c r="P1124" i="2" a="1"/>
  <c r="P1124" i="2" s="1"/>
  <c r="P140" i="2" a="1"/>
  <c r="P140" i="2" s="1"/>
  <c r="P233" i="2" a="1"/>
  <c r="P233" i="2" s="1"/>
  <c r="P244" i="2" a="1"/>
  <c r="P244" i="2" s="1"/>
  <c r="P1681" i="2" a="1"/>
  <c r="P1681" i="2" s="1"/>
  <c r="P161" i="2" a="1"/>
  <c r="P161" i="2" s="1"/>
  <c r="P388" i="2" a="1"/>
  <c r="P388" i="2" s="1"/>
  <c r="P30" i="2" a="1"/>
  <c r="P30" i="2" s="1"/>
  <c r="P398" i="2" a="1"/>
  <c r="P398" i="2" s="1"/>
  <c r="P380" i="2" a="1"/>
  <c r="P380" i="2" s="1"/>
  <c r="P1115" i="2" a="1"/>
  <c r="P1115" i="2" s="1"/>
  <c r="P169" i="2" a="1"/>
  <c r="P169" i="2" s="1"/>
  <c r="P1228" i="2" a="1"/>
  <c r="P1228" i="2" s="1"/>
  <c r="P466" i="2" a="1"/>
  <c r="P466" i="2" s="1"/>
  <c r="P1023" i="2" a="1"/>
  <c r="P1023" i="2" s="1"/>
  <c r="P1455" i="2" a="1"/>
  <c r="P1455" i="2" s="1"/>
  <c r="P668" i="2" a="1"/>
  <c r="P668" i="2" s="1"/>
  <c r="P975" i="2" a="1"/>
  <c r="P975" i="2" s="1"/>
  <c r="P410" i="2" a="1"/>
  <c r="P410" i="2" s="1"/>
  <c r="P1330" i="2" a="1"/>
  <c r="P1330" i="2" s="1"/>
  <c r="P1309" i="2" a="1"/>
  <c r="P1309" i="2" s="1"/>
  <c r="P1373" i="2" a="1"/>
  <c r="P1373" i="2" s="1"/>
  <c r="P1304" i="2" a="1"/>
  <c r="P1304" i="2" s="1"/>
  <c r="P313" i="2" a="1"/>
  <c r="P313" i="2" s="1"/>
  <c r="P283" i="2" a="1"/>
  <c r="P283" i="2" s="1"/>
  <c r="P273" i="2" a="1"/>
  <c r="P273" i="2" s="1"/>
  <c r="P259" i="2" a="1"/>
  <c r="P259" i="2" s="1"/>
  <c r="P1707" i="2" a="1"/>
  <c r="P1707" i="2" s="1"/>
  <c r="P752" i="2" a="1"/>
  <c r="P752" i="2" s="1"/>
  <c r="P610" i="2" a="1"/>
  <c r="P610" i="2" s="1"/>
  <c r="P17" i="2" a="1"/>
  <c r="P17" i="2" s="1"/>
  <c r="P1674" i="2" a="1"/>
  <c r="P1674" i="2" s="1"/>
  <c r="P990" i="2" a="1"/>
  <c r="P990" i="2" s="1"/>
  <c r="P993" i="2" a="1"/>
  <c r="P993" i="2" s="1"/>
  <c r="P497" i="2" a="1"/>
  <c r="P497" i="2" s="1"/>
  <c r="P123" i="2" a="1"/>
  <c r="P123" i="2" s="1"/>
  <c r="P1090" i="2" a="1"/>
  <c r="P1090" i="2" s="1"/>
  <c r="P949" i="2" a="1"/>
  <c r="P949" i="2" s="1"/>
  <c r="P1693" i="2" a="1"/>
  <c r="P1693" i="2" s="1"/>
  <c r="P1247" i="2" a="1"/>
  <c r="P1247" i="2" s="1"/>
  <c r="P351" i="2" a="1"/>
  <c r="P351" i="2" s="1"/>
  <c r="Q1265" i="2" a="1"/>
  <c r="Q1265" i="2" s="1"/>
  <c r="Q1469" i="2" a="1"/>
  <c r="Q1469" i="2" s="1"/>
  <c r="Q1231" i="2" a="1"/>
  <c r="Q1231" i="2" s="1"/>
  <c r="Q1139" i="2" a="1"/>
  <c r="Q1139" i="2" s="1"/>
  <c r="Q894" i="2" a="1"/>
  <c r="Q894" i="2" s="1"/>
  <c r="Q608" i="2" a="1"/>
  <c r="Q608" i="2" s="1"/>
  <c r="Q1498" i="2" a="1"/>
  <c r="Q1498" i="2" s="1"/>
  <c r="Q1512" i="2" a="1"/>
  <c r="Q1512" i="2" s="1"/>
  <c r="Q1120" i="2" a="1"/>
  <c r="Q1120" i="2" s="1"/>
  <c r="Q1015" i="2" a="1"/>
  <c r="Q1015" i="2" s="1"/>
  <c r="Q865" i="2" a="1"/>
  <c r="Q865" i="2" s="1"/>
  <c r="Q1156" i="2" a="1"/>
  <c r="Q1156" i="2" s="1"/>
  <c r="Q1349" i="2" a="1"/>
  <c r="Q1349" i="2" s="1"/>
  <c r="Q1142" i="2" a="1"/>
  <c r="Q1142" i="2" s="1"/>
  <c r="Q1253" i="2" a="1"/>
  <c r="Q1253" i="2" s="1"/>
  <c r="Q1018" i="2" a="1"/>
  <c r="Q1018" i="2" s="1"/>
  <c r="Q1240" i="2" a="1"/>
  <c r="Q1240" i="2" s="1"/>
  <c r="Q573" i="2" a="1"/>
  <c r="Q573" i="2" s="1"/>
  <c r="Q1259" i="2" a="1"/>
  <c r="Q1259" i="2" s="1"/>
  <c r="Q544" i="2" a="1"/>
  <c r="Q544" i="2" s="1"/>
  <c r="Q1221" i="2" a="1"/>
  <c r="Q1221" i="2" s="1"/>
  <c r="Q1289" i="2" a="1"/>
  <c r="Q1289" i="2" s="1"/>
  <c r="Q593" i="2" a="1"/>
  <c r="Q593" i="2" s="1"/>
  <c r="Q885" i="2" a="1"/>
  <c r="Q885" i="2" s="1"/>
  <c r="Q938" i="2" a="1"/>
  <c r="Q938" i="2" s="1"/>
  <c r="Q1022" i="2" a="1"/>
  <c r="Q1022" i="2" s="1"/>
  <c r="Q1117" i="2" a="1"/>
  <c r="Q1117" i="2" s="1"/>
  <c r="Q1190" i="2" a="1"/>
  <c r="Q1190" i="2" s="1"/>
  <c r="Q988" i="2" a="1"/>
  <c r="Q988" i="2" s="1"/>
  <c r="Q1267" i="2" a="1"/>
  <c r="Q1267" i="2" s="1"/>
  <c r="Q943" i="2" a="1"/>
  <c r="Q943" i="2" s="1"/>
  <c r="Q1001" i="2" a="1"/>
  <c r="Q1001" i="2" s="1"/>
  <c r="Q972" i="2" a="1"/>
  <c r="Q972" i="2" s="1"/>
  <c r="Q522" i="2" a="1"/>
  <c r="Q522" i="2" s="1"/>
  <c r="Q1347" i="2" a="1"/>
  <c r="Q1347" i="2" s="1"/>
  <c r="Q1326" i="2" a="1"/>
  <c r="Q1326" i="2" s="1"/>
  <c r="Q660" i="2" a="1"/>
  <c r="Q660" i="2" s="1"/>
  <c r="Q1147" i="2" a="1"/>
  <c r="Q1147" i="2" s="1"/>
  <c r="Q554" i="2" a="1"/>
  <c r="Q554" i="2" s="1"/>
  <c r="Q974" i="2" a="1"/>
  <c r="Q974" i="2" s="1"/>
  <c r="Q1252" i="2" a="1"/>
  <c r="Q1252" i="2" s="1"/>
  <c r="Q572" i="2" a="1"/>
  <c r="Q572" i="2" s="1"/>
  <c r="Q545" i="2" a="1"/>
  <c r="Q545" i="2" s="1"/>
  <c r="Q1712" i="2" a="1"/>
  <c r="Q1712" i="2" s="1"/>
  <c r="Q682" i="2" a="1"/>
  <c r="Q682" i="2" s="1"/>
  <c r="Q919" i="2" a="1"/>
  <c r="Q919" i="2" s="1"/>
  <c r="Q1495" i="2" a="1"/>
  <c r="Q1495" i="2" s="1"/>
  <c r="Q1458" i="2" a="1"/>
  <c r="Q1458" i="2" s="1"/>
  <c r="Q915" i="2" a="1"/>
  <c r="Q915" i="2" s="1"/>
  <c r="Q937" i="2" a="1"/>
  <c r="Q937" i="2" s="1"/>
  <c r="Q1012" i="2" a="1"/>
  <c r="Q1012" i="2" s="1"/>
  <c r="Q1226" i="2" a="1"/>
  <c r="Q1226" i="2" s="1"/>
  <c r="Q1157" i="2" a="1"/>
  <c r="Q1157" i="2" s="1"/>
  <c r="Q1290" i="2" a="1"/>
  <c r="Q1290" i="2" s="1"/>
  <c r="Q530" i="2" a="1"/>
  <c r="Q530" i="2" s="1"/>
  <c r="Q570" i="2" a="1"/>
  <c r="Q570" i="2" s="1"/>
  <c r="Q1203" i="2" a="1"/>
  <c r="Q1203" i="2" s="1"/>
  <c r="Q910" i="2" a="1"/>
  <c r="Q910" i="2" s="1"/>
  <c r="Q1008" i="2" a="1"/>
  <c r="Q1008" i="2" s="1"/>
  <c r="Q489" i="2" a="1"/>
  <c r="Q489" i="2" s="1"/>
  <c r="Q1308" i="2" a="1"/>
  <c r="Q1308" i="2" s="1"/>
  <c r="Q1314" i="2" a="1"/>
  <c r="Q1314" i="2" s="1"/>
  <c r="Q831" i="2" a="1"/>
  <c r="Q831" i="2" s="1"/>
  <c r="Q1486" i="2" a="1"/>
  <c r="Q1486" i="2" s="1"/>
  <c r="Q1312" i="2" a="1"/>
  <c r="Q1312" i="2" s="1"/>
  <c r="Q1144" i="2" a="1"/>
  <c r="Q1144" i="2" s="1"/>
  <c r="Q1116" i="2" a="1"/>
  <c r="Q1116" i="2" s="1"/>
  <c r="Q814" i="2" a="1"/>
  <c r="Q814" i="2" s="1"/>
  <c r="Q508" i="2" a="1"/>
  <c r="Q508" i="2" s="1"/>
  <c r="Q994" i="2" a="1"/>
  <c r="Q994" i="2" s="1"/>
  <c r="Q1324" i="2" a="1"/>
  <c r="Q1324" i="2" s="1"/>
  <c r="Q1124" i="2" a="1"/>
  <c r="Q1124" i="2" s="1"/>
  <c r="Q506" i="2" a="1"/>
  <c r="Q506" i="2" s="1"/>
  <c r="Q989" i="2" a="1"/>
  <c r="Q989" i="2" s="1"/>
  <c r="Q1232" i="2" a="1"/>
  <c r="Q1232" i="2" s="1"/>
  <c r="Q1506" i="2" a="1"/>
  <c r="Q1506" i="2" s="1"/>
  <c r="Q1276" i="2" a="1"/>
  <c r="Q1276" i="2" s="1"/>
  <c r="Q1118" i="2" a="1"/>
  <c r="Q1118" i="2" s="1"/>
  <c r="Q968" i="2" a="1"/>
  <c r="Q968" i="2" s="1"/>
  <c r="Q584" i="2" a="1"/>
  <c r="Q584" i="2" s="1"/>
  <c r="Q1257" i="2" a="1"/>
  <c r="Q1257" i="2" s="1"/>
  <c r="Q577" i="2" a="1"/>
  <c r="Q577" i="2" s="1"/>
  <c r="Q1215" i="2" a="1"/>
  <c r="Q1215" i="2" s="1"/>
  <c r="Q597" i="2" a="1"/>
  <c r="Q597" i="2" s="1"/>
  <c r="Q1155" i="2" a="1"/>
  <c r="Q1155" i="2" s="1"/>
  <c r="Q913" i="2" a="1"/>
  <c r="Q913" i="2" s="1"/>
  <c r="Q864" i="2" a="1"/>
  <c r="Q864" i="2" s="1"/>
  <c r="Q1346" i="2" a="1"/>
  <c r="Q1346" i="2" s="1"/>
  <c r="Q1207" i="2" a="1"/>
  <c r="Q1207" i="2" s="1"/>
  <c r="Q1708" i="2" a="1"/>
  <c r="Q1708" i="2" s="1"/>
  <c r="Q504" i="2" a="1"/>
  <c r="Q504" i="2" s="1"/>
  <c r="Q686" i="2" a="1"/>
  <c r="Q686" i="2" s="1"/>
  <c r="Q951" i="2" a="1"/>
  <c r="Q951" i="2" s="1"/>
  <c r="Q1113" i="2" a="1"/>
  <c r="Q1113" i="2" s="1"/>
  <c r="Q519" i="2" a="1"/>
  <c r="Q519" i="2" s="1"/>
  <c r="Q1505" i="2" a="1"/>
  <c r="Q1505" i="2" s="1"/>
  <c r="Q566" i="2" a="1"/>
  <c r="Q566" i="2" s="1"/>
  <c r="Q820" i="2" a="1"/>
  <c r="Q820" i="2" s="1"/>
  <c r="Q1171" i="2" a="1"/>
  <c r="Q1171" i="2" s="1"/>
  <c r="Q1011" i="2" a="1"/>
  <c r="Q1011" i="2" s="1"/>
  <c r="Q805" i="2" a="1"/>
  <c r="Q805" i="2" s="1"/>
  <c r="Q871" i="2" a="1"/>
  <c r="Q871" i="2" s="1"/>
  <c r="Q892" i="2" a="1"/>
  <c r="Q892" i="2" s="1"/>
  <c r="Q1029" i="2" a="1"/>
  <c r="Q1029" i="2" s="1"/>
  <c r="Q1355" i="2" a="1"/>
  <c r="Q1355" i="2" s="1"/>
  <c r="Q948" i="2" a="1"/>
  <c r="Q948" i="2" s="1"/>
  <c r="Q1263" i="2" a="1"/>
  <c r="Q1263" i="2" s="1"/>
  <c r="Q488" i="2" a="1"/>
  <c r="Q488" i="2" s="1"/>
  <c r="Q1354" i="2" a="1"/>
  <c r="Q1354" i="2" s="1"/>
  <c r="Q944" i="2" a="1"/>
  <c r="Q944" i="2" s="1"/>
  <c r="Q581" i="2" a="1"/>
  <c r="Q581" i="2" s="1"/>
  <c r="Q1364" i="2" a="1"/>
  <c r="Q1364" i="2" s="1"/>
  <c r="Q502" i="2" a="1"/>
  <c r="Q502" i="2" s="1"/>
  <c r="Q1151" i="2" a="1"/>
  <c r="Q1151" i="2" s="1"/>
  <c r="Q1266" i="2" a="1"/>
  <c r="Q1266" i="2" s="1"/>
  <c r="Q617" i="2" a="1"/>
  <c r="Q617" i="2" s="1"/>
  <c r="Q830" i="2" a="1"/>
  <c r="Q830" i="2" s="1"/>
  <c r="Q1696" i="2" a="1"/>
  <c r="Q1696" i="2" s="1"/>
  <c r="Q978" i="2" a="1"/>
  <c r="Q978" i="2" s="1"/>
  <c r="Q511" i="2" a="1"/>
  <c r="Q511" i="2" s="1"/>
  <c r="Q950" i="2" a="1"/>
  <c r="Q950" i="2" s="1"/>
  <c r="Q1492" i="2" a="1"/>
  <c r="Q1492" i="2" s="1"/>
  <c r="Q1472" i="2" a="1"/>
  <c r="Q1472" i="2" s="1"/>
  <c r="Q942" i="2" a="1"/>
  <c r="Q942" i="2" s="1"/>
  <c r="Q567" i="2" a="1"/>
  <c r="Q567" i="2" s="1"/>
  <c r="Q1490" i="2" a="1"/>
  <c r="Q1490" i="2" s="1"/>
  <c r="Q510" i="2" a="1"/>
  <c r="Q510" i="2" s="1"/>
  <c r="Q587" i="2" a="1"/>
  <c r="Q587" i="2" s="1"/>
  <c r="Q1153" i="2" a="1"/>
  <c r="Q1153" i="2" s="1"/>
  <c r="Q505" i="2" a="1"/>
  <c r="Q505" i="2" s="1"/>
  <c r="Q579" i="2" a="1"/>
  <c r="Q579" i="2" s="1"/>
  <c r="Q1136" i="2" a="1"/>
  <c r="Q1136" i="2" s="1"/>
  <c r="Q557" i="2" a="1"/>
  <c r="Q557" i="2" s="1"/>
  <c r="Q659" i="2" a="1"/>
  <c r="Q659" i="2" s="1"/>
  <c r="Q1496" i="2" a="1"/>
  <c r="Q1496" i="2" s="1"/>
  <c r="Q1327" i="2" a="1"/>
  <c r="Q1327" i="2" s="1"/>
  <c r="Q1475" i="2" a="1"/>
  <c r="Q1475" i="2" s="1"/>
  <c r="Q1182" i="2" a="1"/>
  <c r="Q1182" i="2" s="1"/>
  <c r="Q838" i="2" a="1"/>
  <c r="Q838" i="2" s="1"/>
  <c r="Q1213" i="2" a="1"/>
  <c r="Q1213" i="2" s="1"/>
  <c r="Q1709" i="2" a="1"/>
  <c r="Q1709" i="2" s="1"/>
  <c r="Q1272" i="2" a="1"/>
  <c r="Q1272" i="2" s="1"/>
  <c r="Q800" i="2" a="1"/>
  <c r="Q800" i="2" s="1"/>
  <c r="Q817" i="2" a="1"/>
  <c r="Q817" i="2" s="1"/>
  <c r="Q532" i="2" a="1"/>
  <c r="Q532" i="2" s="1"/>
  <c r="Q1137" i="2" a="1"/>
  <c r="Q1137" i="2" s="1"/>
  <c r="Q803" i="2" a="1"/>
  <c r="Q803" i="2" s="1"/>
  <c r="Q839" i="2" a="1"/>
  <c r="Q839" i="2" s="1"/>
  <c r="Q586" i="2" a="1"/>
  <c r="Q586" i="2" s="1"/>
  <c r="Q585" i="2" a="1"/>
  <c r="Q585" i="2" s="1"/>
  <c r="Q870" i="2" a="1"/>
  <c r="Q870" i="2" s="1"/>
  <c r="Q1508" i="2" a="1"/>
  <c r="Q1508" i="2" s="1"/>
  <c r="Q896" i="2" a="1"/>
  <c r="Q896" i="2" s="1"/>
  <c r="Q898" i="2" a="1"/>
  <c r="Q898" i="2" s="1"/>
  <c r="Q1019" i="2" a="1"/>
  <c r="Q1019" i="2" s="1"/>
  <c r="Q1313" i="2" a="1"/>
  <c r="Q1313" i="2" s="1"/>
  <c r="Q1507" i="2" a="1"/>
  <c r="Q1507" i="2" s="1"/>
  <c r="Q1689" i="2" a="1"/>
  <c r="Q1689" i="2" s="1"/>
  <c r="Q1511" i="2" a="1"/>
  <c r="Q1511" i="2" s="1"/>
  <c r="Q1318" i="2" a="1"/>
  <c r="Q1318" i="2" s="1"/>
  <c r="Q1281" i="2" a="1"/>
  <c r="Q1281" i="2" s="1"/>
  <c r="Q1138" i="2" a="1"/>
  <c r="Q1138" i="2" s="1"/>
  <c r="Q563" i="2" a="1"/>
  <c r="Q563" i="2" s="1"/>
  <c r="Q859" i="2" a="1"/>
  <c r="Q859" i="2" s="1"/>
  <c r="Q1328" i="2" a="1"/>
  <c r="Q1328" i="2" s="1"/>
  <c r="Q936" i="2" a="1"/>
  <c r="Q936" i="2" s="1"/>
  <c r="Q990" i="2" a="1"/>
  <c r="Q990" i="2" s="1"/>
  <c r="Q1325" i="2" a="1"/>
  <c r="Q1325" i="2" s="1"/>
  <c r="Q1474" i="2" a="1"/>
  <c r="Q1474" i="2" s="1"/>
  <c r="Q663" i="2" a="1"/>
  <c r="Q663" i="2" s="1"/>
  <c r="Q875" i="2" a="1"/>
  <c r="Q875" i="2" s="1"/>
  <c r="Q1004" i="2" a="1"/>
  <c r="Q1004" i="2" s="1"/>
  <c r="Q1278" i="2" a="1"/>
  <c r="Q1278" i="2" s="1"/>
  <c r="Q536" i="2" a="1"/>
  <c r="Q536" i="2" s="1"/>
  <c r="Q1353" i="2" a="1"/>
  <c r="Q1353" i="2" s="1"/>
  <c r="Q1191" i="2" a="1"/>
  <c r="Q1191" i="2" s="1"/>
  <c r="Q1463" i="2" a="1"/>
  <c r="Q1463" i="2" s="1"/>
  <c r="Q1319" i="2" a="1"/>
  <c r="Q1319" i="2" s="1"/>
  <c r="Q1710" i="2" a="1"/>
  <c r="Q1710" i="2" s="1"/>
  <c r="Q855" i="2" a="1"/>
  <c r="Q855" i="2" s="1"/>
  <c r="Q658" i="2" a="1"/>
  <c r="Q658" i="2" s="1"/>
  <c r="Q1020" i="2" a="1"/>
  <c r="Q1020" i="2" s="1"/>
  <c r="Q807" i="2" a="1"/>
  <c r="Q807" i="2" s="1"/>
  <c r="Q1277" i="2" a="1"/>
  <c r="Q1277" i="2" s="1"/>
  <c r="Q1270" i="2" a="1"/>
  <c r="Q1270" i="2" s="1"/>
  <c r="Q837" i="2" a="1"/>
  <c r="Q837" i="2" s="1"/>
  <c r="Q516" i="2" a="1"/>
  <c r="Q516" i="2" s="1"/>
  <c r="Q825" i="2" a="1"/>
  <c r="Q825" i="2" s="1"/>
  <c r="Q899" i="2" a="1"/>
  <c r="Q899" i="2" s="1"/>
  <c r="Q1284" i="2" a="1"/>
  <c r="Q1284" i="2" s="1"/>
  <c r="Q1332" i="2" a="1"/>
  <c r="Q1332" i="2" s="1"/>
  <c r="Q903" i="2" a="1"/>
  <c r="Q903" i="2" s="1"/>
  <c r="Q1331" i="2" a="1"/>
  <c r="Q1331" i="2" s="1"/>
  <c r="Q1204" i="2" a="1"/>
  <c r="Q1204" i="2" s="1"/>
  <c r="Q808" i="2" a="1"/>
  <c r="Q808" i="2" s="1"/>
  <c r="Q1300" i="2" a="1"/>
  <c r="Q1300" i="2" s="1"/>
  <c r="Q884" i="2" a="1"/>
  <c r="Q884" i="2" s="1"/>
  <c r="Q683" i="2" a="1"/>
  <c r="Q683" i="2" s="1"/>
  <c r="Q832" i="2" a="1"/>
  <c r="Q832" i="2" s="1"/>
  <c r="Q1154" i="2" a="1"/>
  <c r="Q1154" i="2" s="1"/>
  <c r="Q976" i="2" a="1"/>
  <c r="Q976" i="2" s="1"/>
  <c r="Q858" i="2" a="1"/>
  <c r="Q858" i="2" s="1"/>
  <c r="Q1261" i="2" a="1"/>
  <c r="Q1261" i="2" s="1"/>
  <c r="Q524" i="2" a="1"/>
  <c r="Q524" i="2" s="1"/>
  <c r="Q965" i="2" a="1"/>
  <c r="Q965" i="2" s="1"/>
  <c r="Q1159" i="2" a="1"/>
  <c r="Q1159" i="2" s="1"/>
  <c r="Q961" i="2" a="1"/>
  <c r="Q961" i="2" s="1"/>
  <c r="Q1127" i="2" a="1"/>
  <c r="Q1127" i="2" s="1"/>
  <c r="Q1187" i="2" a="1"/>
  <c r="Q1187" i="2" s="1"/>
  <c r="Q1115" i="2" a="1"/>
  <c r="Q1115" i="2" s="1"/>
  <c r="Q1025" i="2" a="1"/>
  <c r="Q1025" i="2" s="1"/>
  <c r="Q1291" i="2" a="1"/>
  <c r="Q1291" i="2" s="1"/>
  <c r="Q1282" i="2" a="1"/>
  <c r="Q1282" i="2" s="1"/>
  <c r="Q1286" i="2" a="1"/>
  <c r="Q1286" i="2" s="1"/>
  <c r="Q1478" i="2" a="1"/>
  <c r="Q1478" i="2" s="1"/>
  <c r="Q609" i="2" a="1"/>
  <c r="Q609" i="2" s="1"/>
  <c r="Q1711" i="2" a="1"/>
  <c r="Q1711" i="2" s="1"/>
  <c r="Q1146" i="2" a="1"/>
  <c r="Q1146" i="2" s="1"/>
  <c r="Q1465" i="2" a="1"/>
  <c r="Q1465" i="2" s="1"/>
  <c r="Q1017" i="2" a="1"/>
  <c r="Q1017" i="2" s="1"/>
  <c r="Q883" i="2" a="1"/>
  <c r="Q883" i="2" s="1"/>
  <c r="Q1679" i="2" a="1"/>
  <c r="Q1679" i="2" s="1"/>
  <c r="Q1352" i="2" a="1"/>
  <c r="Q1352" i="2" s="1"/>
  <c r="Q801" i="2" a="1"/>
  <c r="Q801" i="2" s="1"/>
  <c r="Q1489" i="2" a="1"/>
  <c r="Q1489" i="2" s="1"/>
  <c r="Q1233" i="2" a="1"/>
  <c r="Q1233" i="2" s="1"/>
  <c r="Q1298" i="2" a="1"/>
  <c r="Q1298" i="2" s="1"/>
  <c r="Q1158" i="2" a="1"/>
  <c r="Q1158" i="2" s="1"/>
  <c r="Q1208" i="2" a="1"/>
  <c r="Q1208" i="2" s="1"/>
  <c r="Q1135" i="2" a="1"/>
  <c r="Q1135" i="2" s="1"/>
  <c r="Q877" i="2" a="1"/>
  <c r="Q877" i="2" s="1"/>
  <c r="Q946" i="2" a="1"/>
  <c r="Q946" i="2" s="1"/>
  <c r="Q591" i="2" a="1"/>
  <c r="Q591" i="2" s="1"/>
  <c r="Q1292" i="2" a="1"/>
  <c r="Q1292" i="2" s="1"/>
  <c r="Q548" i="2" a="1"/>
  <c r="Q548" i="2" s="1"/>
  <c r="Q1315" i="2" a="1"/>
  <c r="Q1315" i="2" s="1"/>
  <c r="Q1250" i="2" a="1"/>
  <c r="Q1250" i="2" s="1"/>
  <c r="Q531" i="2" a="1"/>
  <c r="Q531" i="2" s="1"/>
  <c r="Q861" i="2" a="1"/>
  <c r="Q861" i="2" s="1"/>
  <c r="Q1339" i="2" a="1"/>
  <c r="Q1339" i="2" s="1"/>
  <c r="Q953" i="2" a="1"/>
  <c r="Q953" i="2" s="1"/>
  <c r="Q973" i="2" a="1"/>
  <c r="Q973" i="2" s="1"/>
  <c r="Q1199" i="2" a="1"/>
  <c r="Q1199" i="2" s="1"/>
  <c r="Q1164" i="2" a="1"/>
  <c r="Q1164" i="2" s="1"/>
  <c r="Q551" i="2" a="1"/>
  <c r="Q551" i="2" s="1"/>
  <c r="Q979" i="2" a="1"/>
  <c r="Q979" i="2" s="1"/>
  <c r="Q991" i="2" a="1"/>
  <c r="Q991" i="2" s="1"/>
  <c r="Q941" i="2" a="1"/>
  <c r="Q941" i="2" s="1"/>
  <c r="Q1301" i="2" a="1"/>
  <c r="Q1301" i="2" s="1"/>
  <c r="Q527" i="2" a="1"/>
  <c r="Q527" i="2" s="1"/>
  <c r="Q904" i="2" a="1"/>
  <c r="Q904" i="2" s="1"/>
  <c r="Q1228" i="2" a="1"/>
  <c r="Q1228" i="2" s="1"/>
  <c r="Q1023" i="2" a="1"/>
  <c r="Q1023" i="2" s="1"/>
  <c r="Q668" i="2" a="1"/>
  <c r="Q668" i="2" s="1"/>
  <c r="Q1245" i="2" a="1"/>
  <c r="Q1245" i="2" s="1"/>
  <c r="Q1293" i="2" a="1"/>
  <c r="Q1293" i="2" s="1"/>
  <c r="Q909" i="2" a="1"/>
  <c r="Q909" i="2" s="1"/>
  <c r="Q969" i="2" a="1"/>
  <c r="Q969" i="2" s="1"/>
  <c r="Q564" i="2" a="1"/>
  <c r="Q564" i="2" s="1"/>
  <c r="Q1713" i="2" a="1"/>
  <c r="Q1713" i="2" s="1"/>
  <c r="Q893" i="2" a="1"/>
  <c r="Q893" i="2" s="1"/>
  <c r="Q681" i="2" a="1"/>
  <c r="Q681" i="2" s="1"/>
  <c r="Q1461" i="2" a="1"/>
  <c r="Q1461" i="2" s="1"/>
  <c r="Q1707" i="2" a="1"/>
  <c r="Q1707" i="2" s="1"/>
  <c r="Q612" i="2" a="1"/>
  <c r="Q612" i="2" s="1"/>
  <c r="Q956" i="2" a="1"/>
  <c r="Q956" i="2" s="1"/>
  <c r="Q1185" i="2" a="1"/>
  <c r="Q1185" i="2" s="1"/>
  <c r="Q1691" i="2" a="1"/>
  <c r="Q1691" i="2" s="1"/>
  <c r="Q1058" i="2" a="1"/>
  <c r="Q1058" i="2" s="1"/>
  <c r="Q1288" i="2" a="1"/>
  <c r="Q1288" i="2" s="1"/>
  <c r="Q615" i="2" a="1"/>
  <c r="Q615" i="2" s="1"/>
  <c r="Q529" i="2" a="1"/>
  <c r="Q529" i="2" s="1"/>
  <c r="Q621" i="2" a="1"/>
  <c r="Q621" i="2" s="1"/>
  <c r="Q881" i="2" a="1"/>
  <c r="Q881" i="2" s="1"/>
  <c r="Q1268" i="2" a="1"/>
  <c r="Q1268" i="2" s="1"/>
  <c r="Q549" i="2" a="1"/>
  <c r="Q549" i="2" s="1"/>
  <c r="Q562" i="2" a="1"/>
  <c r="Q562" i="2" s="1"/>
  <c r="Q809" i="2" a="1"/>
  <c r="Q809" i="2" s="1"/>
  <c r="Q1225" i="2" a="1"/>
  <c r="Q1225" i="2" s="1"/>
  <c r="Q1007" i="2" a="1"/>
  <c r="Q1007" i="2" s="1"/>
  <c r="Q1258" i="2" a="1"/>
  <c r="Q1258" i="2" s="1"/>
  <c r="Q1031" i="2" a="1"/>
  <c r="Q1031" i="2" s="1"/>
  <c r="Q1043" i="2" a="1"/>
  <c r="Q1043" i="2" s="1"/>
  <c r="Q1482" i="2" a="1"/>
  <c r="Q1482" i="2" s="1"/>
  <c r="Q526" i="2" a="1"/>
  <c r="Q526" i="2" s="1"/>
  <c r="Q1697" i="2" a="1"/>
  <c r="Q1697" i="2" s="1"/>
  <c r="Q1230" i="2" a="1"/>
  <c r="Q1230" i="2" s="1"/>
  <c r="Q620" i="2" a="1"/>
  <c r="Q620" i="2" s="1"/>
  <c r="Q1322" i="2" a="1"/>
  <c r="Q1322" i="2" s="1"/>
  <c r="Q1471" i="2" a="1"/>
  <c r="Q1471" i="2" s="1"/>
  <c r="Q622" i="2" a="1"/>
  <c r="Q622" i="2" s="1"/>
  <c r="Q664" i="2" a="1"/>
  <c r="Q664" i="2" s="1"/>
  <c r="Q662" i="2" a="1"/>
  <c r="Q662" i="2" s="1"/>
  <c r="Q992" i="2" a="1"/>
  <c r="Q992" i="2" s="1"/>
  <c r="Q1493" i="2" a="1"/>
  <c r="Q1493" i="2" s="1"/>
  <c r="Q1294" i="2" a="1"/>
  <c r="Q1294" i="2" s="1"/>
  <c r="Q1202" i="2" a="1"/>
  <c r="Q1202" i="2" s="1"/>
  <c r="Q1181" i="2" a="1"/>
  <c r="Q1181" i="2" s="1"/>
  <c r="Q967" i="2" a="1"/>
  <c r="Q967" i="2" s="1"/>
  <c r="Q1462" i="2" a="1"/>
  <c r="Q1462" i="2" s="1"/>
  <c r="Q1134" i="2" a="1"/>
  <c r="Q1134" i="2" s="1"/>
  <c r="Q1222" i="2" a="1"/>
  <c r="Q1222" i="2" s="1"/>
  <c r="Q588" i="2" a="1"/>
  <c r="Q588" i="2" s="1"/>
  <c r="Q671" i="2" a="1"/>
  <c r="Q671" i="2" s="1"/>
  <c r="Q1122" i="2" a="1"/>
  <c r="Q1122" i="2" s="1"/>
  <c r="Q569" i="2" a="1"/>
  <c r="Q569" i="2" s="1"/>
  <c r="Q1014" i="2" a="1"/>
  <c r="Q1014" i="2" s="1"/>
  <c r="Q1499" i="2" a="1"/>
  <c r="Q1499" i="2" s="1"/>
  <c r="Q1131" i="2" a="1"/>
  <c r="Q1131" i="2" s="1"/>
  <c r="Q1143" i="2" a="1"/>
  <c r="Q1143" i="2" s="1"/>
  <c r="Q1367" i="2" a="1"/>
  <c r="Q1367" i="2" s="1"/>
  <c r="Q499" i="2" a="1"/>
  <c r="Q499" i="2" s="1"/>
  <c r="Q1173" i="2" a="1"/>
  <c r="Q1173" i="2" s="1"/>
  <c r="Q1466" i="2" a="1"/>
  <c r="Q1466" i="2" s="1"/>
  <c r="Q507" i="2" a="1"/>
  <c r="Q507" i="2" s="1"/>
  <c r="Q1494" i="2" a="1"/>
  <c r="Q1494" i="2" s="1"/>
  <c r="Q1148" i="2" a="1"/>
  <c r="Q1148" i="2" s="1"/>
  <c r="Q1285" i="2" a="1"/>
  <c r="Q1285" i="2" s="1"/>
  <c r="Q595" i="2" a="1"/>
  <c r="Q595" i="2" s="1"/>
  <c r="Q1305" i="2" a="1"/>
  <c r="Q1305" i="2" s="1"/>
  <c r="Q995" i="2" a="1"/>
  <c r="Q995" i="2" s="1"/>
  <c r="Q602" i="2" a="1"/>
  <c r="Q602" i="2" s="1"/>
  <c r="Q1476" i="2" a="1"/>
  <c r="Q1476" i="2" s="1"/>
  <c r="Q583" i="2" a="1"/>
  <c r="Q583" i="2" s="1"/>
  <c r="Q734" i="2" a="1"/>
  <c r="Q734" i="2" s="1"/>
  <c r="Q1316" i="2" a="1"/>
  <c r="Q1316" i="2" s="1"/>
  <c r="Q600" i="2" a="1"/>
  <c r="Q600" i="2" s="1"/>
  <c r="Q905" i="2" a="1"/>
  <c r="Q905" i="2" s="1"/>
  <c r="Q1303" i="2" a="1"/>
  <c r="Q1303" i="2" s="1"/>
  <c r="Q568" i="2" a="1"/>
  <c r="Q568" i="2" s="1"/>
  <c r="Q1358" i="2" a="1"/>
  <c r="Q1358" i="2" s="1"/>
  <c r="Q980" i="2" a="1"/>
  <c r="Q980" i="2" s="1"/>
  <c r="Q993" i="2" a="1"/>
  <c r="Q993" i="2" s="1"/>
  <c r="Q1163" i="2" a="1"/>
  <c r="Q1163" i="2" s="1"/>
  <c r="Q1302" i="2" a="1"/>
  <c r="Q1302" i="2" s="1"/>
  <c r="Q1021" i="2" a="1"/>
  <c r="Q1021" i="2" s="1"/>
  <c r="Q560" i="2" a="1"/>
  <c r="Q560" i="2" s="1"/>
  <c r="Q1174" i="2" a="1"/>
  <c r="Q1174" i="2" s="1"/>
  <c r="Q540" i="2" a="1"/>
  <c r="Q540" i="2" s="1"/>
  <c r="Q798" i="2" a="1"/>
  <c r="Q798" i="2" s="1"/>
  <c r="Q1167" i="2" a="1"/>
  <c r="Q1167" i="2" s="1"/>
  <c r="Q1166" i="2" a="1"/>
  <c r="Q1166" i="2" s="1"/>
  <c r="Q1279" i="2" a="1"/>
  <c r="Q1279" i="2" s="1"/>
  <c r="Q906" i="2" a="1"/>
  <c r="Q906" i="2" s="1"/>
  <c r="Q1360" i="2" a="1"/>
  <c r="Q1360" i="2" s="1"/>
  <c r="Q975" i="2" a="1"/>
  <c r="Q975" i="2" s="1"/>
  <c r="Q996" i="2" a="1"/>
  <c r="Q996" i="2" s="1"/>
  <c r="Q1126" i="2" a="1"/>
  <c r="Q1126" i="2" s="1"/>
  <c r="Q665" i="2" a="1"/>
  <c r="Q665" i="2" s="1"/>
  <c r="Q1714" i="2" a="1"/>
  <c r="Q1714" i="2" s="1"/>
  <c r="Q558" i="2" a="1"/>
  <c r="Q558" i="2" s="1"/>
  <c r="Q1491" i="2" a="1"/>
  <c r="Q1491" i="2" s="1"/>
  <c r="Q1504" i="2" a="1"/>
  <c r="Q1504" i="2" s="1"/>
  <c r="Q862" i="2" a="1"/>
  <c r="Q862" i="2" s="1"/>
  <c r="Q555" i="2" a="1"/>
  <c r="Q555" i="2" s="1"/>
  <c r="Q535" i="2" a="1"/>
  <c r="Q535" i="2" s="1"/>
  <c r="Q1003" i="2" a="1"/>
  <c r="Q1003" i="2" s="1"/>
  <c r="Q541" i="2" a="1"/>
  <c r="Q541" i="2" s="1"/>
  <c r="Q872" i="2" a="1"/>
  <c r="Q872" i="2" s="1"/>
  <c r="Q675" i="2" a="1"/>
  <c r="Q675" i="2" s="1"/>
  <c r="Q1255" i="2" a="1"/>
  <c r="Q1255" i="2" s="1"/>
  <c r="Q889" i="2" a="1"/>
  <c r="Q889" i="2" s="1"/>
  <c r="Q513" i="2" a="1"/>
  <c r="Q513" i="2" s="1"/>
  <c r="Q1487" i="2" a="1"/>
  <c r="Q1487" i="2" s="1"/>
  <c r="Q879" i="2" a="1"/>
  <c r="Q879" i="2" s="1"/>
  <c r="Q1283" i="2" a="1"/>
  <c r="Q1283" i="2" s="1"/>
  <c r="Q1468" i="2" a="1"/>
  <c r="Q1468" i="2" s="1"/>
  <c r="Q601" i="2" a="1"/>
  <c r="Q601" i="2" s="1"/>
  <c r="Q661" i="2" a="1"/>
  <c r="Q661" i="2" s="1"/>
  <c r="Q1206" i="2" a="1"/>
  <c r="Q1206" i="2" s="1"/>
  <c r="Q804" i="2" a="1"/>
  <c r="Q804" i="2" s="1"/>
  <c r="Q981" i="2" a="1"/>
  <c r="Q981" i="2" s="1"/>
  <c r="Q1217" i="2" a="1"/>
  <c r="Q1217" i="2" s="1"/>
  <c r="Q902" i="2" a="1"/>
  <c r="Q902" i="2" s="1"/>
  <c r="Q1334" i="2" a="1"/>
  <c r="Q1334" i="2" s="1"/>
  <c r="Q517" i="2" a="1"/>
  <c r="Q517" i="2" s="1"/>
  <c r="Q1473" i="2" a="1"/>
  <c r="Q1473" i="2" s="1"/>
  <c r="Q874" i="2" a="1"/>
  <c r="Q874" i="2" s="1"/>
  <c r="Q1330" i="2" a="1"/>
  <c r="Q1330" i="2" s="1"/>
  <c r="Q947" i="2" a="1"/>
  <c r="Q947" i="2" s="1"/>
  <c r="Q863" i="2" a="1"/>
  <c r="Q863" i="2" s="1"/>
  <c r="Q1715" i="2" a="1"/>
  <c r="Q1715" i="2" s="1"/>
  <c r="Q1275" i="2" a="1"/>
  <c r="Q1275" i="2" s="1"/>
  <c r="Q1296" i="2" a="1"/>
  <c r="Q1296" i="2" s="1"/>
  <c r="Q1256" i="2" a="1"/>
  <c r="Q1256" i="2" s="1"/>
  <c r="Q1219" i="2" a="1"/>
  <c r="Q1219" i="2" s="1"/>
  <c r="Q1271" i="2" a="1"/>
  <c r="Q1271" i="2" s="1"/>
  <c r="Q878" i="2" a="1"/>
  <c r="Q878" i="2" s="1"/>
  <c r="Q1481" i="2" a="1"/>
  <c r="Q1481" i="2" s="1"/>
  <c r="Q866" i="2" a="1"/>
  <c r="Q866" i="2" s="1"/>
  <c r="Q914" i="2" a="1"/>
  <c r="Q914" i="2" s="1"/>
  <c r="Q1180" i="2" a="1"/>
  <c r="Q1180" i="2" s="1"/>
  <c r="Q960" i="2" a="1"/>
  <c r="Q960" i="2" s="1"/>
  <c r="Q897" i="2" a="1"/>
  <c r="Q897" i="2" s="1"/>
  <c r="Q1189" i="2" a="1"/>
  <c r="Q1189" i="2" s="1"/>
  <c r="Q840" i="2" a="1"/>
  <c r="Q840" i="2" s="1"/>
  <c r="Q613" i="2" a="1"/>
  <c r="Q613" i="2" s="1"/>
  <c r="Q1287" i="2" a="1"/>
  <c r="Q1287" i="2" s="1"/>
  <c r="Q939" i="2" a="1"/>
  <c r="Q939" i="2" s="1"/>
  <c r="Q888" i="2" a="1"/>
  <c r="Q888" i="2" s="1"/>
  <c r="Q534" i="2" a="1"/>
  <c r="Q534" i="2" s="1"/>
  <c r="Q679" i="2" a="1"/>
  <c r="Q679" i="2" s="1"/>
  <c r="Q619" i="2" a="1"/>
  <c r="Q619" i="2" s="1"/>
  <c r="Q955" i="2" a="1"/>
  <c r="Q955" i="2" s="1"/>
  <c r="Q1112" i="2" a="1"/>
  <c r="Q1112" i="2" s="1"/>
  <c r="Q891" i="2" a="1"/>
  <c r="Q891" i="2" s="1"/>
  <c r="Q895" i="2" a="1"/>
  <c r="Q895" i="2" s="1"/>
  <c r="Q1196" i="2" a="1"/>
  <c r="Q1196" i="2" s="1"/>
  <c r="Q1030" i="2" a="1"/>
  <c r="Q1030" i="2" s="1"/>
  <c r="Q1028" i="2" a="1"/>
  <c r="Q1028" i="2" s="1"/>
  <c r="Q857" i="2" a="1"/>
  <c r="Q857" i="2" s="1"/>
  <c r="Q1477" i="2" a="1"/>
  <c r="Q1477" i="2" s="1"/>
  <c r="Q949" i="2" a="1"/>
  <c r="Q949" i="2" s="1"/>
  <c r="Q1485" i="2" a="1"/>
  <c r="Q1485" i="2" s="1"/>
  <c r="Q1351" i="2" a="1"/>
  <c r="Q1351" i="2" s="1"/>
  <c r="Q1005" i="2" a="1"/>
  <c r="Q1005" i="2" s="1"/>
  <c r="Q559" i="2" a="1"/>
  <c r="Q559" i="2" s="1"/>
  <c r="Q982" i="2" a="1"/>
  <c r="Q982" i="2" s="1"/>
  <c r="Q521" i="2" a="1"/>
  <c r="Q521" i="2" s="1"/>
  <c r="Q1248" i="2" a="1"/>
  <c r="Q1248" i="2" s="1"/>
  <c r="Q816" i="2" a="1"/>
  <c r="Q816" i="2" s="1"/>
  <c r="Q571" i="2" a="1"/>
  <c r="Q571" i="2" s="1"/>
  <c r="Q515" i="2" a="1"/>
  <c r="Q515" i="2" s="1"/>
  <c r="Q1160" i="2" a="1"/>
  <c r="Q1160" i="2" s="1"/>
  <c r="Q520" i="2" a="1"/>
  <c r="Q520" i="2" s="1"/>
  <c r="Q1307" i="2" a="1"/>
  <c r="Q1307" i="2" s="1"/>
  <c r="Q1682" i="2" a="1"/>
  <c r="Q1682" i="2" s="1"/>
  <c r="Q1247" i="2" a="1"/>
  <c r="Q1247" i="2" s="1"/>
  <c r="Q1274" i="2" a="1"/>
  <c r="Q1274" i="2" s="1"/>
  <c r="Q500" i="2" a="1"/>
  <c r="Q500" i="2" s="1"/>
  <c r="Q1010" i="2" a="1"/>
  <c r="Q1010" i="2" s="1"/>
  <c r="Q1716" i="2" a="1"/>
  <c r="Q1716" i="2" s="1"/>
  <c r="Q1510" i="2" a="1"/>
  <c r="Q1510" i="2" s="1"/>
  <c r="Q1348" i="2" a="1"/>
  <c r="Q1348" i="2" s="1"/>
  <c r="Q1161" i="2" a="1"/>
  <c r="Q1161" i="2" s="1"/>
  <c r="Q1341" i="2" a="1"/>
  <c r="Q1341" i="2" s="1"/>
  <c r="Q561" i="2" a="1"/>
  <c r="Q561" i="2" s="1"/>
  <c r="Q538" i="2" a="1"/>
  <c r="Q538" i="2" s="1"/>
  <c r="Q1338" i="2" a="1"/>
  <c r="Q1338" i="2" s="1"/>
  <c r="Q1242" i="2" a="1"/>
  <c r="Q1242" i="2" s="1"/>
  <c r="Q1238" i="2" a="1"/>
  <c r="Q1238" i="2" s="1"/>
  <c r="Q911" i="2" a="1"/>
  <c r="Q911" i="2" s="1"/>
  <c r="Q1310" i="2" a="1"/>
  <c r="Q1310" i="2" s="1"/>
  <c r="Q1311" i="2" a="1"/>
  <c r="Q1311" i="2" s="1"/>
  <c r="Q970" i="2" a="1"/>
  <c r="Q970" i="2" s="1"/>
  <c r="Q1260" i="2" a="1"/>
  <c r="Q1260" i="2" s="1"/>
  <c r="Q547" i="2" a="1"/>
  <c r="Q547" i="2" s="1"/>
  <c r="Q685" i="2" a="1"/>
  <c r="Q685" i="2" s="1"/>
  <c r="Q1336" i="2" a="1"/>
  <c r="Q1336" i="2" s="1"/>
  <c r="Q674" i="2" a="1"/>
  <c r="Q674" i="2" s="1"/>
  <c r="Q1192" i="2" a="1"/>
  <c r="Q1192" i="2" s="1"/>
  <c r="Q1227" i="2" a="1"/>
  <c r="Q1227" i="2" s="1"/>
  <c r="Q616" i="2" a="1"/>
  <c r="Q616" i="2" s="1"/>
  <c r="Q873" i="2" a="1"/>
  <c r="Q873" i="2" s="1"/>
  <c r="Q1321" i="2" a="1"/>
  <c r="Q1321" i="2" s="1"/>
  <c r="Q603" i="2" a="1"/>
  <c r="Q603" i="2" s="1"/>
  <c r="Q1251" i="2" a="1"/>
  <c r="Q1251" i="2" s="1"/>
  <c r="Q1694" i="2" a="1"/>
  <c r="Q1694" i="2" s="1"/>
  <c r="Q1365" i="2" a="1"/>
  <c r="Q1365" i="2" s="1"/>
  <c r="Q1470" i="2" a="1"/>
  <c r="Q1470" i="2" s="1"/>
  <c r="Q987" i="2" a="1"/>
  <c r="Q987" i="2" s="1"/>
  <c r="Q836" i="2" a="1"/>
  <c r="Q836" i="2" s="1"/>
  <c r="Q818" i="2" a="1"/>
  <c r="Q818" i="2" s="1"/>
  <c r="Q678" i="2" a="1"/>
  <c r="Q678" i="2" s="1"/>
  <c r="Q1480" i="2" a="1"/>
  <c r="Q1480" i="2" s="1"/>
  <c r="Q1024" i="2" a="1"/>
  <c r="Q1024" i="2" s="1"/>
  <c r="Q596" i="2" a="1"/>
  <c r="Q596" i="2" s="1"/>
  <c r="Q1297" i="2" a="1"/>
  <c r="Q1297" i="2" s="1"/>
  <c r="Q1501" i="2" a="1"/>
  <c r="Q1501" i="2" s="1"/>
  <c r="Q1356" i="2" a="1"/>
  <c r="Q1356" i="2" s="1"/>
  <c r="Q1273" i="2" a="1"/>
  <c r="Q1273" i="2" s="1"/>
  <c r="Q997" i="2" a="1"/>
  <c r="Q997" i="2" s="1"/>
  <c r="Q533" i="2" a="1"/>
  <c r="Q533" i="2" s="1"/>
  <c r="Q1690" i="2" a="1"/>
  <c r="Q1690" i="2" s="1"/>
  <c r="Q1309" i="2" a="1"/>
  <c r="Q1309" i="2" s="1"/>
  <c r="Q1704" i="2" a="1"/>
  <c r="Q1704" i="2" s="1"/>
  <c r="Q1717" i="2" a="1"/>
  <c r="Q1717" i="2" s="1"/>
  <c r="Q680" i="2" a="1"/>
  <c r="Q680" i="2" s="1"/>
  <c r="Q1132" i="2" a="1"/>
  <c r="Q1132" i="2" s="1"/>
  <c r="Q1188" i="2" a="1"/>
  <c r="Q1188" i="2" s="1"/>
  <c r="Q1335" i="2" a="1"/>
  <c r="Q1335" i="2" s="1"/>
  <c r="Q1500" i="2" a="1"/>
  <c r="Q1500" i="2" s="1"/>
  <c r="Q971" i="2" a="1"/>
  <c r="Q971" i="2" s="1"/>
  <c r="Q1467" i="2" a="1"/>
  <c r="Q1467" i="2" s="1"/>
  <c r="Q1424" i="2" a="1"/>
  <c r="Q1424" i="2" s="1"/>
  <c r="Q860" i="2" a="1"/>
  <c r="Q860" i="2" s="1"/>
  <c r="Q1114" i="2" a="1"/>
  <c r="Q1114" i="2" s="1"/>
  <c r="Q643" i="2" a="1"/>
  <c r="Q643" i="2" s="1"/>
  <c r="Q869" i="2" a="1"/>
  <c r="Q869" i="2" s="1"/>
  <c r="Q1502" i="2" a="1"/>
  <c r="Q1502" i="2" s="1"/>
  <c r="Q842" i="2" a="1"/>
  <c r="Q842" i="2" s="1"/>
  <c r="Q845" i="2" a="1"/>
  <c r="Q845" i="2" s="1"/>
  <c r="Q1333" i="2" a="1"/>
  <c r="Q1333" i="2" s="1"/>
  <c r="Q1362" i="2" a="1"/>
  <c r="Q1362" i="2" s="1"/>
  <c r="Q1306" i="2" a="1"/>
  <c r="Q1306" i="2" s="1"/>
  <c r="Q1027" i="2" a="1"/>
  <c r="Q1027" i="2" s="1"/>
  <c r="Q606" i="2" a="1"/>
  <c r="Q606" i="2" s="1"/>
  <c r="Q673" i="2" a="1"/>
  <c r="Q673" i="2" s="1"/>
  <c r="Q1211" i="2" a="1"/>
  <c r="Q1211" i="2" s="1"/>
  <c r="Q592" i="2" a="1"/>
  <c r="Q592" i="2" s="1"/>
  <c r="Q1216" i="2" a="1"/>
  <c r="Q1216" i="2" s="1"/>
  <c r="Q833" i="2" a="1"/>
  <c r="Q833" i="2" s="1"/>
  <c r="Q590" i="2" a="1"/>
  <c r="Q590" i="2" s="1"/>
  <c r="Q983" i="2" a="1"/>
  <c r="Q983" i="2" s="1"/>
  <c r="Q604" i="2" a="1"/>
  <c r="Q604" i="2" s="1"/>
  <c r="Q1323" i="2" a="1"/>
  <c r="Q1323" i="2" s="1"/>
  <c r="Q537" i="2" a="1"/>
  <c r="Q537" i="2" s="1"/>
  <c r="Q669" i="2" a="1"/>
  <c r="Q669" i="2" s="1"/>
  <c r="Q1345" i="2" a="1"/>
  <c r="Q1345" i="2" s="1"/>
  <c r="Q1484" i="2" a="1"/>
  <c r="Q1484" i="2" s="1"/>
  <c r="Q656" i="2" a="1"/>
  <c r="Q656" i="2" s="1"/>
  <c r="Q1170" i="2" a="1"/>
  <c r="Q1170" i="2" s="1"/>
  <c r="Q1239" i="2" a="1"/>
  <c r="Q1239" i="2" s="1"/>
  <c r="Q1133" i="2" a="1"/>
  <c r="Q1133" i="2" s="1"/>
  <c r="Q1304" i="2" a="1"/>
  <c r="Q1304" i="2" s="1"/>
  <c r="Q1342" i="2" a="1"/>
  <c r="Q1342" i="2" s="1"/>
  <c r="Q1705" i="2" a="1"/>
  <c r="Q1705" i="2" s="1"/>
  <c r="Q1718" i="2" a="1"/>
  <c r="Q1718" i="2" s="1"/>
  <c r="Q1198" i="2" a="1"/>
  <c r="Q1198" i="2" s="1"/>
  <c r="Q945" i="2" a="1"/>
  <c r="Q945" i="2" s="1"/>
  <c r="Q824" i="2" a="1"/>
  <c r="Q824" i="2" s="1"/>
  <c r="Q599" i="2" a="1"/>
  <c r="Q599" i="2" s="1"/>
  <c r="Q1145" i="2" a="1"/>
  <c r="Q1145" i="2" s="1"/>
  <c r="Q556" i="2" a="1"/>
  <c r="Q556" i="2" s="1"/>
  <c r="Q1483" i="2" a="1"/>
  <c r="Q1483" i="2" s="1"/>
  <c r="Q829" i="2" a="1"/>
  <c r="Q829" i="2" s="1"/>
  <c r="Q539" i="2" a="1"/>
  <c r="Q539" i="2" s="1"/>
  <c r="Q1223" i="2" a="1"/>
  <c r="Q1223" i="2" s="1"/>
  <c r="Q1197" i="2" a="1"/>
  <c r="Q1197" i="2" s="1"/>
  <c r="Q1193" i="2" a="1"/>
  <c r="Q1193" i="2" s="1"/>
  <c r="Q1205" i="2" a="1"/>
  <c r="Q1205" i="2" s="1"/>
  <c r="Q1141" i="2" a="1"/>
  <c r="Q1141" i="2" s="1"/>
  <c r="Q819" i="2" a="1"/>
  <c r="Q819" i="2" s="1"/>
  <c r="Q876" i="2" a="1"/>
  <c r="Q876" i="2" s="1"/>
  <c r="Q1379" i="2" a="1"/>
  <c r="Q1379" i="2" s="1"/>
  <c r="Q1497" i="2" a="1"/>
  <c r="Q1497" i="2" s="1"/>
  <c r="Q1149" i="2" a="1"/>
  <c r="Q1149" i="2" s="1"/>
  <c r="Q1175" i="2" a="1"/>
  <c r="Q1175" i="2" s="1"/>
  <c r="Q1224" i="2" a="1"/>
  <c r="Q1224" i="2" s="1"/>
  <c r="Q518" i="2" a="1"/>
  <c r="Q518" i="2" s="1"/>
  <c r="Q1243" i="2" a="1"/>
  <c r="Q1243" i="2" s="1"/>
  <c r="Q623" i="2" a="1"/>
  <c r="Q623" i="2" s="1"/>
  <c r="Q514" i="2" a="1"/>
  <c r="Q514" i="2" s="1"/>
  <c r="Q1006" i="2" a="1"/>
  <c r="Q1006" i="2" s="1"/>
  <c r="Q1241" i="2" a="1"/>
  <c r="Q1241" i="2" s="1"/>
  <c r="Q1329" i="2" a="1"/>
  <c r="Q1329" i="2" s="1"/>
  <c r="Q1220" i="2" a="1"/>
  <c r="Q1220" i="2" s="1"/>
  <c r="Q1479" i="2" a="1"/>
  <c r="Q1479" i="2" s="1"/>
  <c r="Q952" i="2" a="1"/>
  <c r="Q952" i="2" s="1"/>
  <c r="Q1002" i="2" a="1"/>
  <c r="Q1002" i="2" s="1"/>
  <c r="Q984" i="2" a="1"/>
  <c r="Q984" i="2" s="1"/>
  <c r="Q1444" i="2" a="1"/>
  <c r="Q1444" i="2" s="1"/>
  <c r="Q1503" i="2" a="1"/>
  <c r="Q1503" i="2" s="1"/>
  <c r="Q1184" i="2" a="1"/>
  <c r="Q1184" i="2" s="1"/>
  <c r="Q1676" i="2" a="1"/>
  <c r="Q1676" i="2" s="1"/>
  <c r="Q1320" i="2" a="1"/>
  <c r="Q1320" i="2" s="1"/>
  <c r="Q667" i="2" a="1"/>
  <c r="Q667" i="2" s="1"/>
  <c r="Q823" i="2" a="1"/>
  <c r="Q823" i="2" s="1"/>
  <c r="Q1177" i="2" a="1"/>
  <c r="Q1177" i="2" s="1"/>
  <c r="Q589" i="2" a="1"/>
  <c r="Q589" i="2" s="1"/>
  <c r="Q1706" i="2" a="1"/>
  <c r="Q1706" i="2" s="1"/>
  <c r="Q607" i="2" a="1"/>
  <c r="Q607" i="2" s="1"/>
  <c r="Q1186" i="2" a="1"/>
  <c r="Q1186" i="2" s="1"/>
  <c r="Q1000" i="2" a="1"/>
  <c r="Q1000" i="2" s="1"/>
  <c r="Q880" i="2" a="1"/>
  <c r="Q880" i="2" s="1"/>
  <c r="Q546" i="2" a="1"/>
  <c r="Q546" i="2" s="1"/>
  <c r="Q762" i="2" a="1"/>
  <c r="Q762" i="2" s="1"/>
  <c r="Q1317" i="2" a="1"/>
  <c r="Q1317" i="2" s="1"/>
  <c r="Q912" i="2" a="1"/>
  <c r="Q912" i="2" s="1"/>
  <c r="Q672" i="2" a="1"/>
  <c r="Q672" i="2" s="1"/>
  <c r="Q1179" i="2" a="1"/>
  <c r="Q1179" i="2" s="1"/>
  <c r="Q1244" i="2" a="1"/>
  <c r="Q1244" i="2" s="1"/>
  <c r="Q1460" i="2" a="1"/>
  <c r="Q1460" i="2" s="1"/>
  <c r="Q1194" i="2" a="1"/>
  <c r="Q1194" i="2" s="1"/>
  <c r="Q1350" i="2" a="1"/>
  <c r="Q1350" i="2" s="1"/>
  <c r="Q908" i="2" a="1"/>
  <c r="Q908" i="2" s="1"/>
  <c r="Q1695" i="2" a="1"/>
  <c r="Q1695" i="2" s="1"/>
  <c r="Q575" i="2" a="1"/>
  <c r="Q575" i="2" s="1"/>
  <c r="Q1111" i="2" a="1"/>
  <c r="Q1111" i="2" s="1"/>
  <c r="Q542" i="2" a="1"/>
  <c r="Q542" i="2" s="1"/>
  <c r="Q998" i="2" a="1"/>
  <c r="Q998" i="2" s="1"/>
  <c r="Q1123" i="2" a="1"/>
  <c r="Q1123" i="2" s="1"/>
  <c r="Q811" i="2" a="1"/>
  <c r="Q811" i="2" s="1"/>
  <c r="Q1183" i="2" a="1"/>
  <c r="Q1183" i="2" s="1"/>
  <c r="Q1262" i="2" a="1"/>
  <c r="Q1262" i="2" s="1"/>
  <c r="Q582" i="2" a="1"/>
  <c r="Q582" i="2" s="1"/>
  <c r="Q574" i="2" a="1"/>
  <c r="Q574" i="2" s="1"/>
  <c r="Q512" i="2" a="1"/>
  <c r="Q512" i="2" s="1"/>
  <c r="Q676" i="2" a="1"/>
  <c r="Q676" i="2" s="1"/>
  <c r="Q1249" i="2" a="1"/>
  <c r="Q1249" i="2" s="1"/>
  <c r="Q962" i="2" a="1"/>
  <c r="Q962" i="2" s="1"/>
  <c r="Q1165" i="2" a="1"/>
  <c r="Q1165" i="2" s="1"/>
  <c r="Q1169" i="2" a="1"/>
  <c r="Q1169" i="2" s="1"/>
  <c r="Q666" i="2" a="1"/>
  <c r="Q666" i="2" s="1"/>
  <c r="Q528" i="2" a="1"/>
  <c r="Q528" i="2" s="1"/>
  <c r="Q1168" i="2" a="1"/>
  <c r="Q1168" i="2" s="1"/>
  <c r="Q1299" i="2" a="1"/>
  <c r="Q1299" i="2" s="1"/>
  <c r="Q1214" i="2" a="1"/>
  <c r="Q1214" i="2" s="1"/>
  <c r="Q1488" i="2" a="1"/>
  <c r="Q1488" i="2" s="1"/>
  <c r="Q868" i="2" a="1"/>
  <c r="Q868" i="2" s="1"/>
  <c r="Q985" i="2" a="1"/>
  <c r="Q985" i="2" s="1"/>
  <c r="Q578" i="2" a="1"/>
  <c r="Q578" i="2" s="1"/>
  <c r="Q835" i="2" a="1"/>
  <c r="Q835" i="2" s="1"/>
  <c r="Q565" i="2" a="1"/>
  <c r="Q565" i="2" s="1"/>
  <c r="Q977" i="2" a="1"/>
  <c r="Q977" i="2" s="1"/>
  <c r="Q1280" i="2" a="1"/>
  <c r="Q1280" i="2" s="1"/>
  <c r="Q525" i="2" a="1"/>
  <c r="Q525" i="2" s="1"/>
  <c r="Q1688" i="2" a="1"/>
  <c r="Q1688" i="2" s="1"/>
  <c r="Q684" i="2" a="1"/>
  <c r="Q684" i="2" s="1"/>
  <c r="Q550" i="2" a="1"/>
  <c r="Q550" i="2" s="1"/>
  <c r="Q1152" i="2" a="1"/>
  <c r="Q1152" i="2" s="1"/>
  <c r="Q882" i="2" a="1"/>
  <c r="Q882" i="2" s="1"/>
  <c r="Q1172" i="2" a="1"/>
  <c r="Q1172" i="2" s="1"/>
  <c r="Q618" i="2" a="1"/>
  <c r="Q618" i="2" s="1"/>
  <c r="Q1212" i="2" a="1"/>
  <c r="Q1212" i="2" s="1"/>
  <c r="Q677" i="2" a="1"/>
  <c r="Q677" i="2" s="1"/>
  <c r="Q1162" i="2" a="1"/>
  <c r="Q1162" i="2" s="1"/>
  <c r="Q826" i="2" a="1"/>
  <c r="Q826" i="2" s="1"/>
  <c r="Q887" i="2" a="1"/>
  <c r="Q887" i="2" s="1"/>
  <c r="Q1178" i="2" a="1"/>
  <c r="Q1178" i="2" s="1"/>
  <c r="Q594" i="2" a="1"/>
  <c r="Q594" i="2" s="1"/>
  <c r="Q821" i="2" a="1"/>
  <c r="Q821" i="2" s="1"/>
  <c r="Q1032" i="2" a="1"/>
  <c r="Q1032" i="2" s="1"/>
  <c r="Q1013" i="2" a="1"/>
  <c r="Q1013" i="2" s="1"/>
  <c r="Q1337" i="2" a="1"/>
  <c r="Q1337" i="2" s="1"/>
  <c r="Q598" i="2" a="1"/>
  <c r="Q598" i="2" s="1"/>
  <c r="Q576" i="2" a="1"/>
  <c r="Q576" i="2" s="1"/>
  <c r="Q1009" i="2" a="1"/>
  <c r="Q1009" i="2" s="1"/>
  <c r="Q1509" i="2" a="1"/>
  <c r="Q1509" i="2" s="1"/>
  <c r="Q1235" i="2" a="1"/>
  <c r="Q1235" i="2" s="1"/>
  <c r="Q828" i="2" a="1"/>
  <c r="Q828" i="2" s="1"/>
  <c r="Q1264" i="2" a="1"/>
  <c r="Q1264" i="2" s="1"/>
  <c r="Q1119" i="2" a="1"/>
  <c r="Q1119" i="2" s="1"/>
  <c r="Q959" i="2" a="1"/>
  <c r="Q959" i="2" s="1"/>
  <c r="Q812" i="2" a="1"/>
  <c r="Q812" i="2" s="1"/>
  <c r="Q1026" i="2" a="1"/>
  <c r="Q1026" i="2" s="1"/>
  <c r="Q890" i="2" a="1"/>
  <c r="Q890" i="2" s="1"/>
  <c r="Q1368" i="2" a="1"/>
  <c r="Q1368" i="2" s="1"/>
  <c r="Q827" i="2" a="1"/>
  <c r="Q827" i="2" s="1"/>
  <c r="Q552" i="2" a="1"/>
  <c r="Q552" i="2" s="1"/>
  <c r="Q605" i="2" a="1"/>
  <c r="Q605" i="2" s="1"/>
  <c r="Q1016" i="2" a="1"/>
  <c r="Q1016" i="2" s="1"/>
  <c r="Q543" i="2" a="1"/>
  <c r="Q543" i="2" s="1"/>
  <c r="Q1254" i="2" a="1"/>
  <c r="Q1254" i="2" s="1"/>
  <c r="Q1237" i="2" a="1"/>
  <c r="Q1237" i="2" s="1"/>
  <c r="Q907" i="2" a="1"/>
  <c r="Q907" i="2" s="1"/>
  <c r="Q986" i="2" a="1"/>
  <c r="Q986" i="2" s="1"/>
  <c r="Q1459" i="2" a="1"/>
  <c r="Q1459" i="2" s="1"/>
  <c r="Q822" i="2" a="1"/>
  <c r="Q822" i="2" s="1"/>
  <c r="Q1121" i="2" a="1"/>
  <c r="Q1121" i="2" s="1"/>
  <c r="Q867" i="2" a="1"/>
  <c r="Q867" i="2" s="1"/>
  <c r="Q810" i="2" a="1"/>
  <c r="Q810" i="2" s="1"/>
  <c r="Q580" i="2" a="1"/>
  <c r="Q580" i="2" s="1"/>
  <c r="Q1209" i="2" a="1"/>
  <c r="Q1209" i="2" s="1"/>
  <c r="Q963" i="2" a="1"/>
  <c r="Q963" i="2" s="1"/>
  <c r="Q1464" i="2" a="1"/>
  <c r="Q1464" i="2" s="1"/>
  <c r="Q1236" i="2" a="1"/>
  <c r="Q1236" i="2" s="1"/>
  <c r="Q670" i="2" a="1"/>
  <c r="Q670" i="2" s="1"/>
  <c r="Q954" i="2" a="1"/>
  <c r="Q954" i="2" s="1"/>
  <c r="Q1363" i="2" a="1"/>
  <c r="Q1363" i="2" s="1"/>
  <c r="Q1229" i="2" a="1"/>
  <c r="Q1229" i="2" s="1"/>
  <c r="Q1176" i="2" a="1"/>
  <c r="Q1176" i="2" s="1"/>
  <c r="Q1703" i="2" a="1"/>
  <c r="Q1703" i="2" s="1"/>
  <c r="Q610" i="2" a="1"/>
  <c r="Q610" i="2" s="1"/>
  <c r="Q611" i="2" a="1"/>
  <c r="Q611" i="2" s="1"/>
  <c r="Q553" i="2" a="1"/>
  <c r="Q553" i="2" s="1"/>
  <c r="Q1150" i="2" a="1"/>
  <c r="Q1150" i="2" s="1"/>
  <c r="Q1295" i="2" a="1"/>
  <c r="Q1295" i="2" s="1"/>
  <c r="Q1140" i="2" a="1"/>
  <c r="Q1140" i="2" s="1"/>
  <c r="N5" i="4" a="1"/>
  <c r="N5" i="4" s="1"/>
  <c r="Q7" i="4"/>
  <c r="O4" i="4"/>
  <c r="P1741" i="2" l="1" a="1"/>
  <c r="P1741" i="2" s="1"/>
  <c r="P1200" i="2" a="1"/>
  <c r="P1200" i="2" s="1"/>
  <c r="P1471" i="2" a="1"/>
  <c r="P1471" i="2" s="1"/>
  <c r="P1458" i="2" a="1"/>
  <c r="P1458" i="2" s="1"/>
  <c r="P1056" i="2" a="1"/>
  <c r="P1056" i="2" s="1"/>
  <c r="P942" i="2" a="1"/>
  <c r="P942" i="2" s="1"/>
  <c r="P1000" i="2" a="1"/>
  <c r="P1000" i="2" s="1"/>
  <c r="R1000" i="2" s="1"/>
  <c r="V1000" i="2" s="1"/>
  <c r="W1000" i="2" s="1"/>
  <c r="P648" i="2" a="1"/>
  <c r="P648" i="2" s="1"/>
  <c r="P678" i="2" a="1"/>
  <c r="P678" i="2" s="1"/>
  <c r="R678" i="2" s="1"/>
  <c r="V678" i="2" s="1"/>
  <c r="W678" i="2" s="1"/>
  <c r="P614" i="2" a="1"/>
  <c r="P614" i="2" s="1"/>
  <c r="R614" i="2" s="1"/>
  <c r="V614" i="2" s="1"/>
  <c r="W614" i="2" s="1"/>
  <c r="P950" i="2" a="1"/>
  <c r="P950" i="2" s="1"/>
  <c r="R950" i="2" s="1"/>
  <c r="V950" i="2" s="1"/>
  <c r="W950" i="2" s="1"/>
  <c r="P1142" i="2" a="1"/>
  <c r="P1142" i="2" s="1"/>
  <c r="R1142" i="2" s="1"/>
  <c r="V1142" i="2" s="1"/>
  <c r="W1142" i="2" s="1"/>
  <c r="P1018" i="2" a="1"/>
  <c r="P1018" i="2" s="1"/>
  <c r="P457" i="2" a="1"/>
  <c r="P457" i="2" s="1"/>
  <c r="P627" i="2" a="1"/>
  <c r="P627" i="2" s="1"/>
  <c r="R627" i="2" s="1"/>
  <c r="V627" i="2" s="1"/>
  <c r="W627" i="2" s="1"/>
  <c r="P1440" i="2" a="1"/>
  <c r="P1440" i="2" s="1"/>
  <c r="R1440" i="2" s="1"/>
  <c r="V1440" i="2" s="1"/>
  <c r="W1440" i="2" s="1"/>
  <c r="P451" i="2" a="1"/>
  <c r="P451" i="2" s="1"/>
  <c r="R451" i="2" s="1"/>
  <c r="V451" i="2" s="1"/>
  <c r="W451" i="2" s="1"/>
  <c r="P188" i="2" a="1"/>
  <c r="P188" i="2" s="1"/>
  <c r="R188" i="2" s="1"/>
  <c r="V188" i="2" s="1"/>
  <c r="W188" i="2" s="1"/>
  <c r="P1305" i="2" a="1"/>
  <c r="P1305" i="2" s="1"/>
  <c r="R1305" i="2" s="1"/>
  <c r="V1305" i="2" s="1"/>
  <c r="W1305" i="2" s="1"/>
  <c r="P1436" i="2" a="1"/>
  <c r="P1436" i="2" s="1"/>
  <c r="P115" i="2" a="1"/>
  <c r="P115" i="2" s="1"/>
  <c r="P1078" i="2" a="1"/>
  <c r="P1078" i="2" s="1"/>
  <c r="P1263" i="2" a="1"/>
  <c r="P1263" i="2" s="1"/>
  <c r="P142" i="2" a="1"/>
  <c r="P142" i="2" s="1"/>
  <c r="P318" i="2" a="1"/>
  <c r="P318" i="2" s="1"/>
  <c r="R318" i="2" s="1"/>
  <c r="V318" i="2" s="1"/>
  <c r="W318" i="2" s="1"/>
  <c r="P339" i="2" a="1"/>
  <c r="P339" i="2" s="1"/>
  <c r="R339" i="2" s="1"/>
  <c r="V339" i="2" s="1"/>
  <c r="W339" i="2" s="1"/>
  <c r="P67" i="2" a="1"/>
  <c r="P67" i="2" s="1"/>
  <c r="R67" i="2" s="1"/>
  <c r="V67" i="2" s="1"/>
  <c r="W67" i="2" s="1"/>
  <c r="P636" i="2" a="1"/>
  <c r="P636" i="2" s="1"/>
  <c r="R636" i="2" s="1"/>
  <c r="V636" i="2" s="1"/>
  <c r="W636" i="2" s="1"/>
  <c r="P1506" i="2" a="1"/>
  <c r="P1506" i="2" s="1"/>
  <c r="R1506" i="2" s="1"/>
  <c r="V1506" i="2" s="1"/>
  <c r="W1506" i="2" s="1"/>
  <c r="P1686" i="2" a="1"/>
  <c r="P1686" i="2" s="1"/>
  <c r="R1686" i="2" s="1"/>
  <c r="V1686" i="2" s="1"/>
  <c r="W1686" i="2" s="1"/>
  <c r="P1074" i="2" a="1"/>
  <c r="P1074" i="2" s="1"/>
  <c r="R1074" i="2" s="1"/>
  <c r="V1074" i="2" s="1"/>
  <c r="W1074" i="2" s="1"/>
  <c r="P708" i="2" a="1"/>
  <c r="P708" i="2" s="1"/>
  <c r="R708" i="2" s="1"/>
  <c r="V708" i="2" s="1"/>
  <c r="W708" i="2" s="1"/>
  <c r="P1691" i="2" a="1"/>
  <c r="P1691" i="2" s="1"/>
  <c r="R1691" i="2" s="1"/>
  <c r="V1691" i="2" s="1"/>
  <c r="W1691" i="2" s="1"/>
  <c r="P1684" i="2" a="1"/>
  <c r="P1684" i="2" s="1"/>
  <c r="R1684" i="2" s="1"/>
  <c r="V1684" i="2" s="1"/>
  <c r="W1684" i="2" s="1"/>
  <c r="P226" i="2" a="1"/>
  <c r="P226" i="2" s="1"/>
  <c r="R226" i="2" s="1"/>
  <c r="V226" i="2" s="1"/>
  <c r="W226" i="2" s="1"/>
  <c r="P1072" i="2" a="1"/>
  <c r="P1072" i="2" s="1"/>
  <c r="P212" i="2" a="1"/>
  <c r="P212" i="2" s="1"/>
  <c r="P480" i="2" a="1"/>
  <c r="P480" i="2" s="1"/>
  <c r="P1315" i="2" a="1"/>
  <c r="P1315" i="2" s="1"/>
  <c r="P426" i="2" a="1"/>
  <c r="P426" i="2" s="1"/>
  <c r="P1732" i="2" a="1"/>
  <c r="P1732" i="2" s="1"/>
  <c r="R1732" i="2" s="1"/>
  <c r="V1732" i="2" s="1"/>
  <c r="W1732" i="2" s="1"/>
  <c r="P772" i="2" a="1"/>
  <c r="P772" i="2" s="1"/>
  <c r="R772" i="2" s="1"/>
  <c r="V772" i="2" s="1"/>
  <c r="W772" i="2" s="1"/>
  <c r="P1725" i="2" a="1"/>
  <c r="P1725" i="2" s="1"/>
  <c r="R1725" i="2" s="1"/>
  <c r="V1725" i="2" s="1"/>
  <c r="W1725" i="2" s="1"/>
  <c r="P1357" i="2" a="1"/>
  <c r="P1357" i="2" s="1"/>
  <c r="R1357" i="2" s="1"/>
  <c r="V1357" i="2" s="1"/>
  <c r="W1357" i="2" s="1"/>
  <c r="P859" i="2" a="1"/>
  <c r="P859" i="2" s="1"/>
  <c r="R859" i="2" s="1"/>
  <c r="V859" i="2" s="1"/>
  <c r="W859" i="2" s="1"/>
  <c r="P1043" i="2" a="1"/>
  <c r="P1043" i="2" s="1"/>
  <c r="R1043" i="2" s="1"/>
  <c r="V1043" i="2" s="1"/>
  <c r="W1043" i="2" s="1"/>
  <c r="P1408" i="2" a="1"/>
  <c r="P1408" i="2" s="1"/>
  <c r="R1408" i="2" s="1"/>
  <c r="V1408" i="2" s="1"/>
  <c r="W1408" i="2" s="1"/>
  <c r="P956" i="2" a="1"/>
  <c r="P956" i="2" s="1"/>
  <c r="R956" i="2" s="1"/>
  <c r="V956" i="2" s="1"/>
  <c r="W956" i="2" s="1"/>
  <c r="P936" i="2" a="1"/>
  <c r="P936" i="2" s="1"/>
  <c r="R936" i="2" s="1"/>
  <c r="V936" i="2" s="1"/>
  <c r="W936" i="2" s="1"/>
  <c r="P1383" i="2" a="1"/>
  <c r="P1383" i="2" s="1"/>
  <c r="R1383" i="2" s="1"/>
  <c r="V1383" i="2" s="1"/>
  <c r="W1383" i="2" s="1"/>
  <c r="P761" i="2" a="1"/>
  <c r="P761" i="2" s="1"/>
  <c r="R761" i="2" s="1"/>
  <c r="V761" i="2" s="1"/>
  <c r="W761" i="2" s="1"/>
  <c r="P36" i="2" a="1"/>
  <c r="P36" i="2" s="1"/>
  <c r="P746" i="2" a="1"/>
  <c r="P746" i="2" s="1"/>
  <c r="P1677" i="2" a="1"/>
  <c r="P1677" i="2" s="1"/>
  <c r="P511" i="2" a="1"/>
  <c r="P511" i="2" s="1"/>
  <c r="R511" i="2" s="1"/>
  <c r="V511" i="2" s="1"/>
  <c r="W511" i="2" s="1"/>
  <c r="P455" i="2" a="1"/>
  <c r="P455" i="2" s="1"/>
  <c r="P1494" i="2" a="1"/>
  <c r="P1494" i="2" s="1"/>
  <c r="R1494" i="2" s="1"/>
  <c r="V1494" i="2" s="1"/>
  <c r="W1494" i="2" s="1"/>
  <c r="P983" i="2" a="1"/>
  <c r="P983" i="2" s="1"/>
  <c r="R983" i="2" s="1"/>
  <c r="V983" i="2" s="1"/>
  <c r="W983" i="2" s="1"/>
  <c r="P951" i="2" a="1"/>
  <c r="P951" i="2" s="1"/>
  <c r="R951" i="2" s="1"/>
  <c r="V951" i="2" s="1"/>
  <c r="W951" i="2" s="1"/>
  <c r="P689" i="2" a="1"/>
  <c r="P689" i="2" s="1"/>
  <c r="R689" i="2" s="1"/>
  <c r="V689" i="2" s="1"/>
  <c r="W689" i="2" s="1"/>
  <c r="P1148" i="2" a="1"/>
  <c r="P1148" i="2" s="1"/>
  <c r="R1148" i="2" s="1"/>
  <c r="V1148" i="2" s="1"/>
  <c r="W1148" i="2" s="1"/>
  <c r="P1386" i="2" a="1"/>
  <c r="P1386" i="2" s="1"/>
  <c r="R1386" i="2" s="1"/>
  <c r="V1386" i="2" s="1"/>
  <c r="W1386" i="2" s="1"/>
  <c r="P1099" i="2" a="1"/>
  <c r="P1099" i="2" s="1"/>
  <c r="R1099" i="2" s="1"/>
  <c r="V1099" i="2" s="1"/>
  <c r="W1099" i="2" s="1"/>
  <c r="P178" i="2" a="1"/>
  <c r="P178" i="2" s="1"/>
  <c r="R178" i="2" s="1"/>
  <c r="V178" i="2" s="1"/>
  <c r="W178" i="2" s="1"/>
  <c r="P809" i="2" a="1"/>
  <c r="P809" i="2" s="1"/>
  <c r="R809" i="2" s="1"/>
  <c r="V809" i="2" s="1"/>
  <c r="W809" i="2" s="1"/>
  <c r="P1679" i="2" a="1"/>
  <c r="P1679" i="2" s="1"/>
  <c r="R1679" i="2" s="1"/>
  <c r="V1679" i="2" s="1"/>
  <c r="W1679" i="2" s="1"/>
  <c r="P1450" i="2" a="1"/>
  <c r="P1450" i="2" s="1"/>
  <c r="R1450" i="2" s="1"/>
  <c r="V1450" i="2" s="1"/>
  <c r="W1450" i="2" s="1"/>
  <c r="P526" i="2" a="1"/>
  <c r="P526" i="2" s="1"/>
  <c r="P848" i="2" a="1"/>
  <c r="P848" i="2" s="1"/>
  <c r="P320" i="2" a="1"/>
  <c r="P320" i="2" s="1"/>
  <c r="P559" i="2" a="1"/>
  <c r="P559" i="2" s="1"/>
  <c r="P605" i="2" a="1"/>
  <c r="P605" i="2" s="1"/>
  <c r="P374" i="2" a="1"/>
  <c r="P374" i="2" s="1"/>
  <c r="P701" i="2" a="1"/>
  <c r="P701" i="2" s="1"/>
  <c r="P124" i="2" a="1"/>
  <c r="P124" i="2" s="1"/>
  <c r="R124" i="2" s="1"/>
  <c r="V124" i="2" s="1"/>
  <c r="W124" i="2" s="1"/>
  <c r="P1214" i="2" a="1"/>
  <c r="P1214" i="2" s="1"/>
  <c r="R1214" i="2" s="1"/>
  <c r="V1214" i="2" s="1"/>
  <c r="W1214" i="2" s="1"/>
  <c r="P1230" i="2" a="1"/>
  <c r="P1230" i="2" s="1"/>
  <c r="R1230" i="2" s="1"/>
  <c r="V1230" i="2" s="1"/>
  <c r="W1230" i="2" s="1"/>
  <c r="P1388" i="2" a="1"/>
  <c r="P1388" i="2" s="1"/>
  <c r="R1388" i="2" s="1"/>
  <c r="V1388" i="2" s="1"/>
  <c r="W1388" i="2" s="1"/>
  <c r="P146" i="2" a="1"/>
  <c r="P146" i="2" s="1"/>
  <c r="R146" i="2" s="1"/>
  <c r="V146" i="2" s="1"/>
  <c r="W146" i="2" s="1"/>
  <c r="P645" i="2" a="1"/>
  <c r="P645" i="2" s="1"/>
  <c r="R645" i="2" s="1"/>
  <c r="V645" i="2" s="1"/>
  <c r="W645" i="2" s="1"/>
  <c r="P1482" i="2" a="1"/>
  <c r="P1482" i="2" s="1"/>
  <c r="R1482" i="2" s="1"/>
  <c r="V1482" i="2" s="1"/>
  <c r="W1482" i="2" s="1"/>
  <c r="P304" i="2" a="1"/>
  <c r="P304" i="2" s="1"/>
  <c r="R304" i="2" s="1"/>
  <c r="V304" i="2" s="1"/>
  <c r="W304" i="2" s="1"/>
  <c r="P1700" i="2" a="1"/>
  <c r="P1700" i="2" s="1"/>
  <c r="R1700" i="2" s="1"/>
  <c r="V1700" i="2" s="1"/>
  <c r="W1700" i="2" s="1"/>
  <c r="P529" i="2" a="1"/>
  <c r="P529" i="2" s="1"/>
  <c r="P791" i="2" a="1"/>
  <c r="P791" i="2" s="1"/>
  <c r="P673" i="2" a="1"/>
  <c r="P673" i="2" s="1"/>
  <c r="P1051" i="2" a="1"/>
  <c r="P1051" i="2" s="1"/>
  <c r="R1051" i="2" s="1"/>
  <c r="V1051" i="2" s="1"/>
  <c r="W1051" i="2" s="1"/>
  <c r="P927" i="2" a="1"/>
  <c r="P927" i="2" s="1"/>
  <c r="P1393" i="2" a="1"/>
  <c r="P1393" i="2" s="1"/>
  <c r="R1393" i="2" s="1"/>
  <c r="V1393" i="2" s="1"/>
  <c r="W1393" i="2" s="1"/>
  <c r="P1737" i="2" a="1"/>
  <c r="P1737" i="2" s="1"/>
  <c r="R1737" i="2" s="1"/>
  <c r="V1737" i="2" s="1"/>
  <c r="W1737" i="2" s="1"/>
  <c r="P742" i="2" a="1"/>
  <c r="P742" i="2" s="1"/>
  <c r="R742" i="2" s="1"/>
  <c r="V742" i="2" s="1"/>
  <c r="W742" i="2" s="1"/>
  <c r="P646" i="2" a="1"/>
  <c r="P646" i="2" s="1"/>
  <c r="R646" i="2" s="1"/>
  <c r="V646" i="2" s="1"/>
  <c r="W646" i="2" s="1"/>
  <c r="P291" i="2" a="1"/>
  <c r="P291" i="2" s="1"/>
  <c r="R291" i="2" s="1"/>
  <c r="V291" i="2" s="1"/>
  <c r="W291" i="2" s="1"/>
  <c r="P280" i="2" a="1"/>
  <c r="P280" i="2" s="1"/>
  <c r="R280" i="2" s="1"/>
  <c r="V280" i="2" s="1"/>
  <c r="W280" i="2" s="1"/>
  <c r="P1158" i="2" a="1"/>
  <c r="P1158" i="2" s="1"/>
  <c r="R1158" i="2" s="1"/>
  <c r="V1158" i="2" s="1"/>
  <c r="W1158" i="2" s="1"/>
  <c r="P1019" i="2" a="1"/>
  <c r="P1019" i="2" s="1"/>
  <c r="R1019" i="2" s="1"/>
  <c r="V1019" i="2" s="1"/>
  <c r="W1019" i="2" s="1"/>
  <c r="P210" i="2" a="1"/>
  <c r="P210" i="2" s="1"/>
  <c r="R210" i="2" s="1"/>
  <c r="V210" i="2" s="1"/>
  <c r="W210" i="2" s="1"/>
  <c r="P143" i="2" a="1"/>
  <c r="P143" i="2" s="1"/>
  <c r="R143" i="2" s="1"/>
  <c r="V143" i="2" s="1"/>
  <c r="W143" i="2" s="1"/>
  <c r="R752" i="2"/>
  <c r="V752" i="2" s="1"/>
  <c r="W752" i="2" s="1"/>
  <c r="R1228" i="2"/>
  <c r="V1228" i="2" s="1"/>
  <c r="W1228" i="2" s="1"/>
  <c r="R491" i="2"/>
  <c r="V491" i="2" s="1"/>
  <c r="W491" i="2" s="1"/>
  <c r="R1108" i="2"/>
  <c r="V1108" i="2" s="1"/>
  <c r="W1108" i="2" s="1"/>
  <c r="R202" i="2"/>
  <c r="V202" i="2" s="1"/>
  <c r="W202" i="2" s="1"/>
  <c r="R1113" i="2"/>
  <c r="V1113" i="2" s="1"/>
  <c r="W1113" i="2" s="1"/>
  <c r="R1475" i="2"/>
  <c r="V1475" i="2" s="1"/>
  <c r="W1475" i="2" s="1"/>
  <c r="R938" i="2"/>
  <c r="V938" i="2" s="1"/>
  <c r="W938" i="2" s="1"/>
  <c r="R414" i="2"/>
  <c r="V414" i="2" s="1"/>
  <c r="W414" i="2" s="1"/>
  <c r="R1735" i="2"/>
  <c r="V1735" i="2" s="1"/>
  <c r="W1735" i="2" s="1"/>
  <c r="R1107" i="2"/>
  <c r="V1107" i="2" s="1"/>
  <c r="W1107" i="2" s="1"/>
  <c r="R279" i="2"/>
  <c r="V279" i="2" s="1"/>
  <c r="W279" i="2" s="1"/>
  <c r="R1182" i="2"/>
  <c r="V1182" i="2" s="1"/>
  <c r="W1182" i="2" s="1"/>
  <c r="R222" i="2"/>
  <c r="V222" i="2" s="1"/>
  <c r="W222" i="2" s="1"/>
  <c r="R779" i="2"/>
  <c r="V779" i="2" s="1"/>
  <c r="W779" i="2" s="1"/>
  <c r="R265" i="2"/>
  <c r="V265" i="2" s="1"/>
  <c r="W265" i="2" s="1"/>
  <c r="R723" i="2"/>
  <c r="V723" i="2" s="1"/>
  <c r="W723" i="2" s="1"/>
  <c r="R786" i="2"/>
  <c r="V786" i="2" s="1"/>
  <c r="W786" i="2" s="1"/>
  <c r="R469" i="2"/>
  <c r="V469" i="2" s="1"/>
  <c r="W469" i="2" s="1"/>
  <c r="R579" i="2"/>
  <c r="V579" i="2" s="1"/>
  <c r="W579" i="2" s="1"/>
  <c r="R428" i="2"/>
  <c r="V428" i="2" s="1"/>
  <c r="W428" i="2" s="1"/>
  <c r="R783" i="2"/>
  <c r="V783" i="2" s="1"/>
  <c r="W783" i="2" s="1"/>
  <c r="R49" i="2"/>
  <c r="V49" i="2" s="1"/>
  <c r="W49" i="2" s="1"/>
  <c r="R57" i="2"/>
  <c r="V57" i="2" s="1"/>
  <c r="W57" i="2" s="1"/>
  <c r="R1219" i="2"/>
  <c r="V1219" i="2" s="1"/>
  <c r="W1219" i="2" s="1"/>
  <c r="R240" i="2"/>
  <c r="V240" i="2" s="1"/>
  <c r="W240" i="2" s="1"/>
  <c r="R652" i="2"/>
  <c r="V652" i="2" s="1"/>
  <c r="W652" i="2" s="1"/>
  <c r="R1033" i="2"/>
  <c r="V1033" i="2" s="1"/>
  <c r="W1033" i="2" s="1"/>
  <c r="R372" i="2"/>
  <c r="V372" i="2" s="1"/>
  <c r="W372" i="2" s="1"/>
  <c r="R1715" i="2"/>
  <c r="V1715" i="2" s="1"/>
  <c r="W1715" i="2" s="1"/>
  <c r="R375" i="2"/>
  <c r="V375" i="2" s="1"/>
  <c r="W375" i="2" s="1"/>
  <c r="R506" i="2"/>
  <c r="V506" i="2" s="1"/>
  <c r="W506" i="2" s="1"/>
  <c r="R769" i="2"/>
  <c r="V769" i="2" s="1"/>
  <c r="W769" i="2" s="1"/>
  <c r="R1356" i="2"/>
  <c r="V1356" i="2" s="1"/>
  <c r="W1356" i="2" s="1"/>
  <c r="R891" i="2"/>
  <c r="V891" i="2" s="1"/>
  <c r="W891" i="2" s="1"/>
  <c r="R1710" i="2"/>
  <c r="V1710" i="2" s="1"/>
  <c r="W1710" i="2" s="1"/>
  <c r="R28" i="2"/>
  <c r="V28" i="2" s="1"/>
  <c r="W28" i="2" s="1"/>
  <c r="R505" i="2"/>
  <c r="V505" i="2" s="1"/>
  <c r="W505" i="2" s="1"/>
  <c r="R524" i="2"/>
  <c r="V524" i="2" s="1"/>
  <c r="W524" i="2" s="1"/>
  <c r="R1425" i="2"/>
  <c r="V1425" i="2" s="1"/>
  <c r="W1425" i="2" s="1"/>
  <c r="R608" i="2"/>
  <c r="V608" i="2" s="1"/>
  <c r="W608" i="2" s="1"/>
  <c r="R1046" i="2"/>
  <c r="V1046" i="2" s="1"/>
  <c r="W1046" i="2" s="1"/>
  <c r="R836" i="2"/>
  <c r="V836" i="2" s="1"/>
  <c r="W836" i="2" s="1"/>
  <c r="R1434" i="2"/>
  <c r="V1434" i="2" s="1"/>
  <c r="W1434" i="2" s="1"/>
  <c r="R1243" i="2"/>
  <c r="V1243" i="2" s="1"/>
  <c r="W1243" i="2" s="1"/>
  <c r="R1469" i="2"/>
  <c r="V1469" i="2" s="1"/>
  <c r="W1469" i="2" s="1"/>
  <c r="R672" i="2"/>
  <c r="V672" i="2" s="1"/>
  <c r="W672" i="2" s="1"/>
  <c r="R1433" i="2"/>
  <c r="V1433" i="2" s="1"/>
  <c r="W1433" i="2" s="1"/>
  <c r="R1308" i="2"/>
  <c r="V1308" i="2" s="1"/>
  <c r="W1308" i="2" s="1"/>
  <c r="R1157" i="2"/>
  <c r="V1157" i="2" s="1"/>
  <c r="W1157" i="2" s="1"/>
  <c r="R626" i="2"/>
  <c r="V626" i="2" s="1"/>
  <c r="W626" i="2" s="1"/>
  <c r="R355" i="2"/>
  <c r="V355" i="2" s="1"/>
  <c r="W355" i="2" s="1"/>
  <c r="R1262" i="2"/>
  <c r="V1262" i="2" s="1"/>
  <c r="W1262" i="2" s="1"/>
  <c r="R1212" i="2"/>
  <c r="V1212" i="2" s="1"/>
  <c r="W1212" i="2" s="1"/>
  <c r="R1242" i="2"/>
  <c r="V1242" i="2" s="1"/>
  <c r="W1242" i="2" s="1"/>
  <c r="R1324" i="2"/>
  <c r="V1324" i="2" s="1"/>
  <c r="W1324" i="2" s="1"/>
  <c r="R264" i="2"/>
  <c r="V264" i="2" s="1"/>
  <c r="W264" i="2" s="1"/>
  <c r="R959" i="2"/>
  <c r="V959" i="2" s="1"/>
  <c r="W959" i="2" s="1"/>
  <c r="R1426" i="2"/>
  <c r="V1426" i="2" s="1"/>
  <c r="W1426" i="2" s="1"/>
  <c r="R192" i="2"/>
  <c r="V192" i="2" s="1"/>
  <c r="W192" i="2" s="1"/>
  <c r="R204" i="2"/>
  <c r="V204" i="2" s="1"/>
  <c r="W204" i="2" s="1"/>
  <c r="R674" i="2"/>
  <c r="V674" i="2" s="1"/>
  <c r="W674" i="2" s="1"/>
  <c r="R539" i="2"/>
  <c r="V539" i="2" s="1"/>
  <c r="W539" i="2" s="1"/>
  <c r="R1452" i="2"/>
  <c r="V1452" i="2" s="1"/>
  <c r="W1452" i="2" s="1"/>
  <c r="R256" i="2"/>
  <c r="V256" i="2" s="1"/>
  <c r="W256" i="2" s="1"/>
  <c r="R502" i="2"/>
  <c r="V502" i="2" s="1"/>
  <c r="W502" i="2" s="1"/>
  <c r="R1683" i="2"/>
  <c r="V1683" i="2" s="1"/>
  <c r="W1683" i="2" s="1"/>
  <c r="R1720" i="2"/>
  <c r="V1720" i="2" s="1"/>
  <c r="W1720" i="2" s="1"/>
  <c r="R1295" i="2"/>
  <c r="V1295" i="2" s="1"/>
  <c r="W1295" i="2" s="1"/>
  <c r="R241" i="2"/>
  <c r="V241" i="2" s="1"/>
  <c r="W241" i="2" s="1"/>
  <c r="R31" i="2"/>
  <c r="V31" i="2" s="1"/>
  <c r="W31" i="2" s="1"/>
  <c r="R1466" i="2"/>
  <c r="V1466" i="2" s="1"/>
  <c r="W1466" i="2" s="1"/>
  <c r="R1159" i="2"/>
  <c r="V1159" i="2" s="1"/>
  <c r="W1159" i="2" s="1"/>
  <c r="R719" i="2"/>
  <c r="V719" i="2" s="1"/>
  <c r="W719" i="2" s="1"/>
  <c r="R647" i="2"/>
  <c r="V647" i="2" s="1"/>
  <c r="W647" i="2" s="1"/>
  <c r="R869" i="2"/>
  <c r="V869" i="2" s="1"/>
  <c r="W869" i="2" s="1"/>
  <c r="R878" i="2"/>
  <c r="V878" i="2" s="1"/>
  <c r="W878" i="2" s="1"/>
  <c r="R93" i="2"/>
  <c r="V93" i="2" s="1"/>
  <c r="W93" i="2" s="1"/>
  <c r="R53" i="2"/>
  <c r="V53" i="2" s="1"/>
  <c r="W53" i="2" s="1"/>
  <c r="R249" i="2"/>
  <c r="V249" i="2" s="1"/>
  <c r="W249" i="2" s="1"/>
  <c r="R96" i="2"/>
  <c r="V96" i="2" s="1"/>
  <c r="W96" i="2" s="1"/>
  <c r="R953" i="2"/>
  <c r="V953" i="2" s="1"/>
  <c r="W953" i="2" s="1"/>
  <c r="R1331" i="2"/>
  <c r="V1331" i="2" s="1"/>
  <c r="W1331" i="2" s="1"/>
  <c r="R939" i="2"/>
  <c r="V939" i="2" s="1"/>
  <c r="W939" i="2" s="1"/>
  <c r="R179" i="2"/>
  <c r="V179" i="2" s="1"/>
  <c r="W179" i="2" s="1"/>
  <c r="R478" i="2"/>
  <c r="V478" i="2" s="1"/>
  <c r="W478" i="2" s="1"/>
  <c r="R458" i="2"/>
  <c r="V458" i="2" s="1"/>
  <c r="W458" i="2" s="1"/>
  <c r="R896" i="2"/>
  <c r="V896" i="2" s="1"/>
  <c r="W896" i="2" s="1"/>
  <c r="R621" i="2"/>
  <c r="V621" i="2" s="1"/>
  <c r="W621" i="2" s="1"/>
  <c r="R1301" i="2"/>
  <c r="V1301" i="2" s="1"/>
  <c r="W1301" i="2" s="1"/>
  <c r="R373" i="2"/>
  <c r="V373" i="2" s="1"/>
  <c r="W373" i="2" s="1"/>
  <c r="R774" i="2"/>
  <c r="V774" i="2" s="1"/>
  <c r="W774" i="2" s="1"/>
  <c r="R549" i="2"/>
  <c r="V549" i="2" s="1"/>
  <c r="W549" i="2" s="1"/>
  <c r="R1162" i="2"/>
  <c r="V1162" i="2" s="1"/>
  <c r="W1162" i="2" s="1"/>
  <c r="R648" i="2"/>
  <c r="V648" i="2" s="1"/>
  <c r="W648" i="2" s="1"/>
  <c r="R1707" i="2"/>
  <c r="V1707" i="2" s="1"/>
  <c r="W1707" i="2" s="1"/>
  <c r="R169" i="2"/>
  <c r="V169" i="2" s="1"/>
  <c r="W169" i="2" s="1"/>
  <c r="R917" i="2"/>
  <c r="V917" i="2" s="1"/>
  <c r="W917" i="2" s="1"/>
  <c r="R748" i="2"/>
  <c r="V748" i="2" s="1"/>
  <c r="W748" i="2" s="1"/>
  <c r="R1082" i="2"/>
  <c r="V1082" i="2" s="1"/>
  <c r="W1082" i="2" s="1"/>
  <c r="R1692" i="2"/>
  <c r="V1692" i="2" s="1"/>
  <c r="W1692" i="2" s="1"/>
  <c r="R536" i="2"/>
  <c r="V536" i="2" s="1"/>
  <c r="W536" i="2" s="1"/>
  <c r="R312" i="2"/>
  <c r="V312" i="2" s="1"/>
  <c r="W312" i="2" s="1"/>
  <c r="R1360" i="2"/>
  <c r="V1360" i="2" s="1"/>
  <c r="W1360" i="2" s="1"/>
  <c r="R1718" i="2"/>
  <c r="V1718" i="2" s="1"/>
  <c r="W1718" i="2" s="1"/>
  <c r="R1086" i="2"/>
  <c r="V1086" i="2" s="1"/>
  <c r="W1086" i="2" s="1"/>
  <c r="R920" i="2"/>
  <c r="V920" i="2" s="1"/>
  <c r="W920" i="2" s="1"/>
  <c r="R329" i="2"/>
  <c r="V329" i="2" s="1"/>
  <c r="W329" i="2" s="1"/>
  <c r="R884" i="2"/>
  <c r="V884" i="2" s="1"/>
  <c r="W884" i="2" s="1"/>
  <c r="R58" i="2"/>
  <c r="V58" i="2" s="1"/>
  <c r="W58" i="2" s="1"/>
  <c r="R357" i="2"/>
  <c r="V357" i="2" s="1"/>
  <c r="W357" i="2" s="1"/>
  <c r="R941" i="2"/>
  <c r="V941" i="2" s="1"/>
  <c r="W941" i="2" s="1"/>
  <c r="R1049" i="2"/>
  <c r="V1049" i="2" s="1"/>
  <c r="W1049" i="2" s="1"/>
  <c r="R277" i="2"/>
  <c r="V277" i="2" s="1"/>
  <c r="W277" i="2" s="1"/>
  <c r="R578" i="2"/>
  <c r="V578" i="2" s="1"/>
  <c r="W578" i="2" s="1"/>
  <c r="R1181" i="2"/>
  <c r="V1181" i="2" s="1"/>
  <c r="W1181" i="2" s="1"/>
  <c r="R1378" i="2"/>
  <c r="V1378" i="2" s="1"/>
  <c r="W1378" i="2" s="1"/>
  <c r="R696" i="2"/>
  <c r="V696" i="2" s="1"/>
  <c r="W696" i="2" s="1"/>
  <c r="R1704" i="2"/>
  <c r="V1704" i="2" s="1"/>
  <c r="W1704" i="2" s="1"/>
  <c r="R370" i="2"/>
  <c r="V370" i="2" s="1"/>
  <c r="W370" i="2" s="1"/>
  <c r="R1016" i="2"/>
  <c r="V1016" i="2" s="1"/>
  <c r="W1016" i="2" s="1"/>
  <c r="R1421" i="2"/>
  <c r="V1421" i="2" s="1"/>
  <c r="W1421" i="2" s="1"/>
  <c r="R1152" i="2"/>
  <c r="V1152" i="2" s="1"/>
  <c r="W1152" i="2" s="1"/>
  <c r="R187" i="2"/>
  <c r="V187" i="2" s="1"/>
  <c r="W187" i="2" s="1"/>
  <c r="R418" i="2"/>
  <c r="V418" i="2" s="1"/>
  <c r="W418" i="2" s="1"/>
  <c r="R882" i="2"/>
  <c r="V882" i="2" s="1"/>
  <c r="W882" i="2" s="1"/>
  <c r="R1344" i="2"/>
  <c r="V1344" i="2" s="1"/>
  <c r="W1344" i="2" s="1"/>
  <c r="R1347" i="2"/>
  <c r="V1347" i="2" s="1"/>
  <c r="W1347" i="2" s="1"/>
  <c r="R1160" i="2"/>
  <c r="V1160" i="2" s="1"/>
  <c r="W1160" i="2" s="1"/>
  <c r="R158" i="2"/>
  <c r="V158" i="2" s="1"/>
  <c r="W158" i="2" s="1"/>
  <c r="R727" i="2"/>
  <c r="V727" i="2" s="1"/>
  <c r="W727" i="2" s="1"/>
  <c r="R1307" i="2"/>
  <c r="V1307" i="2" s="1"/>
  <c r="W1307" i="2" s="1"/>
  <c r="R461" i="2"/>
  <c r="V461" i="2" s="1"/>
  <c r="W461" i="2" s="1"/>
  <c r="R1117" i="2"/>
  <c r="V1117" i="2" s="1"/>
  <c r="W1117" i="2" s="1"/>
  <c r="R377" i="2"/>
  <c r="V377" i="2" s="1"/>
  <c r="W377" i="2" s="1"/>
  <c r="R894" i="2"/>
  <c r="V894" i="2" s="1"/>
  <c r="W894" i="2" s="1"/>
  <c r="R1171" i="2"/>
  <c r="V1171" i="2" s="1"/>
  <c r="W1171" i="2" s="1"/>
  <c r="R1248" i="2"/>
  <c r="V1248" i="2" s="1"/>
  <c r="W1248" i="2" s="1"/>
  <c r="R1403" i="2"/>
  <c r="V1403" i="2" s="1"/>
  <c r="W1403" i="2" s="1"/>
  <c r="R385" i="2"/>
  <c r="V385" i="2" s="1"/>
  <c r="W385" i="2" s="1"/>
  <c r="R131" i="2"/>
  <c r="V131" i="2" s="1"/>
  <c r="W131" i="2" s="1"/>
  <c r="R686" i="2"/>
  <c r="V686" i="2" s="1"/>
  <c r="W686" i="2" s="1"/>
  <c r="R219" i="2"/>
  <c r="V219" i="2" s="1"/>
  <c r="W219" i="2" s="1"/>
  <c r="R489" i="2"/>
  <c r="V489" i="2" s="1"/>
  <c r="W489" i="2" s="1"/>
  <c r="R1395" i="2"/>
  <c r="V1395" i="2" s="1"/>
  <c r="W1395" i="2" s="1"/>
  <c r="R309" i="2"/>
  <c r="V309" i="2" s="1"/>
  <c r="W309" i="2" s="1"/>
  <c r="R666" i="2"/>
  <c r="V666" i="2" s="1"/>
  <c r="W666" i="2" s="1"/>
  <c r="R387" i="2"/>
  <c r="V387" i="2" s="1"/>
  <c r="W387" i="2" s="1"/>
  <c r="R1119" i="2"/>
  <c r="V1119" i="2" s="1"/>
  <c r="W1119" i="2" s="1"/>
  <c r="R797" i="2"/>
  <c r="V797" i="2" s="1"/>
  <c r="W797" i="2" s="1"/>
  <c r="R561" i="2"/>
  <c r="V561" i="2" s="1"/>
  <c r="W561" i="2" s="1"/>
  <c r="R1054" i="2"/>
  <c r="V1054" i="2" s="1"/>
  <c r="W1054" i="2" s="1"/>
  <c r="R575" i="2"/>
  <c r="V575" i="2" s="1"/>
  <c r="W575" i="2" s="1"/>
  <c r="R788" i="2"/>
  <c r="V788" i="2" s="1"/>
  <c r="W788" i="2" s="1"/>
  <c r="R6" i="2"/>
  <c r="V6" i="2" s="1"/>
  <c r="W6" i="2" s="1"/>
  <c r="R1116" i="2"/>
  <c r="V1116" i="2" s="1"/>
  <c r="W1116" i="2" s="1"/>
  <c r="R445" i="2"/>
  <c r="V445" i="2" s="1"/>
  <c r="W445" i="2" s="1"/>
  <c r="R1218" i="2"/>
  <c r="V1218" i="2" s="1"/>
  <c r="W1218" i="2" s="1"/>
  <c r="R1404" i="2"/>
  <c r="V1404" i="2" s="1"/>
  <c r="W1404" i="2" s="1"/>
  <c r="R103" i="2"/>
  <c r="V103" i="2" s="1"/>
  <c r="W103" i="2" s="1"/>
  <c r="R1512" i="2"/>
  <c r="V1512" i="2" s="1"/>
  <c r="W1512" i="2" s="1"/>
  <c r="R705" i="2"/>
  <c r="V705" i="2" s="1"/>
  <c r="W705" i="2" s="1"/>
  <c r="R763" i="2"/>
  <c r="V763" i="2" s="1"/>
  <c r="W763" i="2" s="1"/>
  <c r="R1254" i="2"/>
  <c r="V1254" i="2" s="1"/>
  <c r="W1254" i="2" s="1"/>
  <c r="R1151" i="2"/>
  <c r="V1151" i="2" s="1"/>
  <c r="W1151" i="2" s="1"/>
  <c r="R344" i="2"/>
  <c r="V344" i="2" s="1"/>
  <c r="W344" i="2" s="1"/>
  <c r="R1045" i="2"/>
  <c r="V1045" i="2" s="1"/>
  <c r="W1045" i="2" s="1"/>
  <c r="R225" i="2"/>
  <c r="V225" i="2" s="1"/>
  <c r="W225" i="2" s="1"/>
  <c r="R60" i="2"/>
  <c r="V60" i="2" s="1"/>
  <c r="W60" i="2" s="1"/>
  <c r="R159" i="2"/>
  <c r="V159" i="2" s="1"/>
  <c r="W159" i="2" s="1"/>
  <c r="R1311" i="2"/>
  <c r="V1311" i="2" s="1"/>
  <c r="W1311" i="2" s="1"/>
  <c r="R806" i="2"/>
  <c r="V806" i="2" s="1"/>
  <c r="W806" i="2" s="1"/>
  <c r="R220" i="2"/>
  <c r="V220" i="2" s="1"/>
  <c r="W220" i="2" s="1"/>
  <c r="R790" i="2"/>
  <c r="V790" i="2" s="1"/>
  <c r="W790" i="2" s="1"/>
  <c r="R1225" i="2"/>
  <c r="V1225" i="2" s="1"/>
  <c r="W1225" i="2" s="1"/>
  <c r="R1058" i="2"/>
  <c r="V1058" i="2" s="1"/>
  <c r="W1058" i="2" s="1"/>
  <c r="R932" i="2"/>
  <c r="V932" i="2" s="1"/>
  <c r="W932" i="2" s="1"/>
  <c r="R1266" i="2"/>
  <c r="V1266" i="2" s="1"/>
  <c r="W1266" i="2" s="1"/>
  <c r="R754" i="2"/>
  <c r="V754" i="2" s="1"/>
  <c r="W754" i="2" s="1"/>
  <c r="R1143" i="2"/>
  <c r="V1143" i="2" s="1"/>
  <c r="W1143" i="2" s="1"/>
  <c r="R1206" i="2"/>
  <c r="V1206" i="2" s="1"/>
  <c r="W1206" i="2" s="1"/>
  <c r="R548" i="2"/>
  <c r="V548" i="2" s="1"/>
  <c r="W548" i="2" s="1"/>
  <c r="R149" i="2"/>
  <c r="V149" i="2" s="1"/>
  <c r="W149" i="2" s="1"/>
  <c r="R364" i="2"/>
  <c r="V364" i="2" s="1"/>
  <c r="W364" i="2" s="1"/>
  <c r="R1405" i="2"/>
  <c r="V1405" i="2" s="1"/>
  <c r="W1405" i="2" s="1"/>
  <c r="R1211" i="2"/>
  <c r="V1211" i="2" s="1"/>
  <c r="W1211" i="2" s="1"/>
  <c r="R62" i="2"/>
  <c r="V62" i="2" s="1"/>
  <c r="W62" i="2" s="1"/>
  <c r="R1374" i="2"/>
  <c r="V1374" i="2" s="1"/>
  <c r="W1374" i="2" s="1"/>
  <c r="R259" i="2"/>
  <c r="V259" i="2" s="1"/>
  <c r="W259" i="2" s="1"/>
  <c r="R1115" i="2"/>
  <c r="V1115" i="2" s="1"/>
  <c r="W1115" i="2" s="1"/>
  <c r="R1052" i="2"/>
  <c r="V1052" i="2" s="1"/>
  <c r="W1052" i="2" s="1"/>
  <c r="R1245" i="2"/>
  <c r="V1245" i="2" s="1"/>
  <c r="W1245" i="2" s="1"/>
  <c r="R984" i="2"/>
  <c r="V984" i="2" s="1"/>
  <c r="W984" i="2" s="1"/>
  <c r="R1723" i="2"/>
  <c r="V1723" i="2" s="1"/>
  <c r="W1723" i="2" s="1"/>
  <c r="R782" i="2"/>
  <c r="V782" i="2" s="1"/>
  <c r="W782" i="2" s="1"/>
  <c r="R1409" i="2"/>
  <c r="V1409" i="2" s="1"/>
  <c r="W1409" i="2" s="1"/>
  <c r="R1366" i="2"/>
  <c r="V1366" i="2" s="1"/>
  <c r="W1366" i="2" s="1"/>
  <c r="R1705" i="2"/>
  <c r="V1705" i="2" s="1"/>
  <c r="W1705" i="2" s="1"/>
  <c r="R653" i="2"/>
  <c r="V653" i="2" s="1"/>
  <c r="W653" i="2" s="1"/>
  <c r="R1029" i="2"/>
  <c r="V1029" i="2" s="1"/>
  <c r="W1029" i="2" s="1"/>
  <c r="R642" i="2"/>
  <c r="V642" i="2" s="1"/>
  <c r="W642" i="2" s="1"/>
  <c r="R574" i="2"/>
  <c r="V574" i="2" s="1"/>
  <c r="W574" i="2" s="1"/>
  <c r="R1198" i="2"/>
  <c r="V1198" i="2" s="1"/>
  <c r="W1198" i="2" s="1"/>
  <c r="R1147" i="2"/>
  <c r="V1147" i="2" s="1"/>
  <c r="W1147" i="2" s="1"/>
  <c r="R1685" i="2"/>
  <c r="V1685" i="2" s="1"/>
  <c r="W1685" i="2" s="1"/>
  <c r="R909" i="2"/>
  <c r="V909" i="2" s="1"/>
  <c r="W909" i="2" s="1"/>
  <c r="R444" i="2"/>
  <c r="V444" i="2" s="1"/>
  <c r="W444" i="2" s="1"/>
  <c r="R1232" i="2"/>
  <c r="V1232" i="2" s="1"/>
  <c r="W1232" i="2" s="1"/>
  <c r="R1312" i="2"/>
  <c r="V1312" i="2" s="1"/>
  <c r="W1312" i="2" s="1"/>
  <c r="R580" i="2"/>
  <c r="V580" i="2" s="1"/>
  <c r="W580" i="2" s="1"/>
  <c r="R839" i="2"/>
  <c r="V839" i="2" s="1"/>
  <c r="W839" i="2" s="1"/>
  <c r="R729" i="2"/>
  <c r="V729" i="2" s="1"/>
  <c r="W729" i="2" s="1"/>
  <c r="R670" i="2"/>
  <c r="V670" i="2" s="1"/>
  <c r="W670" i="2" s="1"/>
  <c r="R254" i="2"/>
  <c r="V254" i="2" s="1"/>
  <c r="W254" i="2" s="1"/>
  <c r="R402" i="2"/>
  <c r="V402" i="2" s="1"/>
  <c r="W402" i="2" s="1"/>
  <c r="R91" i="2"/>
  <c r="V91" i="2" s="1"/>
  <c r="W91" i="2" s="1"/>
  <c r="R488" i="2"/>
  <c r="V488" i="2" s="1"/>
  <c r="W488" i="2" s="1"/>
  <c r="R68" i="2"/>
  <c r="V68" i="2" s="1"/>
  <c r="W68" i="2" s="1"/>
  <c r="R1359" i="2"/>
  <c r="V1359" i="2" s="1"/>
  <c r="W1359" i="2" s="1"/>
  <c r="R246" i="2"/>
  <c r="V246" i="2" s="1"/>
  <c r="W246" i="2" s="1"/>
  <c r="R1410" i="2"/>
  <c r="V1410" i="2" s="1"/>
  <c r="W1410" i="2" s="1"/>
  <c r="R1501" i="2"/>
  <c r="V1501" i="2" s="1"/>
  <c r="W1501" i="2" s="1"/>
  <c r="R183" i="2"/>
  <c r="V183" i="2" s="1"/>
  <c r="W183" i="2" s="1"/>
  <c r="R887" i="2"/>
  <c r="V887" i="2" s="1"/>
  <c r="W887" i="2" s="1"/>
  <c r="R520" i="2"/>
  <c r="V520" i="2" s="1"/>
  <c r="W520" i="2" s="1"/>
  <c r="R203" i="2"/>
  <c r="V203" i="2" s="1"/>
  <c r="W203" i="2" s="1"/>
  <c r="R80" i="2"/>
  <c r="V80" i="2" s="1"/>
  <c r="W80" i="2" s="1"/>
  <c r="R1196" i="2"/>
  <c r="V1196" i="2" s="1"/>
  <c r="W1196" i="2" s="1"/>
  <c r="R303" i="2"/>
  <c r="V303" i="2" s="1"/>
  <c r="W303" i="2" s="1"/>
  <c r="R1226" i="2"/>
  <c r="V1226" i="2" s="1"/>
  <c r="W1226" i="2" s="1"/>
  <c r="R310" i="2"/>
  <c r="V310" i="2" s="1"/>
  <c r="W310" i="2" s="1"/>
  <c r="R52" i="2"/>
  <c r="V52" i="2" s="1"/>
  <c r="W52" i="2" s="1"/>
  <c r="R1316" i="2"/>
  <c r="V1316" i="2" s="1"/>
  <c r="W1316" i="2" s="1"/>
  <c r="R871" i="2"/>
  <c r="V871" i="2" s="1"/>
  <c r="W871" i="2" s="1"/>
  <c r="R253" i="2"/>
  <c r="V253" i="2" s="1"/>
  <c r="W253" i="2" s="1"/>
  <c r="R197" i="2"/>
  <c r="V197" i="2" s="1"/>
  <c r="W197" i="2" s="1"/>
  <c r="R890" i="2"/>
  <c r="V890" i="2" s="1"/>
  <c r="W890" i="2" s="1"/>
  <c r="R607" i="2"/>
  <c r="V607" i="2" s="1"/>
  <c r="W607" i="2" s="1"/>
  <c r="R1678" i="2"/>
  <c r="V1678" i="2" s="1"/>
  <c r="W1678" i="2" s="1"/>
  <c r="R1169" i="2"/>
  <c r="V1169" i="2" s="1"/>
  <c r="W1169" i="2" s="1"/>
  <c r="R255" i="2"/>
  <c r="V255" i="2" s="1"/>
  <c r="W255" i="2" s="1"/>
  <c r="R1069" i="2"/>
  <c r="V1069" i="2" s="1"/>
  <c r="W1069" i="2" s="1"/>
  <c r="R1467" i="2"/>
  <c r="V1467" i="2" s="1"/>
  <c r="W1467" i="2" s="1"/>
  <c r="R449" i="2"/>
  <c r="V449" i="2" s="1"/>
  <c r="W449" i="2" s="1"/>
  <c r="R1227" i="2"/>
  <c r="V1227" i="2" s="1"/>
  <c r="W1227" i="2" s="1"/>
  <c r="R1264" i="2"/>
  <c r="V1264" i="2" s="1"/>
  <c r="W1264" i="2" s="1"/>
  <c r="R102" i="2"/>
  <c r="V102" i="2" s="1"/>
  <c r="W102" i="2" s="1"/>
  <c r="R479" i="2"/>
  <c r="V479" i="2" s="1"/>
  <c r="W479" i="2" s="1"/>
  <c r="R514" i="2"/>
  <c r="V514" i="2" s="1"/>
  <c r="W514" i="2" s="1"/>
  <c r="R889" i="2"/>
  <c r="V889" i="2" s="1"/>
  <c r="W889" i="2" s="1"/>
  <c r="R829" i="2"/>
  <c r="V829" i="2" s="1"/>
  <c r="W829" i="2" s="1"/>
  <c r="R263" i="2"/>
  <c r="V263" i="2" s="1"/>
  <c r="W263" i="2" s="1"/>
  <c r="R235" i="2"/>
  <c r="V235" i="2" s="1"/>
  <c r="W235" i="2" s="1"/>
  <c r="R1073" i="2"/>
  <c r="V1073" i="2" s="1"/>
  <c r="W1073" i="2" s="1"/>
  <c r="R908" i="2"/>
  <c r="V908" i="2" s="1"/>
  <c r="W908" i="2" s="1"/>
  <c r="R1420" i="2"/>
  <c r="V1420" i="2" s="1"/>
  <c r="W1420" i="2" s="1"/>
  <c r="R1165" i="2"/>
  <c r="V1165" i="2" s="1"/>
  <c r="W1165" i="2" s="1"/>
  <c r="R170" i="2"/>
  <c r="V170" i="2" s="1"/>
  <c r="W170" i="2" s="1"/>
  <c r="R1502" i="2"/>
  <c r="V1502" i="2" s="1"/>
  <c r="W1502" i="2" s="1"/>
  <c r="R499" i="2"/>
  <c r="V499" i="2" s="1"/>
  <c r="W499" i="2" s="1"/>
  <c r="R985" i="2"/>
  <c r="V985" i="2" s="1"/>
  <c r="W985" i="2" s="1"/>
  <c r="R568" i="2"/>
  <c r="V568" i="2" s="1"/>
  <c r="W568" i="2" s="1"/>
  <c r="R221" i="2"/>
  <c r="V221" i="2" s="1"/>
  <c r="W221" i="2" s="1"/>
  <c r="R366" i="2"/>
  <c r="V366" i="2" s="1"/>
  <c r="W366" i="2" s="1"/>
  <c r="R1017" i="2"/>
  <c r="V1017" i="2" s="1"/>
  <c r="W1017" i="2" s="1"/>
  <c r="R858" i="2"/>
  <c r="V858" i="2" s="1"/>
  <c r="W858" i="2" s="1"/>
  <c r="R125" i="2"/>
  <c r="V125" i="2" s="1"/>
  <c r="W125" i="2" s="1"/>
  <c r="R338" i="2"/>
  <c r="V338" i="2" s="1"/>
  <c r="W338" i="2" s="1"/>
  <c r="R1367" i="2"/>
  <c r="V1367" i="2" s="1"/>
  <c r="W1367" i="2" s="1"/>
  <c r="R66" i="2"/>
  <c r="V66" i="2" s="1"/>
  <c r="W66" i="2" s="1"/>
  <c r="R1461" i="2"/>
  <c r="V1461" i="2" s="1"/>
  <c r="W1461" i="2" s="1"/>
  <c r="R1387" i="2"/>
  <c r="V1387" i="2" s="1"/>
  <c r="W1387" i="2" s="1"/>
  <c r="R883" i="2"/>
  <c r="V883" i="2" s="1"/>
  <c r="W883" i="2" s="1"/>
  <c r="R1261" i="2"/>
  <c r="V1261" i="2" s="1"/>
  <c r="W1261" i="2" s="1"/>
  <c r="R644" i="2"/>
  <c r="V644" i="2" s="1"/>
  <c r="W644" i="2" s="1"/>
  <c r="R629" i="2"/>
  <c r="V629" i="2" s="1"/>
  <c r="W629" i="2" s="1"/>
  <c r="R383" i="2"/>
  <c r="V383" i="2" s="1"/>
  <c r="W383" i="2" s="1"/>
  <c r="R943" i="2"/>
  <c r="V943" i="2" s="1"/>
  <c r="W943" i="2" s="1"/>
  <c r="R50" i="2"/>
  <c r="V50" i="2" s="1"/>
  <c r="W50" i="2" s="1"/>
  <c r="R1210" i="2"/>
  <c r="V1210" i="2" s="1"/>
  <c r="W1210" i="2" s="1"/>
  <c r="R794" i="2"/>
  <c r="V794" i="2" s="1"/>
  <c r="W794" i="2" s="1"/>
  <c r="R1127" i="2"/>
  <c r="V1127" i="2" s="1"/>
  <c r="W1127" i="2" s="1"/>
  <c r="R273" i="2"/>
  <c r="V273" i="2" s="1"/>
  <c r="W273" i="2" s="1"/>
  <c r="R380" i="2"/>
  <c r="V380" i="2" s="1"/>
  <c r="W380" i="2" s="1"/>
  <c r="R440" i="2"/>
  <c r="V440" i="2" s="1"/>
  <c r="W440" i="2" s="1"/>
  <c r="R270" i="2"/>
  <c r="V270" i="2" s="1"/>
  <c r="W270" i="2" s="1"/>
  <c r="R1022" i="2"/>
  <c r="V1022" i="2" s="1"/>
  <c r="W1022" i="2" s="1"/>
  <c r="R1047" i="2"/>
  <c r="V1047" i="2" s="1"/>
  <c r="W1047" i="2" s="1"/>
  <c r="R1496" i="2"/>
  <c r="V1496" i="2" s="1"/>
  <c r="W1496" i="2" s="1"/>
  <c r="R1135" i="2"/>
  <c r="V1135" i="2" s="1"/>
  <c r="W1135" i="2" s="1"/>
  <c r="R1340" i="2"/>
  <c r="V1340" i="2" s="1"/>
  <c r="W1340" i="2" s="1"/>
  <c r="R1342" i="2"/>
  <c r="V1342" i="2" s="1"/>
  <c r="W1342" i="2" s="1"/>
  <c r="R486" i="2"/>
  <c r="V486" i="2" s="1"/>
  <c r="W486" i="2" s="1"/>
  <c r="R94" i="2"/>
  <c r="V94" i="2" s="1"/>
  <c r="W94" i="2" s="1"/>
  <c r="R1155" i="2"/>
  <c r="V1155" i="2" s="1"/>
  <c r="W1155" i="2" s="1"/>
  <c r="R1432" i="2"/>
  <c r="V1432" i="2" s="1"/>
  <c r="W1432" i="2" s="1"/>
  <c r="R1417" i="2"/>
  <c r="V1417" i="2" s="1"/>
  <c r="W1417" i="2" s="1"/>
  <c r="R864" i="2"/>
  <c r="V864" i="2" s="1"/>
  <c r="W864" i="2" s="1"/>
  <c r="R831" i="2"/>
  <c r="V831" i="2" s="1"/>
  <c r="W831" i="2" s="1"/>
  <c r="R838" i="2"/>
  <c r="V838" i="2" s="1"/>
  <c r="W838" i="2" s="1"/>
  <c r="R1346" i="2"/>
  <c r="V1346" i="2" s="1"/>
  <c r="W1346" i="2" s="1"/>
  <c r="R1080" i="2"/>
  <c r="V1080" i="2" s="1"/>
  <c r="W1080" i="2" s="1"/>
  <c r="R425" i="2"/>
  <c r="V425" i="2" s="1"/>
  <c r="W425" i="2" s="1"/>
  <c r="R498" i="2"/>
  <c r="V498" i="2" s="1"/>
  <c r="W498" i="2" s="1"/>
  <c r="R239" i="2"/>
  <c r="V239" i="2" s="1"/>
  <c r="W239" i="2" s="1"/>
  <c r="R1376" i="2"/>
  <c r="V1376" i="2" s="1"/>
  <c r="W1376" i="2" s="1"/>
  <c r="R1464" i="2"/>
  <c r="V1464" i="2" s="1"/>
  <c r="W1464" i="2" s="1"/>
  <c r="R518" i="2"/>
  <c r="V518" i="2" s="1"/>
  <c r="W518" i="2" s="1"/>
  <c r="R893" i="2"/>
  <c r="V893" i="2" s="1"/>
  <c r="W893" i="2" s="1"/>
  <c r="R1345" i="2"/>
  <c r="V1345" i="2" s="1"/>
  <c r="W1345" i="2" s="1"/>
  <c r="R998" i="2"/>
  <c r="V998" i="2" s="1"/>
  <c r="W998" i="2" s="1"/>
  <c r="R198" i="2"/>
  <c r="V198" i="2" s="1"/>
  <c r="W198" i="2" s="1"/>
  <c r="R1484" i="2"/>
  <c r="V1484" i="2" s="1"/>
  <c r="W1484" i="2" s="1"/>
  <c r="R296" i="2"/>
  <c r="V296" i="2" s="1"/>
  <c r="W296" i="2" s="1"/>
  <c r="R611" i="2"/>
  <c r="V611" i="2" s="1"/>
  <c r="W611" i="2" s="1"/>
  <c r="R160" i="2"/>
  <c r="V160" i="2" s="1"/>
  <c r="W160" i="2" s="1"/>
  <c r="R346" i="2"/>
  <c r="V346" i="2" s="1"/>
  <c r="W346" i="2" s="1"/>
  <c r="R641" i="2"/>
  <c r="V641" i="2" s="1"/>
  <c r="W641" i="2" s="1"/>
  <c r="R1473" i="2"/>
  <c r="V1473" i="2" s="1"/>
  <c r="W1473" i="2" s="1"/>
  <c r="R1251" i="2"/>
  <c r="V1251" i="2" s="1"/>
  <c r="W1251" i="2" s="1"/>
  <c r="R242" i="2"/>
  <c r="V242" i="2" s="1"/>
  <c r="W242" i="2" s="1"/>
  <c r="R1250" i="2"/>
  <c r="V1250" i="2" s="1"/>
  <c r="W1250" i="2" s="1"/>
  <c r="R850" i="2"/>
  <c r="V850" i="2" s="1"/>
  <c r="W850" i="2" s="1"/>
  <c r="R1012" i="2"/>
  <c r="V1012" i="2" s="1"/>
  <c r="W1012" i="2" s="1"/>
  <c r="R1106" i="2"/>
  <c r="V1106" i="2" s="1"/>
  <c r="W1106" i="2" s="1"/>
  <c r="R44" i="2"/>
  <c r="V44" i="2" s="1"/>
  <c r="W44" i="2" s="1"/>
  <c r="R1400" i="2"/>
  <c r="V1400" i="2" s="1"/>
  <c r="W1400" i="2" s="1"/>
  <c r="R1041" i="2"/>
  <c r="V1041" i="2" s="1"/>
  <c r="W1041" i="2" s="1"/>
  <c r="R209" i="2"/>
  <c r="V209" i="2" s="1"/>
  <c r="W209" i="2" s="1"/>
  <c r="R620" i="2"/>
  <c r="V620" i="2" s="1"/>
  <c r="W620" i="2" s="1"/>
  <c r="R474" i="2"/>
  <c r="V474" i="2" s="1"/>
  <c r="W474" i="2" s="1"/>
  <c r="R1132" i="2"/>
  <c r="V1132" i="2" s="1"/>
  <c r="W1132" i="2" s="1"/>
  <c r="R835" i="2"/>
  <c r="V835" i="2" s="1"/>
  <c r="W835" i="2" s="1"/>
  <c r="R243" i="2"/>
  <c r="V243" i="2" s="1"/>
  <c r="W243" i="2" s="1"/>
  <c r="R600" i="2"/>
  <c r="V600" i="2" s="1"/>
  <c r="W600" i="2" s="1"/>
  <c r="R813" i="2"/>
  <c r="V813" i="2" s="1"/>
  <c r="W813" i="2" s="1"/>
  <c r="R297" i="2"/>
  <c r="V297" i="2" s="1"/>
  <c r="W297" i="2" s="1"/>
  <c r="R592" i="2"/>
  <c r="V592" i="2" s="1"/>
  <c r="W592" i="2" s="1"/>
  <c r="R284" i="2"/>
  <c r="V284" i="2" s="1"/>
  <c r="W284" i="2" s="1"/>
  <c r="R828" i="2"/>
  <c r="V828" i="2" s="1"/>
  <c r="W828" i="2" s="1"/>
  <c r="R164" i="2"/>
  <c r="V164" i="2" s="1"/>
  <c r="W164" i="2" s="1"/>
  <c r="R590" i="2"/>
  <c r="V590" i="2" s="1"/>
  <c r="W590" i="2" s="1"/>
  <c r="R1680" i="2"/>
  <c r="V1680" i="2" s="1"/>
  <c r="W1680" i="2" s="1"/>
  <c r="R675" i="2"/>
  <c r="V675" i="2" s="1"/>
  <c r="W675" i="2" s="1"/>
  <c r="R1114" i="2"/>
  <c r="V1114" i="2" s="1"/>
  <c r="W1114" i="2" s="1"/>
  <c r="R587" i="2"/>
  <c r="V587" i="2" s="1"/>
  <c r="W587" i="2" s="1"/>
  <c r="R1734" i="2"/>
  <c r="V1734" i="2" s="1"/>
  <c r="W1734" i="2" s="1"/>
  <c r="R1362" i="2"/>
  <c r="V1362" i="2" s="1"/>
  <c r="W1362" i="2" s="1"/>
  <c r="R819" i="2"/>
  <c r="V819" i="2" s="1"/>
  <c r="W819" i="2" s="1"/>
  <c r="R10" i="2"/>
  <c r="V10" i="2" s="1"/>
  <c r="W10" i="2" s="1"/>
  <c r="R857" i="2"/>
  <c r="V857" i="2" s="1"/>
  <c r="W857" i="2" s="1"/>
  <c r="R9" i="2"/>
  <c r="V9" i="2" s="1"/>
  <c r="W9" i="2" s="1"/>
  <c r="R251" i="2"/>
  <c r="V251" i="2" s="1"/>
  <c r="W251" i="2" s="1"/>
  <c r="R914" i="2"/>
  <c r="V914" i="2" s="1"/>
  <c r="W914" i="2" s="1"/>
  <c r="R137" i="2"/>
  <c r="V137" i="2" s="1"/>
  <c r="W137" i="2" s="1"/>
  <c r="R780" i="2"/>
  <c r="V780" i="2" s="1"/>
  <c r="W780" i="2" s="1"/>
  <c r="R738" i="2"/>
  <c r="V738" i="2" s="1"/>
  <c r="W738" i="2" s="1"/>
  <c r="R141" i="2"/>
  <c r="V141" i="2" s="1"/>
  <c r="W141" i="2" s="1"/>
  <c r="R1465" i="2"/>
  <c r="V1465" i="2" s="1"/>
  <c r="W1465" i="2" s="1"/>
  <c r="R1259" i="2"/>
  <c r="V1259" i="2" s="1"/>
  <c r="W1259" i="2" s="1"/>
  <c r="R38" i="2"/>
  <c r="V38" i="2" s="1"/>
  <c r="W38" i="2" s="1"/>
  <c r="R541" i="2"/>
  <c r="V541" i="2" s="1"/>
  <c r="W541" i="2" s="1"/>
  <c r="R1504" i="2"/>
  <c r="V1504" i="2" s="1"/>
  <c r="W1504" i="2" s="1"/>
  <c r="R861" i="2"/>
  <c r="V861" i="2" s="1"/>
  <c r="W861" i="2" s="1"/>
  <c r="R167" i="2"/>
  <c r="V167" i="2" s="1"/>
  <c r="W167" i="2" s="1"/>
  <c r="R634" i="2"/>
  <c r="V634" i="2" s="1"/>
  <c r="W634" i="2" s="1"/>
  <c r="R800" i="2"/>
  <c r="V800" i="2" s="1"/>
  <c r="W800" i="2" s="1"/>
  <c r="R1472" i="2"/>
  <c r="V1472" i="2" s="1"/>
  <c r="W1472" i="2" s="1"/>
  <c r="R865" i="2"/>
  <c r="V865" i="2" s="1"/>
  <c r="W865" i="2" s="1"/>
  <c r="R562" i="2"/>
  <c r="V562" i="2" s="1"/>
  <c r="W562" i="2" s="1"/>
  <c r="R803" i="2"/>
  <c r="V803" i="2" s="1"/>
  <c r="W803" i="2" s="1"/>
  <c r="R822" i="2"/>
  <c r="V822" i="2" s="1"/>
  <c r="W822" i="2" s="1"/>
  <c r="R250" i="2"/>
  <c r="V250" i="2" s="1"/>
  <c r="W250" i="2" s="1"/>
  <c r="R1332" i="2"/>
  <c r="V1332" i="2" s="1"/>
  <c r="W1332" i="2" s="1"/>
  <c r="R702" i="2"/>
  <c r="V702" i="2" s="1"/>
  <c r="W702" i="2" s="1"/>
  <c r="R692" i="2"/>
  <c r="V692" i="2" s="1"/>
  <c r="W692" i="2" s="1"/>
  <c r="R351" i="2"/>
  <c r="V351" i="2" s="1"/>
  <c r="W351" i="2" s="1"/>
  <c r="R283" i="2"/>
  <c r="V283" i="2" s="1"/>
  <c r="W283" i="2" s="1"/>
  <c r="R398" i="2"/>
  <c r="V398" i="2" s="1"/>
  <c r="W398" i="2" s="1"/>
  <c r="R504" i="2"/>
  <c r="V504" i="2" s="1"/>
  <c r="W504" i="2" s="1"/>
  <c r="R1291" i="2"/>
  <c r="V1291" i="2" s="1"/>
  <c r="W1291" i="2" s="1"/>
  <c r="R214" i="2"/>
  <c r="V214" i="2" s="1"/>
  <c r="W214" i="2" s="1"/>
  <c r="R292" i="2"/>
  <c r="V292" i="2" s="1"/>
  <c r="W292" i="2" s="1"/>
  <c r="R1215" i="2"/>
  <c r="V1215" i="2" s="1"/>
  <c r="W1215" i="2" s="1"/>
  <c r="R1335" i="2"/>
  <c r="V1335" i="2" s="1"/>
  <c r="W1335" i="2" s="1"/>
  <c r="R824" i="2"/>
  <c r="V824" i="2" s="1"/>
  <c r="W824" i="2" s="1"/>
  <c r="R56" i="2"/>
  <c r="V56" i="2" s="1"/>
  <c r="W56" i="2" s="1"/>
  <c r="R663" i="2"/>
  <c r="V663" i="2" s="1"/>
  <c r="W663" i="2" s="1"/>
  <c r="R407" i="2"/>
  <c r="V407" i="2" s="1"/>
  <c r="W407" i="2" s="1"/>
  <c r="R597" i="2"/>
  <c r="V597" i="2" s="1"/>
  <c r="W597" i="2" s="1"/>
  <c r="R694" i="2"/>
  <c r="V694" i="2" s="1"/>
  <c r="W694" i="2" s="1"/>
  <c r="R1091" i="2"/>
  <c r="V1091" i="2" s="1"/>
  <c r="W1091" i="2" s="1"/>
  <c r="R826" i="2"/>
  <c r="V826" i="2" s="1"/>
  <c r="W826" i="2" s="1"/>
  <c r="R456" i="2"/>
  <c r="V456" i="2" s="1"/>
  <c r="W456" i="2" s="1"/>
  <c r="R757" i="2"/>
  <c r="V757" i="2" s="1"/>
  <c r="W757" i="2" s="1"/>
  <c r="R749" i="2"/>
  <c r="V749" i="2" s="1"/>
  <c r="W749" i="2" s="1"/>
  <c r="R1042" i="2"/>
  <c r="V1042" i="2" s="1"/>
  <c r="W1042" i="2" s="1"/>
  <c r="R25" i="2"/>
  <c r="V25" i="2" s="1"/>
  <c r="W25" i="2" s="1"/>
  <c r="R515" i="2"/>
  <c r="V515" i="2" s="1"/>
  <c r="W515" i="2" s="1"/>
  <c r="R697" i="2"/>
  <c r="V697" i="2" s="1"/>
  <c r="W697" i="2" s="1"/>
  <c r="R82" i="2"/>
  <c r="V82" i="2" s="1"/>
  <c r="W82" i="2" s="1"/>
  <c r="R118" i="2"/>
  <c r="V118" i="2" s="1"/>
  <c r="W118" i="2" s="1"/>
  <c r="R812" i="2"/>
  <c r="V812" i="2" s="1"/>
  <c r="W812" i="2" s="1"/>
  <c r="R481" i="2"/>
  <c r="V481" i="2" s="1"/>
  <c r="W481" i="2" s="1"/>
  <c r="R496" i="2"/>
  <c r="V496" i="2" s="1"/>
  <c r="W496" i="2" s="1"/>
  <c r="R750" i="2"/>
  <c r="V750" i="2" s="1"/>
  <c r="W750" i="2" s="1"/>
  <c r="R21" i="2"/>
  <c r="V21" i="2" s="1"/>
  <c r="W21" i="2" s="1"/>
  <c r="R784" i="2"/>
  <c r="V784" i="2" s="1"/>
  <c r="W784" i="2" s="1"/>
  <c r="R1369" i="2"/>
  <c r="V1369" i="2" s="1"/>
  <c r="W1369" i="2" s="1"/>
  <c r="R287" i="2"/>
  <c r="V287" i="2" s="1"/>
  <c r="W287" i="2" s="1"/>
  <c r="R465" i="2"/>
  <c r="V465" i="2" s="1"/>
  <c r="W465" i="2" s="1"/>
  <c r="R293" i="2"/>
  <c r="V293" i="2" s="1"/>
  <c r="W293" i="2" s="1"/>
  <c r="R180" i="2"/>
  <c r="V180" i="2" s="1"/>
  <c r="W180" i="2" s="1"/>
  <c r="R517" i="2"/>
  <c r="V517" i="2" s="1"/>
  <c r="W517" i="2" s="1"/>
  <c r="R1321" i="2"/>
  <c r="V1321" i="2" s="1"/>
  <c r="W1321" i="2" s="1"/>
  <c r="R1002" i="2"/>
  <c r="V1002" i="2" s="1"/>
  <c r="W1002" i="2" s="1"/>
  <c r="R635" i="2"/>
  <c r="V635" i="2" s="1"/>
  <c r="W635" i="2" s="1"/>
  <c r="R764" i="2"/>
  <c r="V764" i="2" s="1"/>
  <c r="W764" i="2" s="1"/>
  <c r="R937" i="2"/>
  <c r="V937" i="2" s="1"/>
  <c r="W937" i="2" s="1"/>
  <c r="R991" i="2"/>
  <c r="V991" i="2" s="1"/>
  <c r="W991" i="2" s="1"/>
  <c r="R1442" i="2"/>
  <c r="V1442" i="2" s="1"/>
  <c r="W1442" i="2" s="1"/>
  <c r="R1364" i="2"/>
  <c r="V1364" i="2" s="1"/>
  <c r="W1364" i="2" s="1"/>
  <c r="R789" i="2"/>
  <c r="V789" i="2" s="1"/>
  <c r="W789" i="2" s="1"/>
  <c r="R1370" i="2"/>
  <c r="V1370" i="2" s="1"/>
  <c r="W1370" i="2" s="1"/>
  <c r="R531" i="2"/>
  <c r="V531" i="2" s="1"/>
  <c r="W531" i="2" s="1"/>
  <c r="R101" i="2"/>
  <c r="V101" i="2" s="1"/>
  <c r="W101" i="2" s="1"/>
  <c r="R928" i="2"/>
  <c r="V928" i="2" s="1"/>
  <c r="W928" i="2" s="1"/>
  <c r="R83" i="2"/>
  <c r="V83" i="2" s="1"/>
  <c r="W83" i="2" s="1"/>
  <c r="R573" i="2"/>
  <c r="V573" i="2" s="1"/>
  <c r="W573" i="2" s="1"/>
  <c r="R946" i="2"/>
  <c r="V946" i="2" s="1"/>
  <c r="W946" i="2" s="1"/>
  <c r="R166" i="2"/>
  <c r="V166" i="2" s="1"/>
  <c r="W166" i="2" s="1"/>
  <c r="R301" i="2"/>
  <c r="V301" i="2" s="1"/>
  <c r="W301" i="2" s="1"/>
  <c r="R381" i="2"/>
  <c r="V381" i="2" s="1"/>
  <c r="W381" i="2" s="1"/>
  <c r="R139" i="2"/>
  <c r="V139" i="2" s="1"/>
  <c r="W139" i="2" s="1"/>
  <c r="R703" i="2"/>
  <c r="V703" i="2" s="1"/>
  <c r="W703" i="2" s="1"/>
  <c r="R912" i="2"/>
  <c r="V912" i="2" s="1"/>
  <c r="W912" i="2" s="1"/>
  <c r="R26" i="2"/>
  <c r="V26" i="2" s="1"/>
  <c r="W26" i="2" s="1"/>
  <c r="R1204" i="2"/>
  <c r="V1204" i="2" s="1"/>
  <c r="W1204" i="2" s="1"/>
  <c r="R148" i="2"/>
  <c r="V148" i="2" s="1"/>
  <c r="W148" i="2" s="1"/>
  <c r="R231" i="2"/>
  <c r="V231" i="2" s="1"/>
  <c r="W231" i="2" s="1"/>
  <c r="R986" i="2"/>
  <c r="V986" i="2" s="1"/>
  <c r="W986" i="2" s="1"/>
  <c r="R1402" i="2"/>
  <c r="V1402" i="2" s="1"/>
  <c r="W1402" i="2" s="1"/>
  <c r="R367" i="2"/>
  <c r="V367" i="2" s="1"/>
  <c r="W367" i="2" s="1"/>
  <c r="R4" i="2"/>
  <c r="V4" i="2" s="1"/>
  <c r="W4" i="2" s="1"/>
  <c r="R400" i="2"/>
  <c r="V400" i="2" s="1"/>
  <c r="W400" i="2" s="1"/>
  <c r="R832" i="2"/>
  <c r="V832" i="2" s="1"/>
  <c r="W832" i="2" s="1"/>
  <c r="R51" i="2"/>
  <c r="V51" i="2" s="1"/>
  <c r="W51" i="2" s="1"/>
  <c r="R330" i="2"/>
  <c r="V330" i="2" s="1"/>
  <c r="W330" i="2" s="1"/>
  <c r="R866" i="2"/>
  <c r="V866" i="2" s="1"/>
  <c r="W866" i="2" s="1"/>
  <c r="R733" i="2"/>
  <c r="V733" i="2" s="1"/>
  <c r="W733" i="2" s="1"/>
  <c r="R814" i="2"/>
  <c r="V814" i="2" s="1"/>
  <c r="W814" i="2" s="1"/>
  <c r="R847" i="2"/>
  <c r="V847" i="2" s="1"/>
  <c r="W847" i="2" s="1"/>
  <c r="R655" i="2"/>
  <c r="V655" i="2" s="1"/>
  <c r="W655" i="2" s="1"/>
  <c r="R527" i="2"/>
  <c r="V527" i="2" s="1"/>
  <c r="W527" i="2" s="1"/>
  <c r="R690" i="2"/>
  <c r="V690" i="2" s="1"/>
  <c r="W690" i="2" s="1"/>
  <c r="R1689" i="2"/>
  <c r="V1689" i="2" s="1"/>
  <c r="W1689" i="2" s="1"/>
  <c r="R888" i="2"/>
  <c r="V888" i="2" s="1"/>
  <c r="W888" i="2" s="1"/>
  <c r="R300" i="2"/>
  <c r="V300" i="2" s="1"/>
  <c r="W300" i="2" s="1"/>
  <c r="R1018" i="2"/>
  <c r="V1018" i="2" s="1"/>
  <c r="W1018" i="2" s="1"/>
  <c r="R457" i="2"/>
  <c r="V457" i="2" s="1"/>
  <c r="W457" i="2" s="1"/>
  <c r="R1436" i="2"/>
  <c r="V1436" i="2" s="1"/>
  <c r="W1436" i="2" s="1"/>
  <c r="R115" i="2"/>
  <c r="V115" i="2" s="1"/>
  <c r="W115" i="2" s="1"/>
  <c r="R1078" i="2"/>
  <c r="V1078" i="2" s="1"/>
  <c r="W1078" i="2" s="1"/>
  <c r="R1263" i="2"/>
  <c r="V1263" i="2" s="1"/>
  <c r="W1263" i="2" s="1"/>
  <c r="R142" i="2"/>
  <c r="V142" i="2" s="1"/>
  <c r="W142" i="2" s="1"/>
  <c r="R1247" i="2"/>
  <c r="V1247" i="2" s="1"/>
  <c r="W1247" i="2" s="1"/>
  <c r="R313" i="2"/>
  <c r="V313" i="2" s="1"/>
  <c r="W313" i="2" s="1"/>
  <c r="R30" i="2"/>
  <c r="V30" i="2" s="1"/>
  <c r="W30" i="2" s="1"/>
  <c r="R1682" i="2"/>
  <c r="V1682" i="2" s="1"/>
  <c r="W1682" i="2" s="1"/>
  <c r="R86" i="2"/>
  <c r="V86" i="2" s="1"/>
  <c r="W86" i="2" s="1"/>
  <c r="R1339" i="2"/>
  <c r="V1339" i="2" s="1"/>
  <c r="W1339" i="2" s="1"/>
  <c r="R1706" i="2"/>
  <c r="V1706" i="2" s="1"/>
  <c r="W1706" i="2" s="1"/>
  <c r="R810" i="2"/>
  <c r="V810" i="2" s="1"/>
  <c r="W810" i="2" s="1"/>
  <c r="R434" i="2"/>
  <c r="V434" i="2" s="1"/>
  <c r="W434" i="2" s="1"/>
  <c r="R1087" i="2"/>
  <c r="V1087" i="2" s="1"/>
  <c r="W1087" i="2" s="1"/>
  <c r="R79" i="2"/>
  <c r="V79" i="2" s="1"/>
  <c r="W79" i="2" s="1"/>
  <c r="R1480" i="2"/>
  <c r="V1480" i="2" s="1"/>
  <c r="W1480" i="2" s="1"/>
  <c r="R849" i="2"/>
  <c r="V849" i="2" s="1"/>
  <c r="W849" i="2" s="1"/>
  <c r="R1326" i="2"/>
  <c r="V1326" i="2" s="1"/>
  <c r="W1326" i="2" s="1"/>
  <c r="R1277" i="2"/>
  <c r="V1277" i="2" s="1"/>
  <c r="W1277" i="2" s="1"/>
  <c r="R1463" i="2"/>
  <c r="V1463" i="2" s="1"/>
  <c r="W1463" i="2" s="1"/>
  <c r="R546" i="2"/>
  <c r="V546" i="2" s="1"/>
  <c r="W546" i="2" s="1"/>
  <c r="R706" i="2"/>
  <c r="V706" i="2" s="1"/>
  <c r="W706" i="2" s="1"/>
  <c r="R1348" i="2"/>
  <c r="V1348" i="2" s="1"/>
  <c r="W1348" i="2" s="1"/>
  <c r="R660" i="2"/>
  <c r="V660" i="2" s="1"/>
  <c r="W660" i="2" s="1"/>
  <c r="R470" i="2"/>
  <c r="V470" i="2" s="1"/>
  <c r="W470" i="2" s="1"/>
  <c r="R24" i="2"/>
  <c r="V24" i="2" s="1"/>
  <c r="W24" i="2" s="1"/>
  <c r="R503" i="2"/>
  <c r="V503" i="2" s="1"/>
  <c r="W503" i="2" s="1"/>
  <c r="R276" i="2"/>
  <c r="V276" i="2" s="1"/>
  <c r="W276" i="2" s="1"/>
  <c r="R671" i="2"/>
  <c r="V671" i="2" s="1"/>
  <c r="W671" i="2" s="1"/>
  <c r="R550" i="2"/>
  <c r="V550" i="2" s="1"/>
  <c r="W550" i="2" s="1"/>
  <c r="R594" i="2"/>
  <c r="V594" i="2" s="1"/>
  <c r="W594" i="2" s="1"/>
  <c r="R1713" i="2"/>
  <c r="V1713" i="2" s="1"/>
  <c r="W1713" i="2" s="1"/>
  <c r="R174" i="2"/>
  <c r="V174" i="2" s="1"/>
  <c r="W174" i="2" s="1"/>
  <c r="R1167" i="2"/>
  <c r="V1167" i="2" s="1"/>
  <c r="W1167" i="2" s="1"/>
  <c r="R753" i="2"/>
  <c r="V753" i="2" s="1"/>
  <c r="W753" i="2" s="1"/>
  <c r="R473" i="2"/>
  <c r="V473" i="2" s="1"/>
  <c r="W473" i="2" s="1"/>
  <c r="R1008" i="2"/>
  <c r="V1008" i="2" s="1"/>
  <c r="W1008" i="2" s="1"/>
  <c r="R119" i="2"/>
  <c r="V119" i="2" s="1"/>
  <c r="W119" i="2" s="1"/>
  <c r="R1294" i="2"/>
  <c r="V1294" i="2" s="1"/>
  <c r="W1294" i="2" s="1"/>
  <c r="R1178" i="2"/>
  <c r="V1178" i="2" s="1"/>
  <c r="W1178" i="2" s="1"/>
  <c r="R1709" i="2"/>
  <c r="V1709" i="2" s="1"/>
  <c r="W1709" i="2" s="1"/>
  <c r="R1034" i="2"/>
  <c r="V1034" i="2" s="1"/>
  <c r="W1034" i="2" s="1"/>
  <c r="R1401" i="2"/>
  <c r="V1401" i="2" s="1"/>
  <c r="W1401" i="2" s="1"/>
  <c r="R267" i="2"/>
  <c r="V267" i="2" s="1"/>
  <c r="W267" i="2" s="1"/>
  <c r="R1102" i="2"/>
  <c r="V1102" i="2" s="1"/>
  <c r="W1102" i="2" s="1"/>
  <c r="R923" i="2"/>
  <c r="V923" i="2" s="1"/>
  <c r="W923" i="2" s="1"/>
  <c r="R569" i="2"/>
  <c r="V569" i="2" s="1"/>
  <c r="W569" i="2" s="1"/>
  <c r="R979" i="2"/>
  <c r="V979" i="2" s="1"/>
  <c r="W979" i="2" s="1"/>
  <c r="R382" i="2"/>
  <c r="V382" i="2" s="1"/>
  <c r="W382" i="2" s="1"/>
  <c r="R581" i="2"/>
  <c r="V581" i="2" s="1"/>
  <c r="W581" i="2" s="1"/>
  <c r="R805" i="2"/>
  <c r="V805" i="2" s="1"/>
  <c r="W805" i="2" s="1"/>
  <c r="R886" i="2"/>
  <c r="V886" i="2" s="1"/>
  <c r="W886" i="2" s="1"/>
  <c r="R1253" i="2"/>
  <c r="V1253" i="2" s="1"/>
  <c r="W1253" i="2" s="1"/>
  <c r="R845" i="2"/>
  <c r="V845" i="2" s="1"/>
  <c r="W845" i="2" s="1"/>
  <c r="R1066" i="2"/>
  <c r="V1066" i="2" s="1"/>
  <c r="W1066" i="2" s="1"/>
  <c r="R399" i="2"/>
  <c r="V399" i="2" s="1"/>
  <c r="W399" i="2" s="1"/>
  <c r="R484" i="2"/>
  <c r="V484" i="2" s="1"/>
  <c r="W484" i="2" s="1"/>
  <c r="R1498" i="2"/>
  <c r="V1498" i="2" s="1"/>
  <c r="W1498" i="2" s="1"/>
  <c r="R1269" i="2"/>
  <c r="V1269" i="2" s="1"/>
  <c r="W1269" i="2" s="1"/>
  <c r="R386" i="2"/>
  <c r="V386" i="2" s="1"/>
  <c r="W386" i="2" s="1"/>
  <c r="R11" i="2"/>
  <c r="V11" i="2" s="1"/>
  <c r="W11" i="2" s="1"/>
  <c r="R362" i="2"/>
  <c r="V362" i="2" s="1"/>
  <c r="W362" i="2" s="1"/>
  <c r="R618" i="2"/>
  <c r="V618" i="2" s="1"/>
  <c r="W618" i="2" s="1"/>
  <c r="R1044" i="2"/>
  <c r="V1044" i="2" s="1"/>
  <c r="W1044" i="2" s="1"/>
  <c r="R384" i="2"/>
  <c r="V384" i="2" s="1"/>
  <c r="W384" i="2" s="1"/>
  <c r="R1055" i="2"/>
  <c r="V1055" i="2" s="1"/>
  <c r="W1055" i="2" s="1"/>
  <c r="R1111" i="2"/>
  <c r="V1111" i="2" s="1"/>
  <c r="W1111" i="2" s="1"/>
  <c r="R1180" i="2"/>
  <c r="V1180" i="2" s="1"/>
  <c r="W1180" i="2" s="1"/>
  <c r="R880" i="2"/>
  <c r="V880" i="2" s="1"/>
  <c r="W880" i="2" s="1"/>
  <c r="R1281" i="2"/>
  <c r="V1281" i="2" s="1"/>
  <c r="W1281" i="2" s="1"/>
  <c r="R1071" i="2"/>
  <c r="V1071" i="2" s="1"/>
  <c r="W1071" i="2" s="1"/>
  <c r="R1441" i="2"/>
  <c r="V1441" i="2" s="1"/>
  <c r="W1441" i="2" s="1"/>
  <c r="R109" i="2"/>
  <c r="V109" i="2" s="1"/>
  <c r="W109" i="2" s="1"/>
  <c r="R7" i="2"/>
  <c r="V7" i="2" s="1"/>
  <c r="W7" i="2" s="1"/>
  <c r="R47" i="2"/>
  <c r="V47" i="2" s="1"/>
  <c r="W47" i="2" s="1"/>
  <c r="R876" i="2"/>
  <c r="V876" i="2" s="1"/>
  <c r="W876" i="2" s="1"/>
  <c r="R89" i="2"/>
  <c r="V89" i="2" s="1"/>
  <c r="W89" i="2" s="1"/>
  <c r="R208" i="2"/>
  <c r="V208" i="2" s="1"/>
  <c r="W208" i="2" s="1"/>
  <c r="R676" i="2"/>
  <c r="V676" i="2" s="1"/>
  <c r="W676" i="2" s="1"/>
  <c r="R1399" i="2"/>
  <c r="V1399" i="2" s="1"/>
  <c r="W1399" i="2" s="1"/>
  <c r="R1189" i="2"/>
  <c r="V1189" i="2" s="1"/>
  <c r="W1189" i="2" s="1"/>
  <c r="R134" i="2"/>
  <c r="V134" i="2" s="1"/>
  <c r="W134" i="2" s="1"/>
  <c r="R32" i="2"/>
  <c r="V32" i="2" s="1"/>
  <c r="W32" i="2" s="1"/>
  <c r="R1015" i="2"/>
  <c r="V1015" i="2" s="1"/>
  <c r="W1015" i="2" s="1"/>
  <c r="R261" i="2"/>
  <c r="V261" i="2" s="1"/>
  <c r="W261" i="2" s="1"/>
  <c r="R360" i="2"/>
  <c r="V360" i="2" s="1"/>
  <c r="W360" i="2" s="1"/>
  <c r="R1341" i="2"/>
  <c r="V1341" i="2" s="1"/>
  <c r="W1341" i="2" s="1"/>
  <c r="R711" i="2"/>
  <c r="V711" i="2" s="1"/>
  <c r="W711" i="2" s="1"/>
  <c r="R1003" i="2"/>
  <c r="V1003" i="2" s="1"/>
  <c r="W1003" i="2" s="1"/>
  <c r="R1719" i="2"/>
  <c r="V1719" i="2" s="1"/>
  <c r="W1719" i="2" s="1"/>
  <c r="R1329" i="2"/>
  <c r="V1329" i="2" s="1"/>
  <c r="W1329" i="2" s="1"/>
  <c r="R147" i="2"/>
  <c r="V147" i="2" s="1"/>
  <c r="W147" i="2" s="1"/>
  <c r="R595" i="2"/>
  <c r="V595" i="2" s="1"/>
  <c r="W595" i="2" s="1"/>
  <c r="R315" i="2"/>
  <c r="V315" i="2" s="1"/>
  <c r="W315" i="2" s="1"/>
  <c r="R987" i="2"/>
  <c r="V987" i="2" s="1"/>
  <c r="W987" i="2" s="1"/>
  <c r="R962" i="2"/>
  <c r="V962" i="2" s="1"/>
  <c r="W962" i="2" s="1"/>
  <c r="R337" i="2"/>
  <c r="V337" i="2" s="1"/>
  <c r="W337" i="2" s="1"/>
  <c r="R801" i="2"/>
  <c r="V801" i="2" s="1"/>
  <c r="W801" i="2" s="1"/>
  <c r="R1741" i="2"/>
  <c r="V1741" i="2" s="1"/>
  <c r="W1741" i="2" s="1"/>
  <c r="R1693" i="2"/>
  <c r="V1693" i="2" s="1"/>
  <c r="W1693" i="2" s="1"/>
  <c r="R1304" i="2"/>
  <c r="V1304" i="2" s="1"/>
  <c r="W1304" i="2" s="1"/>
  <c r="R388" i="2"/>
  <c r="V388" i="2" s="1"/>
  <c r="W388" i="2" s="1"/>
  <c r="R285" i="2"/>
  <c r="V285" i="2" s="1"/>
  <c r="W285" i="2" s="1"/>
  <c r="R336" i="2"/>
  <c r="V336" i="2" s="1"/>
  <c r="W336" i="2" s="1"/>
  <c r="R1098" i="2"/>
  <c r="V1098" i="2" s="1"/>
  <c r="W1098" i="2" s="1"/>
  <c r="R935" i="2"/>
  <c r="V935" i="2" s="1"/>
  <c r="W935" i="2" s="1"/>
  <c r="R525" i="2"/>
  <c r="V525" i="2" s="1"/>
  <c r="W525" i="2" s="1"/>
  <c r="R1298" i="2"/>
  <c r="V1298" i="2" s="1"/>
  <c r="W1298" i="2" s="1"/>
  <c r="R396" i="2"/>
  <c r="V396" i="2" s="1"/>
  <c r="W396" i="2" s="1"/>
  <c r="R500" i="2"/>
  <c r="V500" i="2" s="1"/>
  <c r="W500" i="2" s="1"/>
  <c r="R565" i="2"/>
  <c r="V565" i="2" s="1"/>
  <c r="W565" i="2" s="1"/>
  <c r="R332" i="2"/>
  <c r="V332" i="2" s="1"/>
  <c r="W332" i="2" s="1"/>
  <c r="R1454" i="2"/>
  <c r="V1454" i="2" s="1"/>
  <c r="W1454" i="2" s="1"/>
  <c r="R699" i="2"/>
  <c r="V699" i="2" s="1"/>
  <c r="W699" i="2" s="1"/>
  <c r="R145" i="2"/>
  <c r="V145" i="2" s="1"/>
  <c r="W145" i="2" s="1"/>
  <c r="R1375" i="2"/>
  <c r="V1375" i="2" s="1"/>
  <c r="W1375" i="2" s="1"/>
  <c r="R586" i="2"/>
  <c r="V586" i="2" s="1"/>
  <c r="W586" i="2" s="1"/>
  <c r="R1010" i="2"/>
  <c r="V1010" i="2" s="1"/>
  <c r="W1010" i="2" s="1"/>
  <c r="R1088" i="2"/>
  <c r="V1088" i="2" s="1"/>
  <c r="W1088" i="2" s="1"/>
  <c r="R1354" i="2"/>
  <c r="V1354" i="2" s="1"/>
  <c r="W1354" i="2" s="1"/>
  <c r="R1702" i="2"/>
  <c r="V1702" i="2" s="1"/>
  <c r="W1702" i="2" s="1"/>
  <c r="R1721" i="2"/>
  <c r="V1721" i="2" s="1"/>
  <c r="W1721" i="2" s="1"/>
  <c r="R874" i="2"/>
  <c r="V874" i="2" s="1"/>
  <c r="W874" i="2" s="1"/>
  <c r="R588" i="2"/>
  <c r="V588" i="2" s="1"/>
  <c r="W588" i="2" s="1"/>
  <c r="R781" i="2"/>
  <c r="V781" i="2" s="1"/>
  <c r="W781" i="2" s="1"/>
  <c r="R1172" i="2"/>
  <c r="V1172" i="2" s="1"/>
  <c r="W1172" i="2" s="1"/>
  <c r="R42" i="2"/>
  <c r="V42" i="2" s="1"/>
  <c r="W42" i="2" s="1"/>
  <c r="R902" i="2"/>
  <c r="V902" i="2" s="1"/>
  <c r="W902" i="2" s="1"/>
  <c r="R358" i="2"/>
  <c r="V358" i="2" s="1"/>
  <c r="W358" i="2" s="1"/>
  <c r="R247" i="2"/>
  <c r="V247" i="2" s="1"/>
  <c r="W247" i="2" s="1"/>
  <c r="R669" i="2"/>
  <c r="V669" i="2" s="1"/>
  <c r="W669" i="2" s="1"/>
  <c r="R281" i="2"/>
  <c r="V281" i="2" s="1"/>
  <c r="W281" i="2" s="1"/>
  <c r="R1730" i="2"/>
  <c r="V1730" i="2" s="1"/>
  <c r="W1730" i="2" s="1"/>
  <c r="R19" i="2"/>
  <c r="V19" i="2" s="1"/>
  <c r="W19" i="2" s="1"/>
  <c r="R572" i="2"/>
  <c r="V572" i="2" s="1"/>
  <c r="W572" i="2" s="1"/>
  <c r="R305" i="2"/>
  <c r="V305" i="2" s="1"/>
  <c r="W305" i="2" s="1"/>
  <c r="R43" i="2"/>
  <c r="V43" i="2" s="1"/>
  <c r="W43" i="2" s="1"/>
  <c r="R427" i="2"/>
  <c r="V427" i="2" s="1"/>
  <c r="W427" i="2" s="1"/>
  <c r="R1221" i="2"/>
  <c r="V1221" i="2" s="1"/>
  <c r="W1221" i="2" s="1"/>
  <c r="R1234" i="2"/>
  <c r="V1234" i="2" s="1"/>
  <c r="W1234" i="2" s="1"/>
  <c r="R1448" i="2"/>
  <c r="V1448" i="2" s="1"/>
  <c r="W1448" i="2" s="1"/>
  <c r="R1179" i="2"/>
  <c r="V1179" i="2" s="1"/>
  <c r="W1179" i="2" s="1"/>
  <c r="R510" i="2"/>
  <c r="V510" i="2" s="1"/>
  <c r="W510" i="2" s="1"/>
  <c r="R126" i="2"/>
  <c r="V126" i="2" s="1"/>
  <c r="W126" i="2" s="1"/>
  <c r="R944" i="2"/>
  <c r="V944" i="2" s="1"/>
  <c r="W944" i="2" s="1"/>
  <c r="R1011" i="2"/>
  <c r="V1011" i="2" s="1"/>
  <c r="W1011" i="2" s="1"/>
  <c r="R306" i="2"/>
  <c r="V306" i="2" s="1"/>
  <c r="W306" i="2" s="1"/>
  <c r="R1061" i="2"/>
  <c r="V1061" i="2" s="1"/>
  <c r="W1061" i="2" s="1"/>
  <c r="R685" i="2"/>
  <c r="V685" i="2" s="1"/>
  <c r="W685" i="2" s="1"/>
  <c r="R185" i="2"/>
  <c r="V185" i="2" s="1"/>
  <c r="W185" i="2" s="1"/>
  <c r="R521" i="2"/>
  <c r="V521" i="2" s="1"/>
  <c r="W521" i="2" s="1"/>
  <c r="R563" i="2"/>
  <c r="V563" i="2" s="1"/>
  <c r="W563" i="2" s="1"/>
  <c r="R413" i="2"/>
  <c r="V413" i="2" s="1"/>
  <c r="W413" i="2" s="1"/>
  <c r="R775" i="2"/>
  <c r="V775" i="2" s="1"/>
  <c r="W775" i="2" s="1"/>
  <c r="R433" i="2"/>
  <c r="V433" i="2" s="1"/>
  <c r="W433" i="2" s="1"/>
  <c r="R1411" i="2"/>
  <c r="V1411" i="2" s="1"/>
  <c r="W1411" i="2" s="1"/>
  <c r="R1075" i="2"/>
  <c r="V1075" i="2" s="1"/>
  <c r="W1075" i="2" s="1"/>
  <c r="R1188" i="2"/>
  <c r="V1188" i="2" s="1"/>
  <c r="W1188" i="2" s="1"/>
  <c r="R599" i="2"/>
  <c r="V599" i="2" s="1"/>
  <c r="W599" i="2" s="1"/>
  <c r="R275" i="2"/>
  <c r="V275" i="2" s="1"/>
  <c r="W275" i="2" s="1"/>
  <c r="R623" i="2"/>
  <c r="V623" i="2" s="1"/>
  <c r="W623" i="2" s="1"/>
  <c r="R411" i="2"/>
  <c r="V411" i="2" s="1"/>
  <c r="W411" i="2" s="1"/>
  <c r="R117" i="2"/>
  <c r="V117" i="2" s="1"/>
  <c r="W117" i="2" s="1"/>
  <c r="R323" i="2"/>
  <c r="V323" i="2" s="1"/>
  <c r="W323" i="2" s="1"/>
  <c r="R2" i="2"/>
  <c r="V2" i="2" s="1"/>
  <c r="W2" i="2" s="1"/>
  <c r="R1112" i="2"/>
  <c r="V1112" i="2" s="1"/>
  <c r="W1112" i="2" s="1"/>
  <c r="R199" i="2"/>
  <c r="V199" i="2" s="1"/>
  <c r="W199" i="2" s="1"/>
  <c r="R1131" i="2"/>
  <c r="V1131" i="2" s="1"/>
  <c r="W1131" i="2" s="1"/>
  <c r="R77" i="2"/>
  <c r="V77" i="2" s="1"/>
  <c r="W77" i="2" s="1"/>
  <c r="R739" i="2"/>
  <c r="V739" i="2" s="1"/>
  <c r="W739" i="2" s="1"/>
  <c r="R643" i="2"/>
  <c r="V643" i="2" s="1"/>
  <c r="W643" i="2" s="1"/>
  <c r="R205" i="2"/>
  <c r="V205" i="2" s="1"/>
  <c r="W205" i="2" s="1"/>
  <c r="R722" i="2"/>
  <c r="V722" i="2" s="1"/>
  <c r="W722" i="2" s="1"/>
  <c r="R755" i="2"/>
  <c r="V755" i="2" s="1"/>
  <c r="W755" i="2" s="1"/>
  <c r="R104" i="2"/>
  <c r="V104" i="2" s="1"/>
  <c r="W104" i="2" s="1"/>
  <c r="R897" i="2"/>
  <c r="V897" i="2" s="1"/>
  <c r="W897" i="2" s="1"/>
  <c r="R657" i="2"/>
  <c r="V657" i="2" s="1"/>
  <c r="W657" i="2" s="1"/>
  <c r="R229" i="2"/>
  <c r="V229" i="2" s="1"/>
  <c r="W229" i="2" s="1"/>
  <c r="R1186" i="2"/>
  <c r="V1186" i="2" s="1"/>
  <c r="W1186" i="2" s="1"/>
  <c r="R1287" i="2"/>
  <c r="V1287" i="2" s="1"/>
  <c r="W1287" i="2" s="1"/>
  <c r="R658" i="2"/>
  <c r="V658" i="2" s="1"/>
  <c r="W658" i="2" s="1"/>
  <c r="R716" i="2"/>
  <c r="V716" i="2" s="1"/>
  <c r="W716" i="2" s="1"/>
  <c r="R420" i="2"/>
  <c r="V420" i="2" s="1"/>
  <c r="W420" i="2" s="1"/>
  <c r="R1072" i="2"/>
  <c r="V1072" i="2" s="1"/>
  <c r="W1072" i="2" s="1"/>
  <c r="R212" i="2"/>
  <c r="V212" i="2" s="1"/>
  <c r="W212" i="2" s="1"/>
  <c r="R480" i="2"/>
  <c r="V480" i="2" s="1"/>
  <c r="W480" i="2" s="1"/>
  <c r="R1315" i="2"/>
  <c r="V1315" i="2" s="1"/>
  <c r="W1315" i="2" s="1"/>
  <c r="R949" i="2"/>
  <c r="V949" i="2" s="1"/>
  <c r="W949" i="2" s="1"/>
  <c r="R1373" i="2"/>
  <c r="V1373" i="2" s="1"/>
  <c r="W1373" i="2" s="1"/>
  <c r="R161" i="2"/>
  <c r="V161" i="2" s="1"/>
  <c r="W161" i="2" s="1"/>
  <c r="R224" i="2"/>
  <c r="V224" i="2" s="1"/>
  <c r="W224" i="2" s="1"/>
  <c r="R1353" i="2"/>
  <c r="V1353" i="2" s="1"/>
  <c r="W1353" i="2" s="1"/>
  <c r="R1505" i="2"/>
  <c r="V1505" i="2" s="1"/>
  <c r="W1505" i="2" s="1"/>
  <c r="R452" i="2"/>
  <c r="V452" i="2" s="1"/>
  <c r="W452" i="2" s="1"/>
  <c r="R463" i="2"/>
  <c r="V463" i="2" s="1"/>
  <c r="W463" i="2" s="1"/>
  <c r="R1233" i="2"/>
  <c r="V1233" i="2" s="1"/>
  <c r="W1233" i="2" s="1"/>
  <c r="R1358" i="2"/>
  <c r="V1358" i="2" s="1"/>
  <c r="W1358" i="2" s="1"/>
  <c r="R863" i="2"/>
  <c r="V863" i="2" s="1"/>
  <c r="W863" i="2" s="1"/>
  <c r="R422" i="2"/>
  <c r="V422" i="2" s="1"/>
  <c r="W422" i="2" s="1"/>
  <c r="R181" i="2"/>
  <c r="V181" i="2" s="1"/>
  <c r="W181" i="2" s="1"/>
  <c r="R916" i="2"/>
  <c r="V916" i="2" s="1"/>
  <c r="W916" i="2" s="1"/>
  <c r="R33" i="2"/>
  <c r="V33" i="2" s="1"/>
  <c r="W33" i="2" s="1"/>
  <c r="R680" i="2"/>
  <c r="V680" i="2" s="1"/>
  <c r="W680" i="2" s="1"/>
  <c r="R971" i="2"/>
  <c r="V971" i="2" s="1"/>
  <c r="W971" i="2" s="1"/>
  <c r="R363" i="2"/>
  <c r="V363" i="2" s="1"/>
  <c r="W363" i="2" s="1"/>
  <c r="R1296" i="2"/>
  <c r="V1296" i="2" s="1"/>
  <c r="W1296" i="2" s="1"/>
  <c r="R27" i="2"/>
  <c r="V27" i="2" s="1"/>
  <c r="W27" i="2" s="1"/>
  <c r="R677" i="2"/>
  <c r="V677" i="2" s="1"/>
  <c r="W677" i="2" s="1"/>
  <c r="R767" i="2"/>
  <c r="V767" i="2" s="1"/>
  <c r="W767" i="2" s="1"/>
  <c r="R802" i="2"/>
  <c r="V802" i="2" s="1"/>
  <c r="W802" i="2" s="1"/>
  <c r="R1429" i="2"/>
  <c r="V1429" i="2" s="1"/>
  <c r="W1429" i="2" s="1"/>
  <c r="R1714" i="2"/>
  <c r="V1714" i="2" s="1"/>
  <c r="W1714" i="2" s="1"/>
  <c r="R1320" i="2"/>
  <c r="V1320" i="2" s="1"/>
  <c r="W1320" i="2" s="1"/>
  <c r="R1004" i="2"/>
  <c r="V1004" i="2" s="1"/>
  <c r="W1004" i="2" s="1"/>
  <c r="R237" i="2"/>
  <c r="V237" i="2" s="1"/>
  <c r="W237" i="2" s="1"/>
  <c r="R1217" i="2"/>
  <c r="V1217" i="2" s="1"/>
  <c r="W1217" i="2" s="1"/>
  <c r="R682" i="2"/>
  <c r="V682" i="2" s="1"/>
  <c r="W682" i="2" s="1"/>
  <c r="R1711" i="2"/>
  <c r="V1711" i="2" s="1"/>
  <c r="W1711" i="2" s="1"/>
  <c r="R1297" i="2"/>
  <c r="V1297" i="2" s="1"/>
  <c r="W1297" i="2" s="1"/>
  <c r="R1355" i="2"/>
  <c r="V1355" i="2" s="1"/>
  <c r="W1355" i="2" s="1"/>
  <c r="R771" i="2"/>
  <c r="V771" i="2" s="1"/>
  <c r="W771" i="2" s="1"/>
  <c r="R1419" i="2"/>
  <c r="V1419" i="2" s="1"/>
  <c r="W1419" i="2" s="1"/>
  <c r="R522" i="2"/>
  <c r="V522" i="2" s="1"/>
  <c r="W522" i="2" s="1"/>
  <c r="R726" i="2"/>
  <c r="V726" i="2" s="1"/>
  <c r="W726" i="2" s="1"/>
  <c r="R625" i="2"/>
  <c r="V625" i="2" s="1"/>
  <c r="W625" i="2" s="1"/>
  <c r="R390" i="2"/>
  <c r="V390" i="2" s="1"/>
  <c r="W390" i="2" s="1"/>
  <c r="R257" i="2"/>
  <c r="V257" i="2" s="1"/>
  <c r="W257" i="2" s="1"/>
  <c r="R322" i="2"/>
  <c r="V322" i="2" s="1"/>
  <c r="W322" i="2" s="1"/>
  <c r="R778" i="2"/>
  <c r="V778" i="2" s="1"/>
  <c r="W778" i="2" s="1"/>
  <c r="R1382" i="2"/>
  <c r="V1382" i="2" s="1"/>
  <c r="W1382" i="2" s="1"/>
  <c r="R1190" i="2"/>
  <c r="V1190" i="2" s="1"/>
  <c r="W1190" i="2" s="1"/>
  <c r="R1303" i="2"/>
  <c r="V1303" i="2" s="1"/>
  <c r="W1303" i="2" s="1"/>
  <c r="R1500" i="2"/>
  <c r="V1500" i="2" s="1"/>
  <c r="W1500" i="2" s="1"/>
  <c r="R523" i="2"/>
  <c r="V523" i="2" s="1"/>
  <c r="W523" i="2" s="1"/>
  <c r="R1372" i="2"/>
  <c r="V1372" i="2" s="1"/>
  <c r="W1372" i="2" s="1"/>
  <c r="R715" i="2"/>
  <c r="V715" i="2" s="1"/>
  <c r="W715" i="2" s="1"/>
  <c r="R846" i="2"/>
  <c r="V846" i="2" s="1"/>
  <c r="W846" i="2" s="1"/>
  <c r="R1738" i="2"/>
  <c r="V1738" i="2" s="1"/>
  <c r="W1738" i="2" s="1"/>
  <c r="R1083" i="2"/>
  <c r="V1083" i="2" s="1"/>
  <c r="W1083" i="2" s="1"/>
  <c r="R558" i="2"/>
  <c r="V558" i="2" s="1"/>
  <c r="W558" i="2" s="1"/>
  <c r="R389" i="2"/>
  <c r="V389" i="2" s="1"/>
  <c r="W389" i="2" s="1"/>
  <c r="R1445" i="2"/>
  <c r="V1445" i="2" s="1"/>
  <c r="W1445" i="2" s="1"/>
  <c r="R1338" i="2"/>
  <c r="V1338" i="2" s="1"/>
  <c r="W1338" i="2" s="1"/>
  <c r="R745" i="2"/>
  <c r="V745" i="2" s="1"/>
  <c r="W745" i="2" s="1"/>
  <c r="R1437" i="2"/>
  <c r="V1437" i="2" s="1"/>
  <c r="W1437" i="2" s="1"/>
  <c r="R1150" i="2"/>
  <c r="V1150" i="2" s="1"/>
  <c r="W1150" i="2" s="1"/>
  <c r="R918" i="2"/>
  <c r="V918" i="2" s="1"/>
  <c r="W918" i="2" s="1"/>
  <c r="R274" i="2"/>
  <c r="V274" i="2" s="1"/>
  <c r="W274" i="2" s="1"/>
  <c r="R84" i="2"/>
  <c r="V84" i="2" s="1"/>
  <c r="W84" i="2" s="1"/>
  <c r="R1695" i="2"/>
  <c r="V1695" i="2" s="1"/>
  <c r="W1695" i="2" s="1"/>
  <c r="R136" i="2"/>
  <c r="V136" i="2" s="1"/>
  <c r="W136" i="2" s="1"/>
  <c r="R1694" i="2"/>
  <c r="V1694" i="2" s="1"/>
  <c r="W1694" i="2" s="1"/>
  <c r="R406" i="2"/>
  <c r="V406" i="2" s="1"/>
  <c r="W406" i="2" s="1"/>
  <c r="R122" i="2"/>
  <c r="V122" i="2" s="1"/>
  <c r="W122" i="2" s="1"/>
  <c r="R843" i="2"/>
  <c r="V843" i="2" s="1"/>
  <c r="W843" i="2" s="1"/>
  <c r="R1499" i="2"/>
  <c r="V1499" i="2" s="1"/>
  <c r="W1499" i="2" s="1"/>
  <c r="R756" i="2"/>
  <c r="V756" i="2" s="1"/>
  <c r="W756" i="2" s="1"/>
  <c r="R1487" i="2"/>
  <c r="V1487" i="2" s="1"/>
  <c r="W1487" i="2" s="1"/>
  <c r="R1141" i="2"/>
  <c r="V1141" i="2" s="1"/>
  <c r="W1141" i="2" s="1"/>
  <c r="R1428" i="2"/>
  <c r="V1428" i="2" s="1"/>
  <c r="W1428" i="2" s="1"/>
  <c r="R1490" i="2"/>
  <c r="V1490" i="2" s="1"/>
  <c r="W1490" i="2" s="1"/>
  <c r="R1673" i="2"/>
  <c r="V1673" i="2" s="1"/>
  <c r="W1673" i="2" s="1"/>
  <c r="R1258" i="2"/>
  <c r="V1258" i="2" s="1"/>
  <c r="W1258" i="2" s="1"/>
  <c r="R960" i="2"/>
  <c r="V960" i="2" s="1"/>
  <c r="W960" i="2" s="1"/>
  <c r="R342" i="2"/>
  <c r="V342" i="2" s="1"/>
  <c r="W342" i="2" s="1"/>
  <c r="R508" i="2"/>
  <c r="V508" i="2" s="1"/>
  <c r="W508" i="2" s="1"/>
  <c r="R1048" i="2"/>
  <c r="V1048" i="2" s="1"/>
  <c r="W1048" i="2" s="1"/>
  <c r="R1418" i="2"/>
  <c r="V1418" i="2" s="1"/>
  <c r="W1418" i="2" s="1"/>
  <c r="R855" i="2"/>
  <c r="V855" i="2" s="1"/>
  <c r="W855" i="2" s="1"/>
  <c r="R606" i="2"/>
  <c r="V606" i="2" s="1"/>
  <c r="W606" i="2" s="1"/>
  <c r="R438" i="2"/>
  <c r="V438" i="2" s="1"/>
  <c r="W438" i="2" s="1"/>
  <c r="R331" i="2"/>
  <c r="V331" i="2" s="1"/>
  <c r="W331" i="2" s="1"/>
  <c r="R792" i="2"/>
  <c r="V792" i="2" s="1"/>
  <c r="W792" i="2" s="1"/>
  <c r="R1477" i="2"/>
  <c r="V1477" i="2" s="1"/>
  <c r="W1477" i="2" s="1"/>
  <c r="R879" i="2"/>
  <c r="V879" i="2" s="1"/>
  <c r="W879" i="2" s="1"/>
  <c r="R1285" i="2"/>
  <c r="V1285" i="2" s="1"/>
  <c r="W1285" i="2" s="1"/>
  <c r="R1185" i="2"/>
  <c r="V1185" i="2" s="1"/>
  <c r="W1185" i="2" s="1"/>
  <c r="R1164" i="2"/>
  <c r="V1164" i="2" s="1"/>
  <c r="W1164" i="2" s="1"/>
  <c r="R403" i="2"/>
  <c r="V403" i="2" s="1"/>
  <c r="W403" i="2" s="1"/>
  <c r="R1139" i="2"/>
  <c r="V1139" i="2" s="1"/>
  <c r="W1139" i="2" s="1"/>
  <c r="R787" i="2"/>
  <c r="V787" i="2" s="1"/>
  <c r="W787" i="2" s="1"/>
  <c r="R1200" i="2"/>
  <c r="V1200" i="2" s="1"/>
  <c r="W1200" i="2" s="1"/>
  <c r="R426" i="2"/>
  <c r="V426" i="2" s="1"/>
  <c r="W426" i="2" s="1"/>
  <c r="R1090" i="2"/>
  <c r="V1090" i="2" s="1"/>
  <c r="W1090" i="2" s="1"/>
  <c r="R1309" i="2"/>
  <c r="V1309" i="2" s="1"/>
  <c r="W1309" i="2" s="1"/>
  <c r="R1681" i="2"/>
  <c r="V1681" i="2" s="1"/>
  <c r="W1681" i="2" s="1"/>
  <c r="R1166" i="2"/>
  <c r="V1166" i="2" s="1"/>
  <c r="W1166" i="2" s="1"/>
  <c r="R1025" i="2"/>
  <c r="V1025" i="2" s="1"/>
  <c r="W1025" i="2" s="1"/>
  <c r="R698" i="2"/>
  <c r="V698" i="2" s="1"/>
  <c r="W698" i="2" s="1"/>
  <c r="R947" i="2"/>
  <c r="V947" i="2" s="1"/>
  <c r="W947" i="2" s="1"/>
  <c r="R1672" i="2"/>
  <c r="V1672" i="2" s="1"/>
  <c r="W1672" i="2" s="1"/>
  <c r="R1067" i="2"/>
  <c r="V1067" i="2" s="1"/>
  <c r="W1067" i="2" s="1"/>
  <c r="R728" i="2"/>
  <c r="V728" i="2" s="1"/>
  <c r="W728" i="2" s="1"/>
  <c r="R996" i="2"/>
  <c r="V996" i="2" s="1"/>
  <c r="W996" i="2" s="1"/>
  <c r="R961" i="2"/>
  <c r="V961" i="2" s="1"/>
  <c r="W961" i="2" s="1"/>
  <c r="R901" i="2"/>
  <c r="V901" i="2" s="1"/>
  <c r="W901" i="2" s="1"/>
  <c r="R248" i="2"/>
  <c r="V248" i="2" s="1"/>
  <c r="W248" i="2" s="1"/>
  <c r="R1334" i="2"/>
  <c r="V1334" i="2" s="1"/>
  <c r="W1334" i="2" s="1"/>
  <c r="R436" i="2"/>
  <c r="V436" i="2" s="1"/>
  <c r="W436" i="2" s="1"/>
  <c r="R922" i="2"/>
  <c r="V922" i="2" s="1"/>
  <c r="W922" i="2" s="1"/>
  <c r="R1708" i="2"/>
  <c r="V1708" i="2" s="1"/>
  <c r="W1708" i="2" s="1"/>
  <c r="R1275" i="2"/>
  <c r="V1275" i="2" s="1"/>
  <c r="W1275" i="2" s="1"/>
  <c r="R1209" i="2"/>
  <c r="V1209" i="2" s="1"/>
  <c r="W1209" i="2" s="1"/>
  <c r="R302" i="2"/>
  <c r="V302" i="2" s="1"/>
  <c r="W302" i="2" s="1"/>
  <c r="R162" i="2"/>
  <c r="V162" i="2" s="1"/>
  <c r="W162" i="2" s="1"/>
  <c r="R1280" i="2"/>
  <c r="V1280" i="2" s="1"/>
  <c r="W1280" i="2" s="1"/>
  <c r="R61" i="2"/>
  <c r="V61" i="2" s="1"/>
  <c r="W61" i="2" s="1"/>
  <c r="R1122" i="2"/>
  <c r="V1122" i="2" s="1"/>
  <c r="W1122" i="2" s="1"/>
  <c r="R684" i="2"/>
  <c r="V684" i="2" s="1"/>
  <c r="W684" i="2" s="1"/>
  <c r="R99" i="2"/>
  <c r="V99" i="2" s="1"/>
  <c r="W99" i="2" s="1"/>
  <c r="R564" i="2"/>
  <c r="V564" i="2" s="1"/>
  <c r="W564" i="2" s="1"/>
  <c r="R34" i="2"/>
  <c r="V34" i="2" s="1"/>
  <c r="W34" i="2" s="1"/>
  <c r="R1202" i="2"/>
  <c r="V1202" i="2" s="1"/>
  <c r="W1202" i="2" s="1"/>
  <c r="R1109" i="2"/>
  <c r="V1109" i="2" s="1"/>
  <c r="W1109" i="2" s="1"/>
  <c r="R156" i="2"/>
  <c r="V156" i="2" s="1"/>
  <c r="W156" i="2" s="1"/>
  <c r="R532" i="2"/>
  <c r="V532" i="2" s="1"/>
  <c r="W532" i="2" s="1"/>
  <c r="R751" i="2"/>
  <c r="V751" i="2" s="1"/>
  <c r="W751" i="2" s="1"/>
  <c r="R29" i="2"/>
  <c r="V29" i="2" s="1"/>
  <c r="W29" i="2" s="1"/>
  <c r="R100" i="2"/>
  <c r="V100" i="2" s="1"/>
  <c r="W100" i="2" s="1"/>
  <c r="R175" i="2"/>
  <c r="V175" i="2" s="1"/>
  <c r="W175" i="2" s="1"/>
  <c r="R105" i="2"/>
  <c r="V105" i="2" s="1"/>
  <c r="W105" i="2" s="1"/>
  <c r="R485" i="2"/>
  <c r="V485" i="2" s="1"/>
  <c r="W485" i="2" s="1"/>
  <c r="R295" i="2"/>
  <c r="V295" i="2" s="1"/>
  <c r="W295" i="2" s="1"/>
  <c r="R1156" i="2"/>
  <c r="V1156" i="2" s="1"/>
  <c r="W1156" i="2" s="1"/>
  <c r="R530" i="2"/>
  <c r="V530" i="2" s="1"/>
  <c r="W530" i="2" s="1"/>
  <c r="R1736" i="2"/>
  <c r="V1736" i="2" s="1"/>
  <c r="W1736" i="2" s="1"/>
  <c r="R447" i="2"/>
  <c r="V447" i="2" s="1"/>
  <c r="W447" i="2" s="1"/>
  <c r="R217" i="2"/>
  <c r="V217" i="2" s="1"/>
  <c r="W217" i="2" s="1"/>
  <c r="R369" i="2"/>
  <c r="V369" i="2" s="1"/>
  <c r="W369" i="2" s="1"/>
  <c r="R1110" i="2"/>
  <c r="V1110" i="2" s="1"/>
  <c r="W1110" i="2" s="1"/>
  <c r="R1485" i="2"/>
  <c r="V1485" i="2" s="1"/>
  <c r="W1485" i="2" s="1"/>
  <c r="R830" i="2"/>
  <c r="V830" i="2" s="1"/>
  <c r="W830" i="2" s="1"/>
  <c r="R842" i="2"/>
  <c r="V842" i="2" s="1"/>
  <c r="W842" i="2" s="1"/>
  <c r="R1244" i="2"/>
  <c r="V1244" i="2" s="1"/>
  <c r="W1244" i="2" s="1"/>
  <c r="R989" i="2"/>
  <c r="V989" i="2" s="1"/>
  <c r="W989" i="2" s="1"/>
  <c r="R873" i="2"/>
  <c r="V873" i="2" s="1"/>
  <c r="W873" i="2" s="1"/>
  <c r="R35" i="2"/>
  <c r="V35" i="2" s="1"/>
  <c r="W35" i="2" s="1"/>
  <c r="R1509" i="2"/>
  <c r="V1509" i="2" s="1"/>
  <c r="W1509" i="2" s="1"/>
  <c r="R365" i="2"/>
  <c r="V365" i="2" s="1"/>
  <c r="W365" i="2" s="1"/>
  <c r="R493" i="2"/>
  <c r="V493" i="2" s="1"/>
  <c r="W493" i="2" s="1"/>
  <c r="R631" i="2"/>
  <c r="V631" i="2" s="1"/>
  <c r="W631" i="2" s="1"/>
  <c r="R1350" i="2"/>
  <c r="V1350" i="2" s="1"/>
  <c r="W1350" i="2" s="1"/>
  <c r="R177" i="2"/>
  <c r="V177" i="2" s="1"/>
  <c r="W177" i="2" s="1"/>
  <c r="R1414" i="2"/>
  <c r="V1414" i="2" s="1"/>
  <c r="W1414" i="2" s="1"/>
  <c r="R172" i="2"/>
  <c r="V172" i="2" s="1"/>
  <c r="W172" i="2" s="1"/>
  <c r="R286" i="2"/>
  <c r="V286" i="2" s="1"/>
  <c r="W286" i="2" s="1"/>
  <c r="R1145" i="2"/>
  <c r="V1145" i="2" s="1"/>
  <c r="W1145" i="2" s="1"/>
  <c r="R1451" i="2"/>
  <c r="V1451" i="2" s="1"/>
  <c r="W1451" i="2" s="1"/>
  <c r="R714" i="2"/>
  <c r="V714" i="2" s="1"/>
  <c r="W714" i="2" s="1"/>
  <c r="R583" i="2"/>
  <c r="V583" i="2" s="1"/>
  <c r="W583" i="2" s="1"/>
  <c r="R152" i="2"/>
  <c r="V152" i="2" s="1"/>
  <c r="W152" i="2" s="1"/>
  <c r="R834" i="2"/>
  <c r="V834" i="2" s="1"/>
  <c r="W834" i="2" s="1"/>
  <c r="R1246" i="2"/>
  <c r="V1246" i="2" s="1"/>
  <c r="W1246" i="2" s="1"/>
  <c r="R637" i="2"/>
  <c r="V637" i="2" s="1"/>
  <c r="W637" i="2" s="1"/>
  <c r="R1446" i="2"/>
  <c r="V1446" i="2" s="1"/>
  <c r="W1446" i="2" s="1"/>
  <c r="R1391" i="2"/>
  <c r="V1391" i="2" s="1"/>
  <c r="W1391" i="2" s="1"/>
  <c r="R720" i="2"/>
  <c r="V720" i="2" s="1"/>
  <c r="W720" i="2" s="1"/>
  <c r="R471" i="2"/>
  <c r="V471" i="2" s="1"/>
  <c r="W471" i="2" s="1"/>
  <c r="R602" i="2"/>
  <c r="V602" i="2" s="1"/>
  <c r="W602" i="2" s="1"/>
  <c r="R862" i="2"/>
  <c r="V862" i="2" s="1"/>
  <c r="W862" i="2" s="1"/>
  <c r="R1001" i="2"/>
  <c r="V1001" i="2" s="1"/>
  <c r="W1001" i="2" s="1"/>
  <c r="R718" i="2"/>
  <c r="V718" i="2" s="1"/>
  <c r="W718" i="2" s="1"/>
  <c r="R1192" i="2"/>
  <c r="V1192" i="2" s="1"/>
  <c r="W1192" i="2" s="1"/>
  <c r="R613" i="2"/>
  <c r="V613" i="2" s="1"/>
  <c r="W613" i="2" s="1"/>
  <c r="R432" i="2"/>
  <c r="V432" i="2" s="1"/>
  <c r="W432" i="2" s="1"/>
  <c r="R36" i="2"/>
  <c r="V36" i="2" s="1"/>
  <c r="W36" i="2" s="1"/>
  <c r="R746" i="2"/>
  <c r="V746" i="2" s="1"/>
  <c r="W746" i="2" s="1"/>
  <c r="R1677" i="2"/>
  <c r="V1677" i="2" s="1"/>
  <c r="W1677" i="2" s="1"/>
  <c r="R123" i="2"/>
  <c r="V123" i="2" s="1"/>
  <c r="W123" i="2" s="1"/>
  <c r="R1330" i="2"/>
  <c r="V1330" i="2" s="1"/>
  <c r="W1330" i="2" s="1"/>
  <c r="R244" i="2"/>
  <c r="V244" i="2" s="1"/>
  <c r="W244" i="2" s="1"/>
  <c r="R1231" i="2"/>
  <c r="V1231" i="2" s="1"/>
  <c r="W1231" i="2" s="1"/>
  <c r="R1278" i="2"/>
  <c r="V1278" i="2" s="1"/>
  <c r="W1278" i="2" s="1"/>
  <c r="R693" i="2"/>
  <c r="V693" i="2" s="1"/>
  <c r="W693" i="2" s="1"/>
  <c r="R1462" i="2"/>
  <c r="V1462" i="2" s="1"/>
  <c r="W1462" i="2" s="1"/>
  <c r="R1187" i="2"/>
  <c r="V1187" i="2" s="1"/>
  <c r="W1187" i="2" s="1"/>
  <c r="R1731" i="2"/>
  <c r="V1731" i="2" s="1"/>
  <c r="W1731" i="2" s="1"/>
  <c r="R151" i="2"/>
  <c r="V151" i="2" s="1"/>
  <c r="W151" i="2" s="1"/>
  <c r="R1293" i="2"/>
  <c r="V1293" i="2" s="1"/>
  <c r="W1293" i="2" s="1"/>
  <c r="R604" i="2"/>
  <c r="V604" i="2" s="1"/>
  <c r="W604" i="2" s="1"/>
  <c r="R1177" i="2"/>
  <c r="V1177" i="2" s="1"/>
  <c r="W1177" i="2" s="1"/>
  <c r="R724" i="2"/>
  <c r="V724" i="2" s="1"/>
  <c r="W724" i="2" s="1"/>
  <c r="R218" i="2"/>
  <c r="V218" i="2" s="1"/>
  <c r="W218" i="2" s="1"/>
  <c r="R490" i="2"/>
  <c r="V490" i="2" s="1"/>
  <c r="W490" i="2" s="1"/>
  <c r="R1688" i="2"/>
  <c r="V1688" i="2" s="1"/>
  <c r="W1688" i="2" s="1"/>
  <c r="R1279" i="2"/>
  <c r="V1279" i="2" s="1"/>
  <c r="W1279" i="2" s="1"/>
  <c r="R1510" i="2"/>
  <c r="V1510" i="2" s="1"/>
  <c r="W1510" i="2" s="1"/>
  <c r="R747" i="2"/>
  <c r="V747" i="2" s="1"/>
  <c r="W747" i="2" s="1"/>
  <c r="R825" i="2"/>
  <c r="V825" i="2" s="1"/>
  <c r="W825" i="2" s="1"/>
  <c r="R554" i="2"/>
  <c r="V554" i="2" s="1"/>
  <c r="W554" i="2" s="1"/>
  <c r="R1136" i="2"/>
  <c r="V1136" i="2" s="1"/>
  <c r="W1136" i="2" s="1"/>
  <c r="R1690" i="2"/>
  <c r="V1690" i="2" s="1"/>
  <c r="W1690" i="2" s="1"/>
  <c r="R1222" i="2"/>
  <c r="V1222" i="2" s="1"/>
  <c r="W1222" i="2" s="1"/>
  <c r="R98" i="2"/>
  <c r="V98" i="2" s="1"/>
  <c r="W98" i="2" s="1"/>
  <c r="R1103" i="2"/>
  <c r="V1103" i="2" s="1"/>
  <c r="W1103" i="2" s="1"/>
  <c r="R278" i="2"/>
  <c r="V278" i="2" s="1"/>
  <c r="W278" i="2" s="1"/>
  <c r="R73" i="2"/>
  <c r="V73" i="2" s="1"/>
  <c r="W73" i="2" s="1"/>
  <c r="R110" i="2"/>
  <c r="V110" i="2" s="1"/>
  <c r="W110" i="2" s="1"/>
  <c r="R609" i="2"/>
  <c r="V609" i="2" s="1"/>
  <c r="W609" i="2" s="1"/>
  <c r="R798" i="2"/>
  <c r="V798" i="2" s="1"/>
  <c r="W798" i="2" s="1"/>
  <c r="R553" i="2"/>
  <c r="V553" i="2" s="1"/>
  <c r="W553" i="2" s="1"/>
  <c r="R758" i="2"/>
  <c r="V758" i="2" s="1"/>
  <c r="W758" i="2" s="1"/>
  <c r="R299" i="2"/>
  <c r="V299" i="2" s="1"/>
  <c r="W299" i="2" s="1"/>
  <c r="R895" i="2"/>
  <c r="V895" i="2" s="1"/>
  <c r="W895" i="2" s="1"/>
  <c r="R1675" i="2"/>
  <c r="V1675" i="2" s="1"/>
  <c r="W1675" i="2" s="1"/>
  <c r="R121" i="2"/>
  <c r="V121" i="2" s="1"/>
  <c r="W121" i="2" s="1"/>
  <c r="R138" i="2"/>
  <c r="V138" i="2" s="1"/>
  <c r="W138" i="2" s="1"/>
  <c r="R1129" i="2"/>
  <c r="V1129" i="2" s="1"/>
  <c r="W1129" i="2" s="1"/>
  <c r="R1457" i="2"/>
  <c r="V1457" i="2" s="1"/>
  <c r="W1457" i="2" s="1"/>
  <c r="R1290" i="2"/>
  <c r="V1290" i="2" s="1"/>
  <c r="W1290" i="2" s="1"/>
  <c r="R915" i="2"/>
  <c r="V915" i="2" s="1"/>
  <c r="W915" i="2" s="1"/>
  <c r="R460" i="2"/>
  <c r="V460" i="2" s="1"/>
  <c r="W460" i="2" s="1"/>
  <c r="R683" i="2"/>
  <c r="V683" i="2" s="1"/>
  <c r="W683" i="2" s="1"/>
  <c r="R1026" i="2"/>
  <c r="V1026" i="2" s="1"/>
  <c r="W1026" i="2" s="1"/>
  <c r="R940" i="2"/>
  <c r="V940" i="2" s="1"/>
  <c r="W940" i="2" s="1"/>
  <c r="R1449" i="2"/>
  <c r="V1449" i="2" s="1"/>
  <c r="W1449" i="2" s="1"/>
  <c r="R39" i="2"/>
  <c r="V39" i="2" s="1"/>
  <c r="W39" i="2" s="1"/>
  <c r="R709" i="2"/>
  <c r="V709" i="2" s="1"/>
  <c r="W709" i="2" s="1"/>
  <c r="R860" i="2"/>
  <c r="V860" i="2" s="1"/>
  <c r="W860" i="2" s="1"/>
  <c r="R965" i="2"/>
  <c r="V965" i="2" s="1"/>
  <c r="W965" i="2" s="1"/>
  <c r="R472" i="2"/>
  <c r="V472" i="2" s="1"/>
  <c r="W472" i="2" s="1"/>
  <c r="R1123" i="2"/>
  <c r="V1123" i="2" s="1"/>
  <c r="W1123" i="2" s="1"/>
  <c r="R1009" i="2"/>
  <c r="V1009" i="2" s="1"/>
  <c r="W1009" i="2" s="1"/>
  <c r="R196" i="2"/>
  <c r="V196" i="2" s="1"/>
  <c r="W196" i="2" s="1"/>
  <c r="R442" i="2"/>
  <c r="V442" i="2" s="1"/>
  <c r="W442" i="2" s="1"/>
  <c r="R1368" i="2"/>
  <c r="V1368" i="2" s="1"/>
  <c r="W1368" i="2" s="1"/>
  <c r="R1194" i="2"/>
  <c r="V1194" i="2" s="1"/>
  <c r="W1194" i="2" s="1"/>
  <c r="R1271" i="2"/>
  <c r="V1271" i="2" s="1"/>
  <c r="W1271" i="2" s="1"/>
  <c r="R853" i="2"/>
  <c r="V853" i="2" s="1"/>
  <c r="W853" i="2" s="1"/>
  <c r="R591" i="2"/>
  <c r="V591" i="2" s="1"/>
  <c r="W591" i="2" s="1"/>
  <c r="R1235" i="2"/>
  <c r="V1235" i="2" s="1"/>
  <c r="W1235" i="2" s="1"/>
  <c r="R408" i="2"/>
  <c r="V408" i="2" s="1"/>
  <c r="W408" i="2" s="1"/>
  <c r="R624" i="2"/>
  <c r="V624" i="2" s="1"/>
  <c r="W624" i="2" s="1"/>
  <c r="R852" i="2"/>
  <c r="V852" i="2" s="1"/>
  <c r="W852" i="2" s="1"/>
  <c r="R238" i="2"/>
  <c r="V238" i="2" s="1"/>
  <c r="W238" i="2" s="1"/>
  <c r="R429" i="2"/>
  <c r="V429" i="2" s="1"/>
  <c r="W429" i="2" s="1"/>
  <c r="R85" i="2"/>
  <c r="V85" i="2" s="1"/>
  <c r="W85" i="2" s="1"/>
  <c r="R353" i="2"/>
  <c r="V353" i="2" s="1"/>
  <c r="W353" i="2" s="1"/>
  <c r="R513" i="2"/>
  <c r="V513" i="2" s="1"/>
  <c r="W513" i="2" s="1"/>
  <c r="R350" i="2"/>
  <c r="V350" i="2" s="1"/>
  <c r="W350" i="2" s="1"/>
  <c r="R612" i="2"/>
  <c r="V612" i="2" s="1"/>
  <c r="W612" i="2" s="1"/>
  <c r="R1040" i="2"/>
  <c r="V1040" i="2" s="1"/>
  <c r="W1040" i="2" s="1"/>
  <c r="R412" i="2"/>
  <c r="V412" i="2" s="1"/>
  <c r="W412" i="2" s="1"/>
  <c r="R547" i="2"/>
  <c r="V547" i="2" s="1"/>
  <c r="W547" i="2" s="1"/>
  <c r="R615" i="2"/>
  <c r="V615" i="2" s="1"/>
  <c r="W615" i="2" s="1"/>
  <c r="R1153" i="2"/>
  <c r="V1153" i="2" s="1"/>
  <c r="W1153" i="2" s="1"/>
  <c r="R1249" i="2"/>
  <c r="V1249" i="2" s="1"/>
  <c r="W1249" i="2" s="1"/>
  <c r="R740" i="2"/>
  <c r="V740" i="2" s="1"/>
  <c r="W740" i="2" s="1"/>
  <c r="R535" i="2"/>
  <c r="V535" i="2" s="1"/>
  <c r="W535" i="2" s="1"/>
  <c r="R804" i="2"/>
  <c r="V804" i="2" s="1"/>
  <c r="W804" i="2" s="1"/>
  <c r="R455" i="2"/>
  <c r="V455" i="2" s="1"/>
  <c r="W455" i="2" s="1"/>
  <c r="R526" i="2"/>
  <c r="V526" i="2" s="1"/>
  <c r="W526" i="2" s="1"/>
  <c r="R497" i="2"/>
  <c r="V497" i="2" s="1"/>
  <c r="W497" i="2" s="1"/>
  <c r="R410" i="2"/>
  <c r="V410" i="2" s="1"/>
  <c r="W410" i="2" s="1"/>
  <c r="R233" i="2"/>
  <c r="V233" i="2" s="1"/>
  <c r="W233" i="2" s="1"/>
  <c r="R157" i="2"/>
  <c r="V157" i="2" s="1"/>
  <c r="W157" i="2" s="1"/>
  <c r="R464" i="2"/>
  <c r="V464" i="2" s="1"/>
  <c r="W464" i="2" s="1"/>
  <c r="R1439" i="2"/>
  <c r="V1439" i="2" s="1"/>
  <c r="W1439" i="2" s="1"/>
  <c r="R967" i="2"/>
  <c r="V967" i="2" s="1"/>
  <c r="W967" i="2" s="1"/>
  <c r="R1184" i="2"/>
  <c r="V1184" i="2" s="1"/>
  <c r="W1184" i="2" s="1"/>
  <c r="R687" i="2"/>
  <c r="V687" i="2" s="1"/>
  <c r="W687" i="2" s="1"/>
  <c r="R1412" i="2"/>
  <c r="V1412" i="2" s="1"/>
  <c r="W1412" i="2" s="1"/>
  <c r="R1282" i="2"/>
  <c r="V1282" i="2" s="1"/>
  <c r="W1282" i="2" s="1"/>
  <c r="R980" i="2"/>
  <c r="V980" i="2" s="1"/>
  <c r="W980" i="2" s="1"/>
  <c r="R1256" i="2"/>
  <c r="V1256" i="2" s="1"/>
  <c r="W1256" i="2" s="1"/>
  <c r="R904" i="2"/>
  <c r="V904" i="2" s="1"/>
  <c r="W904" i="2" s="1"/>
  <c r="R272" i="2"/>
  <c r="V272" i="2" s="1"/>
  <c r="W272" i="2" s="1"/>
  <c r="R665" i="2"/>
  <c r="V665" i="2" s="1"/>
  <c r="W665" i="2" s="1"/>
  <c r="R18" i="2"/>
  <c r="V18" i="2" s="1"/>
  <c r="W18" i="2" s="1"/>
  <c r="R734" i="2"/>
  <c r="V734" i="2" s="1"/>
  <c r="W734" i="2" s="1"/>
  <c r="R1716" i="2"/>
  <c r="V1716" i="2" s="1"/>
  <c r="W1716" i="2" s="1"/>
  <c r="R1701" i="2"/>
  <c r="V1701" i="2" s="1"/>
  <c r="W1701" i="2" s="1"/>
  <c r="R707" i="2"/>
  <c r="V707" i="2" s="1"/>
  <c r="W707" i="2" s="1"/>
  <c r="R41" i="2"/>
  <c r="V41" i="2" s="1"/>
  <c r="W41" i="2" s="1"/>
  <c r="R773" i="2"/>
  <c r="V773" i="2" s="1"/>
  <c r="W773" i="2" s="1"/>
  <c r="R577" i="2"/>
  <c r="V577" i="2" s="1"/>
  <c r="W577" i="2" s="1"/>
  <c r="R95" i="2"/>
  <c r="V95" i="2" s="1"/>
  <c r="W95" i="2" s="1"/>
  <c r="R127" i="2"/>
  <c r="V127" i="2" s="1"/>
  <c r="W127" i="2" s="1"/>
  <c r="R258" i="2"/>
  <c r="V258" i="2" s="1"/>
  <c r="W258" i="2" s="1"/>
  <c r="R1092" i="2"/>
  <c r="V1092" i="2" s="1"/>
  <c r="W1092" i="2" s="1"/>
  <c r="R1039" i="2"/>
  <c r="V1039" i="2" s="1"/>
  <c r="W1039" i="2" s="1"/>
  <c r="R349" i="2"/>
  <c r="V349" i="2" s="1"/>
  <c r="W349" i="2" s="1"/>
  <c r="R144" i="2"/>
  <c r="V144" i="2" s="1"/>
  <c r="W144" i="2" s="1"/>
  <c r="R540" i="2"/>
  <c r="V540" i="2" s="1"/>
  <c r="W540" i="2" s="1"/>
  <c r="R1272" i="2"/>
  <c r="V1272" i="2" s="1"/>
  <c r="W1272" i="2" s="1"/>
  <c r="R823" i="2"/>
  <c r="V823" i="2" s="1"/>
  <c r="W823" i="2" s="1"/>
  <c r="R439" i="2"/>
  <c r="V439" i="2" s="1"/>
  <c r="W439" i="2" s="1"/>
  <c r="R919" i="2"/>
  <c r="V919" i="2" s="1"/>
  <c r="W919" i="2" s="1"/>
  <c r="R1415" i="2"/>
  <c r="V1415" i="2" s="1"/>
  <c r="W1415" i="2" s="1"/>
  <c r="R14" i="2"/>
  <c r="V14" i="2" s="1"/>
  <c r="W14" i="2" s="1"/>
  <c r="R1385" i="2"/>
  <c r="V1385" i="2" s="1"/>
  <c r="W1385" i="2" s="1"/>
  <c r="R211" i="2"/>
  <c r="V211" i="2" s="1"/>
  <c r="W211" i="2" s="1"/>
  <c r="R552" i="2"/>
  <c r="V552" i="2" s="1"/>
  <c r="W552" i="2" s="1"/>
  <c r="R892" i="2"/>
  <c r="V892" i="2" s="1"/>
  <c r="W892" i="2" s="1"/>
  <c r="R404" i="2"/>
  <c r="V404" i="2" s="1"/>
  <c r="W404" i="2" s="1"/>
  <c r="R1005" i="2"/>
  <c r="V1005" i="2" s="1"/>
  <c r="W1005" i="2" s="1"/>
  <c r="R1733" i="2"/>
  <c r="V1733" i="2" s="1"/>
  <c r="W1733" i="2" s="1"/>
  <c r="R900" i="2"/>
  <c r="V900" i="2" s="1"/>
  <c r="W900" i="2" s="1"/>
  <c r="R736" i="2"/>
  <c r="V736" i="2" s="1"/>
  <c r="W736" i="2" s="1"/>
  <c r="R1289" i="2"/>
  <c r="V1289" i="2" s="1"/>
  <c r="W1289" i="2" s="1"/>
  <c r="R1427" i="2"/>
  <c r="V1427" i="2" s="1"/>
  <c r="W1427" i="2" s="1"/>
  <c r="R945" i="2"/>
  <c r="V945" i="2" s="1"/>
  <c r="W945" i="2" s="1"/>
  <c r="R1424" i="2"/>
  <c r="V1424" i="2" s="1"/>
  <c r="W1424" i="2" s="1"/>
  <c r="R114" i="2"/>
  <c r="V114" i="2" s="1"/>
  <c r="W114" i="2" s="1"/>
  <c r="R163" i="2"/>
  <c r="V163" i="2" s="1"/>
  <c r="W163" i="2" s="1"/>
  <c r="R154" i="2"/>
  <c r="V154" i="2" s="1"/>
  <c r="W154" i="2" s="1"/>
  <c r="R576" i="2"/>
  <c r="V576" i="2" s="1"/>
  <c r="W576" i="2" s="1"/>
  <c r="R230" i="2"/>
  <c r="V230" i="2" s="1"/>
  <c r="W230" i="2" s="1"/>
  <c r="R512" i="2"/>
  <c r="V512" i="2" s="1"/>
  <c r="W512" i="2" s="1"/>
  <c r="R1149" i="2"/>
  <c r="V1149" i="2" s="1"/>
  <c r="W1149" i="2" s="1"/>
  <c r="R435" i="2"/>
  <c r="V435" i="2" s="1"/>
  <c r="W435" i="2" s="1"/>
  <c r="R1406" i="2"/>
  <c r="V1406" i="2" s="1"/>
  <c r="W1406" i="2" s="1"/>
  <c r="R976" i="2"/>
  <c r="V976" i="2" s="1"/>
  <c r="W976" i="2" s="1"/>
  <c r="R348" i="2"/>
  <c r="V348" i="2" s="1"/>
  <c r="W348" i="2" s="1"/>
  <c r="R260" i="2"/>
  <c r="V260" i="2" s="1"/>
  <c r="W260" i="2" s="1"/>
  <c r="R405" i="2"/>
  <c r="V405" i="2" s="1"/>
  <c r="W405" i="2" s="1"/>
  <c r="R973" i="2"/>
  <c r="V973" i="2" s="1"/>
  <c r="W973" i="2" s="1"/>
  <c r="R394" i="2"/>
  <c r="V394" i="2" s="1"/>
  <c r="W394" i="2" s="1"/>
  <c r="R1476" i="2"/>
  <c r="V1476" i="2" s="1"/>
  <c r="W1476" i="2" s="1"/>
  <c r="R1699" i="2"/>
  <c r="V1699" i="2" s="1"/>
  <c r="W1699" i="2" s="1"/>
  <c r="R90" i="2"/>
  <c r="V90" i="2" s="1"/>
  <c r="W90" i="2" s="1"/>
  <c r="R112" i="2"/>
  <c r="V112" i="2" s="1"/>
  <c r="W112" i="2" s="1"/>
  <c r="R1031" i="2"/>
  <c r="V1031" i="2" s="1"/>
  <c r="W1031" i="2" s="1"/>
  <c r="R777" i="2"/>
  <c r="V777" i="2" s="1"/>
  <c r="W777" i="2" s="1"/>
  <c r="R1101" i="2"/>
  <c r="V1101" i="2" s="1"/>
  <c r="W1101" i="2" s="1"/>
  <c r="R1479" i="2"/>
  <c r="V1479" i="2" s="1"/>
  <c r="W1479" i="2" s="1"/>
  <c r="R661" i="2"/>
  <c r="V661" i="2" s="1"/>
  <c r="W661" i="2" s="1"/>
  <c r="R294" i="2"/>
  <c r="V294" i="2" s="1"/>
  <c r="W294" i="2" s="1"/>
  <c r="R155" i="2"/>
  <c r="V155" i="2" s="1"/>
  <c r="W155" i="2" s="1"/>
  <c r="R1459" i="2"/>
  <c r="V1459" i="2" s="1"/>
  <c r="W1459" i="2" s="1"/>
  <c r="R1006" i="2"/>
  <c r="V1006" i="2" s="1"/>
  <c r="W1006" i="2" s="1"/>
  <c r="R957" i="2"/>
  <c r="V957" i="2" s="1"/>
  <c r="W957" i="2" s="1"/>
  <c r="R840" i="2"/>
  <c r="V840" i="2" s="1"/>
  <c r="W840" i="2" s="1"/>
  <c r="R1199" i="2"/>
  <c r="V1199" i="2" s="1"/>
  <c r="W1199" i="2" s="1"/>
  <c r="R1349" i="2"/>
  <c r="V1349" i="2" s="1"/>
  <c r="W1349" i="2" s="1"/>
  <c r="R848" i="2"/>
  <c r="V848" i="2" s="1"/>
  <c r="W848" i="2" s="1"/>
  <c r="R320" i="2"/>
  <c r="V320" i="2" s="1"/>
  <c r="W320" i="2" s="1"/>
  <c r="R559" i="2"/>
  <c r="V559" i="2" s="1"/>
  <c r="W559" i="2" s="1"/>
  <c r="R605" i="2"/>
  <c r="V605" i="2" s="1"/>
  <c r="W605" i="2" s="1"/>
  <c r="R374" i="2"/>
  <c r="V374" i="2" s="1"/>
  <c r="W374" i="2" s="1"/>
  <c r="R701" i="2"/>
  <c r="V701" i="2" s="1"/>
  <c r="W701" i="2" s="1"/>
  <c r="R993" i="2"/>
  <c r="V993" i="2" s="1"/>
  <c r="W993" i="2" s="1"/>
  <c r="R975" i="2"/>
  <c r="V975" i="2" s="1"/>
  <c r="W975" i="2" s="1"/>
  <c r="R140" i="2"/>
  <c r="V140" i="2" s="1"/>
  <c r="W140" i="2" s="1"/>
  <c r="R416" i="2"/>
  <c r="V416" i="2" s="1"/>
  <c r="W416" i="2" s="1"/>
  <c r="R1438" i="2"/>
  <c r="V1438" i="2" s="1"/>
  <c r="W1438" i="2" s="1"/>
  <c r="R171" i="2"/>
  <c r="V171" i="2" s="1"/>
  <c r="W171" i="2" s="1"/>
  <c r="R925" i="2"/>
  <c r="V925" i="2" s="1"/>
  <c r="W925" i="2" s="1"/>
  <c r="R856" i="2"/>
  <c r="V856" i="2" s="1"/>
  <c r="W856" i="2" s="1"/>
  <c r="R519" i="2"/>
  <c r="V519" i="2" s="1"/>
  <c r="W519" i="2" s="1"/>
  <c r="R770" i="2"/>
  <c r="V770" i="2" s="1"/>
  <c r="W770" i="2" s="1"/>
  <c r="R958" i="2"/>
  <c r="V958" i="2" s="1"/>
  <c r="W958" i="2" s="1"/>
  <c r="R721" i="2"/>
  <c r="V721" i="2" s="1"/>
  <c r="W721" i="2" s="1"/>
  <c r="R397" i="2"/>
  <c r="V397" i="2" s="1"/>
  <c r="W397" i="2" s="1"/>
  <c r="R557" i="2"/>
  <c r="V557" i="2" s="1"/>
  <c r="W557" i="2" s="1"/>
  <c r="R5" i="2"/>
  <c r="V5" i="2" s="1"/>
  <c r="W5" i="2" s="1"/>
  <c r="R1126" i="2"/>
  <c r="V1126" i="2" s="1"/>
  <c r="W1126" i="2" s="1"/>
  <c r="R537" i="2"/>
  <c r="V537" i="2" s="1"/>
  <c r="W537" i="2" s="1"/>
  <c r="R87" i="2"/>
  <c r="V87" i="2" s="1"/>
  <c r="W87" i="2" s="1"/>
  <c r="R1443" i="2"/>
  <c r="V1443" i="2" s="1"/>
  <c r="W1443" i="2" s="1"/>
  <c r="R20" i="2"/>
  <c r="V20" i="2" s="1"/>
  <c r="W20" i="2" s="1"/>
  <c r="R566" i="2"/>
  <c r="V566" i="2" s="1"/>
  <c r="W566" i="2" s="1"/>
  <c r="R1014" i="2"/>
  <c r="V1014" i="2" s="1"/>
  <c r="W1014" i="2" s="1"/>
  <c r="R1453" i="2"/>
  <c r="V1453" i="2" s="1"/>
  <c r="W1453" i="2" s="1"/>
  <c r="R1270" i="2"/>
  <c r="V1270" i="2" s="1"/>
  <c r="W1270" i="2" s="1"/>
  <c r="R271" i="2"/>
  <c r="V271" i="2" s="1"/>
  <c r="W271" i="2" s="1"/>
  <c r="R1493" i="2"/>
  <c r="V1493" i="2" s="1"/>
  <c r="W1493" i="2" s="1"/>
  <c r="R1201" i="2"/>
  <c r="V1201" i="2" s="1"/>
  <c r="W1201" i="2" s="1"/>
  <c r="R1207" i="2"/>
  <c r="V1207" i="2" s="1"/>
  <c r="W1207" i="2" s="1"/>
  <c r="R1024" i="2"/>
  <c r="V1024" i="2" s="1"/>
  <c r="W1024" i="2" s="1"/>
  <c r="R659" i="2"/>
  <c r="V659" i="2" s="1"/>
  <c r="W659" i="2" s="1"/>
  <c r="R921" i="2"/>
  <c r="V921" i="2" s="1"/>
  <c r="W921" i="2" s="1"/>
  <c r="R361" i="2"/>
  <c r="V361" i="2" s="1"/>
  <c r="W361" i="2" s="1"/>
  <c r="R1384" i="2"/>
  <c r="V1384" i="2" s="1"/>
  <c r="W1384" i="2" s="1"/>
  <c r="R1239" i="2"/>
  <c r="V1239" i="2" s="1"/>
  <c r="W1239" i="2" s="1"/>
  <c r="R1059" i="2"/>
  <c r="V1059" i="2" s="1"/>
  <c r="W1059" i="2" s="1"/>
  <c r="R1389" i="2"/>
  <c r="V1389" i="2" s="1"/>
  <c r="W1389" i="2" s="1"/>
  <c r="R1176" i="2"/>
  <c r="V1176" i="2" s="1"/>
  <c r="W1176" i="2" s="1"/>
  <c r="R1416" i="2"/>
  <c r="V1416" i="2" s="1"/>
  <c r="W1416" i="2" s="1"/>
  <c r="R1118" i="2"/>
  <c r="V1118" i="2" s="1"/>
  <c r="W1118" i="2" s="1"/>
  <c r="R1028" i="2"/>
  <c r="V1028" i="2" s="1"/>
  <c r="W1028" i="2" s="1"/>
  <c r="R1306" i="2"/>
  <c r="V1306" i="2" s="1"/>
  <c r="W1306" i="2" s="1"/>
  <c r="R1397" i="2"/>
  <c r="V1397" i="2" s="1"/>
  <c r="W1397" i="2" s="1"/>
  <c r="R1317" i="2"/>
  <c r="V1317" i="2" s="1"/>
  <c r="W1317" i="2" s="1"/>
  <c r="R1351" i="2"/>
  <c r="V1351" i="2" s="1"/>
  <c r="W1351" i="2" s="1"/>
  <c r="R744" i="2"/>
  <c r="V744" i="2" s="1"/>
  <c r="W744" i="2" s="1"/>
  <c r="R453" i="2"/>
  <c r="V453" i="2" s="1"/>
  <c r="W453" i="2" s="1"/>
  <c r="R966" i="2"/>
  <c r="V966" i="2" s="1"/>
  <c r="W966" i="2" s="1"/>
  <c r="R206" i="2"/>
  <c r="V206" i="2" s="1"/>
  <c r="W206" i="2" s="1"/>
  <c r="R1742" i="2"/>
  <c r="V1742" i="2" s="1"/>
  <c r="W1742" i="2" s="1"/>
  <c r="R184" i="2"/>
  <c r="V184" i="2" s="1"/>
  <c r="W184" i="2" s="1"/>
  <c r="R933" i="2"/>
  <c r="V933" i="2" s="1"/>
  <c r="W933" i="2" s="1"/>
  <c r="R907" i="2"/>
  <c r="V907" i="2" s="1"/>
  <c r="W907" i="2" s="1"/>
  <c r="R12" i="2"/>
  <c r="V12" i="2" s="1"/>
  <c r="W12" i="2" s="1"/>
  <c r="R1336" i="2"/>
  <c r="V1336" i="2" s="1"/>
  <c r="W1336" i="2" s="1"/>
  <c r="R598" i="2"/>
  <c r="V598" i="2" s="1"/>
  <c r="W598" i="2" s="1"/>
  <c r="R988" i="2"/>
  <c r="V988" i="2" s="1"/>
  <c r="W988" i="2" s="1"/>
  <c r="R1030" i="2"/>
  <c r="V1030" i="2" s="1"/>
  <c r="W1030" i="2" s="1"/>
  <c r="R1728" i="2"/>
  <c r="V1728" i="2" s="1"/>
  <c r="W1728" i="2" s="1"/>
  <c r="R1431" i="2"/>
  <c r="V1431" i="2" s="1"/>
  <c r="W1431" i="2" s="1"/>
  <c r="R308" i="2"/>
  <c r="V308" i="2" s="1"/>
  <c r="W308" i="2" s="1"/>
  <c r="R994" i="2"/>
  <c r="V994" i="2" s="1"/>
  <c r="W994" i="2" s="1"/>
  <c r="R827" i="2"/>
  <c r="V827" i="2" s="1"/>
  <c r="W827" i="2" s="1"/>
  <c r="R700" i="2"/>
  <c r="V700" i="2" s="1"/>
  <c r="W700" i="2" s="1"/>
  <c r="R1491" i="2"/>
  <c r="V1491" i="2" s="1"/>
  <c r="W1491" i="2" s="1"/>
  <c r="R1328" i="2"/>
  <c r="V1328" i="2" s="1"/>
  <c r="W1328" i="2" s="1"/>
  <c r="R182" i="2"/>
  <c r="V182" i="2" s="1"/>
  <c r="W182" i="2" s="1"/>
  <c r="R23" i="2"/>
  <c r="V23" i="2" s="1"/>
  <c r="W23" i="2" s="1"/>
  <c r="R325" i="2"/>
  <c r="V325" i="2" s="1"/>
  <c r="W325" i="2" s="1"/>
  <c r="R567" i="2"/>
  <c r="V567" i="2" s="1"/>
  <c r="W567" i="2" s="1"/>
  <c r="R1743" i="2"/>
  <c r="V1743" i="2" s="1"/>
  <c r="W1743" i="2" s="1"/>
  <c r="R795" i="2"/>
  <c r="V795" i="2" s="1"/>
  <c r="W795" i="2" s="1"/>
  <c r="R437" i="2"/>
  <c r="V437" i="2" s="1"/>
  <c r="W437" i="2" s="1"/>
  <c r="R1021" i="2"/>
  <c r="V1021" i="2" s="1"/>
  <c r="W1021" i="2" s="1"/>
  <c r="R1216" i="2"/>
  <c r="V1216" i="2" s="1"/>
  <c r="W1216" i="2" s="1"/>
  <c r="R334" i="2"/>
  <c r="V334" i="2" s="1"/>
  <c r="W334" i="2" s="1"/>
  <c r="R534" i="2"/>
  <c r="V534" i="2" s="1"/>
  <c r="W534" i="2" s="1"/>
  <c r="R1288" i="2"/>
  <c r="V1288" i="2" s="1"/>
  <c r="W1288" i="2" s="1"/>
  <c r="R1470" i="2"/>
  <c r="V1470" i="2" s="1"/>
  <c r="W1470" i="2" s="1"/>
  <c r="R1138" i="2"/>
  <c r="V1138" i="2" s="1"/>
  <c r="W1138" i="2" s="1"/>
  <c r="R269" i="2"/>
  <c r="V269" i="2" s="1"/>
  <c r="W269" i="2" s="1"/>
  <c r="R555" i="2"/>
  <c r="V555" i="2" s="1"/>
  <c r="W555" i="2" s="1"/>
  <c r="R37" i="2"/>
  <c r="V37" i="2" s="1"/>
  <c r="W37" i="2" s="1"/>
  <c r="R529" i="2"/>
  <c r="V529" i="2" s="1"/>
  <c r="W529" i="2" s="1"/>
  <c r="R791" i="2"/>
  <c r="V791" i="2" s="1"/>
  <c r="W791" i="2" s="1"/>
  <c r="R673" i="2"/>
  <c r="V673" i="2" s="1"/>
  <c r="W673" i="2" s="1"/>
  <c r="R927" i="2"/>
  <c r="V927" i="2" s="1"/>
  <c r="W927" i="2" s="1"/>
  <c r="R990" i="2"/>
  <c r="V990" i="2" s="1"/>
  <c r="W990" i="2" s="1"/>
  <c r="R668" i="2"/>
  <c r="V668" i="2" s="1"/>
  <c r="W668" i="2" s="1"/>
  <c r="R1124" i="2"/>
  <c r="V1124" i="2" s="1"/>
  <c r="W1124" i="2" s="1"/>
  <c r="R395" i="2"/>
  <c r="V395" i="2" s="1"/>
  <c r="W395" i="2" s="1"/>
  <c r="R487" i="2"/>
  <c r="V487" i="2" s="1"/>
  <c r="W487" i="2" s="1"/>
  <c r="R545" i="2"/>
  <c r="V545" i="2" s="1"/>
  <c r="W545" i="2" s="1"/>
  <c r="R75" i="2"/>
  <c r="V75" i="2" s="1"/>
  <c r="W75" i="2" s="1"/>
  <c r="R1121" i="2"/>
  <c r="V1121" i="2" s="1"/>
  <c r="W1121" i="2" s="1"/>
  <c r="R262" i="2"/>
  <c r="V262" i="2" s="1"/>
  <c r="W262" i="2" s="1"/>
  <c r="R589" i="2"/>
  <c r="V589" i="2" s="1"/>
  <c r="W589" i="2" s="1"/>
  <c r="R785" i="2"/>
  <c r="V785" i="2" s="1"/>
  <c r="W785" i="2" s="1"/>
  <c r="R1057" i="2"/>
  <c r="V1057" i="2" s="1"/>
  <c r="W1057" i="2" s="1"/>
  <c r="R1511" i="2"/>
  <c r="V1511" i="2" s="1"/>
  <c r="W1511" i="2" s="1"/>
  <c r="R571" i="2"/>
  <c r="V571" i="2" s="1"/>
  <c r="W571" i="2" s="1"/>
  <c r="R289" i="2"/>
  <c r="V289" i="2" s="1"/>
  <c r="W289" i="2" s="1"/>
  <c r="R1093" i="2"/>
  <c r="V1093" i="2" s="1"/>
  <c r="W1093" i="2" s="1"/>
  <c r="R875" i="2"/>
  <c r="V875" i="2" s="1"/>
  <c r="W875" i="2" s="1"/>
  <c r="R468" i="2"/>
  <c r="V468" i="2" s="1"/>
  <c r="W468" i="2" s="1"/>
  <c r="R934" i="2"/>
  <c r="V934" i="2" s="1"/>
  <c r="W934" i="2" s="1"/>
  <c r="R1676" i="2"/>
  <c r="V1676" i="2" s="1"/>
  <c r="W1676" i="2" s="1"/>
  <c r="R681" i="2"/>
  <c r="V681" i="2" s="1"/>
  <c r="W681" i="2" s="1"/>
  <c r="R1236" i="2"/>
  <c r="V1236" i="2" s="1"/>
  <c r="W1236" i="2" s="1"/>
  <c r="R854" i="2"/>
  <c r="V854" i="2" s="1"/>
  <c r="W854" i="2" s="1"/>
  <c r="R288" i="2"/>
  <c r="V288" i="2" s="1"/>
  <c r="W288" i="2" s="1"/>
  <c r="R1213" i="2"/>
  <c r="V1213" i="2" s="1"/>
  <c r="W1213" i="2" s="1"/>
  <c r="R74" i="2"/>
  <c r="V74" i="2" s="1"/>
  <c r="W74" i="2" s="1"/>
  <c r="R1257" i="2"/>
  <c r="V1257" i="2" s="1"/>
  <c r="W1257" i="2" s="1"/>
  <c r="R1252" i="2"/>
  <c r="V1252" i="2" s="1"/>
  <c r="W1252" i="2" s="1"/>
  <c r="R1195" i="2"/>
  <c r="V1195" i="2" s="1"/>
  <c r="W1195" i="2" s="1"/>
  <c r="R820" i="2"/>
  <c r="V820" i="2" s="1"/>
  <c r="W820" i="2" s="1"/>
  <c r="R1050" i="2"/>
  <c r="V1050" i="2" s="1"/>
  <c r="W1050" i="2" s="1"/>
  <c r="R379" i="2"/>
  <c r="V379" i="2" s="1"/>
  <c r="W379" i="2" s="1"/>
  <c r="R1444" i="2"/>
  <c r="V1444" i="2" s="1"/>
  <c r="W1444" i="2" s="1"/>
  <c r="R667" i="2"/>
  <c r="V667" i="2" s="1"/>
  <c r="W667" i="2" s="1"/>
  <c r="R1267" i="2"/>
  <c r="V1267" i="2" s="1"/>
  <c r="W1267" i="2" s="1"/>
  <c r="R1508" i="2"/>
  <c r="V1508" i="2" s="1"/>
  <c r="W1508" i="2" s="1"/>
  <c r="R1229" i="2"/>
  <c r="V1229" i="2" s="1"/>
  <c r="W1229" i="2" s="1"/>
  <c r="R867" i="2"/>
  <c r="V867" i="2" s="1"/>
  <c r="W867" i="2" s="1"/>
  <c r="R1063" i="2"/>
  <c r="V1063" i="2" s="1"/>
  <c r="W1063" i="2" s="1"/>
  <c r="R717" i="2"/>
  <c r="V717" i="2" s="1"/>
  <c r="W717" i="2" s="1"/>
  <c r="R1283" i="2"/>
  <c r="V1283" i="2" s="1"/>
  <c r="W1283" i="2" s="1"/>
  <c r="R730" i="2"/>
  <c r="V730" i="2" s="1"/>
  <c r="W730" i="2" s="1"/>
  <c r="R150" i="2"/>
  <c r="V150" i="2" s="1"/>
  <c r="W150" i="2" s="1"/>
  <c r="R1081" i="2"/>
  <c r="V1081" i="2" s="1"/>
  <c r="W1081" i="2" s="1"/>
  <c r="R298" i="2"/>
  <c r="V298" i="2" s="1"/>
  <c r="W298" i="2" s="1"/>
  <c r="R419" i="2"/>
  <c r="V419" i="2" s="1"/>
  <c r="W419" i="2" s="1"/>
  <c r="R1064" i="2"/>
  <c r="V1064" i="2" s="1"/>
  <c r="W1064" i="2" s="1"/>
  <c r="R1739" i="2"/>
  <c r="V1739" i="2" s="1"/>
  <c r="W1739" i="2" s="1"/>
  <c r="R227" i="2"/>
  <c r="V227" i="2" s="1"/>
  <c r="W227" i="2" s="1"/>
  <c r="R1161" i="2"/>
  <c r="V1161" i="2" s="1"/>
  <c r="W1161" i="2" s="1"/>
  <c r="R1392" i="2"/>
  <c r="V1392" i="2" s="1"/>
  <c r="W1392" i="2" s="1"/>
  <c r="R1488" i="2"/>
  <c r="V1488" i="2" s="1"/>
  <c r="W1488" i="2" s="1"/>
  <c r="R964" i="2"/>
  <c r="V964" i="2" s="1"/>
  <c r="W964" i="2" s="1"/>
  <c r="R619" i="2"/>
  <c r="V619" i="2" s="1"/>
  <c r="W619" i="2" s="1"/>
  <c r="R1337" i="2"/>
  <c r="V1337" i="2" s="1"/>
  <c r="W1337" i="2" s="1"/>
  <c r="R130" i="2"/>
  <c r="V130" i="2" s="1"/>
  <c r="W130" i="2" s="1"/>
  <c r="R1062" i="2"/>
  <c r="V1062" i="2" s="1"/>
  <c r="W1062" i="2" s="1"/>
  <c r="R955" i="2"/>
  <c r="V955" i="2" s="1"/>
  <c r="W955" i="2" s="1"/>
  <c r="R1460" i="2"/>
  <c r="V1460" i="2" s="1"/>
  <c r="W1460" i="2" s="1"/>
  <c r="R234" i="2"/>
  <c r="V234" i="2" s="1"/>
  <c r="W234" i="2" s="1"/>
  <c r="R316" i="2"/>
  <c r="V316" i="2" s="1"/>
  <c r="W316" i="2" s="1"/>
  <c r="R811" i="2"/>
  <c r="V811" i="2" s="1"/>
  <c r="W811" i="2" s="1"/>
  <c r="R1205" i="2"/>
  <c r="V1205" i="2" s="1"/>
  <c r="W1205" i="2" s="1"/>
  <c r="R15" i="2"/>
  <c r="V15" i="2" s="1"/>
  <c r="W15" i="2" s="1"/>
  <c r="R1094" i="2"/>
  <c r="V1094" i="2" s="1"/>
  <c r="W1094" i="2" s="1"/>
  <c r="R601" i="2"/>
  <c r="V601" i="2" s="1"/>
  <c r="W601" i="2" s="1"/>
  <c r="R732" i="2"/>
  <c r="V732" i="2" s="1"/>
  <c r="W732" i="2" s="1"/>
  <c r="R1238" i="2"/>
  <c r="V1238" i="2" s="1"/>
  <c r="W1238" i="2" s="1"/>
  <c r="R1168" i="2"/>
  <c r="V1168" i="2" s="1"/>
  <c r="W1168" i="2" s="1"/>
  <c r="R232" i="2"/>
  <c r="V232" i="2" s="1"/>
  <c r="W232" i="2" s="1"/>
  <c r="R1744" i="2"/>
  <c r="V1744" i="2" s="1"/>
  <c r="W1744" i="2" s="1"/>
  <c r="R1310" i="2"/>
  <c r="V1310" i="2" s="1"/>
  <c r="W1310" i="2" s="1"/>
  <c r="R968" i="2"/>
  <c r="V968" i="2" s="1"/>
  <c r="W968" i="2" s="1"/>
  <c r="R691" i="2"/>
  <c r="V691" i="2" s="1"/>
  <c r="W691" i="2" s="1"/>
  <c r="R282" i="2"/>
  <c r="V282" i="2" s="1"/>
  <c r="W282" i="2" s="1"/>
  <c r="R1260" i="2"/>
  <c r="V1260" i="2" s="1"/>
  <c r="W1260" i="2" s="1"/>
  <c r="R223" i="2"/>
  <c r="V223" i="2" s="1"/>
  <c r="W223" i="2" s="1"/>
  <c r="R638" i="2"/>
  <c r="V638" i="2" s="1"/>
  <c r="W638" i="2" s="1"/>
  <c r="R808" i="2"/>
  <c r="V808" i="2" s="1"/>
  <c r="W808" i="2" s="1"/>
  <c r="R454" i="2"/>
  <c r="V454" i="2" s="1"/>
  <c r="W454" i="2" s="1"/>
  <c r="R13" i="2"/>
  <c r="V13" i="2" s="1"/>
  <c r="W13" i="2" s="1"/>
  <c r="R340" i="2"/>
  <c r="V340" i="2" s="1"/>
  <c r="W340" i="2" s="1"/>
  <c r="R1027" i="2"/>
  <c r="V1027" i="2" s="1"/>
  <c r="W1027" i="2" s="1"/>
  <c r="R815" i="2"/>
  <c r="V815" i="2" s="1"/>
  <c r="W815" i="2" s="1"/>
  <c r="R807" i="2"/>
  <c r="V807" i="2" s="1"/>
  <c r="W807" i="2" s="1"/>
  <c r="R664" i="2"/>
  <c r="V664" i="2" s="1"/>
  <c r="W664" i="2" s="1"/>
  <c r="R492" i="2"/>
  <c r="V492" i="2" s="1"/>
  <c r="W492" i="2" s="1"/>
  <c r="R630" i="2"/>
  <c r="V630" i="2" s="1"/>
  <c r="W630" i="2" s="1"/>
  <c r="R1268" i="2"/>
  <c r="V1268" i="2" s="1"/>
  <c r="W1268" i="2" s="1"/>
  <c r="R1065" i="2"/>
  <c r="V1065" i="2" s="1"/>
  <c r="W1065" i="2" s="1"/>
  <c r="R952" i="2"/>
  <c r="V952" i="2" s="1"/>
  <c r="W952" i="2" s="1"/>
  <c r="R120" i="2"/>
  <c r="V120" i="2" s="1"/>
  <c r="W120" i="2" s="1"/>
  <c r="R926" i="2"/>
  <c r="V926" i="2" s="1"/>
  <c r="W926" i="2" s="1"/>
  <c r="R190" i="2"/>
  <c r="V190" i="2" s="1"/>
  <c r="W190" i="2" s="1"/>
  <c r="R1471" i="2"/>
  <c r="V1471" i="2" s="1"/>
  <c r="W1471" i="2" s="1"/>
  <c r="R1674" i="2"/>
  <c r="V1674" i="2" s="1"/>
  <c r="W1674" i="2" s="1"/>
  <c r="R1455" i="2"/>
  <c r="V1455" i="2" s="1"/>
  <c r="W1455" i="2" s="1"/>
  <c r="R176" i="2"/>
  <c r="V176" i="2" s="1"/>
  <c r="W176" i="2" s="1"/>
  <c r="R290" i="2"/>
  <c r="V290" i="2" s="1"/>
  <c r="W290" i="2" s="1"/>
  <c r="R46" i="2"/>
  <c r="V46" i="2" s="1"/>
  <c r="W46" i="2" s="1"/>
  <c r="R906" i="2"/>
  <c r="V906" i="2" s="1"/>
  <c r="W906" i="2" s="1"/>
  <c r="R1724" i="2"/>
  <c r="V1724" i="2" s="1"/>
  <c r="W1724" i="2" s="1"/>
  <c r="R189" i="2"/>
  <c r="V189" i="2" s="1"/>
  <c r="W189" i="2" s="1"/>
  <c r="R1133" i="2"/>
  <c r="V1133" i="2" s="1"/>
  <c r="W1133" i="2" s="1"/>
  <c r="R368" i="2"/>
  <c r="V368" i="2" s="1"/>
  <c r="W368" i="2" s="1"/>
  <c r="R494" i="2"/>
  <c r="V494" i="2" s="1"/>
  <c r="W494" i="2" s="1"/>
  <c r="R1154" i="2"/>
  <c r="V1154" i="2" s="1"/>
  <c r="W1154" i="2" s="1"/>
  <c r="R40" i="2"/>
  <c r="V40" i="2" s="1"/>
  <c r="W40" i="2" s="1"/>
  <c r="R1323" i="2"/>
  <c r="V1323" i="2" s="1"/>
  <c r="W1323" i="2" s="1"/>
  <c r="R1712" i="2"/>
  <c r="V1712" i="2" s="1"/>
  <c r="W1712" i="2" s="1"/>
  <c r="R969" i="2"/>
  <c r="V969" i="2" s="1"/>
  <c r="W969" i="2" s="1"/>
  <c r="R640" i="2"/>
  <c r="V640" i="2" s="1"/>
  <c r="W640" i="2" s="1"/>
  <c r="R76" i="2"/>
  <c r="V76" i="2" s="1"/>
  <c r="W76" i="2" s="1"/>
  <c r="R1134" i="2"/>
  <c r="V1134" i="2" s="1"/>
  <c r="W1134" i="2" s="1"/>
  <c r="R596" i="2"/>
  <c r="V596" i="2" s="1"/>
  <c r="W596" i="2" s="1"/>
  <c r="R821" i="2"/>
  <c r="V821" i="2" s="1"/>
  <c r="W821" i="2" s="1"/>
  <c r="R538" i="2"/>
  <c r="V538" i="2" s="1"/>
  <c r="W538" i="2" s="1"/>
  <c r="R128" i="2"/>
  <c r="V128" i="2" s="1"/>
  <c r="W128" i="2" s="1"/>
  <c r="R633" i="2"/>
  <c r="V633" i="2" s="1"/>
  <c r="W633" i="2" s="1"/>
  <c r="R760" i="2"/>
  <c r="V760" i="2" s="1"/>
  <c r="W760" i="2" s="1"/>
  <c r="R343" i="2"/>
  <c r="V343" i="2" s="1"/>
  <c r="W343" i="2" s="1"/>
  <c r="R92" i="2"/>
  <c r="V92" i="2" s="1"/>
  <c r="W92" i="2" s="1"/>
  <c r="R3" i="2"/>
  <c r="V3" i="2" s="1"/>
  <c r="W3" i="2" s="1"/>
  <c r="R1474" i="2"/>
  <c r="V1474" i="2" s="1"/>
  <c r="W1474" i="2" s="1"/>
  <c r="R1703" i="2"/>
  <c r="V1703" i="2" s="1"/>
  <c r="W1703" i="2" s="1"/>
  <c r="R1377" i="2"/>
  <c r="V1377" i="2" s="1"/>
  <c r="W1377" i="2" s="1"/>
  <c r="R341" i="2"/>
  <c r="V341" i="2" s="1"/>
  <c r="W341" i="2" s="1"/>
  <c r="R59" i="2"/>
  <c r="V59" i="2" s="1"/>
  <c r="W59" i="2" s="1"/>
  <c r="R656" i="2"/>
  <c r="V656" i="2" s="1"/>
  <c r="W656" i="2" s="1"/>
  <c r="R1365" i="2"/>
  <c r="V1365" i="2" s="1"/>
  <c r="W1365" i="2" s="1"/>
  <c r="R482" i="2"/>
  <c r="V482" i="2" s="1"/>
  <c r="W482" i="2" s="1"/>
  <c r="R533" i="2"/>
  <c r="V533" i="2" s="1"/>
  <c r="W533" i="2" s="1"/>
  <c r="R560" i="2"/>
  <c r="V560" i="2" s="1"/>
  <c r="W560" i="2" s="1"/>
  <c r="R1343" i="2"/>
  <c r="V1343" i="2" s="1"/>
  <c r="W1343" i="2" s="1"/>
  <c r="R476" i="2"/>
  <c r="V476" i="2" s="1"/>
  <c r="W476" i="2" s="1"/>
  <c r="R877" i="2"/>
  <c r="V877" i="2" s="1"/>
  <c r="W877" i="2" s="1"/>
  <c r="R129" i="2"/>
  <c r="V129" i="2" s="1"/>
  <c r="W129" i="2" s="1"/>
  <c r="R762" i="2"/>
  <c r="V762" i="2" s="1"/>
  <c r="W762" i="2" s="1"/>
  <c r="R501" i="2"/>
  <c r="V501" i="2" s="1"/>
  <c r="W501" i="2" s="1"/>
  <c r="R1696" i="2"/>
  <c r="V1696" i="2" s="1"/>
  <c r="W1696" i="2" s="1"/>
  <c r="R688" i="2"/>
  <c r="V688" i="2" s="1"/>
  <c r="W688" i="2" s="1"/>
  <c r="R1013" i="2"/>
  <c r="V1013" i="2" s="1"/>
  <c r="W1013" i="2" s="1"/>
  <c r="R111" i="2"/>
  <c r="V111" i="2" s="1"/>
  <c r="W111" i="2" s="1"/>
  <c r="R108" i="2"/>
  <c r="V108" i="2" s="1"/>
  <c r="W108" i="2" s="1"/>
  <c r="R1068" i="2"/>
  <c r="V1068" i="2" s="1"/>
  <c r="W1068" i="2" s="1"/>
  <c r="R1060" i="2"/>
  <c r="V1060" i="2" s="1"/>
  <c r="W1060" i="2" s="1"/>
  <c r="R1740" i="2"/>
  <c r="V1740" i="2" s="1"/>
  <c r="W1740" i="2" s="1"/>
  <c r="R326" i="2"/>
  <c r="V326" i="2" s="1"/>
  <c r="W326" i="2" s="1"/>
  <c r="R679" i="2"/>
  <c r="V679" i="2" s="1"/>
  <c r="W679" i="2" s="1"/>
  <c r="R1687" i="2"/>
  <c r="V1687" i="2" s="1"/>
  <c r="W1687" i="2" s="1"/>
  <c r="R1128" i="2"/>
  <c r="V1128" i="2" s="1"/>
  <c r="W1128" i="2" s="1"/>
  <c r="R107" i="2"/>
  <c r="V107" i="2" s="1"/>
  <c r="W107" i="2" s="1"/>
  <c r="R1255" i="2"/>
  <c r="V1255" i="2" s="1"/>
  <c r="W1255" i="2" s="1"/>
  <c r="R252" i="2"/>
  <c r="V252" i="2" s="1"/>
  <c r="W252" i="2" s="1"/>
  <c r="R818" i="2"/>
  <c r="V818" i="2" s="1"/>
  <c r="W818" i="2" s="1"/>
  <c r="R543" i="2"/>
  <c r="V543" i="2" s="1"/>
  <c r="W543" i="2" s="1"/>
  <c r="R1224" i="2"/>
  <c r="V1224" i="2" s="1"/>
  <c r="W1224" i="2" s="1"/>
  <c r="R1193" i="2"/>
  <c r="V1193" i="2" s="1"/>
  <c r="W1193" i="2" s="1"/>
  <c r="R443" i="2"/>
  <c r="V443" i="2" s="1"/>
  <c r="W443" i="2" s="1"/>
  <c r="R528" i="2"/>
  <c r="V528" i="2" s="1"/>
  <c r="W528" i="2" s="1"/>
  <c r="R314" i="2"/>
  <c r="V314" i="2" s="1"/>
  <c r="W314" i="2" s="1"/>
  <c r="R1379" i="2"/>
  <c r="V1379" i="2" s="1"/>
  <c r="W1379" i="2" s="1"/>
  <c r="R153" i="2"/>
  <c r="V153" i="2" s="1"/>
  <c r="W153" i="2" s="1"/>
  <c r="R1220" i="2"/>
  <c r="V1220" i="2" s="1"/>
  <c r="W1220" i="2" s="1"/>
  <c r="R509" i="2"/>
  <c r="V509" i="2" s="1"/>
  <c r="W509" i="2" s="1"/>
  <c r="R1007" i="2"/>
  <c r="V1007" i="2" s="1"/>
  <c r="W1007" i="2" s="1"/>
  <c r="R776" i="2"/>
  <c r="V776" i="2" s="1"/>
  <c r="W776" i="2" s="1"/>
  <c r="R1503" i="2"/>
  <c r="V1503" i="2" s="1"/>
  <c r="W1503" i="2" s="1"/>
  <c r="R81" i="2"/>
  <c r="V81" i="2" s="1"/>
  <c r="W81" i="2" s="1"/>
  <c r="R903" i="2"/>
  <c r="V903" i="2" s="1"/>
  <c r="W903" i="2" s="1"/>
  <c r="R970" i="2"/>
  <c r="V970" i="2" s="1"/>
  <c r="W970" i="2" s="1"/>
  <c r="R65" i="2"/>
  <c r="V65" i="2" s="1"/>
  <c r="W65" i="2" s="1"/>
  <c r="R622" i="2"/>
  <c r="V622" i="2" s="1"/>
  <c r="W622" i="2" s="1"/>
  <c r="R186" i="2"/>
  <c r="V186" i="2" s="1"/>
  <c r="W186" i="2" s="1"/>
  <c r="R841" i="2"/>
  <c r="V841" i="2" s="1"/>
  <c r="W841" i="2" s="1"/>
  <c r="R133" i="2"/>
  <c r="V133" i="2" s="1"/>
  <c r="W133" i="2" s="1"/>
  <c r="R1140" i="2"/>
  <c r="V1140" i="2" s="1"/>
  <c r="W1140" i="2" s="1"/>
  <c r="R64" i="2"/>
  <c r="V64" i="2" s="1"/>
  <c r="W64" i="2" s="1"/>
  <c r="R483" i="2"/>
  <c r="V483" i="2" s="1"/>
  <c r="W483" i="2" s="1"/>
  <c r="R1137" i="2"/>
  <c r="V1137" i="2" s="1"/>
  <c r="W1137" i="2" s="1"/>
  <c r="R1100" i="2"/>
  <c r="V1100" i="2" s="1"/>
  <c r="W1100" i="2" s="1"/>
  <c r="R1300" i="2"/>
  <c r="V1300" i="2" s="1"/>
  <c r="W1300" i="2" s="1"/>
  <c r="R898" i="2"/>
  <c r="V898" i="2" s="1"/>
  <c r="W898" i="2" s="1"/>
  <c r="R195" i="2"/>
  <c r="V195" i="2" s="1"/>
  <c r="W195" i="2" s="1"/>
  <c r="R584" i="2"/>
  <c r="V584" i="2" s="1"/>
  <c r="W584" i="2" s="1"/>
  <c r="R450" i="2"/>
  <c r="V450" i="2" s="1"/>
  <c r="W450" i="2" s="1"/>
  <c r="R1422" i="2"/>
  <c r="V1422" i="2" s="1"/>
  <c r="W1422" i="2" s="1"/>
  <c r="R1396" i="2"/>
  <c r="V1396" i="2" s="1"/>
  <c r="W1396" i="2" s="1"/>
  <c r="R1458" i="2"/>
  <c r="V1458" i="2" s="1"/>
  <c r="W1458" i="2" s="1"/>
  <c r="R1056" i="2"/>
  <c r="V1056" i="2" s="1"/>
  <c r="W1056" i="2" s="1"/>
  <c r="R17" i="2"/>
  <c r="V17" i="2" s="1"/>
  <c r="W17" i="2" s="1"/>
  <c r="R1023" i="2"/>
  <c r="V1023" i="2" s="1"/>
  <c r="W1023" i="2" s="1"/>
  <c r="R327" i="2"/>
  <c r="V327" i="2" s="1"/>
  <c r="W327" i="2" s="1"/>
  <c r="R106" i="2"/>
  <c r="V106" i="2" s="1"/>
  <c r="W106" i="2" s="1"/>
  <c r="R245" i="2"/>
  <c r="V245" i="2" s="1"/>
  <c r="W245" i="2" s="1"/>
  <c r="R1325" i="2"/>
  <c r="V1325" i="2" s="1"/>
  <c r="W1325" i="2" s="1"/>
  <c r="R441" i="2"/>
  <c r="V441" i="2" s="1"/>
  <c r="W441" i="2" s="1"/>
  <c r="R639" i="2"/>
  <c r="V639" i="2" s="1"/>
  <c r="W639" i="2" s="1"/>
  <c r="R768" i="2"/>
  <c r="V768" i="2" s="1"/>
  <c r="W768" i="2" s="1"/>
  <c r="R1456" i="2"/>
  <c r="V1456" i="2" s="1"/>
  <c r="W1456" i="2" s="1"/>
  <c r="R913" i="2"/>
  <c r="V913" i="2" s="1"/>
  <c r="W913" i="2" s="1"/>
  <c r="R1095" i="2"/>
  <c r="V1095" i="2" s="1"/>
  <c r="W1095" i="2" s="1"/>
  <c r="R1286" i="2"/>
  <c r="V1286" i="2" s="1"/>
  <c r="W1286" i="2" s="1"/>
  <c r="R1302" i="2"/>
  <c r="V1302" i="2" s="1"/>
  <c r="W1302" i="2" s="1"/>
  <c r="R1089" i="2"/>
  <c r="V1089" i="2" s="1"/>
  <c r="W1089" i="2" s="1"/>
  <c r="R1478" i="2"/>
  <c r="V1478" i="2" s="1"/>
  <c r="W1478" i="2" s="1"/>
  <c r="R88" i="2"/>
  <c r="V88" i="2" s="1"/>
  <c r="W88" i="2" s="1"/>
  <c r="R817" i="2"/>
  <c r="V817" i="2" s="1"/>
  <c r="W817" i="2" s="1"/>
  <c r="R324" i="2"/>
  <c r="V324" i="2" s="1"/>
  <c r="W324" i="2" s="1"/>
  <c r="R1174" i="2"/>
  <c r="V1174" i="2" s="1"/>
  <c r="W1174" i="2" s="1"/>
  <c r="R731" i="2"/>
  <c r="V731" i="2" s="1"/>
  <c r="W731" i="2" s="1"/>
  <c r="R371" i="2"/>
  <c r="V371" i="2" s="1"/>
  <c r="W371" i="2" s="1"/>
  <c r="R1077" i="2"/>
  <c r="V1077" i="2" s="1"/>
  <c r="W1077" i="2" s="1"/>
  <c r="R22" i="2"/>
  <c r="V22" i="2" s="1"/>
  <c r="W22" i="2" s="1"/>
  <c r="R1053" i="2"/>
  <c r="V1053" i="2" s="1"/>
  <c r="W1053" i="2" s="1"/>
  <c r="R650" i="2"/>
  <c r="V650" i="2" s="1"/>
  <c r="W650" i="2" s="1"/>
  <c r="R135" i="2"/>
  <c r="V135" i="2" s="1"/>
  <c r="W135" i="2" s="1"/>
  <c r="R216" i="2"/>
  <c r="V216" i="2" s="1"/>
  <c r="W216" i="2" s="1"/>
  <c r="R1163" i="2"/>
  <c r="V1163" i="2" s="1"/>
  <c r="W1163" i="2" s="1"/>
  <c r="R1717" i="2"/>
  <c r="V1717" i="2" s="1"/>
  <c r="W1717" i="2" s="1"/>
  <c r="R1363" i="2"/>
  <c r="V1363" i="2" s="1"/>
  <c r="W1363" i="2" s="1"/>
  <c r="R1515" i="2"/>
  <c r="V1515" i="2" s="1"/>
  <c r="W1515" i="2" s="1"/>
  <c r="R930" i="2"/>
  <c r="V930" i="2" s="1"/>
  <c r="W930" i="2" s="1"/>
  <c r="R467" i="2"/>
  <c r="V467" i="2" s="1"/>
  <c r="W467" i="2" s="1"/>
  <c r="R833" i="2"/>
  <c r="V833" i="2" s="1"/>
  <c r="W833" i="2" s="1"/>
  <c r="R632" i="2"/>
  <c r="V632" i="2" s="1"/>
  <c r="W632" i="2" s="1"/>
  <c r="R1170" i="2"/>
  <c r="V1170" i="2" s="1"/>
  <c r="W1170" i="2" s="1"/>
  <c r="R977" i="2"/>
  <c r="V977" i="2" s="1"/>
  <c r="W977" i="2" s="1"/>
  <c r="R765" i="2"/>
  <c r="V765" i="2" s="1"/>
  <c r="W765" i="2" s="1"/>
  <c r="R1423" i="2"/>
  <c r="V1423" i="2" s="1"/>
  <c r="W1423" i="2" s="1"/>
  <c r="R741" i="2"/>
  <c r="V741" i="2" s="1"/>
  <c r="W741" i="2" s="1"/>
  <c r="R585" i="2"/>
  <c r="V585" i="2" s="1"/>
  <c r="W585" i="2" s="1"/>
  <c r="R1084" i="2"/>
  <c r="V1084" i="2" s="1"/>
  <c r="W1084" i="2" s="1"/>
  <c r="R335" i="2"/>
  <c r="V335" i="2" s="1"/>
  <c r="W335" i="2" s="1"/>
  <c r="R713" i="2"/>
  <c r="V713" i="2" s="1"/>
  <c r="W713" i="2" s="1"/>
  <c r="R542" i="2"/>
  <c r="V542" i="2" s="1"/>
  <c r="W542" i="2" s="1"/>
  <c r="R556" i="2"/>
  <c r="V556" i="2" s="1"/>
  <c r="W556" i="2" s="1"/>
  <c r="R132" i="2"/>
  <c r="V132" i="2" s="1"/>
  <c r="W132" i="2" s="1"/>
  <c r="R1697" i="2"/>
  <c r="V1697" i="2" s="1"/>
  <c r="W1697" i="2" s="1"/>
  <c r="R391" i="2"/>
  <c r="V391" i="2" s="1"/>
  <c r="W391" i="2" s="1"/>
  <c r="R1096" i="2"/>
  <c r="V1096" i="2" s="1"/>
  <c r="W1096" i="2" s="1"/>
  <c r="R649" i="2"/>
  <c r="V649" i="2" s="1"/>
  <c r="W649" i="2" s="1"/>
  <c r="R8" i="2"/>
  <c r="V8" i="2" s="1"/>
  <c r="W8" i="2" s="1"/>
  <c r="R1497" i="2"/>
  <c r="V1497" i="2" s="1"/>
  <c r="W1497" i="2" s="1"/>
  <c r="R213" i="2"/>
  <c r="V213" i="2" s="1"/>
  <c r="W213" i="2" s="1"/>
  <c r="R868" i="2"/>
  <c r="V868" i="2" s="1"/>
  <c r="W868" i="2" s="1"/>
  <c r="R978" i="2"/>
  <c r="V978" i="2" s="1"/>
  <c r="W978" i="2" s="1"/>
  <c r="R448" i="2"/>
  <c r="V448" i="2" s="1"/>
  <c r="W448" i="2" s="1"/>
  <c r="R63" i="2"/>
  <c r="V63" i="2" s="1"/>
  <c r="W63" i="2" s="1"/>
  <c r="R851" i="2"/>
  <c r="V851" i="2" s="1"/>
  <c r="W851" i="2" s="1"/>
  <c r="R1241" i="2"/>
  <c r="V1241" i="2" s="1"/>
  <c r="W1241" i="2" s="1"/>
  <c r="R1175" i="2"/>
  <c r="V1175" i="2" s="1"/>
  <c r="W1175" i="2" s="1"/>
  <c r="R1197" i="2"/>
  <c r="V1197" i="2" s="1"/>
  <c r="W1197" i="2" s="1"/>
  <c r="R417" i="2"/>
  <c r="V417" i="2" s="1"/>
  <c r="W417" i="2" s="1"/>
  <c r="R1037" i="2"/>
  <c r="V1037" i="2" s="1"/>
  <c r="W1037" i="2" s="1"/>
  <c r="R799" i="2"/>
  <c r="V799" i="2" s="1"/>
  <c r="W799" i="2" s="1"/>
  <c r="R1398" i="2"/>
  <c r="V1398" i="2" s="1"/>
  <c r="W1398" i="2" s="1"/>
  <c r="R1173" i="2"/>
  <c r="V1173" i="2" s="1"/>
  <c r="W1173" i="2" s="1"/>
  <c r="R317" i="2"/>
  <c r="V317" i="2" s="1"/>
  <c r="W317" i="2" s="1"/>
  <c r="R905" i="2"/>
  <c r="V905" i="2" s="1"/>
  <c r="W905" i="2" s="1"/>
  <c r="R1070" i="2"/>
  <c r="V1070" i="2" s="1"/>
  <c r="W1070" i="2" s="1"/>
  <c r="R911" i="2"/>
  <c r="V911" i="2" s="1"/>
  <c r="W911" i="2" s="1"/>
  <c r="R651" i="2"/>
  <c r="V651" i="2" s="1"/>
  <c r="W651" i="2" s="1"/>
  <c r="R345" i="2"/>
  <c r="V345" i="2" s="1"/>
  <c r="W345" i="2" s="1"/>
  <c r="R1314" i="2"/>
  <c r="V1314" i="2" s="1"/>
  <c r="W1314" i="2" s="1"/>
  <c r="R16" i="2"/>
  <c r="V16" i="2" s="1"/>
  <c r="W16" i="2" s="1"/>
  <c r="R1130" i="2"/>
  <c r="V1130" i="2" s="1"/>
  <c r="W1130" i="2" s="1"/>
  <c r="R885" i="2"/>
  <c r="V885" i="2" s="1"/>
  <c r="W885" i="2" s="1"/>
  <c r="R743" i="2"/>
  <c r="V743" i="2" s="1"/>
  <c r="W743" i="2" s="1"/>
  <c r="R1284" i="2"/>
  <c r="V1284" i="2" s="1"/>
  <c r="W1284" i="2" s="1"/>
  <c r="R507" i="2"/>
  <c r="V507" i="2" s="1"/>
  <c r="W507" i="2" s="1"/>
  <c r="R228" i="2"/>
  <c r="V228" i="2" s="1"/>
  <c r="W228" i="2" s="1"/>
  <c r="R359" i="2"/>
  <c r="V359" i="2" s="1"/>
  <c r="W359" i="2" s="1"/>
  <c r="R872" i="2"/>
  <c r="V872" i="2" s="1"/>
  <c r="W872" i="2" s="1"/>
  <c r="R1352" i="2"/>
  <c r="V1352" i="2" s="1"/>
  <c r="W1352" i="2" s="1"/>
  <c r="R1237" i="2"/>
  <c r="V1237" i="2" s="1"/>
  <c r="W1237" i="2" s="1"/>
  <c r="R1144" i="2"/>
  <c r="V1144" i="2" s="1"/>
  <c r="W1144" i="2" s="1"/>
  <c r="R1203" i="2"/>
  <c r="V1203" i="2" s="1"/>
  <c r="W1203" i="2" s="1"/>
  <c r="R881" i="2"/>
  <c r="V881" i="2" s="1"/>
  <c r="W881" i="2" s="1"/>
  <c r="R201" i="2"/>
  <c r="V201" i="2" s="1"/>
  <c r="W201" i="2" s="1"/>
  <c r="R1105" i="2"/>
  <c r="V1105" i="2" s="1"/>
  <c r="W1105" i="2" s="1"/>
  <c r="R333" i="2"/>
  <c r="V333" i="2" s="1"/>
  <c r="W333" i="2" s="1"/>
  <c r="R704" i="2"/>
  <c r="V704" i="2" s="1"/>
  <c r="W704" i="2" s="1"/>
  <c r="R844" i="2"/>
  <c r="V844" i="2" s="1"/>
  <c r="W844" i="2" s="1"/>
  <c r="R942" i="2"/>
  <c r="V942" i="2" s="1"/>
  <c r="W942" i="2" s="1"/>
  <c r="R610" i="2"/>
  <c r="V610" i="2" s="1"/>
  <c r="W610" i="2" s="1"/>
  <c r="R466" i="2"/>
  <c r="V466" i="2" s="1"/>
  <c r="W466" i="2" s="1"/>
  <c r="R72" i="2"/>
  <c r="V72" i="2" s="1"/>
  <c r="W72" i="2" s="1"/>
  <c r="R1274" i="2"/>
  <c r="V1274" i="2" s="1"/>
  <c r="W1274" i="2" s="1"/>
  <c r="R356" i="2"/>
  <c r="V356" i="2" s="1"/>
  <c r="W356" i="2" s="1"/>
  <c r="R899" i="2"/>
  <c r="V899" i="2" s="1"/>
  <c r="W899" i="2" s="1"/>
  <c r="R1191" i="2"/>
  <c r="V1191" i="2" s="1"/>
  <c r="W1191" i="2" s="1"/>
  <c r="R981" i="2"/>
  <c r="V981" i="2" s="1"/>
  <c r="W981" i="2" s="1"/>
  <c r="R1729" i="2"/>
  <c r="V1729" i="2" s="1"/>
  <c r="W1729" i="2" s="1"/>
  <c r="R759" i="2"/>
  <c r="V759" i="2" s="1"/>
  <c r="W759" i="2" s="1"/>
  <c r="R1327" i="2"/>
  <c r="V1327" i="2" s="1"/>
  <c r="W1327" i="2" s="1"/>
  <c r="R712" i="2"/>
  <c r="V712" i="2" s="1"/>
  <c r="W712" i="2" s="1"/>
  <c r="R48" i="2"/>
  <c r="V48" i="2" s="1"/>
  <c r="W48" i="2" s="1"/>
  <c r="R1722" i="2"/>
  <c r="V1722" i="2" s="1"/>
  <c r="W1722" i="2" s="1"/>
  <c r="R113" i="2"/>
  <c r="V113" i="2" s="1"/>
  <c r="W113" i="2" s="1"/>
  <c r="R1319" i="2"/>
  <c r="V1319" i="2" s="1"/>
  <c r="W1319" i="2" s="1"/>
  <c r="R796" i="2"/>
  <c r="V796" i="2" s="1"/>
  <c r="W796" i="2" s="1"/>
  <c r="R207" i="2"/>
  <c r="V207" i="2" s="1"/>
  <c r="W207" i="2" s="1"/>
  <c r="R654" i="2"/>
  <c r="V654" i="2" s="1"/>
  <c r="W654" i="2" s="1"/>
  <c r="R1079" i="2"/>
  <c r="V1079" i="2" s="1"/>
  <c r="W1079" i="2" s="1"/>
  <c r="R1318" i="2"/>
  <c r="V1318" i="2" s="1"/>
  <c r="W1318" i="2" s="1"/>
  <c r="R963" i="2"/>
  <c r="V963" i="2" s="1"/>
  <c r="W963" i="2" s="1"/>
  <c r="R266" i="2"/>
  <c r="V266" i="2" s="1"/>
  <c r="W266" i="2" s="1"/>
  <c r="R870" i="2"/>
  <c r="V870" i="2" s="1"/>
  <c r="W870" i="2" s="1"/>
  <c r="R974" i="2"/>
  <c r="V974" i="2" s="1"/>
  <c r="W974" i="2" s="1"/>
  <c r="R662" i="2"/>
  <c r="V662" i="2" s="1"/>
  <c r="W662" i="2" s="1"/>
  <c r="R393" i="2"/>
  <c r="V393" i="2" s="1"/>
  <c r="W393" i="2" s="1"/>
  <c r="R954" i="2"/>
  <c r="V954" i="2" s="1"/>
  <c r="W954" i="2" s="1"/>
  <c r="R551" i="2"/>
  <c r="V551" i="2" s="1"/>
  <c r="W551" i="2" s="1"/>
  <c r="R924" i="2"/>
  <c r="V924" i="2" s="1"/>
  <c r="W924" i="2" s="1"/>
  <c r="R1407" i="2"/>
  <c r="V1407" i="2" s="1"/>
  <c r="W1407" i="2" s="1"/>
  <c r="R401" i="2"/>
  <c r="V401" i="2" s="1"/>
  <c r="W401" i="2" s="1"/>
  <c r="R516" i="2"/>
  <c r="V516" i="2" s="1"/>
  <c r="W516" i="2" s="1"/>
  <c r="R1273" i="2"/>
  <c r="V1273" i="2" s="1"/>
  <c r="W1273" i="2" s="1"/>
  <c r="R168" i="2"/>
  <c r="V168" i="2" s="1"/>
  <c r="W168" i="2" s="1"/>
  <c r="R1146" i="2"/>
  <c r="V1146" i="2" s="1"/>
  <c r="W1146" i="2" s="1"/>
  <c r="R997" i="2"/>
  <c r="V997" i="2" s="1"/>
  <c r="W997" i="2" s="1"/>
  <c r="R816" i="2"/>
  <c r="V816" i="2" s="1"/>
  <c r="W816" i="2" s="1"/>
  <c r="R992" i="2"/>
  <c r="V992" i="2" s="1"/>
  <c r="W992" i="2" s="1"/>
  <c r="R1125" i="2"/>
  <c r="V1125" i="2" s="1"/>
  <c r="W1125" i="2" s="1"/>
  <c r="R71" i="2"/>
  <c r="V71" i="2" s="1"/>
  <c r="W71" i="2" s="1"/>
  <c r="R1036" i="2"/>
  <c r="V1036" i="2" s="1"/>
  <c r="W1036" i="2" s="1"/>
  <c r="R972" i="2"/>
  <c r="V972" i="2" s="1"/>
  <c r="W972" i="2" s="1"/>
  <c r="R328" i="2"/>
  <c r="V328" i="2" s="1"/>
  <c r="W328" i="2" s="1"/>
  <c r="R352" i="2"/>
  <c r="V352" i="2" s="1"/>
  <c r="W352" i="2" s="1"/>
  <c r="R710" i="2"/>
  <c r="V710" i="2" s="1"/>
  <c r="W710" i="2" s="1"/>
  <c r="R766" i="2"/>
  <c r="V766" i="2" s="1"/>
  <c r="W766" i="2" s="1"/>
  <c r="R1492" i="2"/>
  <c r="V1492" i="2" s="1"/>
  <c r="W1492" i="2" s="1"/>
  <c r="R1097" i="2"/>
  <c r="V1097" i="2" s="1"/>
  <c r="W1097" i="2" s="1"/>
  <c r="R307" i="2"/>
  <c r="V307" i="2" s="1"/>
  <c r="W307" i="2" s="1"/>
  <c r="R1032" i="2"/>
  <c r="V1032" i="2" s="1"/>
  <c r="W1032" i="2" s="1"/>
  <c r="R459" i="2"/>
  <c r="V459" i="2" s="1"/>
  <c r="W459" i="2" s="1"/>
  <c r="R446" i="2"/>
  <c r="V446" i="2" s="1"/>
  <c r="W446" i="2" s="1"/>
  <c r="R1727" i="2"/>
  <c r="V1727" i="2" s="1"/>
  <c r="W1727" i="2" s="1"/>
  <c r="R1483" i="2"/>
  <c r="V1483" i="2" s="1"/>
  <c r="W1483" i="2" s="1"/>
  <c r="R376" i="2"/>
  <c r="V376" i="2" s="1"/>
  <c r="W376" i="2" s="1"/>
  <c r="R55" i="2"/>
  <c r="V55" i="2" s="1"/>
  <c r="W55" i="2" s="1"/>
  <c r="R1513" i="2"/>
  <c r="V1513" i="2" s="1"/>
  <c r="W1513" i="2" s="1"/>
  <c r="R78" i="2"/>
  <c r="V78" i="2" s="1"/>
  <c r="W78" i="2" s="1"/>
  <c r="R191" i="2"/>
  <c r="V191" i="2" s="1"/>
  <c r="W191" i="2" s="1"/>
  <c r="R1104" i="2"/>
  <c r="V1104" i="2" s="1"/>
  <c r="W1104" i="2" s="1"/>
  <c r="R1333" i="2"/>
  <c r="V1333" i="2" s="1"/>
  <c r="W1333" i="2" s="1"/>
  <c r="R1223" i="2"/>
  <c r="V1223" i="2" s="1"/>
  <c r="W1223" i="2" s="1"/>
  <c r="R793" i="2"/>
  <c r="V793" i="2" s="1"/>
  <c r="W793" i="2" s="1"/>
  <c r="R378" i="2"/>
  <c r="V378" i="2" s="1"/>
  <c r="W378" i="2" s="1"/>
  <c r="R1507" i="2"/>
  <c r="V1507" i="2" s="1"/>
  <c r="W1507" i="2" s="1"/>
  <c r="R1726" i="2"/>
  <c r="V1726" i="2" s="1"/>
  <c r="W1726" i="2" s="1"/>
  <c r="R1394" i="2"/>
  <c r="V1394" i="2" s="1"/>
  <c r="W1394" i="2" s="1"/>
  <c r="R97" i="2"/>
  <c r="V97" i="2" s="1"/>
  <c r="W97" i="2" s="1"/>
  <c r="R1468" i="2"/>
  <c r="V1468" i="2" s="1"/>
  <c r="W1468" i="2" s="1"/>
  <c r="R347" i="2"/>
  <c r="V347" i="2" s="1"/>
  <c r="W347" i="2" s="1"/>
  <c r="R1698" i="2"/>
  <c r="V1698" i="2" s="1"/>
  <c r="W1698" i="2" s="1"/>
  <c r="R1276" i="2"/>
  <c r="V1276" i="2" s="1"/>
  <c r="W1276" i="2" s="1"/>
  <c r="R392" i="2"/>
  <c r="V392" i="2" s="1"/>
  <c r="W392" i="2" s="1"/>
  <c r="R1120" i="2"/>
  <c r="V1120" i="2" s="1"/>
  <c r="W1120" i="2" s="1"/>
  <c r="R193" i="2"/>
  <c r="V193" i="2" s="1"/>
  <c r="W193" i="2" s="1"/>
  <c r="R1481" i="2"/>
  <c r="V1481" i="2" s="1"/>
  <c r="W1481" i="2" s="1"/>
  <c r="R593" i="2"/>
  <c r="V593" i="2" s="1"/>
  <c r="W593" i="2" s="1"/>
  <c r="R929" i="2"/>
  <c r="V929" i="2" s="1"/>
  <c r="W929" i="2" s="1"/>
  <c r="R194" i="2"/>
  <c r="V194" i="2" s="1"/>
  <c r="W194" i="2" s="1"/>
  <c r="R1371" i="2"/>
  <c r="V1371" i="2" s="1"/>
  <c r="W1371" i="2" s="1"/>
  <c r="R603" i="2"/>
  <c r="V603" i="2" s="1"/>
  <c r="W603" i="2" s="1"/>
  <c r="R1292" i="2"/>
  <c r="V1292" i="2" s="1"/>
  <c r="W1292" i="2" s="1"/>
  <c r="R995" i="2"/>
  <c r="V995" i="2" s="1"/>
  <c r="W995" i="2" s="1"/>
  <c r="R1038" i="2"/>
  <c r="V1038" i="2" s="1"/>
  <c r="W1038" i="2" s="1"/>
  <c r="R1299" i="2"/>
  <c r="V1299" i="2" s="1"/>
  <c r="W1299" i="2" s="1"/>
  <c r="R582" i="2"/>
  <c r="V582" i="2" s="1"/>
  <c r="W582" i="2" s="1"/>
  <c r="R948" i="2"/>
  <c r="V948" i="2" s="1"/>
  <c r="W948" i="2" s="1"/>
  <c r="R1489" i="2"/>
  <c r="V1489" i="2" s="1"/>
  <c r="W1489" i="2" s="1"/>
  <c r="R1085" i="2"/>
  <c r="V1085" i="2" s="1"/>
  <c r="W1085" i="2" s="1"/>
  <c r="R544" i="2"/>
  <c r="V544" i="2" s="1"/>
  <c r="W544" i="2" s="1"/>
  <c r="R1076" i="2"/>
  <c r="V1076" i="2" s="1"/>
  <c r="W1076" i="2" s="1"/>
  <c r="R268" i="2"/>
  <c r="V268" i="2" s="1"/>
  <c r="W268" i="2" s="1"/>
  <c r="R1495" i="2"/>
  <c r="V1495" i="2" s="1"/>
  <c r="W1495" i="2" s="1"/>
  <c r="R1390" i="2"/>
  <c r="V1390" i="2" s="1"/>
  <c r="W1390" i="2" s="1"/>
  <c r="P1361" i="2" a="1"/>
  <c r="P1361" i="2" s="1"/>
  <c r="P1447" i="2" a="1"/>
  <c r="P1447" i="2" s="1"/>
  <c r="P1208" i="2" a="1"/>
  <c r="P1208" i="2" s="1"/>
  <c r="P737" i="2" a="1"/>
  <c r="P737" i="2" s="1"/>
  <c r="P311" i="2" a="1"/>
  <c r="P311" i="2" s="1"/>
  <c r="P409" i="2" a="1"/>
  <c r="P409" i="2" s="1"/>
  <c r="P617" i="2" a="1"/>
  <c r="P617" i="2" s="1"/>
  <c r="Q1380" i="2" a="1"/>
  <c r="Q1380" i="2" s="1"/>
  <c r="P1486" i="2" a="1"/>
  <c r="P1486" i="2" s="1"/>
  <c r="P1380" i="2" a="1"/>
  <c r="P1380" i="2" s="1"/>
  <c r="Q1381" i="2" a="1"/>
  <c r="Q1381" i="2" s="1"/>
  <c r="P1381" i="2" a="1"/>
  <c r="P1381" i="2" s="1"/>
  <c r="P236" i="2" a="1"/>
  <c r="P236" i="2" s="1"/>
  <c r="P982" i="2" a="1"/>
  <c r="P982" i="2" s="1"/>
  <c r="P200" i="2" a="1"/>
  <c r="P200" i="2" s="1"/>
  <c r="P1313" i="2" a="1"/>
  <c r="P1313" i="2" s="1"/>
  <c r="P1514" i="2" a="1"/>
  <c r="P1514" i="2" s="1"/>
  <c r="P1035" i="2" a="1"/>
  <c r="P1035" i="2" s="1"/>
  <c r="P116" i="2" a="1"/>
  <c r="P116" i="2" s="1"/>
  <c r="P616" i="2" a="1"/>
  <c r="P616" i="2" s="1"/>
  <c r="P910" i="2" a="1"/>
  <c r="P910" i="2" s="1"/>
  <c r="P695" i="2" a="1"/>
  <c r="P695" i="2" s="1"/>
  <c r="P628" i="2" a="1"/>
  <c r="P628" i="2" s="1"/>
  <c r="P173" i="2" a="1"/>
  <c r="P173" i="2" s="1"/>
  <c r="P321" i="2" a="1"/>
  <c r="P321" i="2" s="1"/>
  <c r="P495" i="2" a="1"/>
  <c r="P495" i="2" s="1"/>
  <c r="P1020" i="2" a="1"/>
  <c r="P1020" i="2" s="1"/>
  <c r="P735" i="2" a="1"/>
  <c r="P735" i="2" s="1"/>
  <c r="P1265" i="2" a="1"/>
  <c r="P1265" i="2" s="1"/>
  <c r="P477" i="2" a="1"/>
  <c r="P477" i="2" s="1"/>
  <c r="P1183" i="2" a="1"/>
  <c r="P1183" i="2" s="1"/>
  <c r="P837" i="2" a="1"/>
  <c r="P837" i="2" s="1"/>
  <c r="P1435" i="2" a="1"/>
  <c r="P1435" i="2" s="1"/>
  <c r="P999" i="2" a="1"/>
  <c r="P999" i="2" s="1"/>
  <c r="P570" i="2" a="1"/>
  <c r="P570" i="2" s="1"/>
  <c r="P54" i="2" a="1"/>
  <c r="P54" i="2" s="1"/>
  <c r="P215" i="2" a="1"/>
  <c r="P215" i="2" s="1"/>
  <c r="P1322" i="2" a="1"/>
  <c r="P1322" i="2" s="1"/>
  <c r="P931" i="2" a="1"/>
  <c r="P931" i="2" s="1"/>
  <c r="P1413" i="2" a="1"/>
  <c r="P1413" i="2" s="1"/>
  <c r="P1430" i="2" a="1"/>
  <c r="P1430" i="2" s="1"/>
  <c r="P354" i="2" a="1"/>
  <c r="P354" i="2" s="1"/>
  <c r="P165" i="2" a="1"/>
  <c r="P165" i="2" s="1"/>
  <c r="P725" i="2" a="1"/>
  <c r="P725" i="2" s="1"/>
  <c r="P462" i="2" a="1"/>
  <c r="P462" i="2" s="1"/>
  <c r="P1240" i="2" a="1"/>
  <c r="P1240" i="2" s="1"/>
  <c r="P45" i="2" a="1"/>
  <c r="P45" i="2" s="1"/>
  <c r="P475" i="2" a="1"/>
  <c r="P475" i="2" s="1"/>
  <c r="Q1269" i="2" a="1"/>
  <c r="Q1269" i="2" s="1"/>
  <c r="Q523" i="2" a="1"/>
  <c r="Q523" i="2" s="1"/>
  <c r="Q940" i="2" a="1"/>
  <c r="Q940" i="2" s="1"/>
  <c r="Q964" i="2" a="1"/>
  <c r="Q964" i="2" s="1"/>
  <c r="Q966" i="2" a="1"/>
  <c r="Q966" i="2" s="1"/>
  <c r="Q1234" i="2" a="1"/>
  <c r="Q1234" i="2" s="1"/>
  <c r="D282" i="14"/>
  <c r="D253" i="14"/>
  <c r="R695" i="2" l="1"/>
  <c r="V695" i="2" s="1"/>
  <c r="W695" i="2" s="1"/>
  <c r="R1322" i="2"/>
  <c r="V1322" i="2" s="1"/>
  <c r="W1322" i="2" s="1"/>
  <c r="R409" i="2"/>
  <c r="V409" i="2" s="1"/>
  <c r="W409" i="2" s="1"/>
  <c r="R54" i="2"/>
  <c r="V54" i="2" s="1"/>
  <c r="W54" i="2" s="1"/>
  <c r="R616" i="2"/>
  <c r="V616" i="2" s="1"/>
  <c r="W616" i="2" s="1"/>
  <c r="R737" i="2"/>
  <c r="V737" i="2" s="1"/>
  <c r="W737" i="2" s="1"/>
  <c r="R628" i="2"/>
  <c r="V628" i="2" s="1"/>
  <c r="W628" i="2" s="1"/>
  <c r="R116" i="2"/>
  <c r="V116" i="2" s="1"/>
  <c r="W116" i="2" s="1"/>
  <c r="R570" i="2"/>
  <c r="V570" i="2" s="1"/>
  <c r="W570" i="2" s="1"/>
  <c r="R1035" i="2"/>
  <c r="V1035" i="2" s="1"/>
  <c r="W1035" i="2" s="1"/>
  <c r="R1208" i="2"/>
  <c r="V1208" i="2" s="1"/>
  <c r="W1208" i="2" s="1"/>
  <c r="R999" i="2"/>
  <c r="V999" i="2" s="1"/>
  <c r="W999" i="2" s="1"/>
  <c r="R1447" i="2"/>
  <c r="V1447" i="2" s="1"/>
  <c r="W1447" i="2" s="1"/>
  <c r="R1435" i="2"/>
  <c r="V1435" i="2" s="1"/>
  <c r="W1435" i="2" s="1"/>
  <c r="R1514" i="2"/>
  <c r="V1514" i="2" s="1"/>
  <c r="W1514" i="2" s="1"/>
  <c r="R1361" i="2"/>
  <c r="V1361" i="2" s="1"/>
  <c r="W1361" i="2" s="1"/>
  <c r="R617" i="2"/>
  <c r="V617" i="2" s="1"/>
  <c r="W617" i="2" s="1"/>
  <c r="R475" i="2"/>
  <c r="V475" i="2" s="1"/>
  <c r="W475" i="2" s="1"/>
  <c r="R837" i="2"/>
  <c r="V837" i="2" s="1"/>
  <c r="W837" i="2" s="1"/>
  <c r="R1313" i="2"/>
  <c r="V1313" i="2" s="1"/>
  <c r="W1313" i="2" s="1"/>
  <c r="R1240" i="2"/>
  <c r="V1240" i="2" s="1"/>
  <c r="W1240" i="2" s="1"/>
  <c r="R477" i="2"/>
  <c r="V477" i="2" s="1"/>
  <c r="W477" i="2" s="1"/>
  <c r="R462" i="2"/>
  <c r="V462" i="2" s="1"/>
  <c r="W462" i="2" s="1"/>
  <c r="R45" i="2"/>
  <c r="V45" i="2" s="1"/>
  <c r="W45" i="2" s="1"/>
  <c r="R982" i="2"/>
  <c r="V982" i="2" s="1"/>
  <c r="W982" i="2" s="1"/>
  <c r="R725" i="2"/>
  <c r="V725" i="2" s="1"/>
  <c r="W725" i="2" s="1"/>
  <c r="R735" i="2"/>
  <c r="V735" i="2" s="1"/>
  <c r="W735" i="2" s="1"/>
  <c r="R1381" i="2"/>
  <c r="V1381" i="2" s="1"/>
  <c r="W1381" i="2" s="1"/>
  <c r="R931" i="2"/>
  <c r="V931" i="2" s="1"/>
  <c r="W931" i="2" s="1"/>
  <c r="R495" i="2"/>
  <c r="V495" i="2" s="1"/>
  <c r="W495" i="2" s="1"/>
  <c r="R1380" i="2"/>
  <c r="V1380" i="2" s="1"/>
  <c r="W1380" i="2" s="1"/>
  <c r="R200" i="2"/>
  <c r="V200" i="2" s="1"/>
  <c r="W200" i="2" s="1"/>
  <c r="R165" i="2"/>
  <c r="V165" i="2" s="1"/>
  <c r="W165" i="2" s="1"/>
  <c r="R354" i="2"/>
  <c r="V354" i="2" s="1"/>
  <c r="W354" i="2" s="1"/>
  <c r="R321" i="2"/>
  <c r="V321" i="2" s="1"/>
  <c r="W321" i="2" s="1"/>
  <c r="R1183" i="2"/>
  <c r="V1183" i="2" s="1"/>
  <c r="W1183" i="2" s="1"/>
  <c r="R1020" i="2"/>
  <c r="V1020" i="2" s="1"/>
  <c r="W1020" i="2" s="1"/>
  <c r="R1430" i="2"/>
  <c r="V1430" i="2" s="1"/>
  <c r="W1430" i="2" s="1"/>
  <c r="R1486" i="2"/>
  <c r="V1486" i="2" s="1"/>
  <c r="W1486" i="2" s="1"/>
  <c r="R1413" i="2"/>
  <c r="V1413" i="2" s="1"/>
  <c r="W1413" i="2" s="1"/>
  <c r="R173" i="2"/>
  <c r="V173" i="2" s="1"/>
  <c r="W173" i="2" s="1"/>
  <c r="R1265" i="2"/>
  <c r="V1265" i="2" s="1"/>
  <c r="W1265" i="2" s="1"/>
  <c r="R236" i="2"/>
  <c r="V236" i="2" s="1"/>
  <c r="W236" i="2" s="1"/>
  <c r="R215" i="2"/>
  <c r="V215" i="2" s="1"/>
  <c r="W215" i="2" s="1"/>
  <c r="R910" i="2"/>
  <c r="V910" i="2" s="1"/>
  <c r="W910" i="2" s="1"/>
  <c r="R311" i="2"/>
  <c r="V311" i="2" s="1"/>
  <c r="W311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51" i="2"/>
  <c r="A496" i="2"/>
  <c r="A1367" i="2"/>
  <c r="A1573" i="2"/>
  <c r="A1595" i="2"/>
  <c r="A1671" i="2"/>
  <c r="A1608" i="2"/>
  <c r="A1663" i="2"/>
  <c r="A1636" i="2"/>
  <c r="A1613" i="2"/>
  <c r="A1654" i="2"/>
  <c r="A1614" i="2"/>
  <c r="A1637" i="2"/>
  <c r="A1638" i="2"/>
  <c r="A1615" i="2"/>
  <c r="A1596" i="2"/>
  <c r="A1655" i="2"/>
  <c r="A1597" i="2"/>
  <c r="A1620" i="2"/>
  <c r="A1621" i="2"/>
  <c r="A1664" i="2"/>
  <c r="A1665" i="2"/>
  <c r="A1622" i="2"/>
  <c r="A1639" i="2"/>
  <c r="A1666" i="2"/>
  <c r="A1623" i="2"/>
  <c r="A1661" i="2"/>
  <c r="A424" i="2"/>
  <c r="A1656" i="2"/>
  <c r="A1624" i="2"/>
  <c r="A1634" i="2"/>
  <c r="A1616" i="2"/>
  <c r="A1640" i="2"/>
  <c r="A1599" i="2"/>
  <c r="A1625" i="2"/>
  <c r="A1641" i="2"/>
  <c r="A1642" i="2"/>
  <c r="A1609" i="2"/>
  <c r="A1626" i="2"/>
  <c r="A1644" i="2"/>
  <c r="A1667" i="2"/>
  <c r="A1668" i="2"/>
  <c r="A1649" i="2"/>
  <c r="A1657" i="2"/>
  <c r="A1662" i="2"/>
  <c r="A1600" i="2"/>
  <c r="A1601" i="2"/>
  <c r="A1610" i="2"/>
  <c r="A1627" i="2"/>
  <c r="A1645" i="2"/>
  <c r="A1602" i="2"/>
  <c r="A1617" i="2"/>
  <c r="A1603" i="2"/>
  <c r="A1650" i="2"/>
  <c r="A1669" i="2"/>
  <c r="A1628" i="2"/>
  <c r="A1646" i="2"/>
  <c r="A1629" i="2"/>
  <c r="A1635" i="2"/>
  <c r="A1647" i="2"/>
  <c r="A431" i="2"/>
  <c r="A1604" i="2"/>
  <c r="A70" i="2"/>
  <c r="A1593" i="2"/>
  <c r="A1670" i="2"/>
  <c r="A1605" i="2"/>
  <c r="A1630" i="2"/>
  <c r="A1648" i="2"/>
  <c r="A1631" i="2"/>
  <c r="A1611" i="2"/>
  <c r="A1618" i="2"/>
  <c r="A1606" i="2"/>
  <c r="A1619" i="2"/>
  <c r="A1659" i="2"/>
  <c r="A1607" i="2"/>
  <c r="A1660" i="2"/>
  <c r="A1594" i="2"/>
  <c r="A1652" i="2"/>
  <c r="A1632" i="2"/>
  <c r="A1653" i="2"/>
  <c r="A1633" i="2"/>
  <c r="AA3" i="30" l="1" a="1"/>
  <c r="AA3" i="30" s="1"/>
  <c r="R3" i="29" a="1"/>
  <c r="R3" i="29" s="1"/>
  <c r="S1" i="29"/>
  <c r="J1" i="29"/>
  <c r="O1" i="29"/>
  <c r="N1" i="29"/>
  <c r="A495" i="2"/>
  <c r="A1543" i="2"/>
  <c r="A487" i="2"/>
  <c r="A1737" i="2"/>
  <c r="A1743" i="2"/>
  <c r="A1537" i="2"/>
  <c r="A1572" i="2"/>
  <c r="A1549" i="2"/>
  <c r="A1574" i="2"/>
  <c r="A1520" i="2"/>
  <c r="A1581" i="2"/>
  <c r="A1532" i="2"/>
  <c r="A1612" i="2"/>
  <c r="A1578" i="2"/>
  <c r="A1539" i="2"/>
  <c r="A1523" i="2"/>
  <c r="A1542" i="2"/>
  <c r="A1534" i="2"/>
  <c r="A1658" i="2"/>
  <c r="A1556" i="2"/>
  <c r="A1075" i="2"/>
  <c r="A1551" i="2"/>
  <c r="A1529" i="2"/>
  <c r="A1585" i="2"/>
  <c r="A319" i="2"/>
  <c r="V3" i="29" s="1" a="1"/>
  <c r="V3" i="29" s="1"/>
  <c r="A1518" i="2"/>
  <c r="A1531" i="2"/>
  <c r="A69" i="2"/>
  <c r="A1569" i="2"/>
  <c r="A430" i="2"/>
  <c r="A1558" i="2"/>
  <c r="A1553" i="2"/>
  <c r="A1554" i="2"/>
  <c r="A1570" i="2"/>
  <c r="A1590" i="2"/>
  <c r="A1545" i="2"/>
  <c r="A1566" i="2"/>
  <c r="A1525" i="2"/>
  <c r="A1536" i="2"/>
  <c r="A1571" i="2"/>
  <c r="A1526" i="2"/>
  <c r="A1575" i="2"/>
  <c r="A1579" i="2"/>
  <c r="A1582" i="2"/>
  <c r="A1528" i="2"/>
  <c r="A1521" i="2"/>
  <c r="A1588" i="2"/>
  <c r="A1589" i="2"/>
  <c r="A1544" i="2"/>
  <c r="A1564" i="2"/>
  <c r="A1563" i="2"/>
  <c r="A1533" i="2"/>
  <c r="A1643" i="2"/>
  <c r="A1548" i="2"/>
  <c r="A1567" i="2"/>
  <c r="A1580" i="2"/>
  <c r="A1546" i="2"/>
  <c r="A1557" i="2"/>
  <c r="A1541" i="2"/>
  <c r="A415" i="2"/>
  <c r="A1598" i="2"/>
  <c r="A1568" i="2"/>
  <c r="A1524" i="2"/>
  <c r="A423" i="2"/>
  <c r="A1583" i="2"/>
  <c r="A1547" i="2"/>
  <c r="A1591" i="2"/>
  <c r="A1562" i="2"/>
  <c r="A1552" i="2"/>
  <c r="A1550" i="2"/>
  <c r="A1555" i="2"/>
  <c r="A1586" i="2"/>
  <c r="A1587" i="2"/>
  <c r="A1522" i="2"/>
  <c r="A1577" i="2"/>
  <c r="A1530" i="2"/>
  <c r="A1540" i="2"/>
  <c r="A1561" i="2"/>
  <c r="A1560" i="2"/>
  <c r="A1538" i="2"/>
  <c r="A1592" i="2"/>
  <c r="A1576" i="2"/>
  <c r="A1584" i="2"/>
  <c r="A1559" i="2"/>
  <c r="A1527" i="2"/>
  <c r="U3" i="29" s="1" a="1"/>
  <c r="U3" i="29" s="1"/>
  <c r="A1535" i="2"/>
  <c r="A491" i="2"/>
  <c r="A999" i="2"/>
  <c r="A691" i="2"/>
  <c r="A1719" i="2"/>
  <c r="A1036" i="2"/>
  <c r="A503" i="2"/>
  <c r="A644" i="2"/>
  <c r="A1059" i="2"/>
  <c r="A614" i="2"/>
  <c r="A485" i="2"/>
  <c r="A748" i="2"/>
  <c r="A483" i="2"/>
  <c r="A773" i="2"/>
  <c r="A368" i="2"/>
  <c r="A1343" i="2"/>
  <c r="A1428" i="2"/>
  <c r="A484" i="2"/>
  <c r="G5" i="4" a="1"/>
  <c r="G5" i="4" s="1"/>
  <c r="A1720" i="2"/>
  <c r="A99" i="2"/>
  <c r="A1418" i="2"/>
  <c r="A1425" i="2"/>
  <c r="A1721" i="2"/>
  <c r="A1034" i="2"/>
  <c r="A693" i="2"/>
  <c r="A1064" i="2"/>
  <c r="A498" i="2"/>
  <c r="A497" i="2"/>
  <c r="A1344" i="2"/>
  <c r="A1128" i="2"/>
  <c r="A1384" i="2"/>
  <c r="A934" i="2"/>
  <c r="A1515" i="2"/>
  <c r="A501" i="2"/>
  <c r="A1125" i="2"/>
  <c r="A1035" i="2"/>
  <c r="A1426" i="2"/>
  <c r="A767" i="2"/>
  <c r="A1056" i="2"/>
  <c r="A1057" i="2"/>
  <c r="A1727" i="2"/>
  <c r="A1738" i="2"/>
  <c r="A1725" i="2"/>
  <c r="A1736" i="2"/>
  <c r="D4" i="4"/>
  <c r="V1" i="29" l="1"/>
  <c r="AA1" i="30"/>
  <c r="R1" i="29"/>
  <c r="T1" i="29"/>
  <c r="U1" i="29"/>
  <c r="A632" i="2"/>
  <c r="A1411" i="2"/>
  <c r="A774" i="2" l="1"/>
  <c r="A1693" i="2"/>
  <c r="A1698" i="2"/>
  <c r="A1702" i="2"/>
  <c r="A62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692" i="2"/>
  <c r="A957" i="2"/>
  <c r="A1429" i="2"/>
  <c r="A958" i="2"/>
  <c r="A1412" i="2"/>
  <c r="A1730" i="2"/>
  <c r="A1383" i="2"/>
  <c r="A1039" i="2"/>
  <c r="A1740" i="2"/>
  <c r="A1739" i="2"/>
  <c r="A1094" i="2"/>
  <c r="A1105" i="2"/>
  <c r="A922" i="2"/>
  <c r="A733" i="2"/>
  <c r="A1408" i="2"/>
  <c r="A1674" i="2"/>
  <c r="A650" i="2"/>
  <c r="A1692" i="2"/>
  <c r="A1687" i="2"/>
  <c r="A1686" i="2"/>
  <c r="A1685" i="2"/>
  <c r="A1684" i="2"/>
  <c r="A1683" i="2"/>
  <c r="A1681" i="2"/>
  <c r="A1678" i="2"/>
  <c r="A1677" i="2"/>
  <c r="A853" i="2"/>
  <c r="A1246" i="2"/>
  <c r="A657" i="2"/>
  <c r="A339" i="2"/>
  <c r="A124" i="2"/>
  <c r="A493" i="2"/>
  <c r="A492" i="2"/>
  <c r="A172" i="2"/>
  <c r="L1" i="30" l="1"/>
  <c r="N3" i="30" a="1"/>
  <c r="N3" i="30" s="1"/>
  <c r="W1" i="30"/>
  <c r="A1419" i="2"/>
  <c r="A5" i="4" a="1"/>
  <c r="B1" i="4"/>
  <c r="A1052" i="2"/>
  <c r="A1385" i="2"/>
  <c r="A1065" i="2"/>
  <c r="A1359" i="2"/>
  <c r="A690" i="2"/>
  <c r="A433" i="2"/>
  <c r="H3" i="30" s="1" a="1"/>
  <c r="H3" i="30" s="1"/>
  <c r="A633" i="2"/>
  <c r="A1091" i="2"/>
  <c r="A12" i="2"/>
  <c r="A1051" i="2"/>
  <c r="A1340" i="2"/>
  <c r="A732" i="2"/>
  <c r="A490" i="2"/>
  <c r="A765" i="2"/>
  <c r="A1040" i="2"/>
  <c r="A241" i="2"/>
  <c r="A694" i="2"/>
  <c r="A1093" i="2"/>
  <c r="A195" i="2"/>
  <c r="A1390" i="2"/>
  <c r="A1101" i="2"/>
  <c r="A1430" i="2"/>
  <c r="A1440" i="2"/>
  <c r="A365" i="2"/>
  <c r="E3" i="30" s="1" a="1"/>
  <c r="E3" i="30" s="1"/>
  <c r="A697" i="2"/>
  <c r="A806" i="2"/>
  <c r="A400" i="2"/>
  <c r="Q3" i="30" s="1" a="1"/>
  <c r="Q3" i="30" s="1"/>
  <c r="A735" i="2"/>
  <c r="A1044" i="2"/>
  <c r="A301" i="2"/>
  <c r="A1060" i="2"/>
  <c r="A293" i="2"/>
  <c r="A1130" i="2"/>
  <c r="O1" i="30" s="1"/>
  <c r="A1420" i="2"/>
  <c r="A687" i="2"/>
  <c r="A1038" i="2"/>
  <c r="A763" i="2"/>
  <c r="A1392" i="2"/>
  <c r="A698" i="2"/>
  <c r="A933" i="2"/>
  <c r="A788" i="2"/>
  <c r="A1701" i="2"/>
  <c r="A797" i="2"/>
  <c r="A766" i="2"/>
  <c r="A1382" i="2"/>
  <c r="A239" i="2"/>
  <c r="A787" i="2"/>
  <c r="A1045" i="2"/>
  <c r="A699" i="2"/>
  <c r="A1371" i="2"/>
  <c r="A325" i="2"/>
  <c r="A776" i="2"/>
  <c r="A1699" i="2"/>
  <c r="A1218" i="2"/>
  <c r="A1066" i="2"/>
  <c r="A736" i="2"/>
  <c r="A152" i="2"/>
  <c r="A1431" i="2"/>
  <c r="A917" i="2"/>
  <c r="A777" i="2"/>
  <c r="A1514" i="2"/>
  <c r="A702" i="2"/>
  <c r="A1110" i="2"/>
  <c r="A923" i="2"/>
  <c r="A701" i="2"/>
  <c r="A1395" i="2"/>
  <c r="A775" i="2"/>
  <c r="A475" i="2"/>
  <c r="A634" i="2"/>
  <c r="A1516" i="2"/>
  <c r="AG3" i="30" s="1" a="1"/>
  <c r="AG3" i="30" s="1"/>
  <c r="A707" i="2"/>
  <c r="A706" i="2"/>
  <c r="A1397" i="2"/>
  <c r="A642" i="2"/>
  <c r="A1069" i="2"/>
  <c r="A1513" i="2"/>
  <c r="A761" i="2"/>
  <c r="A629" i="2"/>
  <c r="A338" i="2"/>
  <c r="A1070" i="2"/>
  <c r="A1047" i="2"/>
  <c r="A1361" i="2"/>
  <c r="A846" i="2"/>
  <c r="A688" i="2"/>
  <c r="A1700" i="2"/>
  <c r="A210" i="2"/>
  <c r="A764" i="2"/>
  <c r="A795" i="2"/>
  <c r="A453" i="2"/>
  <c r="A630" i="2"/>
  <c r="A847" i="2"/>
  <c r="A445" i="2"/>
  <c r="A779" i="2"/>
  <c r="A1728" i="2"/>
  <c r="A303" i="2"/>
  <c r="A455" i="2"/>
  <c r="A454" i="2"/>
  <c r="A1071" i="2"/>
  <c r="A689" i="2"/>
  <c r="A772" i="2"/>
  <c r="A1210" i="2"/>
  <c r="A740" i="2"/>
  <c r="A631" i="2"/>
  <c r="A711" i="2"/>
  <c r="A1048" i="2"/>
  <c r="A1400" i="2"/>
  <c r="A108" i="2"/>
  <c r="AB3" i="30" s="1" a="1"/>
  <c r="AB3" i="30" s="1"/>
  <c r="A799" i="2"/>
  <c r="A284" i="2"/>
  <c r="A470" i="2"/>
  <c r="A1457" i="2"/>
  <c r="A1422" i="2"/>
  <c r="A1409" i="2"/>
  <c r="A1427" i="2"/>
  <c r="A509" i="2"/>
  <c r="A852" i="2"/>
  <c r="A1055" i="2"/>
  <c r="A713" i="2"/>
  <c r="A354" i="2"/>
  <c r="A715" i="2"/>
  <c r="A1077" i="2"/>
  <c r="A743" i="2"/>
  <c r="A112" i="2"/>
  <c r="A2" i="2"/>
  <c r="A1062" i="2"/>
  <c r="A1680" i="2"/>
  <c r="A1061" i="2"/>
  <c r="A744" i="2"/>
  <c r="A1042" i="2"/>
  <c r="A476" i="2"/>
  <c r="A648" i="2"/>
  <c r="A780" i="2"/>
  <c r="A1078" i="2"/>
  <c r="A1129" i="2"/>
  <c r="A477" i="2"/>
  <c r="A932" i="2"/>
  <c r="A32" i="2"/>
  <c r="A451" i="2"/>
  <c r="A1403" i="2"/>
  <c r="A1037" i="2"/>
  <c r="A317" i="2"/>
  <c r="A328" i="2"/>
  <c r="A93" i="2"/>
  <c r="A478" i="2"/>
  <c r="A1410" i="2"/>
  <c r="A1100" i="2"/>
  <c r="A722" i="2"/>
  <c r="A460" i="2"/>
  <c r="A746" i="2"/>
  <c r="A208" i="2"/>
  <c r="A1451" i="2"/>
  <c r="AD3" i="30" s="1" a="1"/>
  <c r="AD3" i="30" s="1"/>
  <c r="A479" i="2"/>
  <c r="A203" i="2"/>
  <c r="A6" i="2"/>
  <c r="A480" i="2"/>
  <c r="A1741" i="2"/>
  <c r="A1357" i="2"/>
  <c r="A461" i="2"/>
  <c r="A318" i="2"/>
  <c r="A191" i="2"/>
  <c r="A639" i="2"/>
  <c r="A462" i="2"/>
  <c r="A1082" i="2"/>
  <c r="A215" i="2"/>
  <c r="A1452" i="2"/>
  <c r="A1453" i="2"/>
  <c r="A723" i="2"/>
  <c r="A1405" i="2"/>
  <c r="A401" i="2"/>
  <c r="A651" i="2"/>
  <c r="A1084" i="2"/>
  <c r="A1085" i="2"/>
  <c r="A299" i="2"/>
  <c r="A856" i="2"/>
  <c r="A1366" i="2"/>
  <c r="A901" i="2"/>
  <c r="A1079" i="2"/>
  <c r="A46" i="2"/>
  <c r="A486" i="2"/>
  <c r="A1672" i="2"/>
  <c r="A76" i="2"/>
  <c r="A802" i="2"/>
  <c r="A1416" i="2"/>
  <c r="A379" i="2"/>
  <c r="A463" i="2"/>
  <c r="A768" i="2"/>
  <c r="A464" i="2"/>
  <c r="A465" i="2"/>
  <c r="A1378" i="2"/>
  <c r="A747" i="2"/>
  <c r="A781" i="2"/>
  <c r="A27" i="2"/>
  <c r="A1088" i="2"/>
  <c r="A1455" i="2"/>
  <c r="A494" i="2"/>
  <c r="A467" i="2"/>
  <c r="A749" i="2"/>
  <c r="A75" i="2"/>
  <c r="A468" i="2"/>
  <c r="A925" i="2"/>
  <c r="A1089" i="2"/>
  <c r="A1087" i="2"/>
  <c r="A1407" i="2"/>
  <c r="A769" i="2"/>
  <c r="A760" i="2"/>
  <c r="A469" i="2"/>
  <c r="A750" i="2"/>
  <c r="A751" i="2"/>
  <c r="A1377" i="2"/>
  <c r="A1421" i="2"/>
  <c r="A1049" i="2"/>
  <c r="A727" i="2"/>
  <c r="A1092" i="2"/>
  <c r="A1417" i="2"/>
  <c r="A452" i="2"/>
  <c r="A1675" i="2"/>
  <c r="AH3" i="30" s="1" a="1"/>
  <c r="AH3" i="30" s="1"/>
  <c r="A935" i="2"/>
  <c r="A135" i="2"/>
  <c r="A726" i="2"/>
  <c r="A1109" i="2"/>
  <c r="A770" i="2"/>
  <c r="A752" i="2"/>
  <c r="A481" i="2"/>
  <c r="A482" i="2"/>
  <c r="A1735" i="2"/>
  <c r="A61" i="2"/>
  <c r="A287" i="2"/>
  <c r="A58" i="2"/>
  <c r="A641" i="2"/>
  <c r="J3" i="30" l="1" a="1"/>
  <c r="J3" i="30" s="1"/>
  <c r="M3" i="30" a="1"/>
  <c r="M3" i="30" s="1"/>
  <c r="T3" i="30" a="1"/>
  <c r="T3" i="30" s="1"/>
  <c r="I3" i="30" a="1"/>
  <c r="I3" i="30" s="1"/>
  <c r="F3" i="30" a="1"/>
  <c r="F3" i="30" s="1"/>
  <c r="G3" i="30" a="1"/>
  <c r="G3" i="30" s="1"/>
  <c r="K3" i="30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P3" i="30" a="1"/>
  <c r="P3" i="30" s="1"/>
  <c r="AC3" i="30" a="1"/>
  <c r="AC3" i="30" s="1"/>
  <c r="AB1" i="30"/>
  <c r="AD1" i="30"/>
  <c r="AG1" i="30"/>
  <c r="AH1" i="30"/>
  <c r="I1" i="29"/>
  <c r="W1" i="29"/>
  <c r="N1" i="30"/>
  <c r="H1" i="30"/>
  <c r="U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J1" i="30" l="1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<sst xmlns="http://schemas.openxmlformats.org/spreadsheetml/2006/main" count="10909" uniqueCount="3027">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</sst>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0" borderId="0" xfId="0" applyFont="1" applyAlignment="1">
      <alignment horizontal="center" vertical="center"/>
    </xf>
    <xf numFmtId="0" fontId="4" fillId="0" borderId="0" xfId="2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4" fillId="0" borderId="0" xfId="2" applyFont="1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6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5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44" totalsRowShown="0" headerRowDxfId="55" dataDxfId="54">
  <autoFilter ref="A1:W1744" xr:uid="{E5A23D2C-4E40-4F63-A29F-33A92F43E326}"/>
  <sortState xmlns:xlrd2="http://schemas.microsoft.com/office/spreadsheetml/2017/richdata2" ref="A2:W1744">
    <sortCondition ref="F1:F1744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17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18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7"/>
    <tableColumn id="17" xr3:uid="{CA8CE824-9C3A-4210-80CC-1944C295CBF1}" name="Linked" dataDxfId="2"/>
    <tableColumn id="15" xr3:uid="{9FCFA60A-F350-4627-8B5D-B60C03A16C40}" name="link" dataDxfId="0"/>
    <tableColumn id="23" xr3:uid="{C94C48E6-541E-4213-940B-0A99D953D361}" name="index.html" dataDxfId="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9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4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3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32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31" dataDxfId="30">
  <autoFilter ref="A1:J192" xr:uid="{1873180A-6BA4-4B4A-8234-F06744FE5A85}"/>
  <tableColumns count="10">
    <tableColumn id="10" xr3:uid="{2FD7DDC6-FB48-4199-8DD6-F60F8557AB5D}" name="Núm" dataDxfId="29">
      <calculatedColumnFormula>ROW(Tabla2[[#This Row],[Taizé]])-1</calculatedColumnFormula>
    </tableColumn>
    <tableColumn id="1" xr3:uid="{C050135E-7F5B-4CC0-A526-1AFC1728A3E0}" name="Taizé" dataDxfId="28"/>
    <tableColumn id="9" xr3:uid="{B74F8AB2-9832-40FB-A64E-784A3E9F1C6A}" name="2018-2019" dataDxfId="27"/>
    <tableColumn id="7" xr3:uid="{E61BFD7F-1AF7-4812-AA22-36B3F8E1DEC2}" name="2020-2021" dataDxfId="26"/>
    <tableColumn id="6" xr3:uid="{AB50F679-302E-4542-9FC0-04CF5D53D122}" name="2023-2024" dataDxfId="25"/>
    <tableColumn id="2" xr3:uid="{2E7155EB-888D-439C-9E36-47C9AC89B92A}" name="Columna1" dataDxfId="24"/>
    <tableColumn id="3" xr3:uid="{EF0CEA37-31CF-4F5C-87D1-BFE43E99F766}" name="Columna2" dataDxfId="23"/>
    <tableColumn id="4" xr3:uid="{F7AB2284-6C89-4A29-9E66-5F507EC503AC}" name="Columna3" dataDxfId="22"/>
    <tableColumn id="5" xr3:uid="{3774AC68-B43A-4A65-A2E9-84B0B6F66875}" name="Columna4" dataDxfId="21"/>
    <tableColumn id="8" xr3:uid="{CA9EF22D-29E2-4EAE-B820-1DE3481B3A43}" name="Español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26" Type="http://schemas.openxmlformats.org/officeDocument/2006/relationships/hyperlink" Target="https://www.youtube.com/watch?v=i3PyJPPFJsQ" TargetMode="External"/><Relationship Id="rId39" Type="http://schemas.openxmlformats.org/officeDocument/2006/relationships/hyperlink" Target="https://www.youtube.com/watch?v=rpwi0PjxShU" TargetMode="External"/><Relationship Id="rId21" Type="http://schemas.openxmlformats.org/officeDocument/2006/relationships/hyperlink" Target="https://www.youtube.com/watch?v=whLQp8Pq58g" TargetMode="External"/><Relationship Id="rId34" Type="http://schemas.openxmlformats.org/officeDocument/2006/relationships/hyperlink" Target="https://www.youtube.com/watch?v=k8ibpJ4NKTU" TargetMode="External"/><Relationship Id="rId42" Type="http://schemas.openxmlformats.org/officeDocument/2006/relationships/hyperlink" Target="https://www.youtube.com/watch?v=RBbbPNeLt9c" TargetMode="External"/><Relationship Id="rId47" Type="http://schemas.openxmlformats.org/officeDocument/2006/relationships/hyperlink" Target="https://www.youtube.com/watch?v=pBDC7TRhCYY" TargetMode="External"/><Relationship Id="rId50" Type="http://schemas.openxmlformats.org/officeDocument/2006/relationships/hyperlink" Target="https://www.youtube.com/watch?v=LHYuOBf5ReM" TargetMode="External"/><Relationship Id="rId55" Type="http://schemas.openxmlformats.org/officeDocument/2006/relationships/hyperlink" Target="https://www.youtube.com/watch?v=nMpaTTNWk_M" TargetMode="External"/><Relationship Id="rId7" Type="http://schemas.openxmlformats.org/officeDocument/2006/relationships/hyperlink" Target="https://www.youtube.com/watch?v=1ZIDUpjkYkg" TargetMode="External"/><Relationship Id="rId2" Type="http://schemas.openxmlformats.org/officeDocument/2006/relationships/hyperlink" Target="https://www.youtube.com/watch?v=QOoULjmeZ_0" TargetMode="External"/><Relationship Id="rId16" Type="http://schemas.openxmlformats.org/officeDocument/2006/relationships/hyperlink" Target="https://www.youtube.com/watch?v=yNUuh1LJ--E" TargetMode="External"/><Relationship Id="rId29" Type="http://schemas.openxmlformats.org/officeDocument/2006/relationships/hyperlink" Target="https://www.youtube.com/watch?v=yiRuZloI6d0" TargetMode="External"/><Relationship Id="rId11" Type="http://schemas.openxmlformats.org/officeDocument/2006/relationships/hyperlink" Target="https://www.youtube.com/watch?v=QkZqaN8wdf4" TargetMode="External"/><Relationship Id="rId24" Type="http://schemas.openxmlformats.org/officeDocument/2006/relationships/hyperlink" Target="https://www.youtube.com/watch?v=g7vRXBpL10k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hyperlink" Target="https://www.youtube.com/watch?v=nJ18Li5H2Gw" TargetMode="External"/><Relationship Id="rId53" Type="http://schemas.openxmlformats.org/officeDocument/2006/relationships/hyperlink" Target="https://www.youtube.com/watch?v=0cJgahJq6_c" TargetMode="External"/><Relationship Id="rId5" Type="http://schemas.openxmlformats.org/officeDocument/2006/relationships/hyperlink" Target="https://www.youtube.com/watch?v=xIjwlEoqkTc" TargetMode="External"/><Relationship Id="rId19" Type="http://schemas.openxmlformats.org/officeDocument/2006/relationships/hyperlink" Target="https://www.youtube.com/watch?v=gEbtIG9EbO4" TargetMode="Externa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14" Type="http://schemas.openxmlformats.org/officeDocument/2006/relationships/hyperlink" Target="https://www.youtube.com/watch?v=Mj9ZrtLyHh0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43" Type="http://schemas.openxmlformats.org/officeDocument/2006/relationships/hyperlink" Target="https://www.youtube.com/watch?v=XuoPNqY5n9A" TargetMode="External"/><Relationship Id="rId48" Type="http://schemas.openxmlformats.org/officeDocument/2006/relationships/hyperlink" Target="https://www.youtube.com/watch?v=Qz-wm_PxJwQ" TargetMode="External"/><Relationship Id="rId56" Type="http://schemas.openxmlformats.org/officeDocument/2006/relationships/printerSettings" Target="../printerSettings/printerSettings1.bin"/><Relationship Id="rId8" Type="http://schemas.openxmlformats.org/officeDocument/2006/relationships/hyperlink" Target="https://www.youtube.com/watch?v=amcNuPkMSdY" TargetMode="External"/><Relationship Id="rId51" Type="http://schemas.openxmlformats.org/officeDocument/2006/relationships/hyperlink" Target="https://www.youtube.com/watch?v=v3KER0rmj3s" TargetMode="External"/><Relationship Id="rId3" Type="http://schemas.openxmlformats.org/officeDocument/2006/relationships/hyperlink" Target="https://www.youtube.com/watch?v=_Ro7UwTGu-s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25" Type="http://schemas.openxmlformats.org/officeDocument/2006/relationships/hyperlink" Target="https://www.youtube.com/watch?v=c06HqJKSRBU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46" Type="http://schemas.openxmlformats.org/officeDocument/2006/relationships/hyperlink" Target="https://www.youtube.com/watch?v=TkI6CtxnIIQ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54" Type="http://schemas.openxmlformats.org/officeDocument/2006/relationships/hyperlink" Target="https://www.youtube.com/watch?v=XIpdZwkbdnY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Relationship Id="rId15" Type="http://schemas.openxmlformats.org/officeDocument/2006/relationships/hyperlink" Target="https://www.youtube.com/watch?v=KmGoGRjkxOA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36" Type="http://schemas.openxmlformats.org/officeDocument/2006/relationships/hyperlink" Target="https://www.youtube.com/watch?v=1axSWF5kWVc" TargetMode="External"/><Relationship Id="rId49" Type="http://schemas.openxmlformats.org/officeDocument/2006/relationships/hyperlink" Target="https://www.youtube.com/watch?v=MhwXqKZmy3Y" TargetMode="External"/><Relationship Id="rId57" Type="http://schemas.openxmlformats.org/officeDocument/2006/relationships/table" Target="../tables/table2.xm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44" Type="http://schemas.openxmlformats.org/officeDocument/2006/relationships/hyperlink" Target="https://www.youtube.com/watch?v=mAfFgnBZTEQ" TargetMode="External"/><Relationship Id="rId52" Type="http://schemas.openxmlformats.org/officeDocument/2006/relationships/hyperlink" Target="https://www.youtube.com/watch?v=wHyl-83H9Ro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</row>
    <row r="2" spans="1:5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5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5" x14ac:dyDescent="0.3">
      <c r="A4" s="16">
        <v>3</v>
      </c>
      <c r="B4" t="s">
        <v>1155</v>
      </c>
      <c r="C4" t="s">
        <v>2078</v>
      </c>
      <c r="D4" t="str">
        <f>IF(ISNUMBER(MATCH(Tabla4[[#This Row],[Título]],CantoralDB[Título],0)),"OK","-")</f>
        <v>OK</v>
      </c>
      <c r="E4" t="s">
        <v>795</v>
      </c>
    </row>
    <row r="5" spans="1:5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5" x14ac:dyDescent="0.3">
      <c r="A6" s="16">
        <v>5</v>
      </c>
      <c r="B6" t="s">
        <v>1156</v>
      </c>
      <c r="C6" t="s">
        <v>2077</v>
      </c>
      <c r="D6" t="str">
        <f>IF(ISNUMBER(MATCH(Tabla4[[#This Row],[Título]],CantoralDB[Título],0)),"OK","-")</f>
        <v>OK</v>
      </c>
      <c r="E6" t="s">
        <v>795</v>
      </c>
    </row>
    <row r="7" spans="1:5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5" x14ac:dyDescent="0.3">
      <c r="A8" s="16">
        <v>7</v>
      </c>
      <c r="B8" t="s">
        <v>1158</v>
      </c>
      <c r="C8" t="s">
        <v>2077</v>
      </c>
      <c r="D8" t="str">
        <f>IF(ISNUMBER(MATCH(Tabla4[[#This Row],[Título]],CantoralDB[Título],0)),"OK","-")</f>
        <v>-</v>
      </c>
      <c r="E8" t="s">
        <v>795</v>
      </c>
    </row>
    <row r="9" spans="1:5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5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5" x14ac:dyDescent="0.3">
      <c r="A11" s="16">
        <v>10</v>
      </c>
      <c r="B11" t="s">
        <v>12</v>
      </c>
      <c r="C11" t="s">
        <v>2143</v>
      </c>
      <c r="D11" t="str">
        <f>IF(ISNUMBER(MATCH(Tabla4[[#This Row],[Título]],CantoralDB[Título],0)),"OK","-")</f>
        <v>OK</v>
      </c>
      <c r="E11" t="s">
        <v>608</v>
      </c>
    </row>
    <row r="12" spans="1:5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5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5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5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5" x14ac:dyDescent="0.3">
      <c r="A16" s="16">
        <v>15</v>
      </c>
      <c r="B16" t="s">
        <v>1160</v>
      </c>
      <c r="C16" t="s">
        <v>2079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2078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2081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2082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2080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2083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2083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2084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2087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2080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2086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2085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2088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2077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5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5" x14ac:dyDescent="0.3">
      <c r="A82" s="16">
        <v>79</v>
      </c>
      <c r="B82" t="s">
        <v>2120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5" x14ac:dyDescent="0.3">
      <c r="A83" s="16">
        <v>80</v>
      </c>
      <c r="B83" t="s">
        <v>1203</v>
      </c>
      <c r="C83" t="s">
        <v>2087</v>
      </c>
      <c r="D83" t="str">
        <f>IF(ISNUMBER(MATCH(Tabla4[[#This Row],[Título]],CantoralDB[Título],0)),"OK","-")</f>
        <v>OK</v>
      </c>
      <c r="E83" t="s">
        <v>795</v>
      </c>
    </row>
    <row r="84" spans="1:5" x14ac:dyDescent="0.3">
      <c r="A84" s="16">
        <v>81</v>
      </c>
      <c r="B84" t="s">
        <v>1204</v>
      </c>
      <c r="C84" t="s">
        <v>2082</v>
      </c>
      <c r="D84" t="str">
        <f>IF(ISNUMBER(MATCH(Tabla4[[#This Row],[Título]],CantoralDB[Título],0)),"OK","-")</f>
        <v>OK</v>
      </c>
      <c r="E84" t="s">
        <v>608</v>
      </c>
    </row>
    <row r="85" spans="1:5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</row>
    <row r="86" spans="1:5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5" x14ac:dyDescent="0.3">
      <c r="A87" s="16">
        <v>83</v>
      </c>
      <c r="B87" t="s">
        <v>44</v>
      </c>
      <c r="C87" t="s">
        <v>2089</v>
      </c>
      <c r="D87" t="str">
        <f>IF(ISNUMBER(MATCH(Tabla4[[#This Row],[Título]],CantoralDB[Título],0)),"OK","-")</f>
        <v>OK</v>
      </c>
      <c r="E87" t="s">
        <v>608</v>
      </c>
    </row>
    <row r="88" spans="1:5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5" x14ac:dyDescent="0.3">
      <c r="A89" s="16">
        <v>85</v>
      </c>
      <c r="B89" t="s">
        <v>1208</v>
      </c>
      <c r="C89" t="s">
        <v>2090</v>
      </c>
      <c r="D89" t="str">
        <f>IF(ISNUMBER(MATCH(Tabla4[[#This Row],[Título]],CantoralDB[Título],0)),"OK","-")</f>
        <v>OK</v>
      </c>
      <c r="E89" t="s">
        <v>795</v>
      </c>
    </row>
    <row r="90" spans="1:5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5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5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5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5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5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5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2089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2091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2121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2077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2079</v>
      </c>
      <c r="D123" t="str">
        <f>IF(ISNUMBER(MATCH(Tabla4[[#This Row],[Título]],CantoralDB[Título],0)),"OK","-")</f>
        <v>OK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2092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2094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2093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2095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2085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2083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2093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2096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2143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2143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2097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2079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2094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2122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2080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2096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2086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2098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2099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2100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2093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2123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2079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2078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2077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2101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2085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2085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2143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2087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2102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2085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2099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2103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2077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2084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2100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2104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2105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2083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2083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2099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2077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2081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2078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2084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2106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2107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2086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2108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2109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2080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2119</v>
      </c>
      <c r="C299" t="s">
        <v>2085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5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5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5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5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5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5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5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5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5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5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5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</row>
    <row r="319" spans="1:5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44"/>
  <sheetViews>
    <sheetView tabSelected="1" topLeftCell="B7" zoomScale="85" zoomScaleNormal="85" workbookViewId="0">
      <selection activeCell="M16" sqref="M16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14.109375" style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2132</v>
      </c>
      <c r="D1" s="1" t="s">
        <v>646</v>
      </c>
      <c r="E1" s="1" t="s">
        <v>1153</v>
      </c>
      <c r="F1" s="1" t="s">
        <v>2385</v>
      </c>
      <c r="G1" s="1" t="s">
        <v>208</v>
      </c>
      <c r="H1" s="1" t="s">
        <v>255</v>
      </c>
      <c r="I1" s="1" t="s">
        <v>2964</v>
      </c>
      <c r="J1" s="1" t="s">
        <v>2125</v>
      </c>
      <c r="K1" s="1" t="s">
        <v>2124</v>
      </c>
      <c r="L1" s="1" t="s">
        <v>272</v>
      </c>
      <c r="M1" s="1" t="s">
        <v>478</v>
      </c>
      <c r="N1" s="1" t="s">
        <v>2129</v>
      </c>
      <c r="O1" s="1" t="s">
        <v>2130</v>
      </c>
      <c r="P1" s="1" t="s">
        <v>1837</v>
      </c>
      <c r="Q1" s="1" t="s">
        <v>2133</v>
      </c>
      <c r="R1" s="1" t="s">
        <v>1020</v>
      </c>
      <c r="S1" s="1" t="s">
        <v>796</v>
      </c>
      <c r="T1" s="1" t="s">
        <v>2126</v>
      </c>
      <c r="U1" s="1" t="s">
        <v>2970</v>
      </c>
      <c r="V1" s="15" t="s">
        <v>2131</v>
      </c>
      <c r="W1" s="15" t="s">
        <v>2151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259</v>
      </c>
      <c r="C2" s="1" t="s">
        <v>191</v>
      </c>
      <c r="D2" s="1" t="s">
        <v>741</v>
      </c>
      <c r="F2" s="1">
        <v>1</v>
      </c>
      <c r="G2" s="1" t="s">
        <v>213</v>
      </c>
      <c r="H2" s="1" t="s">
        <v>531</v>
      </c>
      <c r="J2" s="1" t="s">
        <v>608</v>
      </c>
      <c r="M2" s="15" t="s">
        <v>484</v>
      </c>
      <c r="N2" s="15" t="s">
        <v>1483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2" s="1" t="s">
        <v>840</v>
      </c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2" s="15" t="str">
        <f>_xlfn.TEXTBEFORE(_xlfn.TEXTAFTER(CantoralDB[[#This Row],[index.html]],"&gt;"),"&gt;")&amp;"&gt;"</f>
        <v>&lt;a href="canciones/kairoi/jesus_es_señor.html"&gt;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2387</v>
      </c>
      <c r="C3" s="1"/>
      <c r="F3" s="1">
        <v>2</v>
      </c>
      <c r="H3" s="1" t="s">
        <v>1028</v>
      </c>
      <c r="J3" s="1" t="s">
        <v>608</v>
      </c>
      <c r="M3" s="15" t="s">
        <v>590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3" s="15" t="str">
        <f>_xlfn.TEXTBEFORE(_xlfn.TEXTAFTER(CantoralDB[[#This Row],[index.html]],"&gt;"),"&gt;")&amp;"&gt;"</f>
        <v>&lt;a href="canciones/alejandro_ruiz/tu_rompes_cadenas.html"&gt;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2389</v>
      </c>
      <c r="C4" s="1"/>
      <c r="F4" s="1">
        <v>3</v>
      </c>
      <c r="H4" s="1" t="s">
        <v>1027</v>
      </c>
      <c r="J4" s="1" t="s">
        <v>608</v>
      </c>
      <c r="M4" s="15" t="s">
        <v>2388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4" s="15" t="str">
        <f>_xlfn.TEXTBEFORE(_xlfn.TEXTAFTER(CantoralDB[[#This Row],[index.html]],"&gt;"),"&gt;")&amp;"&gt;"</f>
        <v>&lt;a href="canciones/nuevas/con_mis_manos_alzadas.html"&gt;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2390</v>
      </c>
      <c r="C5" s="1"/>
      <c r="F5" s="1">
        <v>4</v>
      </c>
      <c r="H5" s="1" t="s">
        <v>531</v>
      </c>
      <c r="J5" s="1" t="s">
        <v>608</v>
      </c>
      <c r="M5" s="15" t="s">
        <v>2391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5" s="15" t="str">
        <f>_xlfn.TEXTBEFORE(_xlfn.TEXTAFTER(CantoralDB[[#This Row],[index.html]],"&gt;"),"&gt;")&amp;"&gt;"</f>
        <v>&lt;a href="canciones/nuevas/se_fue_pero_a_nuestro_lado_esta.html"&gt;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107</v>
      </c>
      <c r="C6" s="1" t="s">
        <v>198</v>
      </c>
      <c r="D6" s="1" t="s">
        <v>1449</v>
      </c>
      <c r="E6" s="1">
        <v>195</v>
      </c>
      <c r="F6" s="1">
        <v>5</v>
      </c>
      <c r="G6" s="1" t="s">
        <v>209</v>
      </c>
      <c r="H6" s="1" t="s">
        <v>1030</v>
      </c>
      <c r="J6" s="1" t="s">
        <v>608</v>
      </c>
      <c r="M6" s="15" t="s">
        <v>2145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6" s="15" t="str">
        <f>_xlfn.TEXTBEFORE(_xlfn.TEXTAFTER(CantoralDB[[#This Row],[index.html]],"&gt;"),"&gt;")&amp;"&gt;"</f>
        <v>&lt;a href="canciones/perpetuo_socorro/padre_unenos.html"&gt;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2392</v>
      </c>
      <c r="C7" s="1"/>
      <c r="F7" s="1">
        <v>6</v>
      </c>
      <c r="H7" s="1" t="s">
        <v>1030</v>
      </c>
      <c r="J7" s="1" t="s">
        <v>608</v>
      </c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7" s="1"/>
      <c r="T7" s="1"/>
      <c r="U7" s="33" t="s">
        <v>3019</v>
      </c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7" s="15" t="str">
        <f>_xlfn.TEXTBEFORE(_xlfn.TEXTAFTER(CantoralDB[[#This Row],[index.html]],"&gt;"),"&gt;")&amp;"&gt;"</f>
        <v>&lt;a href="canciones/nuevas/llename_señor.html"&gt;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1785</v>
      </c>
      <c r="C8" s="1"/>
      <c r="F8" s="1">
        <v>7</v>
      </c>
      <c r="H8" s="1" t="s">
        <v>1027</v>
      </c>
      <c r="I8" s="1" t="s">
        <v>2960</v>
      </c>
      <c r="J8" s="1" t="s">
        <v>608</v>
      </c>
      <c r="M8" s="15" t="s">
        <v>2393</v>
      </c>
      <c r="N8" s="15" t="s">
        <v>3020</v>
      </c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8" s="15" t="str">
        <f>_xlfn.TEXTBEFORE(_xlfn.TEXTAFTER(CantoralDB[[#This Row],[index.html]],"&gt;"),"&gt;")&amp;"&gt;"</f>
        <v>&lt;a href="canciones/marcos_witt/heme_aqui.html"&gt;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2394</v>
      </c>
      <c r="C9" s="1"/>
      <c r="F9" s="1">
        <v>8</v>
      </c>
      <c r="H9" s="1" t="s">
        <v>1027</v>
      </c>
      <c r="J9" s="1" t="s">
        <v>608</v>
      </c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9" s="15" t="str">
        <f>_xlfn.TEXTBEFORE(_xlfn.TEXTAFTER(CantoralDB[[#This Row],[index.html]],"&gt;"),"&gt;")&amp;"&gt;"</f>
        <v>&lt;a href="canciones/nuevas/estamos_de_fiesta.html"&gt;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1506</v>
      </c>
      <c r="C10" s="1"/>
      <c r="F10" s="1">
        <v>9</v>
      </c>
      <c r="H10" s="1" t="s">
        <v>1029</v>
      </c>
      <c r="J10" s="1" t="s">
        <v>608</v>
      </c>
      <c r="M10" s="15" t="s">
        <v>490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0" s="1"/>
      <c r="T10" s="1"/>
      <c r="U10" s="33" t="s">
        <v>3021</v>
      </c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0" s="15" t="str">
        <f>_xlfn.TEXTBEFORE(_xlfn.TEXTAFTER(CantoralDB[[#This Row],[index.html]],"&gt;"),"&gt;")&amp;"&gt;"</f>
        <v>&lt;a href="canciones/nuevas/alegrate.html"&gt;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2395</v>
      </c>
      <c r="C11" s="1"/>
      <c r="F11" s="1">
        <v>10</v>
      </c>
      <c r="H11" s="1" t="s">
        <v>531</v>
      </c>
      <c r="J11" s="1" t="s">
        <v>608</v>
      </c>
      <c r="M11" s="15" t="s">
        <v>3022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1" s="1"/>
      <c r="T11" s="1"/>
      <c r="U11" s="33" t="s">
        <v>3023</v>
      </c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1" s="15" t="str">
        <f>_xlfn.TEXTBEFORE(_xlfn.TEXTAFTER(CantoralDB[[#This Row],[index.html]],"&gt;"),"&gt;")&amp;"&gt;"</f>
        <v>&lt;a href="canciones/nuevas/mejor_que_vida_es_tu_misericordia.html"&gt;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225</v>
      </c>
      <c r="C12" s="1" t="s">
        <v>191</v>
      </c>
      <c r="D12" s="1" t="s">
        <v>742</v>
      </c>
      <c r="F12" s="1">
        <v>11</v>
      </c>
      <c r="G12" s="1" t="s">
        <v>216</v>
      </c>
      <c r="H12" s="1" t="s">
        <v>531</v>
      </c>
      <c r="J12" s="1" t="s">
        <v>608</v>
      </c>
      <c r="M12" s="15" t="s">
        <v>484</v>
      </c>
      <c r="N12" s="15" t="s">
        <v>1483</v>
      </c>
      <c r="O12" s="15">
        <v>3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12" s="15" t="str">
        <f>_xlfn.TEXTBEFORE(_xlfn.TEXTAFTER(CantoralDB[[#This Row],[index.html]],"&gt;"),"&gt;")&amp;"&gt;"</f>
        <v>&lt;a href="canciones/kairoi/jesus_esta_entre_nosotros.html"&gt;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2396</v>
      </c>
      <c r="C13" s="1"/>
      <c r="F13" s="1">
        <v>12</v>
      </c>
      <c r="H13" s="1" t="s">
        <v>1030</v>
      </c>
      <c r="J13" s="1" t="s">
        <v>608</v>
      </c>
      <c r="M13" s="15" t="s">
        <v>2397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3" s="15" t="str">
        <f>_xlfn.TEXTBEFORE(_xlfn.TEXTAFTER(CantoralDB[[#This Row],[index.html]],"&gt;"),"&gt;")&amp;"&gt;"</f>
        <v>&lt;a href="canciones/nuevas/brilla_jesus.html"&gt;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2398</v>
      </c>
      <c r="C14" s="1"/>
      <c r="F14" s="1">
        <v>13</v>
      </c>
      <c r="H14" s="1" t="s">
        <v>1027</v>
      </c>
      <c r="J14" s="1" t="s">
        <v>608</v>
      </c>
      <c r="M14" s="15" t="s">
        <v>499</v>
      </c>
      <c r="N14" s="15" t="s">
        <v>2694</v>
      </c>
      <c r="O14" s="15">
        <v>18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4" s="1"/>
      <c r="T14" s="1"/>
      <c r="U14" s="33" t="s">
        <v>3024</v>
      </c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4" s="15" t="str">
        <f>_xlfn.TEXTBEFORE(_xlfn.TEXTAFTER(CantoralDB[[#This Row],[index.html]],"&gt;"),"&gt;")&amp;"&gt;"</f>
        <v>&lt;a href="canciones/brotes_de_olivo/se_que_voy_contigo.html"&gt;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2399</v>
      </c>
      <c r="C15" s="1"/>
      <c r="F15" s="1">
        <v>14</v>
      </c>
      <c r="H15" s="1" t="s">
        <v>473</v>
      </c>
      <c r="I15" s="1" t="s">
        <v>2960</v>
      </c>
      <c r="J15" s="1" t="s">
        <v>608</v>
      </c>
      <c r="M15" s="15" t="s">
        <v>2400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5" s="1"/>
      <c r="T15" s="1"/>
      <c r="U15" s="33" t="s">
        <v>3025</v>
      </c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5" s="15" t="str">
        <f>_xlfn.TEXTBEFORE(_xlfn.TEXTAFTER(CantoralDB[[#This Row],[index.html]],"&gt;"),"&gt;")&amp;"&gt;"</f>
        <v>&lt;a href="canciones/luis_alfredo_diaz/quiero_decir_que_si.html"&gt;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2401</v>
      </c>
      <c r="C16" s="1"/>
      <c r="F16" s="1">
        <v>15</v>
      </c>
      <c r="H16" s="1" t="s">
        <v>1030</v>
      </c>
      <c r="J16" s="1"/>
      <c r="M16" s="15" t="s">
        <v>2828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" s="1"/>
      <c r="T16" s="1"/>
      <c r="U16" s="33" t="s">
        <v>3026</v>
      </c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6" s="15" t="str">
        <f>_xlfn.TEXTBEFORE(_xlfn.TEXTAFTER(CantoralDB[[#This Row],[index.html]],"&gt;"),"&gt;")&amp;"&gt;"</f>
        <v>&lt;a href="canciones/nuevas/cristo_heme_aqui.html"&gt;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2402</v>
      </c>
      <c r="C17" s="1"/>
      <c r="F17" s="1">
        <v>16</v>
      </c>
      <c r="J17" s="1"/>
      <c r="M17" s="15" t="s">
        <v>2403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S17" s="1"/>
      <c r="T17" s="1"/>
      <c r="U17" s="15"/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W17" s="15" t="str">
        <f>_xlfn.TEXTBEFORE(_xlfn.TEXTAFTER(CantoralDB[[#This Row],[index.html]],"&gt;"),"&gt;")&amp;"&gt;"</f>
        <v>&lt;a href="canciones/nuevas/yeshua.html"&gt;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2034</v>
      </c>
      <c r="C18" s="1"/>
      <c r="E18" s="1">
        <v>232</v>
      </c>
      <c r="F18" s="1">
        <v>17</v>
      </c>
      <c r="H18" s="1" t="s">
        <v>531</v>
      </c>
      <c r="J18" s="1" t="s">
        <v>608</v>
      </c>
      <c r="M18" s="15" t="s">
        <v>481</v>
      </c>
      <c r="N18" s="15" t="s">
        <v>1929</v>
      </c>
      <c r="O18" s="15">
        <v>6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18" s="1"/>
      <c r="T18" s="1"/>
      <c r="U18" s="15"/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18" s="15" t="str">
        <f>_xlfn.TEXTBEFORE(_xlfn.TEXTAFTER(CantoralDB[[#This Row],[index.html]],"&gt;"),"&gt;")&amp;"&gt;"</f>
        <v>&lt;a href="canciones/francisco_palazon/señor_dios_nuestro.html"&gt;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2404</v>
      </c>
      <c r="C19" s="1"/>
      <c r="F19" s="1">
        <v>18</v>
      </c>
      <c r="J19" s="1"/>
      <c r="M19" s="15" t="s">
        <v>2405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S19" s="1"/>
      <c r="T19" s="1"/>
      <c r="U19" s="15"/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W19" s="15" t="str">
        <f>_xlfn.TEXTBEFORE(_xlfn.TEXTAFTER(CantoralDB[[#This Row],[index.html]],"&gt;"),"&gt;")&amp;"&gt;"</f>
        <v>&lt;a href="canciones/nuevas/santo_tu_eres_señor.html"&gt;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2407</v>
      </c>
      <c r="C20" s="1"/>
      <c r="F20" s="1">
        <v>19</v>
      </c>
      <c r="J20" s="1"/>
      <c r="M20" s="15" t="s">
        <v>2406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20" s="1"/>
      <c r="T20" s="1"/>
      <c r="U20" s="15"/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20" s="15" t="str">
        <f>_xlfn.TEXTBEFORE(_xlfn.TEXTAFTER(CantoralDB[[#This Row],[index.html]],"&gt;"),"&gt;")&amp;"&gt;"</f>
        <v>&lt;a href="canciones/lazaro_iparraguirre/si_lo_que_buscas.html"&gt;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2408</v>
      </c>
      <c r="C21" s="1"/>
      <c r="F21" s="1">
        <v>20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21" s="1"/>
      <c r="T21" s="1"/>
      <c r="U21" s="15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21" s="15" t="str">
        <f>_xlfn.TEXTBEFORE(_xlfn.TEXTAFTER(CantoralDB[[#This Row],[index.html]],"&gt;"),"&gt;")&amp;"&gt;"</f>
        <v>&lt;a href="canciones/nuevas/yo_soy_testigo.html"&gt;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2409</v>
      </c>
      <c r="C22" s="1"/>
      <c r="F22" s="1">
        <v>21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22" s="1"/>
      <c r="T22" s="1"/>
      <c r="U22" s="15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22" s="15" t="str">
        <f>_xlfn.TEXTBEFORE(_xlfn.TEXTAFTER(CantoralDB[[#This Row],[index.html]],"&gt;"),"&gt;")&amp;"&gt;"</f>
        <v>&lt;a href="canciones/nuevas/shema_israel.html"&gt;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1540</v>
      </c>
      <c r="C23" s="1"/>
      <c r="F23" s="1">
        <v>22</v>
      </c>
      <c r="H23" s="1" t="s">
        <v>1029</v>
      </c>
      <c r="J23" s="1" t="s">
        <v>608</v>
      </c>
      <c r="M23" s="15" t="s">
        <v>484</v>
      </c>
      <c r="N23" s="15" t="s">
        <v>1483</v>
      </c>
      <c r="O23" s="15">
        <v>11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23" s="1"/>
      <c r="T23" s="1"/>
      <c r="U23" s="15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23" s="15" t="str">
        <f>_xlfn.TEXTBEFORE(_xlfn.TEXTAFTER(CantoralDB[[#This Row],[index.html]],"&gt;"),"&gt;")&amp;"&gt;"</f>
        <v>&lt;a href="canciones/kairoi/el_agua_del_señor.html"&gt;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2410</v>
      </c>
      <c r="C24" s="1"/>
      <c r="F24" s="1">
        <v>23</v>
      </c>
      <c r="J24" s="1"/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24" s="1"/>
      <c r="T24" s="1"/>
      <c r="U24" s="15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24" s="15" t="str">
        <f>_xlfn.TEXTBEFORE(_xlfn.TEXTAFTER(CantoralDB[[#This Row],[index.html]],"&gt;"),"&gt;")&amp;"&gt;"</f>
        <v>&lt;a href="canciones/nuevas/inunda_mi_ser.html"&gt;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2411</v>
      </c>
      <c r="C25" s="1"/>
      <c r="F25" s="1">
        <v>24</v>
      </c>
      <c r="J25" s="1"/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25" s="1"/>
      <c r="T25" s="1"/>
      <c r="U25" s="15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25" s="15" t="str">
        <f>_xlfn.TEXTBEFORE(_xlfn.TEXTAFTER(CantoralDB[[#This Row],[index.html]],"&gt;"),"&gt;")&amp;"&gt;"</f>
        <v>&lt;a href="canciones/nuevas/si_tuvieras_fe_como_un_granito_de_mostaza.html"&gt;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2412</v>
      </c>
      <c r="C26" s="1"/>
      <c r="F26" s="1">
        <v>25</v>
      </c>
      <c r="J26" s="1"/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26" s="1"/>
      <c r="T26" s="1"/>
      <c r="U26" s="15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26" s="15" t="str">
        <f>_xlfn.TEXTBEFORE(_xlfn.TEXTAFTER(CantoralDB[[#This Row],[index.html]],"&gt;"),"&gt;")&amp;"&gt;"</f>
        <v>&lt;a href="canciones/nuevas/oh_padre_yo_te_amo.html"&gt;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139</v>
      </c>
      <c r="C27" s="1" t="s">
        <v>993</v>
      </c>
      <c r="D27" s="1" t="s">
        <v>1007</v>
      </c>
      <c r="E27" s="1">
        <v>463</v>
      </c>
      <c r="F27" s="1">
        <v>26</v>
      </c>
      <c r="G27" s="1" t="s">
        <v>209</v>
      </c>
      <c r="H27" s="1" t="s">
        <v>531</v>
      </c>
      <c r="J27" s="1" t="s">
        <v>608</v>
      </c>
      <c r="M27" s="15" t="s">
        <v>2400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27" s="1"/>
      <c r="T27" s="1"/>
      <c r="U27" s="15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27" s="15" t="str">
        <f>_xlfn.TEXTBEFORE(_xlfn.TEXTAFTER(CantoralDB[[#This Row],[index.html]],"&gt;"),"&gt;")&amp;"&gt;"</f>
        <v>&lt;a href="canciones/luis_alfredo_diaz/tan_cerca_de_mi.html"&gt;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2413</v>
      </c>
      <c r="C28" s="1"/>
      <c r="F28" s="1">
        <v>27</v>
      </c>
      <c r="J28" s="1"/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28" s="1"/>
      <c r="T28" s="1"/>
      <c r="U28" s="15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28" s="15" t="str">
        <f>_xlfn.TEXTBEFORE(_xlfn.TEXTAFTER(CantoralDB[[#This Row],[index.html]],"&gt;"),"&gt;")&amp;"&gt;"</f>
        <v>&lt;a href="canciones/nuevas/tenemos_tanto.html"&gt;</v>
      </c>
      <c r="AA28" s="1"/>
    </row>
    <row r="29" spans="1:27" x14ac:dyDescent="0.3">
      <c r="A29" s="1">
        <f>ROW(CantoralDB[[#This Row],[Título]])-1</f>
        <v>28</v>
      </c>
      <c r="B29" s="1" t="s">
        <v>2414</v>
      </c>
      <c r="C29" s="1"/>
      <c r="F29" s="1">
        <v>28</v>
      </c>
      <c r="J29" s="1"/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29" s="1"/>
      <c r="T29" s="1"/>
      <c r="U29" s="15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29" s="15" t="str">
        <f>_xlfn.TEXTBEFORE(_xlfn.TEXTAFTER(CantoralDB[[#This Row],[index.html]],"&gt;"),"&gt;")&amp;"&gt;"</f>
        <v>&lt;a href="canciones/nuevas/rey_de_reyes.html"&gt;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2415</v>
      </c>
      <c r="C30" s="1"/>
      <c r="F30" s="1">
        <v>29</v>
      </c>
      <c r="J30" s="1"/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30" s="1"/>
      <c r="T30" s="1"/>
      <c r="U30" s="15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30" s="15" t="str">
        <f>_xlfn.TEXTBEFORE(_xlfn.TEXTAFTER(CantoralDB[[#This Row],[index.html]],"&gt;"),"&gt;")&amp;"&gt;"</f>
        <v>&lt;a href="canciones/nuevas/seguid_unidos_a_mi.html"&gt;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2416</v>
      </c>
      <c r="C31" s="1"/>
      <c r="F31" s="1">
        <v>30</v>
      </c>
      <c r="J31" s="1"/>
      <c r="M31" s="15" t="s">
        <v>2417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1" s="1"/>
      <c r="T31" s="1"/>
      <c r="U31" s="15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31" s="15" t="str">
        <f>_xlfn.TEXTBEFORE(_xlfn.TEXTAFTER(CantoralDB[[#This Row],[index.html]],"&gt;"),"&gt;")&amp;"&gt;"</f>
        <v>&lt;a href="canciones/nuevas/digo_que_jesus_el_nazareno.html"&gt;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92</v>
      </c>
      <c r="C32" s="1" t="s">
        <v>200</v>
      </c>
      <c r="D32" s="1" t="s">
        <v>1049</v>
      </c>
      <c r="E32" s="1">
        <v>436</v>
      </c>
      <c r="F32" s="1">
        <v>31</v>
      </c>
      <c r="G32" s="1" t="s">
        <v>209</v>
      </c>
      <c r="H32" s="1" t="s">
        <v>531</v>
      </c>
      <c r="I32" s="1" t="s">
        <v>2961</v>
      </c>
      <c r="J32" s="1" t="s">
        <v>608</v>
      </c>
      <c r="M32" s="15" t="s">
        <v>484</v>
      </c>
      <c r="N32" s="15" t="s">
        <v>92</v>
      </c>
      <c r="O32" s="15">
        <v>7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32" s="1"/>
      <c r="T32" s="1"/>
      <c r="U32" s="15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32" s="15" t="str">
        <f>_xlfn.TEXTBEFORE(_xlfn.TEXTAFTER(CantoralDB[[#This Row],[index.html]],"&gt;"),"&gt;")&amp;"&gt;"</f>
        <v>&lt;a href="canciones/kairoi/maria_musica_de_dios.html"&gt;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2418</v>
      </c>
      <c r="C33" s="1"/>
      <c r="F33" s="1">
        <v>32</v>
      </c>
      <c r="J33" s="1"/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33" s="1"/>
      <c r="T33" s="1"/>
      <c r="U33" s="15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33" s="15" t="str">
        <f>_xlfn.TEXTBEFORE(_xlfn.TEXTAFTER(CantoralDB[[#This Row],[index.html]],"&gt;"),"&gt;")&amp;"&gt;"</f>
        <v>&lt;a href="canciones/nuevas/vamos_a_juntarnos.html"&gt;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2419</v>
      </c>
      <c r="C34" s="1"/>
      <c r="F34" s="1">
        <v>33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34" s="1"/>
      <c r="T34" s="1"/>
      <c r="U34" s="15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34" s="15" t="str">
        <f>_xlfn.TEXTBEFORE(_xlfn.TEXTAFTER(CantoralDB[[#This Row],[index.html]],"&gt;"),"&gt;")&amp;"&gt;"</f>
        <v>&lt;a href="canciones/nuevas/sea_la_gloria.html"&gt;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2420</v>
      </c>
      <c r="C35" s="1"/>
      <c r="F35" s="1">
        <v>34</v>
      </c>
      <c r="J35" s="1"/>
      <c r="M35" s="15" t="s">
        <v>539</v>
      </c>
      <c r="N35" s="15"/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35" s="1"/>
      <c r="T35" s="1"/>
      <c r="U35" s="15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35" s="15" t="str">
        <f>_xlfn.TEXTBEFORE(_xlfn.TEXTAFTER(CantoralDB[[#This Row],[index.html]],"&gt;"),"&gt;")&amp;"&gt;"</f>
        <v>&lt;a href="canciones/josep_asuncion/en_quien_me_fijare.html"&gt;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2421</v>
      </c>
      <c r="C36" s="1"/>
      <c r="F36" s="1">
        <v>35</v>
      </c>
      <c r="J36" s="1"/>
      <c r="M36" s="15" t="s">
        <v>2406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36" s="1"/>
      <c r="T36" s="1"/>
      <c r="U36" s="15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36" s="15" t="str">
        <f>_xlfn.TEXTBEFORE(_xlfn.TEXTAFTER(CantoralDB[[#This Row],[index.html]],"&gt;"),"&gt;")&amp;"&gt;"</f>
        <v>&lt;a href="canciones/lazaro_iparraguirre/aleluya_mirad_la_muerte.html"&gt;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2035</v>
      </c>
      <c r="C37" s="1"/>
      <c r="E37" s="1">
        <v>186</v>
      </c>
      <c r="F37" s="1">
        <v>36</v>
      </c>
      <c r="H37" s="1" t="s">
        <v>1043</v>
      </c>
      <c r="J37" s="1" t="s">
        <v>608</v>
      </c>
      <c r="M37" s="15" t="s">
        <v>481</v>
      </c>
      <c r="N37" s="15" t="s">
        <v>1929</v>
      </c>
      <c r="O37" s="15">
        <v>9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" s="1"/>
      <c r="T37" s="1"/>
      <c r="U37" s="33" t="s">
        <v>2983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37" s="15" t="str">
        <f>_xlfn.TEXTBEFORE(_xlfn.TEXTAFTER(CantoralDB[[#This Row],[index.html]],"&gt;"),"&gt;")&amp;"&gt;"</f>
        <v>&lt;a href="canciones/francisco_palazon/oh_dios_tu_mereces_un_himno_en_sion.html"&gt;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2422</v>
      </c>
      <c r="C38" s="1"/>
      <c r="F38" s="1">
        <v>37</v>
      </c>
      <c r="J38" s="1"/>
      <c r="M38" s="15" t="s">
        <v>2400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38" s="1"/>
      <c r="T38" s="1"/>
      <c r="U38" s="15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38" s="15" t="str">
        <f>_xlfn.TEXTBEFORE(_xlfn.TEXTAFTER(CantoralDB[[#This Row],[index.html]],"&gt;"),"&gt;")&amp;"&gt;"</f>
        <v>&lt;a href="canciones/luis_alfredo_diaz/gloria_yo_soy_libre.html"&gt;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2423</v>
      </c>
      <c r="C39" s="1"/>
      <c r="F39" s="1">
        <v>38</v>
      </c>
      <c r="J39" s="1"/>
      <c r="M39" s="15" t="s">
        <v>2424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39" s="1"/>
      <c r="T39" s="1"/>
      <c r="U39" s="15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39" s="15" t="str">
        <f>_xlfn.TEXTBEFORE(_xlfn.TEXTAFTER(CantoralDB[[#This Row],[index.html]],"&gt;"),"&gt;")&amp;"&gt;"</f>
        <v>&lt;a href="canciones/nuevas/hemos_venido_a_este_lugar.html"&gt;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2426</v>
      </c>
      <c r="C40" s="1"/>
      <c r="F40" s="1">
        <v>39</v>
      </c>
      <c r="J40" s="1"/>
      <c r="M40" s="15" t="s">
        <v>2425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40" s="1"/>
      <c r="T40" s="1"/>
      <c r="U40" s="15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40" s="15" t="str">
        <f>_xlfn.TEXTBEFORE(_xlfn.TEXTAFTER(CantoralDB[[#This Row],[index.html]],"&gt;"),"&gt;")&amp;"&gt;"</f>
        <v>&lt;a href="canciones/nuevas/ven_y_adorale.html"&gt;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2427</v>
      </c>
      <c r="C41" s="1"/>
      <c r="F41" s="1">
        <v>40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1" s="1"/>
      <c r="T41" s="1"/>
      <c r="U41" s="15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41" s="15" t="str">
        <f>_xlfn.TEXTBEFORE(_xlfn.TEXTAFTER(CantoralDB[[#This Row],[index.html]],"&gt;"),"&gt;")&amp;"&gt;"</f>
        <v>&lt;a href="canciones/nuevas/tu_amor_sublime.html"&gt;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1715</v>
      </c>
      <c r="C42" s="1"/>
      <c r="F42" s="1">
        <v>41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2" s="1"/>
      <c r="T42" s="1"/>
      <c r="U42" s="15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42" s="15" t="str">
        <f>_xlfn.TEXTBEFORE(_xlfn.TEXTAFTER(CantoralDB[[#This Row],[index.html]],"&gt;"),"&gt;")&amp;"&gt;"</f>
        <v>&lt;a href="canciones/nuevas/venimos_ante_ti.html"&gt;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2428</v>
      </c>
      <c r="C43" s="1"/>
      <c r="F43" s="1">
        <v>42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3" s="1"/>
      <c r="T43" s="1"/>
      <c r="U43" s="15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43" s="15" t="str">
        <f>_xlfn.TEXTBEFORE(_xlfn.TEXTAFTER(CantoralDB[[#This Row],[index.html]],"&gt;"),"&gt;")&amp;"&gt;"</f>
        <v>&lt;a href="canciones/nuevas/si_yo_confio_en_el_señor.html"&gt;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2429</v>
      </c>
      <c r="C44" s="1"/>
      <c r="F44" s="1">
        <v>43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44" s="1"/>
      <c r="T44" s="1"/>
      <c r="U44" s="15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44" s="15" t="str">
        <f>_xlfn.TEXTBEFORE(_xlfn.TEXTAFTER(CantoralDB[[#This Row],[index.html]],"&gt;"),"&gt;")&amp;"&gt;"</f>
        <v>&lt;a href="canciones/nuevas/me_alegrare.html"&gt;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2430</v>
      </c>
      <c r="C45" s="1"/>
      <c r="F45" s="1">
        <v>44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45" s="1"/>
      <c r="T45" s="1"/>
      <c r="U45" s="15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45" s="15" t="str">
        <f>_xlfn.TEXTBEFORE(_xlfn.TEXTAFTER(CantoralDB[[#This Row],[index.html]],"&gt;"),"&gt;")&amp;"&gt;"</f>
        <v>&lt;a href="canciones/nuevas/espiritu_santo_ven.html"&gt;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129</v>
      </c>
      <c r="C46" s="1" t="s">
        <v>196</v>
      </c>
      <c r="D46" s="1" t="s">
        <v>1458</v>
      </c>
      <c r="E46" s="1">
        <v>455</v>
      </c>
      <c r="F46" s="1">
        <v>45</v>
      </c>
      <c r="G46" s="1" t="s">
        <v>209</v>
      </c>
      <c r="H46" s="1" t="s">
        <v>1028</v>
      </c>
      <c r="J46" s="1" t="s">
        <v>608</v>
      </c>
      <c r="M46" s="15" t="s">
        <v>522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46" s="1"/>
      <c r="T46" s="1"/>
      <c r="U46" s="15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46" s="15" t="str">
        <f>_xlfn.TEXTBEFORE(_xlfn.TEXTAFTER(CantoralDB[[#This Row],[index.html]],"&gt;"),"&gt;")&amp;"&gt;"</f>
        <v>&lt;a href="canciones/nsb/santo_(cielo_y_tierra_pasaran).html"&gt;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2431</v>
      </c>
      <c r="C47" s="1"/>
      <c r="F47" s="1">
        <v>46</v>
      </c>
      <c r="J47" s="1"/>
      <c r="M47" s="15" t="s">
        <v>2433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47" s="1"/>
      <c r="T47" s="1"/>
      <c r="U47" s="15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47" s="15" t="str">
        <f>_xlfn.TEXTBEFORE(_xlfn.TEXTAFTER(CantoralDB[[#This Row],[index.html]],"&gt;"),"&gt;")&amp;"&gt;"</f>
        <v>&lt;a href="canciones/nuevas/eres_tu_palabra_de_vida.html"&gt;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2432</v>
      </c>
      <c r="C48" s="1"/>
      <c r="F48" s="1">
        <v>47</v>
      </c>
      <c r="J48" s="1"/>
      <c r="M48" s="15" t="s">
        <v>2406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48" s="1"/>
      <c r="T48" s="1"/>
      <c r="U48" s="15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48" s="15" t="str">
        <f>_xlfn.TEXTBEFORE(_xlfn.TEXTAFTER(CantoralDB[[#This Row],[index.html]],"&gt;"),"&gt;")&amp;"&gt;"</f>
        <v>&lt;a href="canciones/lazaro_iparraguirre/tomad_y_comed.html"&gt;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2435</v>
      </c>
      <c r="C49" s="1"/>
      <c r="F49" s="1">
        <v>48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49" s="1"/>
      <c r="T49" s="1"/>
      <c r="U49" s="15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49" s="15" t="str">
        <f>_xlfn.TEXTBEFORE(_xlfn.TEXTAFTER(CantoralDB[[#This Row],[index.html]],"&gt;"),"&gt;")&amp;"&gt;"</f>
        <v>&lt;a href="canciones/nuevas/el_nos_ha_elegido.html"&gt;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2436</v>
      </c>
      <c r="C50" s="1"/>
      <c r="F50" s="1">
        <v>49</v>
      </c>
      <c r="J50" s="1"/>
      <c r="M50" s="15" t="s">
        <v>2434</v>
      </c>
      <c r="N50" s="15"/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50" s="1"/>
      <c r="T50" s="1"/>
      <c r="U50" s="15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50" s="15" t="str">
        <f>_xlfn.TEXTBEFORE(_xlfn.TEXTAFTER(CantoralDB[[#This Row],[index.html]],"&gt;"),"&gt;")&amp;"&gt;"</f>
        <v>&lt;a href="canciones/nuevas/maria_madre_conducenos.html"&gt;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2437</v>
      </c>
      <c r="C51" s="1"/>
      <c r="F51" s="1">
        <v>50</v>
      </c>
      <c r="J51" s="1"/>
      <c r="M51" s="15" t="s">
        <v>2438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51" s="1"/>
      <c r="T51" s="1"/>
      <c r="U51" s="15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51" s="15" t="str">
        <f>_xlfn.TEXTBEFORE(_xlfn.TEXTAFTER(CantoralDB[[#This Row],[index.html]],"&gt;"),"&gt;")&amp;"&gt;"</f>
        <v>&lt;a href="canciones/nuevas/escucha_señor_mi_oracion.html"&gt;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2440</v>
      </c>
      <c r="C52" s="1"/>
      <c r="F52" s="1">
        <v>51</v>
      </c>
      <c r="J52" s="1"/>
      <c r="M52" s="15" t="s">
        <v>2439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52" s="1"/>
      <c r="T52" s="1"/>
      <c r="U52" s="15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52" s="15" t="str">
        <f>_xlfn.TEXTBEFORE(_xlfn.TEXTAFTER(CantoralDB[[#This Row],[index.html]],"&gt;"),"&gt;")&amp;"&gt;"</f>
        <v>&lt;a href="canciones/nuevas/mi_alma_esta_sedienta.html"&gt;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2441</v>
      </c>
      <c r="C53" s="1"/>
      <c r="F53" s="1">
        <v>52</v>
      </c>
      <c r="J53" s="1"/>
      <c r="M53" s="15" t="s">
        <v>2442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53" s="1"/>
      <c r="T53" s="1"/>
      <c r="U53" s="15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53" s="15" t="str">
        <f>_xlfn.TEXTBEFORE(_xlfn.TEXTAFTER(CantoralDB[[#This Row],[index.html]],"&gt;"),"&gt;")&amp;"&gt;"</f>
        <v>&lt;a href="canciones/nuevas/he_decidido_seguir_a_cristo.html"&gt;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885</v>
      </c>
      <c r="C54" s="1"/>
      <c r="F54" s="1">
        <v>53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4" s="1"/>
      <c r="T54" s="1"/>
      <c r="U54" s="15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54" s="15" t="str">
        <f>_xlfn.TEXTBEFORE(_xlfn.TEXTAFTER(CantoralDB[[#This Row],[index.html]],"&gt;"),"&gt;")&amp;"&gt;"</f>
        <v>&lt;a href="canciones/nuevas/bendecid_al_señor.html"&gt;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2443</v>
      </c>
      <c r="C55" s="1"/>
      <c r="F55" s="1">
        <v>54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5" s="1"/>
      <c r="T55" s="1"/>
      <c r="U55" s="15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55" s="15" t="str">
        <f>_xlfn.TEXTBEFORE(_xlfn.TEXTAFTER(CantoralDB[[#This Row],[index.html]],"&gt;"),"&gt;")&amp;"&gt;"</f>
        <v>&lt;a href="canciones/nuevas/hoy_perdoname.html"&gt;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2445</v>
      </c>
      <c r="C56" s="1"/>
      <c r="F56" s="1">
        <v>55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6" s="1"/>
      <c r="T56" s="1"/>
      <c r="U56" s="15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56" s="15" t="str">
        <f>_xlfn.TEXTBEFORE(_xlfn.TEXTAFTER(CantoralDB[[#This Row],[index.html]],"&gt;"),"&gt;")&amp;"&gt;"</f>
        <v>&lt;a href="canciones/nuevas/ven_espiritu_divino.html"&gt;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2446</v>
      </c>
      <c r="C57" s="1"/>
      <c r="F57" s="1">
        <v>56</v>
      </c>
      <c r="J57" s="1"/>
      <c r="M57" s="15" t="s">
        <v>2447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57" s="1"/>
      <c r="T57" s="1"/>
      <c r="U57" s="15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57" s="15" t="str">
        <f>_xlfn.TEXTBEFORE(_xlfn.TEXTAFTER(CantoralDB[[#This Row],[index.html]],"&gt;"),"&gt;")&amp;"&gt;"</f>
        <v>&lt;a href="canciones/nuevas/viejos_y_jovenes.html"&gt;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168</v>
      </c>
      <c r="C58" s="1" t="s">
        <v>993</v>
      </c>
      <c r="D58" s="1" t="s">
        <v>1019</v>
      </c>
      <c r="E58" s="1">
        <v>477</v>
      </c>
      <c r="F58" s="1">
        <v>57</v>
      </c>
      <c r="G58" s="1" t="s">
        <v>209</v>
      </c>
      <c r="H58" s="1" t="s">
        <v>1030</v>
      </c>
      <c r="J58" s="1" t="s">
        <v>608</v>
      </c>
      <c r="M58" s="15" t="s">
        <v>581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58" s="1" t="s">
        <v>869</v>
      </c>
      <c r="T58" s="1"/>
      <c r="U58" s="15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58" s="15" t="str">
        <f>_xlfn.TEXTBEFORE(_xlfn.TEXTAFTER(CantoralDB[[#This Row],[index.html]],"&gt;"),"&gt;")&amp;"&gt;"</f>
        <v>&lt;a href="canciones/nsb/yo_soy_el_pan_de_vida.html"&gt;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2448</v>
      </c>
      <c r="C59" s="1"/>
      <c r="F59" s="1">
        <v>58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9" s="1"/>
      <c r="T59" s="1"/>
      <c r="U59" s="15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59" s="15" t="str">
        <f>_xlfn.TEXTBEFORE(_xlfn.TEXTAFTER(CantoralDB[[#This Row],[index.html]],"&gt;"),"&gt;")&amp;"&gt;"</f>
        <v>&lt;a href="canciones/nuevas/vamos_a_cantar.html"&gt;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2449</v>
      </c>
      <c r="C60" s="1"/>
      <c r="F60" s="1">
        <v>59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60" s="1"/>
      <c r="T60" s="1"/>
      <c r="U60" s="15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60" s="15" t="str">
        <f>_xlfn.TEXTBEFORE(_xlfn.TEXTAFTER(CantoralDB[[#This Row],[index.html]],"&gt;"),"&gt;")&amp;"&gt;"</f>
        <v>&lt;a href="canciones/nuevas/maravilloso_jesus_es_para_mi.html"&gt;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166</v>
      </c>
      <c r="C61" s="1" t="s">
        <v>200</v>
      </c>
      <c r="D61" s="1" t="s">
        <v>1058</v>
      </c>
      <c r="E61" s="1">
        <v>474</v>
      </c>
      <c r="F61" s="1">
        <v>60</v>
      </c>
      <c r="G61" s="1" t="s">
        <v>209</v>
      </c>
      <c r="H61" s="1" t="s">
        <v>1027</v>
      </c>
      <c r="J61" s="1" t="s">
        <v>608</v>
      </c>
      <c r="M61" s="15" t="s">
        <v>484</v>
      </c>
      <c r="N61" s="15" t="s">
        <v>1483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61" s="1" t="s">
        <v>868</v>
      </c>
      <c r="T61" s="1"/>
      <c r="U61" s="15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61" s="15" t="str">
        <f>_xlfn.TEXTBEFORE(_xlfn.TEXTAFTER(CantoralDB[[#This Row],[index.html]],"&gt;"),"&gt;")&amp;"&gt;"</f>
        <v>&lt;a href="canciones/kairoi/yo_cantare_(magnificat).html"&gt;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2450</v>
      </c>
      <c r="C62" s="1"/>
      <c r="F62" s="1">
        <v>61</v>
      </c>
      <c r="J62" s="1"/>
      <c r="M62" s="15" t="s">
        <v>2451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2" s="1"/>
      <c r="T62" s="1"/>
      <c r="U62" s="15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62" s="15" t="str">
        <f>_xlfn.TEXTBEFORE(_xlfn.TEXTAFTER(CantoralDB[[#This Row],[index.html]],"&gt;"),"&gt;")&amp;"&gt;"</f>
        <v>&lt;a href="canciones/nuevas/escucha_nuestra_oracion.html"&gt;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2452</v>
      </c>
      <c r="C63" s="1"/>
      <c r="F63" s="1">
        <v>62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63" s="1"/>
      <c r="T63" s="1"/>
      <c r="U63" s="15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63" s="15" t="str">
        <f>_xlfn.TEXTBEFORE(_xlfn.TEXTAFTER(CantoralDB[[#This Row],[index.html]],"&gt;"),"&gt;")&amp;"&gt;"</f>
        <v>&lt;a href="canciones/nuevas/bendita_entre_las_mujeres.html"&gt;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2453</v>
      </c>
      <c r="C64" s="1"/>
      <c r="F64" s="1">
        <v>63</v>
      </c>
      <c r="J64" s="1"/>
      <c r="M64" s="15" t="s">
        <v>2454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64" s="1"/>
      <c r="T64" s="1"/>
      <c r="U64" s="15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64" s="15" t="str">
        <f>_xlfn.TEXTBEFORE(_xlfn.TEXTAFTER(CantoralDB[[#This Row],[index.html]],"&gt;"),"&gt;")&amp;"&gt;"</f>
        <v>&lt;a href="canciones/nuevas/hazme_instrumento.html"&gt;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2455</v>
      </c>
      <c r="C65" s="1"/>
      <c r="F65" s="1">
        <v>64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65" s="1"/>
      <c r="T65" s="1"/>
      <c r="U65" s="15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65" s="15" t="str">
        <f>_xlfn.TEXTBEFORE(_xlfn.TEXTAFTER(CantoralDB[[#This Row],[index.html]],"&gt;"),"&gt;")&amp;"&gt;"</f>
        <v>&lt;a href="canciones/nuevas/aleluya_alabad_a_dios.html"&gt;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2456</v>
      </c>
      <c r="C66" s="1"/>
      <c r="F66" s="1">
        <v>65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6" s="1"/>
      <c r="T66" s="1"/>
      <c r="U66" s="15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66" s="15" t="str">
        <f>_xlfn.TEXTBEFORE(_xlfn.TEXTAFTER(CantoralDB[[#This Row],[index.html]],"&gt;"),"&gt;")&amp;"&gt;"</f>
        <v>&lt;a href="canciones/nuevas/maravilloso.html"&gt;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2457</v>
      </c>
      <c r="C67" s="1"/>
      <c r="F67" s="1">
        <v>66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7" s="1"/>
      <c r="T67" s="1"/>
      <c r="U67" s="15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67" s="15" t="str">
        <f>_xlfn.TEXTBEFORE(_xlfn.TEXTAFTER(CantoralDB[[#This Row],[index.html]],"&gt;"),"&gt;")&amp;"&gt;"</f>
        <v>&lt;a href="canciones/nuevas/hoy_el_señor_me_llamo.html"&gt;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2458</v>
      </c>
      <c r="C68" s="1"/>
      <c r="F68" s="1">
        <v>67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8" s="1"/>
      <c r="T68" s="1"/>
      <c r="U68" s="15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68" s="15" t="str">
        <f>_xlfn.TEXTBEFORE(_xlfn.TEXTAFTER(CantoralDB[[#This Row],[index.html]],"&gt;"),"&gt;")&amp;"&gt;"</f>
        <v>&lt;a href="canciones/nuevas/tuya_es_la_gloria.html"&gt;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409</v>
      </c>
      <c r="C69" s="1" t="s">
        <v>1021</v>
      </c>
      <c r="D69" s="1" t="s">
        <v>1142</v>
      </c>
      <c r="F69" s="1">
        <v>68</v>
      </c>
      <c r="H69" s="1" t="s">
        <v>1030</v>
      </c>
      <c r="J69" s="1" t="s">
        <v>608</v>
      </c>
      <c r="M69" s="15" t="s">
        <v>1940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69" s="1" t="s">
        <v>976</v>
      </c>
      <c r="T69" s="1" t="s">
        <v>409</v>
      </c>
      <c r="U69" s="15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69" s="15" t="str">
        <f>_xlfn.TEXTBEFORE(_xlfn.TEXTAFTER(CantoralDB[[#This Row],[index.html]],"&gt;"),"&gt;")&amp;"&gt;"</f>
        <v>&lt;a href="canciones/taize/magnificat_(canon).html"&gt;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409</v>
      </c>
      <c r="C70" s="1" t="s">
        <v>1022</v>
      </c>
      <c r="D70" s="1" t="s">
        <v>1142</v>
      </c>
      <c r="F70" s="1">
        <v>68</v>
      </c>
      <c r="H70" s="1" t="s">
        <v>1030</v>
      </c>
      <c r="J70" s="1" t="s">
        <v>608</v>
      </c>
      <c r="M70" s="15" t="s">
        <v>2140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70" s="1"/>
      <c r="T70" s="1"/>
      <c r="U70" s="15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70" s="15" t="str">
        <f>_xlfn.TEXTBEFORE(_xlfn.TEXTAFTER(CantoralDB[[#This Row],[index.html]],"&gt;"),"&gt;")&amp;"&gt;"</f>
        <v>&lt;a href="canciones/taize/magnificat_(canon).html"&gt;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2459</v>
      </c>
      <c r="C71" s="1"/>
      <c r="F71" s="1">
        <v>69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71" s="1"/>
      <c r="T71" s="1"/>
      <c r="U71" s="15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71" s="15" t="str">
        <f>_xlfn.TEXTBEFORE(_xlfn.TEXTAFTER(CantoralDB[[#This Row],[index.html]],"&gt;"),"&gt;")&amp;"&gt;"</f>
        <v>&lt;a href="canciones/nuevas/entregame.html"&gt;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2460</v>
      </c>
      <c r="C72" s="1"/>
      <c r="F72" s="1">
        <v>70</v>
      </c>
      <c r="J72" s="1"/>
      <c r="M72" s="15" t="s">
        <v>2461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72" s="1"/>
      <c r="T72" s="1"/>
      <c r="U72" s="15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72" s="15" t="str">
        <f>_xlfn.TEXTBEFORE(_xlfn.TEXTAFTER(CantoralDB[[#This Row],[index.html]],"&gt;"),"&gt;")&amp;"&gt;"</f>
        <v>&lt;a href="canciones/nuevas/espiritu_santo_de_dios.html"&gt;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2462</v>
      </c>
      <c r="C73" s="1"/>
      <c r="F73" s="1">
        <v>71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73" s="1"/>
      <c r="T73" s="1"/>
      <c r="U73" s="15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73" s="15" t="str">
        <f>_xlfn.TEXTBEFORE(_xlfn.TEXTAFTER(CantoralDB[[#This Row],[index.html]],"&gt;"),"&gt;")&amp;"&gt;"</f>
        <v>&lt;a href="canciones/nuevas/santo_dios_de_fuerza_y_poder.html"&gt;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2463</v>
      </c>
      <c r="C74" s="1"/>
      <c r="F74" s="1">
        <v>72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74" s="1"/>
      <c r="T74" s="1"/>
      <c r="U74" s="15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74" s="15" t="str">
        <f>_xlfn.TEXTBEFORE(_xlfn.TEXTAFTER(CantoralDB[[#This Row],[index.html]],"&gt;"),"&gt;")&amp;"&gt;"</f>
        <v>&lt;a href="canciones/nuevas/santo_dios_de_los_hombres.html"&gt;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144</v>
      </c>
      <c r="C75" s="1" t="s">
        <v>993</v>
      </c>
      <c r="D75" s="1" t="s">
        <v>1012</v>
      </c>
      <c r="E75" s="1">
        <v>310</v>
      </c>
      <c r="F75" s="1">
        <v>73</v>
      </c>
      <c r="G75" s="1" t="s">
        <v>209</v>
      </c>
      <c r="H75" s="1" t="s">
        <v>1030</v>
      </c>
      <c r="J75" s="1" t="s">
        <v>608</v>
      </c>
      <c r="M75" s="15" t="s">
        <v>580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75" s="1" t="s">
        <v>865</v>
      </c>
      <c r="T75" s="1"/>
      <c r="U75" s="15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75" s="15" t="str">
        <f>_xlfn.TEXTBEFORE(_xlfn.TEXTAFTER(CantoralDB[[#This Row],[index.html]],"&gt;"),"&gt;")&amp;"&gt;"</f>
        <v>&lt;a href="canciones/nsb/tomado_de_la_mano.html"&gt;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526</v>
      </c>
      <c r="C76" s="1" t="s">
        <v>196</v>
      </c>
      <c r="D76" s="1" t="s">
        <v>1459</v>
      </c>
      <c r="F76" s="1">
        <v>74</v>
      </c>
      <c r="G76" s="1" t="s">
        <v>209</v>
      </c>
      <c r="H76" s="1" t="s">
        <v>531</v>
      </c>
      <c r="J76" s="1" t="s">
        <v>608</v>
      </c>
      <c r="M76" s="15" t="s">
        <v>582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76" s="1"/>
      <c r="T76" s="1"/>
      <c r="U76" s="15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76" s="15" t="str">
        <f>_xlfn.TEXTBEFORE(_xlfn.TEXTAFTER(CantoralDB[[#This Row],[index.html]],"&gt;"),"&gt;")&amp;"&gt;"</f>
        <v>&lt;a href="canciones/nsb/santo_(händel).html"&gt;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2464</v>
      </c>
      <c r="C77" s="1"/>
      <c r="F77" s="1">
        <v>75</v>
      </c>
      <c r="J77" s="1"/>
      <c r="M77" s="15" t="s">
        <v>2466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77" s="1"/>
      <c r="T77" s="1"/>
      <c r="U77" s="15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77" s="15" t="str">
        <f>_xlfn.TEXTBEFORE(_xlfn.TEXTAFTER(CantoralDB[[#This Row],[index.html]],"&gt;"),"&gt;")&amp;"&gt;"</f>
        <v>&lt;a href="canciones/nuevas/la_rosa_de_saron.html"&gt;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2465</v>
      </c>
      <c r="C78" s="1"/>
      <c r="F78" s="1">
        <v>76</v>
      </c>
      <c r="J78" s="1"/>
      <c r="M78" s="15" t="s">
        <v>570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78" s="1"/>
      <c r="T78" s="1"/>
      <c r="U78" s="15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78" s="15" t="str">
        <f>_xlfn.TEXTBEFORE(_xlfn.TEXTAFTER(CantoralDB[[#This Row],[index.html]],"&gt;"),"&gt;")&amp;"&gt;"</f>
        <v>&lt;a href="canciones/pelayo_sanchez/avemaria.html"&gt;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2467</v>
      </c>
      <c r="C79" s="1"/>
      <c r="F79" s="1">
        <v>77</v>
      </c>
      <c r="J79" s="1"/>
      <c r="M79" s="15" t="s">
        <v>539</v>
      </c>
      <c r="N79" s="15"/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9" s="1"/>
      <c r="T79" s="1"/>
      <c r="U79" s="15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9" s="15" t="str">
        <f>_xlfn.TEXTBEFORE(_xlfn.TEXTAFTER(CantoralDB[[#This Row],[index.html]],"&gt;"),"&gt;")&amp;"&gt;"</f>
        <v>&lt;a href="canciones/josep_asuncion/ven_y_dejate_llevar.html"&gt;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2468</v>
      </c>
      <c r="C80" s="1"/>
      <c r="F80" s="1">
        <v>78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80" s="1"/>
      <c r="T80" s="1"/>
      <c r="U80" s="15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80" s="15" t="str">
        <f>_xlfn.TEXTBEFORE(_xlfn.TEXTAFTER(CantoralDB[[#This Row],[index.html]],"&gt;"),"&gt;")&amp;"&gt;"</f>
        <v>&lt;a href="canciones/nuevas/oh_ven_ven_y_deleitate.html"&gt;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2469</v>
      </c>
      <c r="C81" s="1"/>
      <c r="F81" s="1">
        <v>79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81" s="1"/>
      <c r="T81" s="1"/>
      <c r="U81" s="15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81" s="15" t="str">
        <f>_xlfn.TEXTBEFORE(_xlfn.TEXTAFTER(CantoralDB[[#This Row],[index.html]],"&gt;"),"&gt;")&amp;"&gt;"</f>
        <v>&lt;a href="canciones/nuevas/moviste_mi_corazon.html"&gt;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2470</v>
      </c>
      <c r="C82" s="1"/>
      <c r="F82" s="1">
        <v>80</v>
      </c>
      <c r="J82" s="1"/>
      <c r="M82" s="15" t="s">
        <v>2406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2" s="1"/>
      <c r="T82" s="1"/>
      <c r="U82" s="15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82" s="15" t="str">
        <f>_xlfn.TEXTBEFORE(_xlfn.TEXTAFTER(CantoralDB[[#This Row],[index.html]],"&gt;"),"&gt;")&amp;"&gt;"</f>
        <v>&lt;a href="canciones/lazaro_iparraguirre/yo_te_ensalzo.html"&gt;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2471</v>
      </c>
      <c r="C83" s="1"/>
      <c r="F83" s="1">
        <v>81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83" s="1"/>
      <c r="T83" s="1"/>
      <c r="U83" s="15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83" s="15" t="str">
        <f>_xlfn.TEXTBEFORE(_xlfn.TEXTAFTER(CantoralDB[[#This Row],[index.html]],"&gt;"),"&gt;")&amp;"&gt;"</f>
        <v>&lt;a href="canciones/nuevas/pueblo_de_dios.html"&gt;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2472</v>
      </c>
      <c r="C84" s="1"/>
      <c r="F84" s="1">
        <v>82</v>
      </c>
      <c r="J84" s="1"/>
      <c r="M84" s="15" t="s">
        <v>2473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84" s="1"/>
      <c r="T84" s="1"/>
      <c r="U84" s="15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84" s="15" t="str">
        <f>_xlfn.TEXTBEFORE(_xlfn.TEXTAFTER(CantoralDB[[#This Row],[index.html]],"&gt;"),"&gt;")&amp;"&gt;"</f>
        <v>&lt;a href="canciones/nuevas/hay_poder.html"&gt;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2474</v>
      </c>
      <c r="C85" s="1"/>
      <c r="F85" s="1">
        <v>83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85" s="1"/>
      <c r="T85" s="1"/>
      <c r="U85" s="15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85" s="15" t="str">
        <f>_xlfn.TEXTBEFORE(_xlfn.TEXTAFTER(CantoralDB[[#This Row],[index.html]],"&gt;"),"&gt;")&amp;"&gt;"</f>
        <v>&lt;a href="canciones/nuevas/oh_oh_oh_padre.html"&gt;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2475</v>
      </c>
      <c r="C86" s="1"/>
      <c r="F86" s="1">
        <v>84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86" s="1"/>
      <c r="T86" s="1"/>
      <c r="U86" s="15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86" s="15" t="str">
        <f>_xlfn.TEXTBEFORE(_xlfn.TEXTAFTER(CantoralDB[[#This Row],[index.html]],"&gt;"),"&gt;")&amp;"&gt;"</f>
        <v>&lt;a href="canciones/nuevas/te_ensalzamos.html"&gt;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2476</v>
      </c>
      <c r="C87" s="1"/>
      <c r="F87" s="1">
        <v>85</v>
      </c>
      <c r="J87" s="1"/>
      <c r="M87" s="15" t="s">
        <v>2477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87" s="1"/>
      <c r="T87" s="1"/>
      <c r="U87" s="15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87" s="15" t="str">
        <f>_xlfn.TEXTBEFORE(_xlfn.TEXTAFTER(CantoralDB[[#This Row],[index.html]],"&gt;"),"&gt;")&amp;"&gt;"</f>
        <v>&lt;a href="canciones/nuevas/vuelve_los_ojos_al_señor.html"&gt;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1758</v>
      </c>
      <c r="C88" s="1"/>
      <c r="F88" s="1">
        <v>86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88" s="1"/>
      <c r="T88" s="1"/>
      <c r="U88" s="15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88" s="15" t="str">
        <f>_xlfn.TEXTBEFORE(_xlfn.TEXTAFTER(CantoralDB[[#This Row],[index.html]],"&gt;"),"&gt;")&amp;"&gt;"</f>
        <v>&lt;a href="canciones/nuevas/ruah.html"&gt;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1506</v>
      </c>
      <c r="C89" s="1"/>
      <c r="F89" s="1">
        <v>87</v>
      </c>
      <c r="J89" s="1"/>
      <c r="M89" s="15" t="s">
        <v>2478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89" s="1"/>
      <c r="T89" s="1"/>
      <c r="U89" s="15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89" s="15" t="str">
        <f>_xlfn.TEXTBEFORE(_xlfn.TEXTAFTER(CantoralDB[[#This Row],[index.html]],"&gt;"),"&gt;")&amp;"&gt;"</f>
        <v>&lt;a href="canciones/nuevas/alegrate.html"&gt;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2479</v>
      </c>
      <c r="C90" s="1"/>
      <c r="F90" s="1">
        <v>88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90" s="1"/>
      <c r="T90" s="1"/>
      <c r="U90" s="15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90" s="15" t="str">
        <f>_xlfn.TEXTBEFORE(_xlfn.TEXTAFTER(CantoralDB[[#This Row],[index.html]],"&gt;"),"&gt;")&amp;"&gt;"</f>
        <v>&lt;a href="canciones/nuevas/nombra_a_jesus.html"&gt;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2480</v>
      </c>
      <c r="C91" s="1"/>
      <c r="F91" s="1">
        <v>89</v>
      </c>
      <c r="J91" s="1"/>
      <c r="M91" s="15" t="s">
        <v>2393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1" s="1"/>
      <c r="T91" s="1"/>
      <c r="U91" s="15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91" s="15" t="str">
        <f>_xlfn.TEXTBEFORE(_xlfn.TEXTAFTER(CantoralDB[[#This Row],[index.html]],"&gt;"),"&gt;")&amp;"&gt;"</f>
        <v>&lt;a href="canciones/marcos_witt/temprano_yo_te_buscare.html"&gt;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2482</v>
      </c>
      <c r="C92" s="1"/>
      <c r="F92" s="1">
        <v>90</v>
      </c>
      <c r="J92" s="1"/>
      <c r="M92" s="15" t="s">
        <v>2481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92" s="1"/>
      <c r="T92" s="1"/>
      <c r="U92" s="15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92" s="15" t="str">
        <f>_xlfn.TEXTBEFORE(_xlfn.TEXTAFTER(CantoralDB[[#This Row],[index.html]],"&gt;"),"&gt;")&amp;"&gt;"</f>
        <v>&lt;a href="canciones/nuevas/yo_os_dare_la_fuerza.html"&gt;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97</v>
      </c>
      <c r="C93" s="1" t="s">
        <v>201</v>
      </c>
      <c r="D93" s="1" t="s">
        <v>665</v>
      </c>
      <c r="E93" s="1">
        <v>440</v>
      </c>
      <c r="F93" s="1">
        <v>91</v>
      </c>
      <c r="G93" s="1" t="s">
        <v>209</v>
      </c>
      <c r="H93" s="1" t="s">
        <v>1027</v>
      </c>
      <c r="J93" s="1" t="s">
        <v>608</v>
      </c>
      <c r="M93" s="15" t="s">
        <v>2400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3" s="1" t="s">
        <v>847</v>
      </c>
      <c r="T93" s="1"/>
      <c r="U93" s="15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93" s="15" t="str">
        <f>_xlfn.TEXTBEFORE(_xlfn.TEXTAFTER(CantoralDB[[#This Row],[index.html]],"&gt;"),"&gt;")&amp;"&gt;"</f>
        <v>&lt;a href="canciones/luis_alfredo_diaz/no_adoreis_a_nadie.html"&gt;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2483</v>
      </c>
      <c r="C94" s="1"/>
      <c r="F94" s="1">
        <v>92</v>
      </c>
      <c r="J94" s="1"/>
      <c r="M94" s="15" t="s">
        <v>2400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4" s="1"/>
      <c r="T94" s="1"/>
      <c r="U94" s="15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94" s="15" t="str">
        <f>_xlfn.TEXTBEFORE(_xlfn.TEXTAFTER(CantoralDB[[#This Row],[index.html]],"&gt;"),"&gt;")&amp;"&gt;"</f>
        <v>&lt;a href="canciones/luis_alfredo_diaz/cuando_escuches.html"&gt;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941</v>
      </c>
      <c r="C95" s="1"/>
      <c r="F95" s="1">
        <v>93</v>
      </c>
      <c r="J95" s="1"/>
      <c r="M95" s="15" t="s">
        <v>2484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95" s="1"/>
      <c r="T95" s="1"/>
      <c r="U95" s="15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95" s="15" t="str">
        <f>_xlfn.TEXTBEFORE(_xlfn.TEXTAFTER(CantoralDB[[#This Row],[index.html]],"&gt;"),"&gt;")&amp;"&gt;"</f>
        <v>&lt;a href="canciones/nuevas/ven_espiritu_de_dios.html"&gt;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2485</v>
      </c>
      <c r="C96" s="1"/>
      <c r="F96" s="1">
        <v>94</v>
      </c>
      <c r="J96" s="1"/>
      <c r="M96" s="15" t="s">
        <v>539</v>
      </c>
      <c r="N96" s="15"/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96" s="1"/>
      <c r="T96" s="1"/>
      <c r="U96" s="15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96" s="15" t="str">
        <f>_xlfn.TEXTBEFORE(_xlfn.TEXTAFTER(CantoralDB[[#This Row],[index.html]],"&gt;"),"&gt;")&amp;"&gt;"</f>
        <v>&lt;a href="canciones/josep_asuncion/amor_loco.html"&gt;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2486</v>
      </c>
      <c r="C97" s="1"/>
      <c r="F97" s="1">
        <v>95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97" s="1"/>
      <c r="T97" s="1"/>
      <c r="U97" s="15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97" s="15" t="str">
        <f>_xlfn.TEXTBEFORE(_xlfn.TEXTAFTER(CantoralDB[[#This Row],[index.html]],"&gt;"),"&gt;")&amp;"&gt;"</f>
        <v>&lt;a href="canciones/nuevas/muchos_hermanos_aqui.html"&gt;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2487</v>
      </c>
      <c r="C98" s="1"/>
      <c r="F98" s="1">
        <v>96</v>
      </c>
      <c r="J98" s="1"/>
      <c r="M98" s="15" t="s">
        <v>2406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8" s="1"/>
      <c r="T98" s="1"/>
      <c r="U98" s="15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98" s="15" t="str">
        <f>_xlfn.TEXTBEFORE(_xlfn.TEXTAFTER(CantoralDB[[#This Row],[index.html]],"&gt;"),"&gt;")&amp;"&gt;"</f>
        <v>&lt;a href="canciones/lazaro_iparraguirre/si_estas_buscando.html"&gt;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583</v>
      </c>
      <c r="C99" s="1" t="s">
        <v>200</v>
      </c>
      <c r="D99" s="1" t="s">
        <v>1054</v>
      </c>
      <c r="F99" s="1">
        <v>97</v>
      </c>
      <c r="G99" s="1" t="s">
        <v>584</v>
      </c>
      <c r="H99" s="1" t="s">
        <v>1027</v>
      </c>
      <c r="I99" s="1" t="s">
        <v>2961</v>
      </c>
      <c r="J99" s="1" t="s">
        <v>608</v>
      </c>
      <c r="M99" s="15" t="s">
        <v>600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99" s="1"/>
      <c r="T99" s="1"/>
      <c r="U99" s="15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99" s="15" t="str">
        <f>_xlfn.TEXTBEFORE(_xlfn.TEXTAFTER(CantoralDB[[#This Row],[index.html]],"&gt;"),"&gt;")&amp;"&gt;"</f>
        <v>&lt;a href="canciones/nsb/salve_regina.html"&gt;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2489</v>
      </c>
      <c r="C100" s="1"/>
      <c r="F100" s="1">
        <v>98</v>
      </c>
      <c r="J100" s="1"/>
      <c r="M100" s="15" t="s">
        <v>2488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00" s="1"/>
      <c r="T100" s="1"/>
      <c r="U100" s="15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00" s="15" t="str">
        <f>_xlfn.TEXTBEFORE(_xlfn.TEXTAFTER(CantoralDB[[#This Row],[index.html]],"&gt;"),"&gt;")&amp;"&gt;"</f>
        <v>&lt;a href="canciones/nuevas/tu_el_dios_de_mi_refugio.html"&gt;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2490</v>
      </c>
      <c r="C101" s="1"/>
      <c r="F101" s="1">
        <v>99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01" s="1"/>
      <c r="T101" s="1"/>
      <c r="U101" s="15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01" s="15" t="str">
        <f>_xlfn.TEXTBEFORE(_xlfn.TEXTAFTER(CantoralDB[[#This Row],[index.html]],"&gt;"),"&gt;")&amp;"&gt;"</f>
        <v>&lt;a href="canciones/nuevas/el_señor_esta_en_medio_de_ti.html"&gt;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2491</v>
      </c>
      <c r="C102" s="1"/>
      <c r="F102" s="1">
        <v>100</v>
      </c>
      <c r="J102" s="1"/>
      <c r="M102" s="15" t="s">
        <v>2493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02" s="1"/>
      <c r="T102" s="1"/>
      <c r="U102" s="15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02" s="15" t="str">
        <f>_xlfn.TEXTBEFORE(_xlfn.TEXTAFTER(CantoralDB[[#This Row],[index.html]],"&gt;"),"&gt;")&amp;"&gt;"</f>
        <v>&lt;a href="canciones/nuevas/alguien_cerca_esta_de_mi.html"&gt;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2169</v>
      </c>
      <c r="C103" s="15"/>
      <c r="F103" s="1">
        <v>101</v>
      </c>
      <c r="H103" s="1" t="s">
        <v>1027</v>
      </c>
      <c r="J103" s="1" t="s">
        <v>608</v>
      </c>
      <c r="M103" s="15" t="s">
        <v>2181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03" s="1"/>
      <c r="T103" s="1"/>
      <c r="U103" s="15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03" s="15" t="str">
        <f>_xlfn.TEXTBEFORE(_xlfn.TEXTAFTER(CantoralDB[[#This Row],[index.html]],"&gt;"),"&gt;")&amp;"&gt;"</f>
        <v>&lt;a href="canciones/nuevas/mas_de_ti_menos_de_mi.html"&gt;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1226</v>
      </c>
      <c r="C104" s="1"/>
      <c r="F104" s="1">
        <v>102</v>
      </c>
      <c r="J104" s="1"/>
      <c r="M104" s="15" t="s">
        <v>2492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04" s="1"/>
      <c r="T104" s="1"/>
      <c r="U104" s="15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04" s="15" t="str">
        <f>_xlfn.TEXTBEFORE(_xlfn.TEXTAFTER(CantoralDB[[#This Row],[index.html]],"&gt;"),"&gt;")&amp;"&gt;"</f>
        <v>&lt;a href="canciones/nuevas/el_espiritu_del_señor.html"&gt;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133</v>
      </c>
      <c r="C105" s="1"/>
      <c r="F105" s="1">
        <v>103</v>
      </c>
      <c r="J105" s="1"/>
      <c r="M105" s="15" t="s">
        <v>2494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05" s="1"/>
      <c r="T105" s="1"/>
      <c r="U105" s="15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05" s="15" t="str">
        <f>_xlfn.TEXTBEFORE(_xlfn.TEXTAFTER(CantoralDB[[#This Row],[index.html]],"&gt;"),"&gt;")&amp;"&gt;"</f>
        <v>&lt;a href="canciones/nuevas/señor_ten_piedad.html"&gt;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2496</v>
      </c>
      <c r="C106" s="1"/>
      <c r="F106" s="1">
        <v>106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06" s="1"/>
      <c r="T106" s="1"/>
      <c r="U106" s="15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06" s="15" t="str">
        <f>_xlfn.TEXTBEFORE(_xlfn.TEXTAFTER(CantoralDB[[#This Row],[index.html]],"&gt;"),"&gt;")&amp;"&gt;"</f>
        <v>&lt;a href="canciones/nuevas/va_bajando_ya.html"&gt;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2497</v>
      </c>
      <c r="C107" s="1"/>
      <c r="F107" s="1">
        <v>107</v>
      </c>
      <c r="J107" s="1"/>
      <c r="M107" s="15" t="s">
        <v>570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07" s="1"/>
      <c r="T107" s="1"/>
      <c r="U107" s="15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07" s="15" t="str">
        <f>_xlfn.TEXTBEFORE(_xlfn.TEXTAFTER(CantoralDB[[#This Row],[index.html]],"&gt;"),"&gt;")&amp;"&gt;"</f>
        <v>&lt;a href="canciones/pelayo_sanchez/jesus_esta_en_ti.html"&gt;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181</v>
      </c>
      <c r="C108" s="1" t="s">
        <v>200</v>
      </c>
      <c r="D108" s="1" t="s">
        <v>1420</v>
      </c>
      <c r="F108" s="1">
        <v>108</v>
      </c>
      <c r="G108" s="1" t="s">
        <v>209</v>
      </c>
      <c r="H108" s="1" t="s">
        <v>531</v>
      </c>
      <c r="J108" s="1" t="s">
        <v>608</v>
      </c>
      <c r="M108" s="15" t="s">
        <v>570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08" s="1"/>
      <c r="T108" s="1"/>
      <c r="U108" s="15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08" s="15" t="str">
        <f>_xlfn.TEXTBEFORE(_xlfn.TEXTAFTER(CantoralDB[[#This Row],[index.html]],"&gt;"),"&gt;")&amp;"&gt;"</f>
        <v>&lt;a href="canciones/pelayo_sanchez/fuente_de_paz_y_fidelidad.html"&gt;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2498</v>
      </c>
      <c r="C109" s="1"/>
      <c r="F109" s="1">
        <v>109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09" s="15" t="str">
        <f>_xlfn.TEXTBEFORE(_xlfn.TEXTAFTER(CantoralDB[[#This Row],[index.html]],"&gt;"),"&gt;")&amp;"&gt;"</f>
        <v>&lt;a href="canciones/nuevas/aclamad.html"&gt;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2499</v>
      </c>
      <c r="C110" s="1"/>
      <c r="F110" s="1">
        <v>110</v>
      </c>
      <c r="J110" s="1"/>
      <c r="M110" s="15" t="s">
        <v>2488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10" s="15" t="str">
        <f>_xlfn.TEXTBEFORE(_xlfn.TEXTAFTER(CantoralDB[[#This Row],[index.html]],"&gt;"),"&gt;")&amp;"&gt;"</f>
        <v>&lt;a href="canciones/nuevas/postrado.html"&gt;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2500</v>
      </c>
      <c r="C111" s="1"/>
      <c r="F111" s="1">
        <v>111</v>
      </c>
      <c r="J111" s="1"/>
      <c r="M111" s="15" t="s">
        <v>570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11" s="15" t="str">
        <f>_xlfn.TEXTBEFORE(_xlfn.TEXTAFTER(CantoralDB[[#This Row],[index.html]],"&gt;"),"&gt;")&amp;"&gt;"</f>
        <v>&lt;a href="canciones/pelayo_sanchez/mira_oh_dios.html"&gt;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80</v>
      </c>
      <c r="C112" s="1" t="s">
        <v>993</v>
      </c>
      <c r="D112" s="1" t="s">
        <v>714</v>
      </c>
      <c r="E112" s="1">
        <v>141</v>
      </c>
      <c r="F112" s="1">
        <v>112</v>
      </c>
      <c r="G112" s="1" t="s">
        <v>209</v>
      </c>
      <c r="H112" s="1" t="s">
        <v>1028</v>
      </c>
      <c r="J112" s="1" t="s">
        <v>608</v>
      </c>
      <c r="M112" s="15" t="s">
        <v>2176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2" s="1"/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12" s="15" t="str">
        <f>_xlfn.TEXTBEFORE(_xlfn.TEXTAFTER(CantoralDB[[#This Row],[index.html]],"&gt;"),"&gt;")&amp;"&gt;"</f>
        <v>&lt;a href="canciones/nsb/iluminame_señor.html"&gt;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2501</v>
      </c>
      <c r="C113" s="1"/>
      <c r="F113" s="1">
        <v>113</v>
      </c>
      <c r="H113" s="1" t="s">
        <v>1030</v>
      </c>
      <c r="J113" s="1" t="s">
        <v>608</v>
      </c>
      <c r="M113" s="15" t="s">
        <v>626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13" s="15" t="str">
        <f>_xlfn.TEXTBEFORE(_xlfn.TEXTAFTER(CantoralDB[[#This Row],[index.html]],"&gt;"),"&gt;")&amp;"&gt;"</f>
        <v>&lt;a href="canciones/nuevas/santo_(gen_rosso).html"&gt;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197</v>
      </c>
      <c r="C114" s="1"/>
      <c r="F114" s="1">
        <v>114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14" s="15" t="str">
        <f>_xlfn.TEXTBEFORE(_xlfn.TEXTAFTER(CantoralDB[[#This Row],[index.html]],"&gt;"),"&gt;")&amp;"&gt;"</f>
        <v>&lt;a href="canciones/nuevas/padrenuestro.html"&gt;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2502</v>
      </c>
      <c r="C115" s="1"/>
      <c r="F115" s="1">
        <v>115</v>
      </c>
      <c r="J115" s="1"/>
      <c r="M115" s="15" t="s">
        <v>2503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15" s="15" t="str">
        <f>_xlfn.TEXTBEFORE(_xlfn.TEXTAFTER(CantoralDB[[#This Row],[index.html]],"&gt;"),"&gt;")&amp;"&gt;"</f>
        <v>&lt;a href="canciones/rosa_cruz/paz_a_vosotros.html"&gt;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2504</v>
      </c>
      <c r="C116" s="1"/>
      <c r="F116" s="1">
        <v>116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16" s="15" t="str">
        <f>_xlfn.TEXTBEFORE(_xlfn.TEXTAFTER(CantoralDB[[#This Row],[index.html]],"&gt;"),"&gt;")&amp;"&gt;"</f>
        <v>&lt;a href="canciones/nuevas/bendito_sea_tu_nombre.html"&gt;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2505</v>
      </c>
      <c r="C117" s="1"/>
      <c r="F117" s="1">
        <v>117</v>
      </c>
      <c r="J117" s="1"/>
      <c r="M117" s="15" t="s">
        <v>2506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17" s="15" t="str">
        <f>_xlfn.TEXTBEFORE(_xlfn.TEXTAFTER(CantoralDB[[#This Row],[index.html]],"&gt;"),"&gt;")&amp;"&gt;"</f>
        <v>&lt;a href="canciones/nuevas/algo_nuevo_esta_naciendo.html"&gt;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2507</v>
      </c>
      <c r="C118" s="1"/>
      <c r="F118" s="1">
        <v>118</v>
      </c>
      <c r="J118" s="1"/>
      <c r="M118" s="15" t="s">
        <v>539</v>
      </c>
      <c r="N118" s="15"/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118" s="15" t="str">
        <f>_xlfn.TEXTBEFORE(_xlfn.TEXTAFTER(CantoralDB[[#This Row],[index.html]],"&gt;"),"&gt;")&amp;"&gt;"</f>
        <v>&lt;a href="canciones/josep_asuncion/te_cubrire.html"&gt;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2508</v>
      </c>
      <c r="C119" s="1"/>
      <c r="F119" s="1">
        <v>119</v>
      </c>
      <c r="J119" s="1"/>
      <c r="M119" s="15" t="s">
        <v>2406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19" s="15" t="str">
        <f>_xlfn.TEXTBEFORE(_xlfn.TEXTAFTER(CantoralDB[[#This Row],[index.html]],"&gt;"),"&gt;")&amp;"&gt;"</f>
        <v>&lt;a href="canciones/lazaro_iparraguirre/vino_un_hombre_a_nuestro_mundo.html"&gt;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2509</v>
      </c>
      <c r="C120" s="1"/>
      <c r="F120" s="1">
        <v>120</v>
      </c>
      <c r="J120" s="1"/>
      <c r="M120" s="15" t="s">
        <v>2510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20" s="15" t="str">
        <f>_xlfn.TEXTBEFORE(_xlfn.TEXTAFTER(CantoralDB[[#This Row],[index.html]],"&gt;"),"&gt;")&amp;"&gt;"</f>
        <v>&lt;a href="canciones/marta_gil-delgado/hagase_en_nosotros.html"&gt;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2512</v>
      </c>
      <c r="C121" s="1"/>
      <c r="F121" s="1">
        <v>121</v>
      </c>
      <c r="J121" s="1"/>
      <c r="M121" s="15" t="s">
        <v>2511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21" s="15" t="str">
        <f>_xlfn.TEXTBEFORE(_xlfn.TEXTAFTER(CantoralDB[[#This Row],[index.html]],"&gt;"),"&gt;")&amp;"&gt;"</f>
        <v>&lt;a href="canciones/nuevas/sendas_dios_hara.html"&gt;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2513</v>
      </c>
      <c r="C122" s="1"/>
      <c r="F122" s="1">
        <v>122</v>
      </c>
      <c r="J122" s="1"/>
      <c r="M122" s="15" t="s">
        <v>2514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22" s="1"/>
      <c r="T122" s="1"/>
      <c r="U122" s="15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22" s="15" t="str">
        <f>_xlfn.TEXTBEFORE(_xlfn.TEXTAFTER(CantoralDB[[#This Row],[index.html]],"&gt;"),"&gt;")&amp;"&gt;"</f>
        <v>&lt;a href="canciones/nuevas/el_señor_es_mi_pastor_(jm_monedero).html"&gt;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2516</v>
      </c>
      <c r="C123" s="1"/>
      <c r="F123" s="1">
        <v>123</v>
      </c>
      <c r="J123" s="1"/>
      <c r="M123" s="15" t="s">
        <v>2515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3" s="1"/>
      <c r="T123" s="1"/>
      <c r="U123" s="15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23" s="15" t="str">
        <f>_xlfn.TEXTBEFORE(_xlfn.TEXTAFTER(CantoralDB[[#This Row],[index.html]],"&gt;"),"&gt;")&amp;"&gt;"</f>
        <v>&lt;a href="canciones/nuevas/te_amo_rey.html"&gt;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7</v>
      </c>
      <c r="C124" s="1" t="s">
        <v>993</v>
      </c>
      <c r="D124" s="1" t="s">
        <v>1032</v>
      </c>
      <c r="E124" s="1">
        <v>402</v>
      </c>
      <c r="F124" s="1">
        <v>124</v>
      </c>
      <c r="G124" s="1" t="s">
        <v>216</v>
      </c>
      <c r="H124" s="1" t="s">
        <v>1030</v>
      </c>
      <c r="J124" s="1" t="s">
        <v>608</v>
      </c>
      <c r="M124" s="15" t="s">
        <v>570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24" s="1"/>
      <c r="T124" s="1"/>
      <c r="U124" s="15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24" s="15" t="str">
        <f>_xlfn.TEXTBEFORE(_xlfn.TEXTAFTER(CantoralDB[[#This Row],[index.html]],"&gt;"),"&gt;")&amp;"&gt;"</f>
        <v>&lt;a href="canciones/pelayo_sanchez/abro_mi_ser.html"&gt;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2517</v>
      </c>
      <c r="C125" s="1"/>
      <c r="F125" s="1">
        <v>125</v>
      </c>
      <c r="J125" s="1"/>
      <c r="M125" s="15" t="s">
        <v>2518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25" s="1"/>
      <c r="T125" s="1"/>
      <c r="U125" s="15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25" s="15" t="str">
        <f>_xlfn.TEXTBEFORE(_xlfn.TEXTAFTER(CantoralDB[[#This Row],[index.html]],"&gt;"),"&gt;")&amp;"&gt;"</f>
        <v>&lt;a href="canciones/nuevas/grito_santo.html"&gt;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2520</v>
      </c>
      <c r="C126" s="1"/>
      <c r="F126" s="1">
        <v>126</v>
      </c>
      <c r="J126" s="1"/>
      <c r="M126" s="15" t="s">
        <v>2519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26" s="1"/>
      <c r="T126" s="1"/>
      <c r="U126" s="15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26" s="15" t="str">
        <f>_xlfn.TEXTBEFORE(_xlfn.TEXTAFTER(CantoralDB[[#This Row],[index.html]],"&gt;"),"&gt;")&amp;"&gt;"</f>
        <v>&lt;a href="canciones/nuevas/madre.html"&gt;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2521</v>
      </c>
      <c r="C127" s="1"/>
      <c r="F127" s="1">
        <v>127</v>
      </c>
      <c r="J127" s="1"/>
      <c r="M127" s="15" t="s">
        <v>2522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27" s="1"/>
      <c r="T127" s="1"/>
      <c r="U127" s="15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27" s="15" t="str">
        <f>_xlfn.TEXTBEFORE(_xlfn.TEXTAFTER(CantoralDB[[#This Row],[index.html]],"&gt;"),"&gt;")&amp;"&gt;"</f>
        <v>&lt;a href="canciones/nuevas/señor_ten_piedad_de_mi_pecador.html"&gt;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2523</v>
      </c>
      <c r="C128" s="1"/>
      <c r="F128" s="1">
        <v>128</v>
      </c>
      <c r="J128" s="1"/>
      <c r="M128" s="15" t="s">
        <v>2524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28" s="1"/>
      <c r="T128" s="1"/>
      <c r="U128" s="15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28" s="15" t="str">
        <f>_xlfn.TEXTBEFORE(_xlfn.TEXTAFTER(CantoralDB[[#This Row],[index.html]],"&gt;"),"&gt;")&amp;"&gt;"</f>
        <v>&lt;a href="canciones/nuevas/la_cancion_del_espiritu.html"&gt;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202</v>
      </c>
      <c r="C129" s="1"/>
      <c r="F129" s="1">
        <v>129</v>
      </c>
      <c r="J129" s="1"/>
      <c r="M129" s="15" t="s">
        <v>2494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9" s="1"/>
      <c r="T129" s="1"/>
      <c r="U129" s="15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29" s="15" t="str">
        <f>_xlfn.TEXTBEFORE(_xlfn.TEXTAFTER(CantoralDB[[#This Row],[index.html]],"&gt;"),"&gt;")&amp;"&gt;"</f>
        <v>&lt;a href="canciones/nuevas/cordero_de_dios.html"&gt;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2526</v>
      </c>
      <c r="C130" s="1"/>
      <c r="F130" s="1">
        <v>130</v>
      </c>
      <c r="J130" s="1"/>
      <c r="M130" s="15" t="s">
        <v>2525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0" s="1"/>
      <c r="T130" s="1"/>
      <c r="U130" s="15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30" s="15" t="str">
        <f>_xlfn.TEXTBEFORE(_xlfn.TEXTAFTER(CantoralDB[[#This Row],[index.html]],"&gt;"),"&gt;")&amp;"&gt;"</f>
        <v>&lt;a href="canciones/nuevas/pasa_por_aqui_señor.html"&gt;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2527</v>
      </c>
      <c r="C131" s="1"/>
      <c r="F131" s="1">
        <v>131</v>
      </c>
      <c r="J131" s="1"/>
      <c r="M131" s="15" t="s">
        <v>2528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1" s="1"/>
      <c r="T131" s="1"/>
      <c r="U131" s="15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31" s="15" t="str">
        <f>_xlfn.TEXTBEFORE(_xlfn.TEXTAFTER(CantoralDB[[#This Row],[index.html]],"&gt;"),"&gt;")&amp;"&gt;"</f>
        <v>&lt;a href="canciones/nuevas/despertemos.html"&gt;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2529</v>
      </c>
      <c r="C132" s="1"/>
      <c r="F132" s="1">
        <v>132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2" s="1"/>
      <c r="T132" s="1"/>
      <c r="U132" s="15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32" s="15" t="str">
        <f>_xlfn.TEXTBEFORE(_xlfn.TEXTAFTER(CantoralDB[[#This Row],[index.html]],"&gt;"),"&gt;")&amp;"&gt;"</f>
        <v>&lt;a href="canciones/nuevas/mi_alma_alaba_al_señor.html"&gt;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885</v>
      </c>
      <c r="C133" s="1"/>
      <c r="F133" s="1">
        <v>133</v>
      </c>
      <c r="J133" s="1"/>
      <c r="M133" s="15" t="s">
        <v>2406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33" s="1"/>
      <c r="T133" s="1"/>
      <c r="U133" s="15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33" s="15" t="str">
        <f>_xlfn.TEXTBEFORE(_xlfn.TEXTAFTER(CantoralDB[[#This Row],[index.html]],"&gt;"),"&gt;")&amp;"&gt;"</f>
        <v>&lt;a href="canciones/lazaro_iparraguirre/bendecid_al_señor.html"&gt;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2530</v>
      </c>
      <c r="C134" s="1"/>
      <c r="F134" s="1">
        <v>134</v>
      </c>
      <c r="J134" s="1"/>
      <c r="M134" s="15" t="s">
        <v>2393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34" s="1"/>
      <c r="T134" s="1"/>
      <c r="U134" s="15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34" s="15" t="str">
        <f>_xlfn.TEXTBEFORE(_xlfn.TEXTAFTER(CantoralDB[[#This Row],[index.html]],"&gt;"),"&gt;")&amp;"&gt;"</f>
        <v>&lt;a href="canciones/marcos_witt/renuevame.html"&gt;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189</v>
      </c>
      <c r="C135" s="1" t="s">
        <v>219</v>
      </c>
      <c r="D135" s="1" t="s">
        <v>1476</v>
      </c>
      <c r="F135" s="1">
        <v>135</v>
      </c>
      <c r="G135" s="1" t="s">
        <v>209</v>
      </c>
      <c r="H135" s="1" t="s">
        <v>531</v>
      </c>
      <c r="J135" s="1" t="s">
        <v>608</v>
      </c>
      <c r="M135" s="15" t="s">
        <v>484</v>
      </c>
      <c r="N135" s="15" t="s">
        <v>1486</v>
      </c>
      <c r="O135" s="15">
        <v>9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35" s="1"/>
      <c r="T135" s="1"/>
      <c r="U135" s="15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35" s="15" t="str">
        <f>_xlfn.TEXTBEFORE(_xlfn.TEXTAFTER(CantoralDB[[#This Row],[index.html]],"&gt;"),"&gt;")&amp;"&gt;"</f>
        <v>&lt;a href="canciones/kairoi/ven_espiritu_de_dios_(kairoi).html"&gt;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2531</v>
      </c>
      <c r="C136" s="1"/>
      <c r="F136" s="1">
        <v>136</v>
      </c>
      <c r="J136" s="1"/>
      <c r="M136" s="15" t="s">
        <v>2532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36" s="1"/>
      <c r="T136" s="1"/>
      <c r="U136" s="15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36" s="15" t="str">
        <f>_xlfn.TEXTBEFORE(_xlfn.TEXTAFTER(CantoralDB[[#This Row],[index.html]],"&gt;"),"&gt;")&amp;"&gt;"</f>
        <v>&lt;a href="canciones/nuevas/aleluya_cristo_vive.html"&gt;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1299</v>
      </c>
      <c r="C137" s="1"/>
      <c r="F137" s="1">
        <v>137</v>
      </c>
      <c r="H137" s="1" t="s">
        <v>531</v>
      </c>
      <c r="J137" s="1" t="s">
        <v>608</v>
      </c>
      <c r="M137" s="15" t="s">
        <v>484</v>
      </c>
      <c r="N137" s="15" t="s">
        <v>1483</v>
      </c>
      <c r="O137" s="15">
        <v>8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37" s="1"/>
      <c r="T137" s="1"/>
      <c r="U137" s="15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137" s="15" t="str">
        <f>_xlfn.TEXTBEFORE(_xlfn.TEXTAFTER(CantoralDB[[#This Row],[index.html]],"&gt;"),"&gt;")&amp;"&gt;"</f>
        <v>&lt;a href="canciones/kairoi/padre_me_pongo_en_tus_manos.html"&gt;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2414</v>
      </c>
      <c r="C138" s="1"/>
      <c r="F138" s="1">
        <v>138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8" s="1"/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8" s="15" t="str">
        <f>_xlfn.TEXTBEFORE(_xlfn.TEXTAFTER(CantoralDB[[#This Row],[index.html]],"&gt;"),"&gt;")&amp;"&gt;"</f>
        <v>&lt;a href="canciones/nuevas/rey_de_reyes.html"&gt;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2533</v>
      </c>
      <c r="C139" s="1"/>
      <c r="F139" s="1">
        <v>139</v>
      </c>
      <c r="J139" s="1"/>
      <c r="M139" s="15" t="s">
        <v>2534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39" s="15" t="str">
        <f>_xlfn.TEXTBEFORE(_xlfn.TEXTAFTER(CantoralDB[[#This Row],[index.html]],"&gt;"),"&gt;")&amp;"&gt;"</f>
        <v>&lt;a href="canciones/nuevas/fuego_en_esta_casa.html"&gt;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2535</v>
      </c>
      <c r="C140" s="1"/>
      <c r="F140" s="1">
        <v>140</v>
      </c>
      <c r="J140" s="1"/>
      <c r="M140" s="15" t="s">
        <v>2406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40" s="15" t="str">
        <f>_xlfn.TEXTBEFORE(_xlfn.TEXTAFTER(CantoralDB[[#This Row],[index.html]],"&gt;"),"&gt;")&amp;"&gt;"</f>
        <v>&lt;a href="canciones/lazaro_iparraguirre/que_deseables.html"&gt;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2536</v>
      </c>
      <c r="C141" s="1"/>
      <c r="F141" s="1">
        <v>141</v>
      </c>
      <c r="J141" s="1"/>
      <c r="M141" s="15" t="s">
        <v>539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141" s="15" t="str">
        <f>_xlfn.TEXTBEFORE(_xlfn.TEXTAFTER(CantoralDB[[#This Row],[index.html]],"&gt;"),"&gt;")&amp;"&gt;"</f>
        <v>&lt;a href="canciones/josep_asuncion/como_las_tiendas_de_quedar.html"&gt;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2537</v>
      </c>
      <c r="C142" s="1"/>
      <c r="F142" s="1">
        <v>142</v>
      </c>
      <c r="H142" s="1" t="s">
        <v>1027</v>
      </c>
      <c r="J142" s="1" t="s">
        <v>608</v>
      </c>
      <c r="M142" s="15" t="s">
        <v>2406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42" s="1"/>
      <c r="T142" s="1"/>
      <c r="U142" s="33" t="s">
        <v>2990</v>
      </c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42" s="15" t="str">
        <f>_xlfn.TEXTBEFORE(_xlfn.TEXTAFTER(CantoralDB[[#This Row],[index.html]],"&gt;"),"&gt;")&amp;"&gt;"</f>
        <v>&lt;a href="canciones/lazaro_iparraguirre/caminaremos.html"&gt;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2538</v>
      </c>
      <c r="C143" s="1"/>
      <c r="F143" s="1">
        <v>143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43" s="15" t="str">
        <f>_xlfn.TEXTBEFORE(_xlfn.TEXTAFTER(CantoralDB[[#This Row],[index.html]],"&gt;"),"&gt;")&amp;"&gt;"</f>
        <v>&lt;a href="canciones/nuevas/el_diario_de_maria.html"&gt;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2539</v>
      </c>
      <c r="C144" s="1"/>
      <c r="F144" s="1">
        <v>144</v>
      </c>
      <c r="J144" s="1"/>
      <c r="M144" s="15" t="s">
        <v>2510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44" s="15" t="str">
        <f>_xlfn.TEXTBEFORE(_xlfn.TEXTAFTER(CantoralDB[[#This Row],[index.html]],"&gt;"),"&gt;")&amp;"&gt;"</f>
        <v>&lt;a href="canciones/marta_gil-delgado/ven_espiritu_de_amor.html"&gt;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2540</v>
      </c>
      <c r="C145" s="1"/>
      <c r="F145" s="1">
        <v>145</v>
      </c>
      <c r="J145" s="1"/>
      <c r="M145" s="15" t="s">
        <v>2400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45" s="15" t="str">
        <f>_xlfn.TEXTBEFORE(_xlfn.TEXTAFTER(CantoralDB[[#This Row],[index.html]],"&gt;"),"&gt;")&amp;"&gt;"</f>
        <v>&lt;a href="canciones/luis_alfredo_diaz/yo_no_soy_nada.html"&gt;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194</v>
      </c>
      <c r="C146" s="1"/>
      <c r="F146" s="1">
        <v>146</v>
      </c>
      <c r="J146" s="1"/>
      <c r="M146" s="15" t="s">
        <v>2541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46" s="15" t="str">
        <f>_xlfn.TEXTBEFORE(_xlfn.TEXTAFTER(CantoralDB[[#This Row],[index.html]],"&gt;"),"&gt;")&amp;"&gt;"</f>
        <v>&lt;a href="canciones/nuevas/aleluya.html"&gt;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2542</v>
      </c>
      <c r="C147" s="1"/>
      <c r="F147" s="1">
        <v>147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7" s="1"/>
      <c r="T147" s="1"/>
      <c r="U147" s="15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47" s="15" t="str">
        <f>_xlfn.TEXTBEFORE(_xlfn.TEXTAFTER(CantoralDB[[#This Row],[index.html]],"&gt;"),"&gt;")&amp;"&gt;"</f>
        <v>&lt;a href="canciones/nuevas/esta_alegria_no_va_a_pasar.html"&gt;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2543</v>
      </c>
      <c r="C148" s="1"/>
      <c r="F148" s="1">
        <v>148</v>
      </c>
      <c r="J148" s="1"/>
      <c r="M148" s="15" t="s">
        <v>2493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48" s="15" t="str">
        <f>_xlfn.TEXTBEFORE(_xlfn.TEXTAFTER(CantoralDB[[#This Row],[index.html]],"&gt;"),"&gt;")&amp;"&gt;"</f>
        <v>&lt;a href="canciones/nuevas/dios_precisa_de_ti.html"&gt;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2544</v>
      </c>
      <c r="C149" s="1"/>
      <c r="F149" s="1">
        <v>149</v>
      </c>
      <c r="J149" s="1"/>
      <c r="M149" s="15" t="s">
        <v>2644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49" s="15" t="str">
        <f>_xlfn.TEXTBEFORE(_xlfn.TEXTAFTER(CantoralDB[[#This Row],[index.html]],"&gt;"),"&gt;")&amp;"&gt;"</f>
        <v>&lt;a href="canciones/nuevas/dios_tu_mi_dios.html"&gt;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2545</v>
      </c>
      <c r="C150" s="1"/>
      <c r="F150" s="1">
        <v>150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50" s="15" t="str">
        <f>_xlfn.TEXTBEFORE(_xlfn.TEXTAFTER(CantoralDB[[#This Row],[index.html]],"&gt;"),"&gt;")&amp;"&gt;"</f>
        <v>&lt;a href="canciones/nuevas/abre_mis_labios.html"&gt;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2546</v>
      </c>
      <c r="C151" s="1"/>
      <c r="F151" s="1">
        <v>151</v>
      </c>
      <c r="J151" s="1"/>
      <c r="M151" s="15" t="s">
        <v>2547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" s="15" t="str">
        <f>_xlfn.TEXTBEFORE(_xlfn.TEXTAFTER(CantoralDB[[#This Row],[index.html]],"&gt;"),"&gt;")&amp;"&gt;"</f>
        <v>&lt;a href="canciones/nuevas/yo_quiero_ser_como_tu.html"&gt;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29</v>
      </c>
      <c r="C152" s="1" t="s">
        <v>194</v>
      </c>
      <c r="D152" s="1" t="s">
        <v>990</v>
      </c>
      <c r="E152" s="1">
        <v>413</v>
      </c>
      <c r="F152" s="1">
        <v>152</v>
      </c>
      <c r="G152" s="1" t="s">
        <v>209</v>
      </c>
      <c r="H152" s="1" t="s">
        <v>531</v>
      </c>
      <c r="I152" s="1" t="s">
        <v>2961</v>
      </c>
      <c r="J152" s="1" t="s">
        <v>608</v>
      </c>
      <c r="M152" s="15" t="s">
        <v>586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52" s="15" t="str">
        <f>_xlfn.TEXTBEFORE(_xlfn.TEXTAFTER(CantoralDB[[#This Row],[index.html]],"&gt;"),"&gt;")&amp;"&gt;"</f>
        <v>&lt;a href="canciones/nsb/canta_aleluya.html"&gt;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2548</v>
      </c>
      <c r="C153" s="1"/>
      <c r="F153" s="1">
        <v>153</v>
      </c>
      <c r="J153" s="1"/>
      <c r="M153" s="15" t="s">
        <v>2400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53" s="15" t="str">
        <f>_xlfn.TEXTBEFORE(_xlfn.TEXTAFTER(CantoralDB[[#This Row],[index.html]],"&gt;"),"&gt;")&amp;"&gt;"</f>
        <v>&lt;a href="canciones/luis_alfredo_diaz/aqui_el_esta.html"&gt;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2549</v>
      </c>
      <c r="C154" s="1"/>
      <c r="F154" s="1">
        <v>154</v>
      </c>
      <c r="J154" s="1"/>
      <c r="M154" s="15" t="s">
        <v>2503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54" s="15" t="str">
        <f>_xlfn.TEXTBEFORE(_xlfn.TEXTAFTER(CantoralDB[[#This Row],[index.html]],"&gt;"),"&gt;")&amp;"&gt;"</f>
        <v>&lt;a href="canciones/rosa_cruz/el_tren.html"&gt;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2550</v>
      </c>
      <c r="C155" s="1"/>
      <c r="F155" s="1">
        <v>155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55" s="15" t="str">
        <f>_xlfn.TEXTBEFORE(_xlfn.TEXTAFTER(CantoralDB[[#This Row],[index.html]],"&gt;"),"&gt;")&amp;"&gt;"</f>
        <v>&lt;a href="canciones/nuevas/amor_tan_grande.html"&gt;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2551</v>
      </c>
      <c r="C156" s="1"/>
      <c r="F156" s="1">
        <v>156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56" s="15" t="str">
        <f>_xlfn.TEXTBEFORE(_xlfn.TEXTAFTER(CantoralDB[[#This Row],[index.html]],"&gt;"),"&gt;")&amp;"&gt;"</f>
        <v>&lt;a href="canciones/nuevas/si_el_espiritu_de_dios.html"&gt;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2552</v>
      </c>
      <c r="C157" s="1"/>
      <c r="F157" s="1">
        <v>157</v>
      </c>
      <c r="H157" s="1" t="s">
        <v>531</v>
      </c>
      <c r="J157" s="1" t="s">
        <v>608</v>
      </c>
      <c r="M157" s="15" t="s">
        <v>2553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7" s="1"/>
      <c r="T157" s="1"/>
      <c r="U157" s="33" t="s">
        <v>3012</v>
      </c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7" s="15" t="str">
        <f>_xlfn.TEXTBEFORE(_xlfn.TEXTAFTER(CantoralDB[[#This Row],[index.html]],"&gt;"),"&gt;")&amp;"&gt;"</f>
        <v>&lt;a href="canciones/nuevas/tierra_firme_(getsemani).html"&gt;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2555</v>
      </c>
      <c r="C158" s="1"/>
      <c r="F158" s="1">
        <v>158</v>
      </c>
      <c r="J158" s="1"/>
      <c r="M158" s="15" t="s">
        <v>2554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58" s="15" t="str">
        <f>_xlfn.TEXTBEFORE(_xlfn.TEXTAFTER(CantoralDB[[#This Row],[index.html]],"&gt;"),"&gt;")&amp;"&gt;"</f>
        <v>&lt;a href="canciones/nuevas/eli_eli.html"&gt;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2556</v>
      </c>
      <c r="C159" s="1"/>
      <c r="F159" s="1">
        <v>159</v>
      </c>
      <c r="J159" s="1"/>
      <c r="M159" s="15" t="s">
        <v>2518</v>
      </c>
      <c r="N159" s="15"/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9" s="1"/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9" s="15" t="str">
        <f>_xlfn.TEXTBEFORE(_xlfn.TEXTAFTER(CantoralDB[[#This Row],[index.html]],"&gt;"),"&gt;")&amp;"&gt;"</f>
        <v>&lt;a href="canciones/nuevas/escucha_oh_jesus.html"&gt;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2557</v>
      </c>
      <c r="C160" s="1"/>
      <c r="F160" s="1">
        <v>160</v>
      </c>
      <c r="J160" s="1"/>
      <c r="M160" s="15" t="s">
        <v>488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60" s="15" t="str">
        <f>_xlfn.TEXTBEFORE(_xlfn.TEXTAFTER(CantoralDB[[#This Row],[index.html]],"&gt;"),"&gt;")&amp;"&gt;"</f>
        <v>&lt;a href="canciones/al-haraca/si_con_vosotros_estoy.html"&gt;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560</v>
      </c>
      <c r="C161" s="1"/>
      <c r="F161" s="1">
        <v>161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61" s="15" t="str">
        <f>_xlfn.TEXTBEFORE(_xlfn.TEXTAFTER(CantoralDB[[#This Row],[index.html]],"&gt;"),"&gt;")&amp;"&gt;"</f>
        <v>&lt;a href="canciones/nuevas/santo_es_el_señor.html"&gt;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2558</v>
      </c>
      <c r="C162" s="1"/>
      <c r="F162" s="1">
        <v>162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62" s="15" t="str">
        <f>_xlfn.TEXTBEFORE(_xlfn.TEXTAFTER(CantoralDB[[#This Row],[index.html]],"&gt;"),"&gt;")&amp;"&gt;"</f>
        <v>&lt;a href="canciones/nuevas/vamos_con_gozo.html"&gt;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2559</v>
      </c>
      <c r="C163" s="1"/>
      <c r="F163" s="1">
        <v>163</v>
      </c>
      <c r="J163" s="1"/>
      <c r="M163" s="15" t="s">
        <v>2510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63" s="15" t="str">
        <f>_xlfn.TEXTBEFORE(_xlfn.TEXTAFTER(CantoralDB[[#This Row],[index.html]],"&gt;"),"&gt;")&amp;"&gt;"</f>
        <v>&lt;a href="canciones/marta_gil-delgado/jesus_quedate_aqui.html"&gt;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2560</v>
      </c>
      <c r="C164" s="1"/>
      <c r="F164" s="1">
        <v>164</v>
      </c>
      <c r="J164" s="1"/>
      <c r="M164" s="15" t="s">
        <v>2561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4" s="1"/>
      <c r="T164" s="1"/>
      <c r="U164" s="15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4" s="15" t="str">
        <f>_xlfn.TEXTBEFORE(_xlfn.TEXTAFTER(CantoralDB[[#This Row],[index.html]],"&gt;"),"&gt;")&amp;"&gt;"</f>
        <v>&lt;a href="canciones/nuevas/aleluya_cristo_vivo_esta.html"&gt;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2562</v>
      </c>
      <c r="C165" s="1"/>
      <c r="F165" s="1">
        <v>165</v>
      </c>
      <c r="J165" s="1"/>
      <c r="M165" s="15" t="s">
        <v>539</v>
      </c>
      <c r="N165" s="15"/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165" s="15" t="str">
        <f>_xlfn.TEXTBEFORE(_xlfn.TEXTAFTER(CantoralDB[[#This Row],[index.html]],"&gt;"),"&gt;")&amp;"&gt;"</f>
        <v>&lt;a href="canciones/josep_asuncion/dos_mil_años_de_luz.html"&gt;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2563</v>
      </c>
      <c r="C166" s="1"/>
      <c r="F166" s="1">
        <v>166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66" s="15" t="str">
        <f>_xlfn.TEXTBEFORE(_xlfn.TEXTAFTER(CantoralDB[[#This Row],[index.html]],"&gt;"),"&gt;")&amp;"&gt;"</f>
        <v>&lt;a href="canciones/nuevas/cuando_con_el_corazon.html"&gt;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2564</v>
      </c>
      <c r="C167" s="1"/>
      <c r="F167" s="1">
        <v>167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67" s="15" t="str">
        <f>_xlfn.TEXTBEFORE(_xlfn.TEXTAFTER(CantoralDB[[#This Row],[index.html]],"&gt;"),"&gt;")&amp;"&gt;"</f>
        <v>&lt;a href="canciones/nuevas/estoy_cantando_alegre.html"&gt;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2565</v>
      </c>
      <c r="C168" s="1"/>
      <c r="F168" s="1">
        <v>168</v>
      </c>
      <c r="J168" s="1"/>
      <c r="M168" s="15" t="s">
        <v>2532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8" s="15" t="str">
        <f>_xlfn.TEXTBEFORE(_xlfn.TEXTAFTER(CantoralDB[[#This Row],[index.html]],"&gt;"),"&gt;")&amp;"&gt;"</f>
        <v>&lt;a href="canciones/nuevas/jesus_te_quiere_asi.html"&gt;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2566</v>
      </c>
      <c r="C169" s="1"/>
      <c r="F169" s="1">
        <v>169</v>
      </c>
      <c r="J169" s="1"/>
      <c r="M169" s="15" t="s">
        <v>2567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9" s="1"/>
      <c r="T169" s="1"/>
      <c r="U169" s="15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69" s="15" t="str">
        <f>_xlfn.TEXTBEFORE(_xlfn.TEXTAFTER(CantoralDB[[#This Row],[index.html]],"&gt;"),"&gt;")&amp;"&gt;"</f>
        <v>&lt;a href="canciones/nuevas/siento.html"&gt;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2569</v>
      </c>
      <c r="C170" s="1"/>
      <c r="F170" s="1">
        <v>170</v>
      </c>
      <c r="J170" s="1"/>
      <c r="M170" s="15" t="s">
        <v>2568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70" s="1"/>
      <c r="T170" s="1"/>
      <c r="U170" s="15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70" s="15" t="str">
        <f>_xlfn.TEXTBEFORE(_xlfn.TEXTAFTER(CantoralDB[[#This Row],[index.html]],"&gt;"),"&gt;")&amp;"&gt;"</f>
        <v>&lt;a href="canciones/nuevas/evangelio.html"&gt;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1703</v>
      </c>
      <c r="C171" s="1"/>
      <c r="F171" s="1">
        <v>171</v>
      </c>
      <c r="J171" s="1"/>
      <c r="M171" s="15" t="s">
        <v>2570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71" s="15" t="str">
        <f>_xlfn.TEXTBEFORE(_xlfn.TEXTAFTER(CantoralDB[[#This Row],[index.html]],"&gt;"),"&gt;")&amp;"&gt;"</f>
        <v>&lt;a href="canciones/nuevas/creo_en_ti.html"&gt;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604</v>
      </c>
      <c r="C172" s="1" t="s">
        <v>993</v>
      </c>
      <c r="D172" s="1" t="s">
        <v>707</v>
      </c>
      <c r="F172" s="1">
        <v>172</v>
      </c>
      <c r="G172" s="1" t="s">
        <v>213</v>
      </c>
      <c r="H172" s="1" t="s">
        <v>531</v>
      </c>
      <c r="J172" s="1" t="s">
        <v>608</v>
      </c>
      <c r="M172" s="15" t="s">
        <v>484</v>
      </c>
      <c r="N172" s="15" t="s">
        <v>1483</v>
      </c>
      <c r="O172" s="15">
        <v>4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172" s="15" t="str">
        <f>_xlfn.TEXTBEFORE(_xlfn.TEXTAFTER(CantoralDB[[#This Row],[index.html]],"&gt;"),"&gt;")&amp;"&gt;"</f>
        <v>&lt;a href="canciones/kairoi/hablame.html"&gt;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2571</v>
      </c>
      <c r="C173" s="1"/>
      <c r="F173" s="1">
        <v>173</v>
      </c>
      <c r="J173" s="1"/>
      <c r="M173" s="15" t="s">
        <v>2400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73" s="15" t="str">
        <f>_xlfn.TEXTBEFORE(_xlfn.TEXTAFTER(CantoralDB[[#This Row],[index.html]],"&gt;"),"&gt;")&amp;"&gt;"</f>
        <v>&lt;a href="canciones/luis_alfredo_diaz/amar.html"&gt;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2572</v>
      </c>
      <c r="C174" s="1"/>
      <c r="F174" s="1">
        <v>174</v>
      </c>
      <c r="J174" s="1"/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74" s="15" t="str">
        <f>_xlfn.TEXTBEFORE(_xlfn.TEXTAFTER(CantoralDB[[#This Row],[index.html]],"&gt;"),"&gt;")&amp;"&gt;"</f>
        <v>&lt;a href="canciones/nuevas/si_es_verdad_que_dios_te_quiere.html"&gt;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1750</v>
      </c>
      <c r="C175" s="1"/>
      <c r="F175" s="1">
        <v>175</v>
      </c>
      <c r="J175" s="1"/>
      <c r="M175" s="15" t="s">
        <v>590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75" s="15" t="str">
        <f>_xlfn.TEXTBEFORE(_xlfn.TEXTAFTER(CantoralDB[[#This Row],[index.html]],"&gt;"),"&gt;")&amp;"&gt;"</f>
        <v>&lt;a href="canciones/alejandro_ruiz/ven_espiritu.html"&gt;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2573</v>
      </c>
      <c r="C176" s="1"/>
      <c r="F176" s="1">
        <v>176</v>
      </c>
      <c r="J176" s="1"/>
      <c r="M176" s="15" t="s">
        <v>2400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76" s="15" t="str">
        <f>_xlfn.TEXTBEFORE(_xlfn.TEXTAFTER(CantoralDB[[#This Row],[index.html]],"&gt;"),"&gt;")&amp;"&gt;"</f>
        <v>&lt;a href="canciones/luis_alfredo_diaz/no_quiero_ser_santa_a_medias.html"&gt;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2574</v>
      </c>
      <c r="C177" s="1"/>
      <c r="F177" s="1">
        <v>177</v>
      </c>
      <c r="J177" s="1"/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77" s="15" t="str">
        <f>_xlfn.TEXTBEFORE(_xlfn.TEXTAFTER(CantoralDB[[#This Row],[index.html]],"&gt;"),"&gt;")&amp;"&gt;"</f>
        <v>&lt;a href="canciones/nuevas/abba.html"&gt;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2575</v>
      </c>
      <c r="C178" s="1"/>
      <c r="F178" s="1">
        <v>178</v>
      </c>
      <c r="J178" s="1"/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78" s="15" t="str">
        <f>_xlfn.TEXTBEFORE(_xlfn.TEXTAFTER(CantoralDB[[#This Row],[index.html]],"&gt;"),"&gt;")&amp;"&gt;"</f>
        <v>&lt;a href="canciones/nuevas/jesucristo_es_tan_grande.html"&gt;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2576</v>
      </c>
      <c r="C179" s="1"/>
      <c r="F179" s="1">
        <v>179</v>
      </c>
      <c r="J179" s="1"/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79" s="15" t="str">
        <f>_xlfn.TEXTBEFORE(_xlfn.TEXTAFTER(CantoralDB[[#This Row],[index.html]],"&gt;"),"&gt;")&amp;"&gt;"</f>
        <v>&lt;a href="canciones/nuevas/alabare.html"&gt;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2577</v>
      </c>
      <c r="C180" s="1"/>
      <c r="F180" s="1">
        <v>180</v>
      </c>
      <c r="J180" s="1"/>
      <c r="M180" s="15" t="s">
        <v>2578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80" s="15" t="str">
        <f>_xlfn.TEXTBEFORE(_xlfn.TEXTAFTER(CantoralDB[[#This Row],[index.html]],"&gt;"),"&gt;")&amp;"&gt;"</f>
        <v>&lt;a href="canciones/nuevas/yo_canto_a_mi_señor.html"&gt;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2579</v>
      </c>
      <c r="C181" s="1"/>
      <c r="F181" s="1">
        <v>181</v>
      </c>
      <c r="J181" s="1"/>
      <c r="M181" s="15" t="s">
        <v>2400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81" s="15" t="str">
        <f>_xlfn.TEXTBEFORE(_xlfn.TEXTAFTER(CantoralDB[[#This Row],[index.html]],"&gt;"),"&gt;")&amp;"&gt;"</f>
        <v>&lt;a href="canciones/luis_alfredo_diaz/ahora_no_tengo.html"&gt;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2580</v>
      </c>
      <c r="C182" s="1"/>
      <c r="F182" s="1">
        <v>182</v>
      </c>
      <c r="J182" s="1"/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82" s="15" t="str">
        <f>_xlfn.TEXTBEFORE(_xlfn.TEXTAFTER(CantoralDB[[#This Row],[index.html]],"&gt;"),"&gt;")&amp;"&gt;"</f>
        <v>&lt;a href="canciones/nuevas/hay_momentos.html"&gt;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2581</v>
      </c>
      <c r="C183" s="1"/>
      <c r="F183" s="1">
        <v>183</v>
      </c>
      <c r="J183" s="1"/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83" s="1"/>
      <c r="T183" s="1"/>
      <c r="U183" s="15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83" s="15" t="str">
        <f>_xlfn.TEXTBEFORE(_xlfn.TEXTAFTER(CantoralDB[[#This Row],[index.html]],"&gt;"),"&gt;")&amp;"&gt;"</f>
        <v>&lt;a href="canciones/nuevas/el_amor_de_dios_ha_sido_derramado.html"&gt;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2582</v>
      </c>
      <c r="C184" s="1"/>
      <c r="F184" s="1">
        <v>184</v>
      </c>
      <c r="J184" s="1"/>
      <c r="M184" s="15" t="s">
        <v>2400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84" s="15" t="str">
        <f>_xlfn.TEXTBEFORE(_xlfn.TEXTAFTER(CantoralDB[[#This Row],[index.html]],"&gt;"),"&gt;")&amp;"&gt;"</f>
        <v>&lt;a href="canciones/luis_alfredo_diaz/deseo_ser_santa.html"&gt;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2583</v>
      </c>
      <c r="C185" s="1"/>
      <c r="F185" s="1">
        <v>185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5" s="1"/>
      <c r="T185" s="1"/>
      <c r="U185" s="15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185" s="15" t="str">
        <f>_xlfn.TEXTBEFORE(_xlfn.TEXTAFTER(CantoralDB[[#This Row],[index.html]],"&gt;"),"&gt;")&amp;"&gt;"</f>
        <v>&lt;a href="canciones/brotes_de_olivo/bendita_la_nacion.html"&gt;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2584</v>
      </c>
      <c r="C186" s="1"/>
      <c r="F186" s="1">
        <v>186</v>
      </c>
      <c r="J186" s="1"/>
      <c r="M186" s="15" t="s">
        <v>2585</v>
      </c>
      <c r="N186" s="15"/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86" s="15" t="str">
        <f>_xlfn.TEXTBEFORE(_xlfn.TEXTAFTER(CantoralDB[[#This Row],[index.html]],"&gt;"),"&gt;")&amp;"&gt;"</f>
        <v>&lt;a href="canciones/nuevas/jesus_jesus_jesus.html"&gt;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2587</v>
      </c>
      <c r="C187" s="1"/>
      <c r="F187" s="1">
        <v>187</v>
      </c>
      <c r="J187" s="1"/>
      <c r="M187" s="15" t="s">
        <v>2400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87" s="15" t="str">
        <f>_xlfn.TEXTBEFORE(_xlfn.TEXTAFTER(CantoralDB[[#This Row],[index.html]],"&gt;"),"&gt;")&amp;"&gt;"</f>
        <v>&lt;a href="canciones/luis_alfredo_diaz/lo_que_agrada_a_dios.html"&gt;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2586</v>
      </c>
      <c r="C188" s="1"/>
      <c r="F188" s="1">
        <v>188</v>
      </c>
      <c r="J188" s="1"/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88" s="15" t="str">
        <f>_xlfn.TEXTBEFORE(_xlfn.TEXTAFTER(CantoralDB[[#This Row],[index.html]],"&gt;"),"&gt;")&amp;"&gt;"</f>
        <v>&lt;a href="canciones/nuevas/estoy_alegre_porque_soy_de_cristo.html"&gt;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2588</v>
      </c>
      <c r="C189" s="1"/>
      <c r="F189" s="1">
        <v>189</v>
      </c>
      <c r="J189" s="1"/>
      <c r="M189" s="15" t="s">
        <v>2400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89" s="15" t="str">
        <f>_xlfn.TEXTBEFORE(_xlfn.TEXTAFTER(CantoralDB[[#This Row],[index.html]],"&gt;"),"&gt;")&amp;"&gt;"</f>
        <v>&lt;a href="canciones/luis_alfredo_diaz/que_bueno_es_alabarte.html"&gt;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2589</v>
      </c>
      <c r="C190" s="1"/>
      <c r="F190" s="1">
        <v>190</v>
      </c>
      <c r="J190" s="1"/>
      <c r="M190" s="15" t="s">
        <v>795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90" s="15" t="str">
        <f>_xlfn.TEXTBEFORE(_xlfn.TEXTAFTER(CantoralDB[[#This Row],[index.html]],"&gt;"),"&gt;")&amp;"&gt;"</f>
        <v>&lt;a href="canciones/nuevas/al_estar_aqui.html"&gt;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112</v>
      </c>
      <c r="C191" s="1" t="s">
        <v>198</v>
      </c>
      <c r="D191" s="1" t="s">
        <v>1453</v>
      </c>
      <c r="E191" s="1">
        <v>448</v>
      </c>
      <c r="F191" s="1">
        <v>191</v>
      </c>
      <c r="G191" s="1" t="s">
        <v>209</v>
      </c>
      <c r="H191" s="1" t="s">
        <v>531</v>
      </c>
      <c r="J191" s="1" t="s">
        <v>608</v>
      </c>
      <c r="M191" s="15" t="s">
        <v>795</v>
      </c>
      <c r="N191" s="15"/>
      <c r="O191" s="15"/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91" s="15" t="str">
        <f>_xlfn.TEXTBEFORE(_xlfn.TEXTAFTER(CantoralDB[[#This Row],[index.html]],"&gt;"),"&gt;")&amp;"&gt;"</f>
        <v>&lt;a href="canciones/nsb/pon_tu_mano.html"&gt;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2590</v>
      </c>
      <c r="C192" s="1"/>
      <c r="F192" s="1">
        <v>192</v>
      </c>
      <c r="J192" s="1"/>
      <c r="M192" s="15" t="s">
        <v>2229</v>
      </c>
      <c r="N192" s="15"/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192" s="15" t="str">
        <f>_xlfn.TEXTBEFORE(_xlfn.TEXTAFTER(CantoralDB[[#This Row],[index.html]],"&gt;"),"&gt;")&amp;"&gt;"</f>
        <v>&lt;a href="canciones/hermana_glenda/para_ti_toda_mi_musica_señor.html"&gt;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1628</v>
      </c>
      <c r="C193" s="1"/>
      <c r="F193" s="1">
        <v>193</v>
      </c>
      <c r="J193" s="1"/>
      <c r="M193" s="15" t="s">
        <v>2510</v>
      </c>
      <c r="N193" s="15"/>
      <c r="O193" s="15"/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93" s="15" t="str">
        <f>_xlfn.TEXTBEFORE(_xlfn.TEXTAFTER(CantoralDB[[#This Row],[index.html]],"&gt;"),"&gt;")&amp;"&gt;"</f>
        <v>&lt;a href="canciones/marta_gil-delgado/cristo.html"&gt;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2591</v>
      </c>
      <c r="C194" s="1"/>
      <c r="F194" s="1">
        <v>194</v>
      </c>
      <c r="J194" s="1"/>
      <c r="M194" s="15" t="s">
        <v>795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94" s="15" t="str">
        <f>_xlfn.TEXTBEFORE(_xlfn.TEXTAFTER(CantoralDB[[#This Row],[index.html]],"&gt;"),"&gt;")&amp;"&gt;"</f>
        <v>&lt;a href="canciones/nuevas/el_espiritu_de_dios_esta_en_este_lugar.html"&gt;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210</v>
      </c>
      <c r="C195" s="1" t="s">
        <v>211</v>
      </c>
      <c r="D195" s="1" t="s">
        <v>1397</v>
      </c>
      <c r="F195" s="1">
        <v>195</v>
      </c>
      <c r="G195" s="1" t="s">
        <v>209</v>
      </c>
      <c r="H195" s="1" t="s">
        <v>1027</v>
      </c>
      <c r="J195" s="1" t="s">
        <v>608</v>
      </c>
      <c r="M195" s="15" t="s">
        <v>2592</v>
      </c>
      <c r="N195" s="15"/>
      <c r="O195" s="15"/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95" s="15" t="str">
        <f>_xlfn.TEXTBEFORE(_xlfn.TEXTAFTER(CantoralDB[[#This Row],[index.html]],"&gt;"),"&gt;")&amp;"&gt;"</f>
        <v>&lt;a href="canciones/nsb/cantemos_al_amor_de_los_amores.html"&gt;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2593</v>
      </c>
      <c r="C196" s="1"/>
      <c r="F196" s="1">
        <v>196</v>
      </c>
      <c r="J196" s="1"/>
      <c r="M196" s="15" t="s">
        <v>795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96" s="15" t="str">
        <f>_xlfn.TEXTBEFORE(_xlfn.TEXTAFTER(CantoralDB[[#This Row],[index.html]],"&gt;"),"&gt;")&amp;"&gt;"</f>
        <v>&lt;a href="canciones/nuevas/a_que_tu_no_sabes.html"&gt;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2594</v>
      </c>
      <c r="C197" s="1"/>
      <c r="F197" s="1">
        <v>197</v>
      </c>
      <c r="J197" s="1"/>
      <c r="M197" s="15" t="s">
        <v>795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97" s="15" t="str">
        <f>_xlfn.TEXTBEFORE(_xlfn.TEXTAFTER(CantoralDB[[#This Row],[index.html]],"&gt;"),"&gt;")&amp;"&gt;"</f>
        <v>&lt;a href="canciones/nuevas/los_que_esperan.html"&gt;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2299</v>
      </c>
      <c r="C198" s="1"/>
      <c r="F198" s="1">
        <v>198</v>
      </c>
      <c r="J198" s="1"/>
      <c r="M198" s="15" t="s">
        <v>2229</v>
      </c>
      <c r="N198" s="15"/>
      <c r="O198" s="15"/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198" s="1"/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198" s="15" t="str">
        <f>_xlfn.TEXTBEFORE(_xlfn.TEXTAFTER(CantoralDB[[#This Row],[index.html]],"&gt;"),"&gt;")&amp;"&gt;"</f>
        <v>&lt;a href="canciones/hermana_glenda/yo_creo_en_tu_resurreccion.html"&gt;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2595</v>
      </c>
      <c r="C199" s="1"/>
      <c r="F199" s="1">
        <v>199</v>
      </c>
      <c r="J199" s="1"/>
      <c r="M199" s="15" t="s">
        <v>2596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99" s="1"/>
      <c r="T199" s="1"/>
      <c r="U199" s="15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99" s="15" t="str">
        <f>_xlfn.TEXTBEFORE(_xlfn.TEXTAFTER(CantoralDB[[#This Row],[index.html]],"&gt;"),"&gt;")&amp;"&gt;"</f>
        <v>&lt;a href="canciones/nuevas/clamaremos_al_señor.html"&gt;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2597</v>
      </c>
      <c r="C200" s="1"/>
      <c r="F200" s="1">
        <v>200</v>
      </c>
      <c r="J200" s="1"/>
      <c r="M200" s="15" t="s">
        <v>575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200" s="15" t="str">
        <f>_xlfn.TEXTBEFORE(_xlfn.TEXTAFTER(CantoralDB[[#This Row],[index.html]],"&gt;"),"&gt;")&amp;"&gt;"</f>
        <v>&lt;a href="canciones/nuevas/la_pancita.html"&gt;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2598</v>
      </c>
      <c r="C201" s="1"/>
      <c r="F201" s="1">
        <v>201</v>
      </c>
      <c r="J201" s="1"/>
      <c r="M201" s="15" t="s">
        <v>2599</v>
      </c>
      <c r="N201" s="15"/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201" s="1"/>
      <c r="T201" s="1"/>
      <c r="U201" s="15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201" s="15" t="str">
        <f>_xlfn.TEXTBEFORE(_xlfn.TEXTAFTER(CantoralDB[[#This Row],[index.html]],"&gt;"),"&gt;")&amp;"&gt;"</f>
        <v>&lt;a href="canciones/nuevas/quiero_agradecer.html"&gt;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2296</v>
      </c>
      <c r="C202" s="1"/>
      <c r="F202" s="1">
        <v>202</v>
      </c>
      <c r="J202" s="1"/>
      <c r="M202" s="15" t="s">
        <v>2229</v>
      </c>
      <c r="N202" s="15"/>
      <c r="O202" s="15"/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202" s="15" t="str">
        <f>_xlfn.TEXTBEFORE(_xlfn.TEXTAFTER(CantoralDB[[#This Row],[index.html]],"&gt;"),"&gt;")&amp;"&gt;"</f>
        <v>&lt;a href="canciones/hermana_glenda/quien_ha_encontrado_un_amigo.html"&gt;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106</v>
      </c>
      <c r="C203" s="1" t="s">
        <v>197</v>
      </c>
      <c r="D203" s="1" t="s">
        <v>1448</v>
      </c>
      <c r="E203" s="1">
        <v>198</v>
      </c>
      <c r="F203" s="1">
        <v>203</v>
      </c>
      <c r="G203" s="1" t="s">
        <v>209</v>
      </c>
      <c r="H203" s="1" t="s">
        <v>531</v>
      </c>
      <c r="I203" s="1" t="s">
        <v>2961</v>
      </c>
      <c r="J203" s="1" t="s">
        <v>608</v>
      </c>
      <c r="M203" s="15" t="s">
        <v>2877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203" s="15" t="str">
        <f>_xlfn.TEXTBEFORE(_xlfn.TEXTAFTER(CantoralDB[[#This Row],[index.html]],"&gt;"),"&gt;")&amp;"&gt;"</f>
        <v>&lt;a href="canciones/nsb/padre_nuestro_tu_que_estas.html"&gt;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2600</v>
      </c>
      <c r="C204" s="1"/>
      <c r="F204" s="1">
        <v>204</v>
      </c>
      <c r="J204" s="1"/>
      <c r="M204" s="15" t="s">
        <v>795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204" s="1"/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204" s="15" t="str">
        <f>_xlfn.TEXTBEFORE(_xlfn.TEXTAFTER(CantoralDB[[#This Row],[index.html]],"&gt;"),"&gt;")&amp;"&gt;"</f>
        <v>&lt;a href="canciones/nuevas/laudato_sii_o_mi_signore.html"&gt;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2156</v>
      </c>
      <c r="C205" s="15"/>
      <c r="F205" s="1">
        <v>205</v>
      </c>
      <c r="H205" s="1" t="s">
        <v>473</v>
      </c>
      <c r="J205" s="1" t="s">
        <v>608</v>
      </c>
      <c r="M205" s="15" t="s">
        <v>2175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205" s="1"/>
      <c r="T205" s="1"/>
      <c r="U205" s="33" t="s">
        <v>3000</v>
      </c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205" s="15" t="str">
        <f>_xlfn.TEXTBEFORE(_xlfn.TEXTAFTER(CantoralDB[[#This Row],[index.html]],"&gt;"),"&gt;")&amp;"&gt;"</f>
        <v>&lt;a href="canciones/nuevas/al_que_esta_sentado_en_el_trono_y_al_cordero.html"&gt;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1354</v>
      </c>
      <c r="C206" s="1"/>
      <c r="E206" s="1">
        <v>308</v>
      </c>
      <c r="F206" s="1">
        <v>206</v>
      </c>
      <c r="H206" s="1" t="s">
        <v>1027</v>
      </c>
      <c r="J206" s="1" t="s">
        <v>608</v>
      </c>
      <c r="M206" s="15" t="s">
        <v>483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06" s="1"/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06" s="15" t="str">
        <f>_xlfn.TEXTBEFORE(_xlfn.TEXTAFTER(CantoralDB[[#This Row],[index.html]],"&gt;"),"&gt;")&amp;"&gt;"</f>
        <v>&lt;a href="canciones/cesareo_gabarain/nadie_hay_tan_grande_como_tu.html"&gt;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2601</v>
      </c>
      <c r="C207" s="1"/>
      <c r="F207" s="1">
        <v>207</v>
      </c>
      <c r="J207" s="1"/>
      <c r="M207" s="15" t="s">
        <v>795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207" s="15" t="str">
        <f>_xlfn.TEXTBEFORE(_xlfn.TEXTAFTER(CantoralDB[[#This Row],[index.html]],"&gt;"),"&gt;")&amp;"&gt;"</f>
        <v>&lt;a href="canciones/nuevas/yo_tengo_un_gozo_en_el_alma.html"&gt;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103</v>
      </c>
      <c r="C208" s="1" t="s">
        <v>993</v>
      </c>
      <c r="D208" s="1" t="s">
        <v>725</v>
      </c>
      <c r="E208" s="1">
        <v>443</v>
      </c>
      <c r="F208" s="1">
        <v>208</v>
      </c>
      <c r="G208" s="1" t="s">
        <v>209</v>
      </c>
      <c r="H208" s="1" t="s">
        <v>531</v>
      </c>
      <c r="I208" s="1" t="s">
        <v>2961</v>
      </c>
      <c r="J208" s="1" t="s">
        <v>608</v>
      </c>
      <c r="M208" s="15" t="s">
        <v>484</v>
      </c>
      <c r="N208" s="15" t="s">
        <v>1483</v>
      </c>
      <c r="O208" s="15">
        <v>5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208" s="15" t="str">
        <f>_xlfn.TEXTBEFORE(_xlfn.TEXTAFTER(CantoralDB[[#This Row],[index.html]],"&gt;"),"&gt;")&amp;"&gt;"</f>
        <v>&lt;a href="canciones/kairoi/oracion_del_pobre.html"&gt;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2602</v>
      </c>
      <c r="C209" s="1"/>
      <c r="F209" s="1">
        <v>209</v>
      </c>
      <c r="J209" s="1"/>
      <c r="M209" s="15" t="s">
        <v>2603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209" s="15" t="str">
        <f>_xlfn.TEXTBEFORE(_xlfn.TEXTAFTER(CantoralDB[[#This Row],[index.html]],"&gt;"),"&gt;")&amp;"&gt;"</f>
        <v>&lt;a href="canciones/nuevas/ahora_es_tiempo.html"&gt;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235</v>
      </c>
      <c r="C210" s="1" t="s">
        <v>219</v>
      </c>
      <c r="D210" s="1" t="s">
        <v>1415</v>
      </c>
      <c r="F210" s="1">
        <v>210</v>
      </c>
      <c r="G210" s="1" t="s">
        <v>209</v>
      </c>
      <c r="H210" s="1" t="s">
        <v>1027</v>
      </c>
      <c r="J210" s="1" t="s">
        <v>608</v>
      </c>
      <c r="M210" s="15" t="s">
        <v>484</v>
      </c>
      <c r="N210" s="15" t="s">
        <v>1490</v>
      </c>
      <c r="O210" s="15">
        <v>7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210" s="1" t="s">
        <v>828</v>
      </c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210" s="15" t="str">
        <f>_xlfn.TEXTBEFORE(_xlfn.TEXTAFTER(CantoralDB[[#This Row],[index.html]],"&gt;"),"&gt;")&amp;"&gt;"</f>
        <v>&lt;a href="canciones/kairoi/el_señor_os_dara_su_espiritu_santo.html"&gt;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2604</v>
      </c>
      <c r="C211" s="1"/>
      <c r="F211" s="1">
        <v>211</v>
      </c>
      <c r="J211" s="1"/>
      <c r="M211" s="15" t="s">
        <v>795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211" s="15" t="str">
        <f>_xlfn.TEXTBEFORE(_xlfn.TEXTAFTER(CantoralDB[[#This Row],[index.html]],"&gt;"),"&gt;")&amp;"&gt;"</f>
        <v>&lt;a href="canciones/nuevas/manos_abiertas_ante_ti.html"&gt;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2605</v>
      </c>
      <c r="C212" s="1"/>
      <c r="F212" s="1">
        <v>212</v>
      </c>
      <c r="J212" s="1"/>
      <c r="M212" s="15" t="s">
        <v>2503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212" s="15" t="str">
        <f>_xlfn.TEXTBEFORE(_xlfn.TEXTAFTER(CantoralDB[[#This Row],[index.html]],"&gt;"),"&gt;")&amp;"&gt;"</f>
        <v>&lt;a href="canciones/rosa_cruz/anunciamos_con_poder.html"&gt;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2606</v>
      </c>
      <c r="C213" s="1"/>
      <c r="F213" s="1">
        <v>213</v>
      </c>
      <c r="J213" s="1"/>
      <c r="M213" s="15" t="s">
        <v>795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213" s="15" t="str">
        <f>_xlfn.TEXTBEFORE(_xlfn.TEXTAFTER(CantoralDB[[#This Row],[index.html]],"&gt;"),"&gt;")&amp;"&gt;"</f>
        <v>&lt;a href="canciones/nuevas/ay_de_mi_si_no_evangelizara.html"&gt;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2295</v>
      </c>
      <c r="C214" s="1"/>
      <c r="F214" s="1">
        <v>214</v>
      </c>
      <c r="J214" s="1"/>
      <c r="M214" s="15" t="s">
        <v>2229</v>
      </c>
      <c r="N214" s="15"/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214" s="1"/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214" s="15" t="str">
        <f>_xlfn.TEXTBEFORE(_xlfn.TEXTAFTER(CantoralDB[[#This Row],[index.html]],"&gt;"),"&gt;")&amp;"&gt;"</f>
        <v>&lt;a href="canciones/hermana_glenda/no_juzgues.html"&gt;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115</v>
      </c>
      <c r="C215" s="1" t="s">
        <v>191</v>
      </c>
      <c r="D215" s="1" t="s">
        <v>747</v>
      </c>
      <c r="E215" s="1">
        <v>449</v>
      </c>
      <c r="F215" s="1">
        <v>215</v>
      </c>
      <c r="G215" s="1" t="s">
        <v>209</v>
      </c>
      <c r="H215" s="1" t="s">
        <v>1029</v>
      </c>
      <c r="J215" s="1" t="s">
        <v>608</v>
      </c>
      <c r="M215" s="15" t="s">
        <v>587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215" s="1" t="s">
        <v>855</v>
      </c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215" s="15" t="str">
        <f>_xlfn.TEXTBEFORE(_xlfn.TEXTAFTER(CantoralDB[[#This Row],[index.html]],"&gt;"),"&gt;")&amp;"&gt;"</f>
        <v>&lt;a href="canciones/nsb/preparad_el_camino_al_señor.html"&gt;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2607</v>
      </c>
      <c r="C216" s="1"/>
      <c r="F216" s="1">
        <v>216</v>
      </c>
      <c r="J216" s="1"/>
      <c r="M216" s="15" t="s">
        <v>2608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216" s="15" t="str">
        <f>_xlfn.TEXTBEFORE(_xlfn.TEXTAFTER(CantoralDB[[#This Row],[index.html]],"&gt;"),"&gt;")&amp;"&gt;"</f>
        <v>&lt;a href="canciones/nuevas/tu_has_sido_fiel.html"&gt;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2609</v>
      </c>
      <c r="C217" s="1"/>
      <c r="F217" s="1">
        <v>217</v>
      </c>
      <c r="J217" s="1"/>
      <c r="M217" s="15" t="s">
        <v>795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217" s="1"/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217" s="15" t="str">
        <f>_xlfn.TEXTBEFORE(_xlfn.TEXTAFTER(CantoralDB[[#This Row],[index.html]],"&gt;"),"&gt;")&amp;"&gt;"</f>
        <v>&lt;a href="canciones/nuevas/levantare_mis_manos.html"&gt;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2292</v>
      </c>
      <c r="C218" s="1"/>
      <c r="F218" s="1">
        <v>218</v>
      </c>
      <c r="J218" s="1"/>
      <c r="M218" s="15" t="s">
        <v>2229</v>
      </c>
      <c r="N218" s="15"/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218" s="1"/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218" s="15" t="str">
        <f>_xlfn.TEXTBEFORE(_xlfn.TEXTAFTER(CantoralDB[[#This Row],[index.html]],"&gt;"),"&gt;")&amp;"&gt;"</f>
        <v>&lt;a href="canciones/hermana_glenda/quien_pierde_su_vida_la_encuentra.html"&gt;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2610</v>
      </c>
      <c r="C219" s="1"/>
      <c r="F219" s="1">
        <v>219</v>
      </c>
      <c r="J219" s="1"/>
      <c r="M219" s="15" t="s">
        <v>2611</v>
      </c>
      <c r="N219" s="15"/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219" s="15" t="str">
        <f>_xlfn.TEXTBEFORE(_xlfn.TEXTAFTER(CantoralDB[[#This Row],[index.html]],"&gt;"),"&gt;")&amp;"&gt;"</f>
        <v>&lt;a href="canciones/nuevas/majestad.html"&gt;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2243</v>
      </c>
      <c r="C220" s="1"/>
      <c r="F220" s="1">
        <v>220</v>
      </c>
      <c r="J220" s="1"/>
      <c r="M220" s="15" t="s">
        <v>2229</v>
      </c>
      <c r="N220" s="15"/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220" s="1"/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220" s="15" t="str">
        <f>_xlfn.TEXTBEFORE(_xlfn.TEXTAFTER(CantoralDB[[#This Row],[index.html]],"&gt;"),"&gt;")&amp;"&gt;"</f>
        <v>&lt;a href="canciones/hermana_glenda/nada_es_imposible.html"&gt;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2612</v>
      </c>
      <c r="C221" s="1"/>
      <c r="F221" s="1">
        <v>221</v>
      </c>
      <c r="J221" s="1"/>
      <c r="M221" s="15" t="s">
        <v>2613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221" s="1"/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221" s="15" t="str">
        <f>_xlfn.TEXTBEFORE(_xlfn.TEXTAFTER(CantoralDB[[#This Row],[index.html]],"&gt;"),"&gt;")&amp;"&gt;"</f>
        <v>&lt;a href="canciones/nuevas/enseñame_tu_camino_señor.html"&gt;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2614</v>
      </c>
      <c r="C222" s="1"/>
      <c r="F222" s="1">
        <v>222</v>
      </c>
      <c r="J222" s="1"/>
      <c r="M222" s="15" t="s">
        <v>795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222" s="15" t="str">
        <f>_xlfn.TEXTBEFORE(_xlfn.TEXTAFTER(CantoralDB[[#This Row],[index.html]],"&gt;"),"&gt;")&amp;"&gt;"</f>
        <v>&lt;a href="canciones/nuevas/manos_vacias.html"&gt;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2615</v>
      </c>
      <c r="C223" s="1"/>
      <c r="F223" s="1">
        <v>223</v>
      </c>
      <c r="J223" s="1"/>
      <c r="M223" s="15" t="s">
        <v>795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223" s="1"/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223" s="15" t="str">
        <f>_xlfn.TEXTBEFORE(_xlfn.TEXTAFTER(CantoralDB[[#This Row],[index.html]],"&gt;"),"&gt;")&amp;"&gt;"</f>
        <v>&lt;a href="canciones/nuevas/algo_esta_descendiendo.html"&gt;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2616</v>
      </c>
      <c r="C224" s="1"/>
      <c r="F224" s="1">
        <v>224</v>
      </c>
      <c r="J224" s="1"/>
      <c r="M224" s="15" t="s">
        <v>795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224" s="15" t="str">
        <f>_xlfn.TEXTBEFORE(_xlfn.TEXTAFTER(CantoralDB[[#This Row],[index.html]],"&gt;"),"&gt;")&amp;"&gt;"</f>
        <v>&lt;a href="canciones/nuevas/ven_a_conocer.html"&gt;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2617</v>
      </c>
      <c r="C225" s="1"/>
      <c r="F225" s="1">
        <v>225</v>
      </c>
      <c r="J225" s="1"/>
      <c r="M225" s="15" t="s">
        <v>795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225" s="15" t="str">
        <f>_xlfn.TEXTBEFORE(_xlfn.TEXTAFTER(CantoralDB[[#This Row],[index.html]],"&gt;"),"&gt;")&amp;"&gt;"</f>
        <v>&lt;a href="canciones/nuevas/pequeño_como_una_brisa.html"&gt;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2286</v>
      </c>
      <c r="C226" s="1"/>
      <c r="F226" s="1">
        <v>226</v>
      </c>
      <c r="J226" s="1"/>
      <c r="M226" s="15" t="s">
        <v>2229</v>
      </c>
      <c r="N226" s="15"/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226" s="15" t="str">
        <f>_xlfn.TEXTBEFORE(_xlfn.TEXTAFTER(CantoralDB[[#This Row],[index.html]],"&gt;"),"&gt;")&amp;"&gt;"</f>
        <v>&lt;a href="canciones/hermana_glenda/las_aguas_no_podran_apagar_el_amor.html"&gt;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2618</v>
      </c>
      <c r="C227" s="1"/>
      <c r="F227" s="1">
        <v>227</v>
      </c>
      <c r="J227" s="1"/>
      <c r="M227" s="15" t="s">
        <v>795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227" s="15" t="str">
        <f>_xlfn.TEXTBEFORE(_xlfn.TEXTAFTER(CantoralDB[[#This Row],[index.html]],"&gt;"),"&gt;")&amp;"&gt;"</f>
        <v>&lt;a href="canciones/nuevas/gloria_a_ti_por_siempre.html"&gt;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1578</v>
      </c>
      <c r="C228" s="1"/>
      <c r="F228" s="1">
        <v>228</v>
      </c>
      <c r="J228" s="1"/>
      <c r="M228" s="15" t="s">
        <v>2510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228" s="15" t="str">
        <f>_xlfn.TEXTBEFORE(_xlfn.TEXTAFTER(CantoralDB[[#This Row],[index.html]],"&gt;"),"&gt;")&amp;"&gt;"</f>
        <v>&lt;a href="canciones/marta_gil-delgado/no_temais.html"&gt;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2619</v>
      </c>
      <c r="C229" s="1"/>
      <c r="F229" s="1">
        <v>229</v>
      </c>
      <c r="J229" s="1"/>
      <c r="M229" s="15" t="s">
        <v>2406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229" s="1"/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229" s="15" t="str">
        <f>_xlfn.TEXTBEFORE(_xlfn.TEXTAFTER(CantoralDB[[#This Row],[index.html]],"&gt;"),"&gt;")&amp;"&gt;"</f>
        <v>&lt;a href="canciones/lazaro_iparraguirre/maestro.html"&gt;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2620</v>
      </c>
      <c r="C230" s="1"/>
      <c r="F230" s="1">
        <v>230</v>
      </c>
      <c r="J230" s="1"/>
      <c r="M230" s="15" t="s">
        <v>795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230" s="15" t="str">
        <f>_xlfn.TEXTBEFORE(_xlfn.TEXTAFTER(CantoralDB[[#This Row],[index.html]],"&gt;"),"&gt;")&amp;"&gt;"</f>
        <v>&lt;a href="canciones/nuevas/porque_para_siempre_dios.html"&gt;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2621</v>
      </c>
      <c r="C231" s="1"/>
      <c r="F231" s="1">
        <v>231</v>
      </c>
      <c r="J231" s="1"/>
      <c r="M231" s="15" t="s">
        <v>795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231" s="15" t="str">
        <f>_xlfn.TEXTBEFORE(_xlfn.TEXTAFTER(CantoralDB[[#This Row],[index.html]],"&gt;"),"&gt;")&amp;"&gt;"</f>
        <v>&lt;a href="canciones/nuevas/aqui_se_alaba.html"&gt;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1537</v>
      </c>
      <c r="C232" s="1"/>
      <c r="F232" s="1">
        <v>232</v>
      </c>
      <c r="H232" s="1" t="s">
        <v>1027</v>
      </c>
      <c r="J232" s="1" t="s">
        <v>608</v>
      </c>
      <c r="M232" s="15" t="s">
        <v>484</v>
      </c>
      <c r="N232" s="15" t="s">
        <v>1483</v>
      </c>
      <c r="O232" s="15">
        <v>6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232" s="15" t="str">
        <f>_xlfn.TEXTBEFORE(_xlfn.TEXTAFTER(CantoralDB[[#This Row],[index.html]],"&gt;"),"&gt;")&amp;"&gt;"</f>
        <v>&lt;a href="canciones/kairoi/himno_a_dios.html"&gt;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2622</v>
      </c>
      <c r="C233" s="1"/>
      <c r="F233" s="1">
        <v>233</v>
      </c>
      <c r="J233" s="1"/>
      <c r="M233" s="15" t="s">
        <v>490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233" s="15" t="str">
        <f>_xlfn.TEXTBEFORE(_xlfn.TEXTAFTER(CantoralDB[[#This Row],[index.html]],"&gt;"),"&gt;")&amp;"&gt;"</f>
        <v>&lt;a href="canciones/nuevas/resucitaremos_con_el.html"&gt;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2623</v>
      </c>
      <c r="C234" s="1"/>
      <c r="F234" s="1">
        <v>234</v>
      </c>
      <c r="J234" s="1"/>
      <c r="M234" s="15" t="s">
        <v>795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234" s="15" t="str">
        <f>_xlfn.TEXTBEFORE(_xlfn.TEXTAFTER(CantoralDB[[#This Row],[index.html]],"&gt;"),"&gt;")&amp;"&gt;"</f>
        <v>&lt;a href="canciones/nuevas/quiero_levantar_mis_manos.html"&gt;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1544</v>
      </c>
      <c r="C235" s="1"/>
      <c r="F235" s="1">
        <v>235</v>
      </c>
      <c r="J235" s="1"/>
      <c r="M235" s="15" t="s">
        <v>2624</v>
      </c>
      <c r="N235" s="15"/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235" s="15" t="str">
        <f>_xlfn.TEXTBEFORE(_xlfn.TEXTAFTER(CantoralDB[[#This Row],[index.html]],"&gt;"),"&gt;")&amp;"&gt;"</f>
        <v>&lt;a href="canciones/nuevas/magnificat.html"&gt;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2625</v>
      </c>
      <c r="C236" s="1"/>
      <c r="F236" s="1">
        <v>236</v>
      </c>
      <c r="J236" s="1"/>
      <c r="M236" s="15" t="s">
        <v>795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236" s="1"/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236" s="15" t="str">
        <f>_xlfn.TEXTBEFORE(_xlfn.TEXTAFTER(CantoralDB[[#This Row],[index.html]],"&gt;"),"&gt;")&amp;"&gt;"</f>
        <v>&lt;a href="canciones/nuevas/como_corre_un_rio.html"&gt;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1538</v>
      </c>
      <c r="C237" s="1"/>
      <c r="F237" s="1">
        <v>237</v>
      </c>
      <c r="J237" s="1"/>
      <c r="M237" s="15" t="s">
        <v>2229</v>
      </c>
      <c r="N237" s="15"/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237" s="15" t="str">
        <f>_xlfn.TEXTBEFORE(_xlfn.TEXTAFTER(CantoralDB[[#This Row],[index.html]],"&gt;"),"&gt;")&amp;"&gt;"</f>
        <v>&lt;a href="canciones/hermana_glenda/ven_señor_jesus.html"&gt;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2627</v>
      </c>
      <c r="C238" s="1"/>
      <c r="F238" s="1">
        <v>238</v>
      </c>
      <c r="J238" s="1"/>
      <c r="M238" s="15" t="s">
        <v>2626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238" s="15" t="str">
        <f>_xlfn.TEXTBEFORE(_xlfn.TEXTAFTER(CantoralDB[[#This Row],[index.html]],"&gt;"),"&gt;")&amp;"&gt;"</f>
        <v>&lt;a href="canciones/nuevas/el_gran_amor.html"&gt;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23</v>
      </c>
      <c r="C239" s="1" t="s">
        <v>993</v>
      </c>
      <c r="D239" s="1" t="s">
        <v>683</v>
      </c>
      <c r="E239" s="1">
        <v>409</v>
      </c>
      <c r="F239" s="1">
        <v>239</v>
      </c>
      <c r="G239" s="1" t="s">
        <v>209</v>
      </c>
      <c r="H239" s="1" t="s">
        <v>531</v>
      </c>
      <c r="J239" s="1" t="s">
        <v>608</v>
      </c>
      <c r="M239" s="15" t="s">
        <v>484</v>
      </c>
      <c r="N239" s="15" t="s">
        <v>1486</v>
      </c>
      <c r="O239" s="15">
        <v>11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239" s="1" t="s">
        <v>803</v>
      </c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239" s="15" t="str">
        <f>_xlfn.TEXTBEFORE(_xlfn.TEXTAFTER(CantoralDB[[#This Row],[index.html]],"&gt;"),"&gt;")&amp;"&gt;"</f>
        <v>&lt;a href="canciones/kairoi/amaos_(como_el_padre_me_amo).html"&gt;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2628</v>
      </c>
      <c r="C240" s="1"/>
      <c r="F240" s="1">
        <v>240</v>
      </c>
      <c r="J240" s="1"/>
      <c r="M240" s="15" t="s">
        <v>795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240" s="15" t="str">
        <f>_xlfn.TEXTBEFORE(_xlfn.TEXTAFTER(CantoralDB[[#This Row],[index.html]],"&gt;"),"&gt;")&amp;"&gt;"</f>
        <v>&lt;a href="canciones/nuevas/oh_aleluya.html"&gt;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609</v>
      </c>
      <c r="C241" s="1" t="s">
        <v>193</v>
      </c>
      <c r="D241" s="1" t="s">
        <v>1421</v>
      </c>
      <c r="F241" s="1">
        <v>241</v>
      </c>
      <c r="G241" s="1" t="s">
        <v>213</v>
      </c>
      <c r="H241" s="1" t="s">
        <v>531</v>
      </c>
      <c r="I241" s="1" t="s">
        <v>2961</v>
      </c>
      <c r="J241" s="1" t="s">
        <v>608</v>
      </c>
      <c r="M241" s="15" t="s">
        <v>484</v>
      </c>
      <c r="N241" s="15" t="s">
        <v>1483</v>
      </c>
      <c r="O241" s="15">
        <v>9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241" s="15" t="str">
        <f>_xlfn.TEXTBEFORE(_xlfn.TEXTAFTER(CantoralDB[[#This Row],[index.html]],"&gt;"),"&gt;")&amp;"&gt;"</f>
        <v>&lt;a href="canciones/kairoi/gloria_a_dios_(no_se_como_alabarte).html"&gt;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2629</v>
      </c>
      <c r="C242" s="1"/>
      <c r="F242" s="1">
        <v>242</v>
      </c>
      <c r="J242" s="1"/>
      <c r="M242" s="15" t="s">
        <v>2506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242" s="15" t="str">
        <f>_xlfn.TEXTBEFORE(_xlfn.TEXTAFTER(CantoralDB[[#This Row],[index.html]],"&gt;"),"&gt;")&amp;"&gt;"</f>
        <v>&lt;a href="canciones/nuevas/oh_alabad.html"&gt;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2631</v>
      </c>
      <c r="C243" s="1"/>
      <c r="F243" s="1">
        <v>243</v>
      </c>
      <c r="J243" s="1"/>
      <c r="M243" s="15" t="s">
        <v>2630</v>
      </c>
      <c r="N243" s="15"/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243" s="1"/>
      <c r="T243" s="1"/>
      <c r="U243" s="15"/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243" s="15" t="str">
        <f>_xlfn.TEXTBEFORE(_xlfn.TEXTAFTER(CantoralDB[[#This Row],[index.html]],"&gt;"),"&gt;")&amp;"&gt;"</f>
        <v>&lt;a href="canciones/nuevas/mira_el_rostro_de_jesus.html"&gt;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2170</v>
      </c>
      <c r="C244" s="1"/>
      <c r="F244" s="1">
        <v>244</v>
      </c>
      <c r="H244" s="1" t="s">
        <v>531</v>
      </c>
      <c r="J244" s="1" t="s">
        <v>608</v>
      </c>
      <c r="M244" s="15" t="s">
        <v>2183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244" s="1"/>
      <c r="T244" s="1"/>
      <c r="U244" s="33" t="s">
        <v>3010</v>
      </c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244" s="15" t="str">
        <f>_xlfn.TEXTBEFORE(_xlfn.TEXTAFTER(CantoralDB[[#This Row],[index.html]],"&gt;"),"&gt;")&amp;"&gt;"</f>
        <v>&lt;a href="canciones/nuevas/salvame.html"&gt;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2633</v>
      </c>
      <c r="C245" s="1"/>
      <c r="F245" s="1">
        <v>245</v>
      </c>
      <c r="J245" s="1"/>
      <c r="M245" s="15" t="s">
        <v>795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245" s="1"/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245" s="15" t="str">
        <f>_xlfn.TEXTBEFORE(_xlfn.TEXTAFTER(CantoralDB[[#This Row],[index.html]],"&gt;"),"&gt;")&amp;"&gt;"</f>
        <v>&lt;a href="canciones/nuevas/salvador_para_todos.html"&gt;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2632</v>
      </c>
      <c r="C246" s="1"/>
      <c r="F246" s="1">
        <v>246</v>
      </c>
      <c r="J246" s="1"/>
      <c r="M246" s="15" t="s">
        <v>2503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246" s="15" t="str">
        <f>_xlfn.TEXTBEFORE(_xlfn.TEXTAFTER(CantoralDB[[#This Row],[index.html]],"&gt;"),"&gt;")&amp;"&gt;"</f>
        <v>&lt;a href="canciones/rosa_cruz/lo_mas_valioso.html"&gt;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2634</v>
      </c>
      <c r="C247" s="1"/>
      <c r="F247" s="1">
        <v>247</v>
      </c>
      <c r="J247" s="1"/>
      <c r="M247" s="15" t="s">
        <v>2493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247" s="1"/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247" s="15" t="str">
        <f>_xlfn.TEXTBEFORE(_xlfn.TEXTAFTER(CantoralDB[[#This Row],[index.html]],"&gt;"),"&gt;")&amp;"&gt;"</f>
        <v>&lt;a href="canciones/nuevas/vive_jesus.html"&gt;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2635</v>
      </c>
      <c r="C248" s="1"/>
      <c r="F248" s="1">
        <v>248</v>
      </c>
      <c r="H248" s="1" t="s">
        <v>1027</v>
      </c>
      <c r="J248" s="1" t="s">
        <v>608</v>
      </c>
      <c r="M248" s="15" t="s">
        <v>2397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248" s="15" t="str">
        <f>_xlfn.TEXTBEFORE(_xlfn.TEXTAFTER(CantoralDB[[#This Row],[index.html]],"&gt;"),"&gt;")&amp;"&gt;"</f>
        <v>&lt;a href="canciones/nuevas/seduce_mi_corazon.html"&gt;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1214</v>
      </c>
      <c r="C249" s="1"/>
      <c r="F249" s="1">
        <v>249</v>
      </c>
      <c r="J249" s="1"/>
      <c r="M249" s="15" t="s">
        <v>2229</v>
      </c>
      <c r="N249" s="15"/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249" s="1" t="s">
        <v>2307</v>
      </c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249" s="15" t="str">
        <f>_xlfn.TEXTBEFORE(_xlfn.TEXTAFTER(CantoralDB[[#This Row],[index.html]],"&gt;"),"&gt;")&amp;"&gt;"</f>
        <v>&lt;a href="canciones/hermana_glenda/el_auxilio_me_viene_del_señor.html"&gt;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490</v>
      </c>
      <c r="C250" s="1"/>
      <c r="F250" s="1">
        <v>250</v>
      </c>
      <c r="J250" s="1"/>
      <c r="M250" s="15" t="s">
        <v>2514</v>
      </c>
      <c r="N250" s="15"/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250" s="15" t="str">
        <f>_xlfn.TEXTBEFORE(_xlfn.TEXTAFTER(CantoralDB[[#This Row],[index.html]],"&gt;"),"&gt;")&amp;"&gt;"</f>
        <v>&lt;a href="canciones/nuevas/maranatha.html"&gt;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2636</v>
      </c>
      <c r="C251" s="1"/>
      <c r="F251" s="1">
        <v>251</v>
      </c>
      <c r="J251" s="1"/>
      <c r="M251" s="15" t="s">
        <v>2503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251" s="15" t="str">
        <f>_xlfn.TEXTBEFORE(_xlfn.TEXTAFTER(CantoralDB[[#This Row],[index.html]],"&gt;"),"&gt;")&amp;"&gt;"</f>
        <v>&lt;a href="canciones/rosa_cruz/cuida_de_mi.html"&gt;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245</v>
      </c>
      <c r="C252" s="1"/>
      <c r="F252" s="1">
        <v>252</v>
      </c>
      <c r="J252" s="1"/>
      <c r="M252" s="15" t="s">
        <v>795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252" s="15" t="str">
        <f>_xlfn.TEXTBEFORE(_xlfn.TEXTAFTER(CantoralDB[[#This Row],[index.html]],"&gt;"),"&gt;")&amp;"&gt;"</f>
        <v>&lt;a href="canciones/nuevas/bienvenidos.html"&gt;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1160</v>
      </c>
      <c r="C253" s="1"/>
      <c r="F253" s="1">
        <v>253</v>
      </c>
      <c r="J253" s="1"/>
      <c r="M253" s="15" t="s">
        <v>795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253" s="1"/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253" s="15" t="str">
        <f>_xlfn.TEXTBEFORE(_xlfn.TEXTAFTER(CantoralDB[[#This Row],[index.html]],"&gt;"),"&gt;")&amp;"&gt;"</f>
        <v>&lt;a href="canciones/nuevas/alabad_al_señor_en_su_templo.html"&gt;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2637</v>
      </c>
      <c r="C254" s="1"/>
      <c r="F254" s="1">
        <v>254</v>
      </c>
      <c r="J254" s="1"/>
      <c r="M254" s="15" t="s">
        <v>2639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254" s="1"/>
      <c r="T254" s="1"/>
      <c r="U254" s="15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254" s="15" t="str">
        <f>_xlfn.TEXTBEFORE(_xlfn.TEXTAFTER(CantoralDB[[#This Row],[index.html]],"&gt;"),"&gt;")&amp;"&gt;"</f>
        <v>&lt;a href="canciones/nuevas/hoy_canto_para_ti.html"&gt;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2638</v>
      </c>
      <c r="C255" s="1"/>
      <c r="F255" s="1">
        <v>255</v>
      </c>
      <c r="J255" s="1"/>
      <c r="M255" s="15" t="s">
        <v>575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255" s="15" t="str">
        <f>_xlfn.TEXTBEFORE(_xlfn.TEXTAFTER(CantoralDB[[#This Row],[index.html]],"&gt;"),"&gt;")&amp;"&gt;"</f>
        <v>&lt;a href="canciones/nuevas/gloria_a_jesus_el_señor.html"&gt;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2640</v>
      </c>
      <c r="C256" s="1"/>
      <c r="F256" s="1">
        <v>256</v>
      </c>
      <c r="J256" s="1"/>
      <c r="M256" s="15" t="s">
        <v>795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256" s="15" t="str">
        <f>_xlfn.TEXTBEFORE(_xlfn.TEXTAFTER(CantoralDB[[#This Row],[index.html]],"&gt;"),"&gt;")&amp;"&gt;"</f>
        <v>&lt;a href="canciones/nuevas/me_sedujiste_señor.html"&gt;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2641</v>
      </c>
      <c r="C257" s="1"/>
      <c r="F257" s="1">
        <v>257</v>
      </c>
      <c r="J257" s="1"/>
      <c r="M257" s="15" t="s">
        <v>2643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257" s="1"/>
      <c r="T257" s="1"/>
      <c r="U257" s="15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257" s="15" t="str">
        <f>_xlfn.TEXTBEFORE(_xlfn.TEXTAFTER(CantoralDB[[#This Row],[index.html]],"&gt;"),"&gt;")&amp;"&gt;"</f>
        <v>&lt;a href="canciones/nuevas/mi_alma_tiene_sed_de_dios.html"&gt;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2642</v>
      </c>
      <c r="C258" s="1"/>
      <c r="F258" s="1">
        <v>258</v>
      </c>
      <c r="J258" s="1"/>
      <c r="M258" s="15" t="s">
        <v>2644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258" s="1"/>
      <c r="T258" s="1"/>
      <c r="U258" s="15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258" s="15" t="str">
        <f>_xlfn.TEXTBEFORE(_xlfn.TEXTAFTER(CantoralDB[[#This Row],[index.html]],"&gt;"),"&gt;")&amp;"&gt;"</f>
        <v>&lt;a href="canciones/nuevas/ven_dios_padre.html"&gt;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2363</v>
      </c>
      <c r="C259" s="1"/>
      <c r="F259" s="1">
        <v>259</v>
      </c>
      <c r="J259" s="1"/>
      <c r="M259" s="15" t="s">
        <v>795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259" s="15" t="str">
        <f>_xlfn.TEXTBEFORE(_xlfn.TEXTAFTER(CantoralDB[[#This Row],[index.html]],"&gt;"),"&gt;")&amp;"&gt;"</f>
        <v>&lt;a href="canciones/nuevas/venid_a_mi.html"&gt;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2645</v>
      </c>
      <c r="C260" s="1"/>
      <c r="F260" s="1">
        <v>260</v>
      </c>
      <c r="J260" s="1"/>
      <c r="M260" s="15" t="s">
        <v>795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260" s="1"/>
      <c r="T260" s="1"/>
      <c r="U260" s="15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260" s="15" t="str">
        <f>_xlfn.TEXTBEFORE(_xlfn.TEXTAFTER(CantoralDB[[#This Row],[index.html]],"&gt;"),"&gt;")&amp;"&gt;"</f>
        <v>&lt;a href="canciones/nuevas/conviene_que_cristo_crezca.html"&gt;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2251</v>
      </c>
      <c r="C261" s="1"/>
      <c r="F261" s="1">
        <v>261</v>
      </c>
      <c r="J261" s="1"/>
      <c r="M261" s="15" t="s">
        <v>795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261" s="15" t="str">
        <f>_xlfn.TEXTBEFORE(_xlfn.TEXTAFTER(CantoralDB[[#This Row],[index.html]],"&gt;"),"&gt;")&amp;"&gt;"</f>
        <v>&lt;a href="canciones/nuevas/cristo_vive_en_mi.html"&gt;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2646</v>
      </c>
      <c r="C262" s="1"/>
      <c r="F262" s="1">
        <v>262</v>
      </c>
      <c r="J262" s="1"/>
      <c r="M262" s="15" t="s">
        <v>2647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262" s="1"/>
      <c r="T262" s="1"/>
      <c r="U262" s="15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262" s="15" t="str">
        <f>_xlfn.TEXTBEFORE(_xlfn.TEXTAFTER(CantoralDB[[#This Row],[index.html]],"&gt;"),"&gt;")&amp;"&gt;"</f>
        <v>&lt;a href="canciones/nuevas/vuelvete_a_mi.html"&gt;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2648</v>
      </c>
      <c r="C263" s="1"/>
      <c r="F263" s="1">
        <v>263</v>
      </c>
      <c r="J263" s="1"/>
      <c r="M263" s="15" t="s">
        <v>795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263" s="1"/>
      <c r="T263" s="1"/>
      <c r="U263" s="15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263" s="15" t="str">
        <f>_xlfn.TEXTBEFORE(_xlfn.TEXTAFTER(CantoralDB[[#This Row],[index.html]],"&gt;"),"&gt;")&amp;"&gt;"</f>
        <v>&lt;a href="canciones/nuevas/pon_hoy_la_llama_de_amor.html"&gt;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2649</v>
      </c>
      <c r="C264" s="1"/>
      <c r="F264" s="1">
        <v>264</v>
      </c>
      <c r="J264" s="1"/>
      <c r="M264" s="15" t="s">
        <v>795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264" s="1"/>
      <c r="T264" s="1"/>
      <c r="U264" s="15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264" s="15" t="str">
        <f>_xlfn.TEXTBEFORE(_xlfn.TEXTAFTER(CantoralDB[[#This Row],[index.html]],"&gt;"),"&gt;")&amp;"&gt;"</f>
        <v>&lt;a href="canciones/nuevas/honor_y_gloria_a_tu_nombre.html"&gt;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1539</v>
      </c>
      <c r="C265" s="1"/>
      <c r="F265" s="1">
        <v>265</v>
      </c>
      <c r="H265" s="1" t="s">
        <v>1027</v>
      </c>
      <c r="J265" s="1" t="s">
        <v>608</v>
      </c>
      <c r="M265" s="15" t="s">
        <v>484</v>
      </c>
      <c r="N265" s="15" t="s">
        <v>1483</v>
      </c>
      <c r="O265" s="15">
        <v>10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265" s="1"/>
      <c r="T265" s="1"/>
      <c r="U265" s="15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265" s="15" t="str">
        <f>_xlfn.TEXTBEFORE(_xlfn.TEXTAFTER(CantoralDB[[#This Row],[index.html]],"&gt;"),"&gt;")&amp;"&gt;"</f>
        <v>&lt;a href="canciones/kairoi/tu_me_sondeas.html"&gt;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2650</v>
      </c>
      <c r="C266" s="1"/>
      <c r="F266" s="1">
        <v>266</v>
      </c>
      <c r="J266" s="1"/>
      <c r="M266" s="15" t="s">
        <v>2503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266" s="15" t="str">
        <f>_xlfn.TEXTBEFORE(_xlfn.TEXTAFTER(CantoralDB[[#This Row],[index.html]],"&gt;"),"&gt;")&amp;"&gt;"</f>
        <v>&lt;a href="canciones/rosa_cruz/en_ti_esta_la_fuente_de_la_vida.html"&gt;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2652</v>
      </c>
      <c r="C267" s="1"/>
      <c r="F267" s="1">
        <v>267</v>
      </c>
      <c r="J267" s="1"/>
      <c r="M267" s="15" t="s">
        <v>2651</v>
      </c>
      <c r="N267" s="15"/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267" s="1"/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267" s="15" t="str">
        <f>_xlfn.TEXTBEFORE(_xlfn.TEXTAFTER(CantoralDB[[#This Row],[index.html]],"&gt;"),"&gt;")&amp;"&gt;"</f>
        <v>&lt;a href="canciones/nuevas/nadie_te_quiere_como_el.html"&gt;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1190</v>
      </c>
      <c r="C268" s="1"/>
      <c r="F268" s="1">
        <v>268</v>
      </c>
      <c r="J268" s="1"/>
      <c r="M268" s="15" t="s">
        <v>795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268" s="15" t="str">
        <f>_xlfn.TEXTBEFORE(_xlfn.TEXTAFTER(CantoralDB[[#This Row],[index.html]],"&gt;"),"&gt;")&amp;"&gt;"</f>
        <v>&lt;a href="canciones/nuevas/criaturas_del_señor.html"&gt;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2653</v>
      </c>
      <c r="C269" s="1"/>
      <c r="F269" s="1">
        <v>269</v>
      </c>
      <c r="J269" s="1"/>
      <c r="M269" s="15" t="s">
        <v>2654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269" s="15" t="str">
        <f>_xlfn.TEXTBEFORE(_xlfn.TEXTAFTER(CantoralDB[[#This Row],[index.html]],"&gt;"),"&gt;")&amp;"&gt;"</f>
        <v>&lt;a href="canciones/nuevas/en_momentos_asi.html"&gt;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2655</v>
      </c>
      <c r="C270" s="1"/>
      <c r="F270" s="1">
        <v>270</v>
      </c>
      <c r="J270" s="1"/>
      <c r="M270" s="15" t="s">
        <v>795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270" s="15" t="str">
        <f>_xlfn.TEXTBEFORE(_xlfn.TEXTAFTER(CantoralDB[[#This Row],[index.html]],"&gt;"),"&gt;")&amp;"&gt;"</f>
        <v>&lt;a href="canciones/nuevas/tomame.html"&gt;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2656</v>
      </c>
      <c r="C271" s="1"/>
      <c r="F271" s="1">
        <v>271</v>
      </c>
      <c r="J271" s="1"/>
      <c r="M271" s="15" t="s">
        <v>2657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271" s="15" t="str">
        <f>_xlfn.TEXTBEFORE(_xlfn.TEXTAFTER(CantoralDB[[#This Row],[index.html]],"&gt;"),"&gt;")&amp;"&gt;"</f>
        <v>&lt;a href="canciones/nuevas/ven_ahora_espiritu_santo.html"&gt;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2658</v>
      </c>
      <c r="C272" s="1"/>
      <c r="F272" s="1">
        <v>272</v>
      </c>
      <c r="J272" s="1"/>
      <c r="M272" s="15" t="s">
        <v>2400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272" s="15" t="str">
        <f>_xlfn.TEXTBEFORE(_xlfn.TEXTAFTER(CantoralDB[[#This Row],[index.html]],"&gt;"),"&gt;")&amp;"&gt;"</f>
        <v>&lt;a href="canciones/luis_alfredo_diaz/vine_a_alabar_a_dios.html"&gt;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1347</v>
      </c>
      <c r="C273" s="1"/>
      <c r="F273" s="1">
        <v>273</v>
      </c>
      <c r="J273" s="1"/>
      <c r="M273" s="15" t="s">
        <v>2433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273" s="1"/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273" s="15" t="str">
        <f>_xlfn.TEXTBEFORE(_xlfn.TEXTAFTER(CantoralDB[[#This Row],[index.html]],"&gt;"),"&gt;")&amp;"&gt;"</f>
        <v>&lt;a href="canciones/nuevas/ven_espiritu_santo.html"&gt;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2659</v>
      </c>
      <c r="C274" s="1"/>
      <c r="F274" s="1">
        <v>274</v>
      </c>
      <c r="J274" s="1"/>
      <c r="M274" s="15" t="s">
        <v>795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274" s="15" t="str">
        <f>_xlfn.TEXTBEFORE(_xlfn.TEXTAFTER(CantoralDB[[#This Row],[index.html]],"&gt;"),"&gt;")&amp;"&gt;"</f>
        <v>&lt;a href="canciones/nuevas/no_puede_estar_triste.html"&gt;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2660</v>
      </c>
      <c r="C275" s="1"/>
      <c r="F275" s="1">
        <v>275</v>
      </c>
      <c r="J275" s="1"/>
      <c r="M275" s="15" t="s">
        <v>2661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275" s="1"/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275" s="15" t="str">
        <f>_xlfn.TEXTBEFORE(_xlfn.TEXTAFTER(CantoralDB[[#This Row],[index.html]],"&gt;"),"&gt;")&amp;"&gt;"</f>
        <v>&lt;a href="canciones/nuevas/no_tengo_mas.html"&gt;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2662</v>
      </c>
      <c r="C276" s="1"/>
      <c r="F276" s="1">
        <v>276</v>
      </c>
      <c r="J276" s="1"/>
      <c r="M276" s="15" t="s">
        <v>795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276" s="1"/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276" s="15" t="str">
        <f>_xlfn.TEXTBEFORE(_xlfn.TEXTAFTER(CantoralDB[[#This Row],[index.html]],"&gt;"),"&gt;")&amp;"&gt;"</f>
        <v>&lt;a href="canciones/nuevas/venid_alabad.html"&gt;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2663</v>
      </c>
      <c r="C277" s="1"/>
      <c r="F277" s="1">
        <v>277</v>
      </c>
      <c r="J277" s="1"/>
      <c r="M277" s="15" t="s">
        <v>590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277" s="15" t="str">
        <f>_xlfn.TEXTBEFORE(_xlfn.TEXTAFTER(CantoralDB[[#This Row],[index.html]],"&gt;"),"&gt;")&amp;"&gt;"</f>
        <v>&lt;a href="canciones/alejandro_ruiz/tuya_es_la_victoria.html"&gt;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2664</v>
      </c>
      <c r="C278" s="1"/>
      <c r="F278" s="1">
        <v>278</v>
      </c>
      <c r="J278" s="1"/>
      <c r="M278" s="15" t="s">
        <v>795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278" s="15" t="str">
        <f>_xlfn.TEXTBEFORE(_xlfn.TEXTAFTER(CantoralDB[[#This Row],[index.html]],"&gt;"),"&gt;")&amp;"&gt;"</f>
        <v>&lt;a href="canciones/nuevas/ven_ahora.html"&gt;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2665</v>
      </c>
      <c r="C279" s="1"/>
      <c r="F279" s="1">
        <v>279</v>
      </c>
      <c r="J279" s="1"/>
      <c r="M279" s="15" t="s">
        <v>795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279" s="15" t="str">
        <f>_xlfn.TEXTBEFORE(_xlfn.TEXTAFTER(CantoralDB[[#This Row],[index.html]],"&gt;"),"&gt;")&amp;"&gt;"</f>
        <v>&lt;a href="canciones/nuevas/es_necesario_morir.html"&gt;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2238</v>
      </c>
      <c r="C280" s="1"/>
      <c r="F280" s="1">
        <v>280</v>
      </c>
      <c r="J280" s="1"/>
      <c r="M280" s="15" t="s">
        <v>2229</v>
      </c>
      <c r="N280" s="15"/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280" s="15" t="str">
        <f>_xlfn.TEXTBEFORE(_xlfn.TEXTAFTER(CantoralDB[[#This Row],[index.html]],"&gt;"),"&gt;")&amp;"&gt;"</f>
        <v>&lt;a href="canciones/hermana_glenda/no_soy_digno.html"&gt;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2666</v>
      </c>
      <c r="C281" s="1"/>
      <c r="F281" s="1">
        <v>281</v>
      </c>
      <c r="J281" s="1"/>
      <c r="M281" s="15" t="s">
        <v>795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281" s="1"/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281" s="15" t="str">
        <f>_xlfn.TEXTBEFORE(_xlfn.TEXTAFTER(CantoralDB[[#This Row],[index.html]],"&gt;"),"&gt;")&amp;"&gt;"</f>
        <v>&lt;a href="canciones/nuevas/el_amor_del_señor.html"&gt;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2667</v>
      </c>
      <c r="C282" s="1"/>
      <c r="F282" s="1">
        <v>282</v>
      </c>
      <c r="J282" s="1"/>
      <c r="M282" s="15" t="s">
        <v>539</v>
      </c>
      <c r="N282" s="15"/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282" s="15" t="str">
        <f>_xlfn.TEXTBEFORE(_xlfn.TEXTAFTER(CantoralDB[[#This Row],[index.html]],"&gt;"),"&gt;")&amp;"&gt;"</f>
        <v>&lt;a href="canciones/josep_asuncion/gloriosa_luz_de_dios.html"&gt;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2668</v>
      </c>
      <c r="C283" s="1"/>
      <c r="F283" s="1">
        <v>283</v>
      </c>
      <c r="J283" s="1"/>
      <c r="M283" s="15" t="s">
        <v>795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283" s="15" t="str">
        <f>_xlfn.TEXTBEFORE(_xlfn.TEXTAFTER(CantoralDB[[#This Row],[index.html]],"&gt;"),"&gt;")&amp;"&gt;"</f>
        <v>&lt;a href="canciones/nuevas/ven_amor_de_dios.html"&gt;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68</v>
      </c>
      <c r="C284" s="1" t="s">
        <v>193</v>
      </c>
      <c r="D284" s="1" t="s">
        <v>1423</v>
      </c>
      <c r="E284" s="1">
        <v>426</v>
      </c>
      <c r="F284" s="1">
        <v>284</v>
      </c>
      <c r="G284" s="1" t="s">
        <v>209</v>
      </c>
      <c r="H284" s="1" t="s">
        <v>531</v>
      </c>
      <c r="I284" s="1" t="s">
        <v>2962</v>
      </c>
      <c r="J284" s="1" t="s">
        <v>608</v>
      </c>
      <c r="M284" s="15" t="s">
        <v>506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284" s="15" t="str">
        <f>_xlfn.TEXTBEFORE(_xlfn.TEXTAFTER(CantoralDB[[#This Row],[index.html]],"&gt;"),"&gt;")&amp;"&gt;"</f>
        <v>&lt;a href="canciones/nsb/gloria_a_dios_gloria_al_padre.html"&gt;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583</v>
      </c>
      <c r="C285" s="1"/>
      <c r="F285" s="1">
        <v>285</v>
      </c>
      <c r="H285" s="1" t="s">
        <v>2969</v>
      </c>
      <c r="J285" s="1" t="s">
        <v>608</v>
      </c>
      <c r="M285" s="15" t="s">
        <v>2669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285" s="1"/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285" s="15" t="str">
        <f>_xlfn.TEXTBEFORE(_xlfn.TEXTAFTER(CantoralDB[[#This Row],[index.html]],"&gt;"),"&gt;")&amp;"&gt;"</f>
        <v>&lt;a href="canciones/nuevas/salve_regina.html"&gt;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2670</v>
      </c>
      <c r="C286" s="1"/>
      <c r="F286" s="1">
        <v>286</v>
      </c>
      <c r="J286" s="1"/>
      <c r="M286" s="15" t="s">
        <v>2393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286" s="1"/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286" s="15" t="str">
        <f>_xlfn.TEXTBEFORE(_xlfn.TEXTAFTER(CantoralDB[[#This Row],[index.html]],"&gt;"),"&gt;")&amp;"&gt;"</f>
        <v>&lt;a href="canciones/marcos_witt/cuan_bello_es_el_señor.html"&gt;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167</v>
      </c>
      <c r="C287" s="1" t="s">
        <v>201</v>
      </c>
      <c r="D287" s="1" t="s">
        <v>682</v>
      </c>
      <c r="E287" s="1">
        <v>475</v>
      </c>
      <c r="F287" s="1">
        <v>287</v>
      </c>
      <c r="G287" s="1" t="s">
        <v>209</v>
      </c>
      <c r="H287" s="1" t="s">
        <v>1030</v>
      </c>
      <c r="J287" s="1" t="s">
        <v>608</v>
      </c>
      <c r="M287" s="15" t="s">
        <v>588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287" s="15" t="str">
        <f>_xlfn.TEXTBEFORE(_xlfn.TEXTAFTER(CantoralDB[[#This Row],[index.html]],"&gt;"),"&gt;")&amp;"&gt;"</f>
        <v>&lt;a href="canciones/nsb/yo_celebrare.html"&gt;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2671</v>
      </c>
      <c r="C288" s="1"/>
      <c r="F288" s="1">
        <v>288</v>
      </c>
      <c r="J288" s="1"/>
      <c r="M288" s="15" t="s">
        <v>2503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288" s="15" t="str">
        <f>_xlfn.TEXTBEFORE(_xlfn.TEXTAFTER(CantoralDB[[#This Row],[index.html]],"&gt;"),"&gt;")&amp;"&gt;"</f>
        <v>&lt;a href="canciones/rosa_cruz/yo_abrire_una_puerta.html"&gt;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2672</v>
      </c>
      <c r="C289" s="1"/>
      <c r="F289" s="1">
        <v>289</v>
      </c>
      <c r="J289" s="1"/>
      <c r="M289" s="15" t="s">
        <v>795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289" s="15" t="str">
        <f>_xlfn.TEXTBEFORE(_xlfn.TEXTAFTER(CantoralDB[[#This Row],[index.html]],"&gt;"),"&gt;")&amp;"&gt;"</f>
        <v>&lt;a href="canciones/nuevas/me_gozare_me_alegrare.html"&gt;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2673</v>
      </c>
      <c r="C290" s="1"/>
      <c r="F290" s="1">
        <v>290</v>
      </c>
      <c r="J290" s="1"/>
      <c r="M290" s="15" t="s">
        <v>570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290" s="1"/>
      <c r="T290" s="1"/>
      <c r="U290" s="15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290" s="15" t="str">
        <f>_xlfn.TEXTBEFORE(_xlfn.TEXTAFTER(CantoralDB[[#This Row],[index.html]],"&gt;"),"&gt;")&amp;"&gt;"</f>
        <v>&lt;a href="canciones/pelayo_sanchez/ved_a_cristo.html"&gt;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2674</v>
      </c>
      <c r="C291" s="1"/>
      <c r="F291" s="1">
        <v>291</v>
      </c>
      <c r="J291" s="1"/>
      <c r="M291" s="15" t="s">
        <v>539</v>
      </c>
      <c r="N291" s="15"/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291" s="15" t="str">
        <f>_xlfn.TEXTBEFORE(_xlfn.TEXTAFTER(CantoralDB[[#This Row],[index.html]],"&gt;"),"&gt;")&amp;"&gt;"</f>
        <v>&lt;a href="canciones/josep_asuncion/alabandote.html"&gt;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2675</v>
      </c>
      <c r="C292" s="1"/>
      <c r="F292" s="1">
        <v>292</v>
      </c>
      <c r="J292" s="1"/>
      <c r="M292" s="15" t="s">
        <v>2503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292" s="15" t="str">
        <f>_xlfn.TEXTBEFORE(_xlfn.TEXTAFTER(CantoralDB[[#This Row],[index.html]],"&gt;"),"&gt;")&amp;"&gt;"</f>
        <v>&lt;a href="canciones/rosa_cruz/zarza_ardiente.html"&gt;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13</v>
      </c>
      <c r="C293" s="1" t="s">
        <v>194</v>
      </c>
      <c r="D293" s="1" t="s">
        <v>1371</v>
      </c>
      <c r="E293" s="1">
        <v>20</v>
      </c>
      <c r="F293" s="1">
        <v>293</v>
      </c>
      <c r="G293" s="1" t="s">
        <v>209</v>
      </c>
      <c r="H293" s="1" t="s">
        <v>531</v>
      </c>
      <c r="J293" s="1" t="s">
        <v>608</v>
      </c>
      <c r="M293" s="15" t="s">
        <v>483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93" s="15" t="str">
        <f>_xlfn.TEXTBEFORE(_xlfn.TEXTAFTER(CantoralDB[[#This Row],[index.html]],"&gt;"),"&gt;")&amp;"&gt;"</f>
        <v>&lt;a href="canciones/cesareo_gabarain/alelu-aleluya.html"&gt;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2676</v>
      </c>
      <c r="C294" s="1"/>
      <c r="F294" s="1">
        <v>294</v>
      </c>
      <c r="J294" s="1"/>
      <c r="M294" s="15" t="s">
        <v>2677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294" s="15" t="str">
        <f>_xlfn.TEXTBEFORE(_xlfn.TEXTAFTER(CantoralDB[[#This Row],[index.html]],"&gt;"),"&gt;")&amp;"&gt;"</f>
        <v>&lt;a href="canciones/nuevas/digno_eres.html"&gt;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2678</v>
      </c>
      <c r="C295" s="1"/>
      <c r="F295" s="1">
        <v>295</v>
      </c>
      <c r="J295" s="1"/>
      <c r="M295" s="15" t="s">
        <v>539</v>
      </c>
      <c r="N295" s="15"/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295" s="15" t="str">
        <f>_xlfn.TEXTBEFORE(_xlfn.TEXTAFTER(CantoralDB[[#This Row],[index.html]],"&gt;"),"&gt;")&amp;"&gt;"</f>
        <v>&lt;a href="canciones/josep_asuncion/me_basta_tu_presencia_y_tu_figura.html"&gt;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2679</v>
      </c>
      <c r="C296" s="1"/>
      <c r="F296" s="1">
        <v>296</v>
      </c>
      <c r="J296" s="1"/>
      <c r="M296" s="15" t="s">
        <v>2680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296" s="15" t="str">
        <f>_xlfn.TEXTBEFORE(_xlfn.TEXTAFTER(CantoralDB[[#This Row],[index.html]],"&gt;"),"&gt;")&amp;"&gt;"</f>
        <v>&lt;a href="canciones/nuevas/jesus_y_la_samaritana.html"&gt;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2681</v>
      </c>
      <c r="C297" s="1"/>
      <c r="F297" s="1">
        <v>297</v>
      </c>
      <c r="H297" s="1" t="s">
        <v>1027</v>
      </c>
      <c r="J297" s="1" t="s">
        <v>608</v>
      </c>
      <c r="M297" s="15" t="s">
        <v>2682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297" s="1"/>
      <c r="T297" s="1"/>
      <c r="U297" s="33" t="s">
        <v>3001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297" s="15" t="str">
        <f>_xlfn.TEXTBEFORE(_xlfn.TEXTAFTER(CantoralDB[[#This Row],[index.html]],"&gt;"),"&gt;")&amp;"&gt;"</f>
        <v>&lt;a href="canciones/nuevas/aleluya_demos_gracias.html"&gt;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2683</v>
      </c>
      <c r="C298" s="1"/>
      <c r="F298" s="1">
        <v>298</v>
      </c>
      <c r="J298" s="1"/>
      <c r="M298" s="15" t="s">
        <v>2684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298" s="1"/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298" s="15" t="str">
        <f>_xlfn.TEXTBEFORE(_xlfn.TEXTAFTER(CantoralDB[[#This Row],[index.html]],"&gt;"),"&gt;")&amp;"&gt;"</f>
        <v>&lt;a href="canciones/nuevas/jesus_salvador.html"&gt;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124</v>
      </c>
      <c r="C299" s="1" t="s">
        <v>191</v>
      </c>
      <c r="D299" s="1" t="s">
        <v>750</v>
      </c>
      <c r="E299" s="1">
        <v>451</v>
      </c>
      <c r="F299" s="1">
        <v>299</v>
      </c>
      <c r="G299" s="1" t="s">
        <v>209</v>
      </c>
      <c r="H299" s="1" t="s">
        <v>1027</v>
      </c>
      <c r="J299" s="1" t="s">
        <v>608</v>
      </c>
      <c r="M299" s="15" t="s">
        <v>490</v>
      </c>
      <c r="N299" s="15"/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299" s="15" t="str">
        <f>_xlfn.TEXTBEFORE(_xlfn.TEXTAFTER(CantoralDB[[#This Row],[index.html]],"&gt;"),"&gt;")&amp;"&gt;"</f>
        <v>&lt;a href="canciones/nsb/quiero_alabarte.html"&gt;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2685</v>
      </c>
      <c r="C300" s="1"/>
      <c r="F300" s="1">
        <v>300</v>
      </c>
      <c r="J300" s="1"/>
      <c r="M300" s="15" t="s">
        <v>2503</v>
      </c>
      <c r="N300" s="15"/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300" s="15" t="str">
        <f>_xlfn.TEXTBEFORE(_xlfn.TEXTAFTER(CantoralDB[[#This Row],[index.html]],"&gt;"),"&gt;")&amp;"&gt;"</f>
        <v>&lt;a href="canciones/rosa_cruz/al_nombre_de_jesus.html"&gt;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11</v>
      </c>
      <c r="C301" s="1" t="s">
        <v>191</v>
      </c>
      <c r="D301" s="1" t="s">
        <v>1368</v>
      </c>
      <c r="E301" s="1">
        <v>16</v>
      </c>
      <c r="F301" s="1">
        <v>301</v>
      </c>
      <c r="G301" s="1" t="s">
        <v>209</v>
      </c>
      <c r="H301" s="1" t="s">
        <v>1027</v>
      </c>
      <c r="I301" s="1" t="s">
        <v>2961</v>
      </c>
      <c r="J301" s="1" t="s">
        <v>608</v>
      </c>
      <c r="M301" s="15" t="s">
        <v>491</v>
      </c>
      <c r="N301" s="15"/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301" s="15" t="str">
        <f>_xlfn.TEXTBEFORE(_xlfn.TEXTAFTER(CantoralDB[[#This Row],[index.html]],"&gt;"),"&gt;")&amp;"&gt;"</f>
        <v>&lt;a href="canciones/juan_antonio_espinosa/alegre_la_mañana.html"&gt;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2686</v>
      </c>
      <c r="C302" s="1"/>
      <c r="F302" s="1">
        <v>302</v>
      </c>
      <c r="J302" s="1"/>
      <c r="M302" s="15" t="s">
        <v>2687</v>
      </c>
      <c r="N302" s="15"/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302" s="15" t="str">
        <f>_xlfn.TEXTBEFORE(_xlfn.TEXTAFTER(CantoralDB[[#This Row],[index.html]],"&gt;"),"&gt;")&amp;"&gt;"</f>
        <v>&lt;a href="canciones/nuevas/dios_el_mas_grande.html"&gt;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180</v>
      </c>
      <c r="C303" s="1" t="s">
        <v>993</v>
      </c>
      <c r="D303" s="1" t="s">
        <v>702</v>
      </c>
      <c r="F303" s="1">
        <v>303</v>
      </c>
      <c r="G303" s="1" t="s">
        <v>209</v>
      </c>
      <c r="H303" s="1" t="s">
        <v>531</v>
      </c>
      <c r="J303" s="1" t="s">
        <v>608</v>
      </c>
      <c r="M303" s="15" t="s">
        <v>589</v>
      </c>
      <c r="N303" s="15"/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03" s="1" t="s">
        <v>829</v>
      </c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303" s="15" t="str">
        <f>_xlfn.TEXTBEFORE(_xlfn.TEXTAFTER(CantoralDB[[#This Row],[index.html]],"&gt;"),"&gt;")&amp;"&gt;"</f>
        <v>&lt;a href="canciones/nsb/el_vendra_y_te_salvara.html"&gt;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2688</v>
      </c>
      <c r="C304" s="1"/>
      <c r="F304" s="1">
        <v>304</v>
      </c>
      <c r="J304" s="1"/>
      <c r="M304" s="15" t="s">
        <v>795</v>
      </c>
      <c r="N304" s="15"/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304" s="15" t="str">
        <f>_xlfn.TEXTBEFORE(_xlfn.TEXTAFTER(CantoralDB[[#This Row],[index.html]],"&gt;"),"&gt;")&amp;"&gt;"</f>
        <v>&lt;a href="canciones/nuevas/jesus_(asis).html"&gt;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2689</v>
      </c>
      <c r="C305" s="1"/>
      <c r="F305" s="1">
        <v>305</v>
      </c>
      <c r="J305" s="1"/>
      <c r="M305" s="15" t="s">
        <v>2406</v>
      </c>
      <c r="N305" s="15"/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305" s="15" t="str">
        <f>_xlfn.TEXTBEFORE(_xlfn.TEXTAFTER(CantoralDB[[#This Row],[index.html]],"&gt;"),"&gt;")&amp;"&gt;"</f>
        <v>&lt;a href="canciones/lazaro_iparraguirre/venid_alabemos.html"&gt;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2149</v>
      </c>
      <c r="C306" s="1"/>
      <c r="F306" s="1">
        <v>306</v>
      </c>
      <c r="H306" s="1" t="s">
        <v>473</v>
      </c>
      <c r="J306" s="1" t="s">
        <v>608</v>
      </c>
      <c r="M306" s="15" t="s">
        <v>484</v>
      </c>
      <c r="N306" s="15" t="s">
        <v>1486</v>
      </c>
      <c r="O306" s="15">
        <v>10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306" s="15" t="str">
        <f>_xlfn.TEXTBEFORE(_xlfn.TEXTAFTER(CantoralDB[[#This Row],[index.html]],"&gt;"),"&gt;")&amp;"&gt;"</f>
        <v>&lt;a href="canciones/kairoi/padre_nuestro_i.html"&gt;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2690</v>
      </c>
      <c r="C307" s="1"/>
      <c r="F307" s="1">
        <v>307</v>
      </c>
      <c r="J307" s="1"/>
      <c r="M307" s="15" t="s">
        <v>2510</v>
      </c>
      <c r="N307" s="15"/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307" s="1"/>
      <c r="T307" s="1"/>
      <c r="U307" s="15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307" s="15" t="str">
        <f>_xlfn.TEXTBEFORE(_xlfn.TEXTAFTER(CantoralDB[[#This Row],[index.html]],"&gt;"),"&gt;")&amp;"&gt;"</f>
        <v>&lt;a href="canciones/marta_gil-delgado/cree_y_veras_la_gloria_de_dios.html"&gt;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2691</v>
      </c>
      <c r="C308" s="1"/>
      <c r="F308" s="1">
        <v>308</v>
      </c>
      <c r="J308" s="1"/>
      <c r="M308" s="15" t="s">
        <v>2406</v>
      </c>
      <c r="N308" s="15"/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308" s="15" t="str">
        <f>_xlfn.TEXTBEFORE(_xlfn.TEXTAFTER(CantoralDB[[#This Row],[index.html]],"&gt;"),"&gt;")&amp;"&gt;"</f>
        <v>&lt;a href="canciones/lazaro_iparraguirre/resucito.html"&gt;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2912</v>
      </c>
      <c r="C309" s="1"/>
      <c r="F309" s="1">
        <v>309</v>
      </c>
      <c r="H309" s="1" t="s">
        <v>531</v>
      </c>
      <c r="J309" s="1" t="s">
        <v>608</v>
      </c>
      <c r="M309" s="15" t="s">
        <v>2669</v>
      </c>
      <c r="N309" s="15"/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309" s="15" t="str">
        <f>_xlfn.TEXTBEFORE(_xlfn.TEXTAFTER(CantoralDB[[#This Row],[index.html]],"&gt;"),"&gt;")&amp;"&gt;"</f>
        <v>&lt;a href="canciones/nuevas/abba_padre_(escuchame).html"&gt;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2693</v>
      </c>
      <c r="C310" s="1"/>
      <c r="F310" s="1">
        <v>310</v>
      </c>
      <c r="J310" s="1"/>
      <c r="M310" s="15" t="s">
        <v>2881</v>
      </c>
      <c r="N310" s="15"/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310" s="1"/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310" s="15" t="str">
        <f>_xlfn.TEXTBEFORE(_xlfn.TEXTAFTER(CantoralDB[[#This Row],[index.html]],"&gt;"),"&gt;")&amp;"&gt;"</f>
        <v>&lt;a href="canciones/nuevas/ponte_ya_de_pie.html"&gt;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2694</v>
      </c>
      <c r="C311" s="1"/>
      <c r="F311" s="1">
        <v>311</v>
      </c>
      <c r="J311" s="1"/>
      <c r="M311" s="15" t="s">
        <v>499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311" s="1"/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311" s="15" t="str">
        <f>_xlfn.TEXTBEFORE(_xlfn.TEXTAFTER(CantoralDB[[#This Row],[index.html]],"&gt;"),"&gt;")&amp;"&gt;"</f>
        <v>&lt;a href="canciones/brotes_de_olivo/dame_vida.html"&gt;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2695</v>
      </c>
      <c r="C312" s="1"/>
      <c r="F312" s="1">
        <v>312</v>
      </c>
      <c r="J312" s="1"/>
      <c r="M312" s="15" t="s">
        <v>590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12" s="1"/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312" s="15" t="str">
        <f>_xlfn.TEXTBEFORE(_xlfn.TEXTAFTER(CantoralDB[[#This Row],[index.html]],"&gt;"),"&gt;")&amp;"&gt;"</f>
        <v>&lt;a href="canciones/alejandro_ruiz/no_hay_nadie_como_tu.html"&gt;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2696</v>
      </c>
      <c r="C313" s="1"/>
      <c r="F313" s="1">
        <v>313</v>
      </c>
      <c r="J313" s="1"/>
      <c r="M313" s="15" t="s">
        <v>570</v>
      </c>
      <c r="N313" s="15"/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313" s="1"/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313" s="15" t="str">
        <f>_xlfn.TEXTBEFORE(_xlfn.TEXTAFTER(CantoralDB[[#This Row],[index.html]],"&gt;"),"&gt;")&amp;"&gt;"</f>
        <v>&lt;a href="canciones/pelayo_sanchez/ven_a_cantar.html"&gt;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2697</v>
      </c>
      <c r="C314" s="1"/>
      <c r="F314" s="1">
        <v>314</v>
      </c>
      <c r="J314" s="1"/>
      <c r="M314" s="15" t="s">
        <v>795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314" s="1"/>
      <c r="T314" s="1"/>
      <c r="U314" s="15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314" s="15" t="str">
        <f>_xlfn.TEXTBEFORE(_xlfn.TEXTAFTER(CantoralDB[[#This Row],[index.html]],"&gt;"),"&gt;")&amp;"&gt;"</f>
        <v>&lt;a href="canciones/nuevas/gracias_por_lo_que_haces_por_mi.html"&gt;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2157</v>
      </c>
      <c r="C315" s="15"/>
      <c r="F315" s="1">
        <v>315</v>
      </c>
      <c r="H315" s="1" t="s">
        <v>473</v>
      </c>
      <c r="J315" s="1" t="s">
        <v>608</v>
      </c>
      <c r="M315" s="15" t="s">
        <v>2176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315" s="1"/>
      <c r="T315" s="1"/>
      <c r="U315" s="33" t="s">
        <v>3002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315" s="15" t="str">
        <f>_xlfn.TEXTBEFORE(_xlfn.TEXTAFTER(CantoralDB[[#This Row],[index.html]],"&gt;"),"&gt;")&amp;"&gt;"</f>
        <v>&lt;a href="canciones/nuevas/aleluya_yo_creo_en_tu_amor.html"&gt;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2698</v>
      </c>
      <c r="C316" s="1"/>
      <c r="F316" s="1">
        <v>316</v>
      </c>
      <c r="J316" s="1"/>
      <c r="M316" s="15" t="s">
        <v>2393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316" s="1"/>
      <c r="T316" s="1"/>
      <c r="U316" s="15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316" s="15" t="str">
        <f>_xlfn.TEXTBEFORE(_xlfn.TEXTAFTER(CantoralDB[[#This Row],[index.html]],"&gt;"),"&gt;")&amp;"&gt;"</f>
        <v>&lt;a href="canciones/marcos_witt/mas_el_dios_de_toda_gracia.html"&gt;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95</v>
      </c>
      <c r="C317" s="1" t="s">
        <v>201</v>
      </c>
      <c r="D317" s="1" t="s">
        <v>664</v>
      </c>
      <c r="E317" s="1">
        <v>438</v>
      </c>
      <c r="F317" s="1">
        <v>317</v>
      </c>
      <c r="G317" s="1" t="s">
        <v>209</v>
      </c>
      <c r="H317" s="1" t="s">
        <v>531</v>
      </c>
      <c r="J317" s="1" t="s">
        <v>608</v>
      </c>
      <c r="M317" s="15" t="s">
        <v>499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317" s="1"/>
      <c r="T317" s="1"/>
      <c r="U317" s="15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317" s="15" t="str">
        <f>_xlfn.TEXTBEFORE(_xlfn.TEXTAFTER(CantoralDB[[#This Row],[index.html]],"&gt;"),"&gt;")&amp;"&gt;"</f>
        <v>&lt;a href="canciones/brotes_de_olivo/nada_nos_separara.html"&gt;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111</v>
      </c>
      <c r="C318" s="1" t="s">
        <v>993</v>
      </c>
      <c r="D318" s="1" t="s">
        <v>727</v>
      </c>
      <c r="E318" s="1">
        <v>313</v>
      </c>
      <c r="F318" s="1">
        <v>318</v>
      </c>
      <c r="G318" s="1" t="s">
        <v>209</v>
      </c>
      <c r="H318" s="1" t="s">
        <v>531</v>
      </c>
      <c r="I318" s="1" t="s">
        <v>2961</v>
      </c>
      <c r="J318" s="1" t="s">
        <v>608</v>
      </c>
      <c r="M318" s="15" t="s">
        <v>483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318" s="1" t="s">
        <v>853</v>
      </c>
      <c r="T318" s="1"/>
      <c r="U318" s="15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318" s="15" t="str">
        <f>_xlfn.TEXTBEFORE(_xlfn.TEXTAFTER(CantoralDB[[#This Row],[index.html]],"&gt;"),"&gt;")&amp;"&gt;"</f>
        <v>&lt;a href="canciones/cesareo_gabarain/pescador_de_hombres.html"&gt;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415</v>
      </c>
      <c r="C319" s="1" t="s">
        <v>1022</v>
      </c>
      <c r="D319" s="1" t="s">
        <v>1143</v>
      </c>
      <c r="E319" s="1">
        <v>173</v>
      </c>
      <c r="F319" s="1">
        <v>319</v>
      </c>
      <c r="H319" s="1" t="s">
        <v>1030</v>
      </c>
      <c r="I319" s="1" t="s">
        <v>2959</v>
      </c>
      <c r="J319" s="1" t="s">
        <v>608</v>
      </c>
      <c r="M319" s="15" t="s">
        <v>2140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319" s="1" t="s">
        <v>978</v>
      </c>
      <c r="T319" s="1"/>
      <c r="U319" s="15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319" s="15" t="str">
        <f>_xlfn.TEXTBEFORE(_xlfn.TEXTAFTER(CantoralDB[[#This Row],[index.html]],"&gt;"),"&gt;")&amp;"&gt;"</f>
        <v>&lt;a href="canciones/taize/nada_te_turbe.html"&gt;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885</v>
      </c>
      <c r="C320" s="1"/>
      <c r="F320" s="1">
        <v>320</v>
      </c>
      <c r="J320" s="1"/>
      <c r="M320" s="15" t="s">
        <v>2699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20" s="1"/>
      <c r="T320" s="1"/>
      <c r="U320" s="15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320" s="15" t="str">
        <f>_xlfn.TEXTBEFORE(_xlfn.TEXTAFTER(CantoralDB[[#This Row],[index.html]],"&gt;"),"&gt;")&amp;"&gt;"</f>
        <v>&lt;a href="canciones/nuevas/bendecid_al_señor.html"&gt;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2700</v>
      </c>
      <c r="C321" s="1"/>
      <c r="F321" s="1">
        <v>321</v>
      </c>
      <c r="J321" s="1"/>
      <c r="M321" s="15" t="s">
        <v>2701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321" s="1"/>
      <c r="T321" s="1"/>
      <c r="U321" s="15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321" s="15" t="str">
        <f>_xlfn.TEXTBEFORE(_xlfn.TEXTAFTER(CantoralDB[[#This Row],[index.html]],"&gt;"),"&gt;")&amp;"&gt;"</f>
        <v>&lt;a href="canciones/nuevas/aleluya_jesus_es_el_señor.html"&gt;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2702</v>
      </c>
      <c r="C322" s="1"/>
      <c r="F322" s="1">
        <v>322</v>
      </c>
      <c r="J322" s="1"/>
      <c r="M322" s="15" t="s">
        <v>2493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322" s="1"/>
      <c r="T322" s="1"/>
      <c r="U322" s="15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322" s="15" t="str">
        <f>_xlfn.TEXTBEFORE(_xlfn.TEXTAFTER(CantoralDB[[#This Row],[index.html]],"&gt;"),"&gt;")&amp;"&gt;"</f>
        <v>&lt;a href="canciones/nuevas/hay_una_promesa.html"&gt;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2703</v>
      </c>
      <c r="C323" s="1"/>
      <c r="F323" s="1">
        <v>323</v>
      </c>
      <c r="J323" s="1"/>
      <c r="M323" s="15" t="s">
        <v>2704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323" s="1"/>
      <c r="T323" s="1"/>
      <c r="U323" s="15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323" s="15" t="str">
        <f>_xlfn.TEXTBEFORE(_xlfn.TEXTAFTER(CantoralDB[[#This Row],[index.html]],"&gt;"),"&gt;")&amp;"&gt;"</f>
        <v>&lt;a href="canciones/nuevas/padre_te_adoramos.html"&gt;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2558</v>
      </c>
      <c r="C324" s="1"/>
      <c r="F324" s="1">
        <v>324</v>
      </c>
      <c r="J324" s="1"/>
      <c r="M324" s="15" t="s">
        <v>2705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324" s="1"/>
      <c r="T324" s="1"/>
      <c r="U324" s="15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324" s="15" t="str">
        <f>_xlfn.TEXTBEFORE(_xlfn.TEXTAFTER(CantoralDB[[#This Row],[index.html]],"&gt;"),"&gt;")&amp;"&gt;"</f>
        <v>&lt;a href="canciones/nuevas/vamos_con_gozo.html"&gt;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26</v>
      </c>
      <c r="C325" s="1" t="s">
        <v>219</v>
      </c>
      <c r="D325" s="1" t="s">
        <v>1390</v>
      </c>
      <c r="E325" s="1">
        <v>411</v>
      </c>
      <c r="F325" s="1">
        <v>325</v>
      </c>
      <c r="G325" s="1" t="s">
        <v>209</v>
      </c>
      <c r="H325" s="1" t="s">
        <v>1029</v>
      </c>
      <c r="I325" s="1" t="s">
        <v>2958</v>
      </c>
      <c r="J325" s="1" t="s">
        <v>608</v>
      </c>
      <c r="M325" s="15" t="s">
        <v>570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325" s="1" t="s">
        <v>808</v>
      </c>
      <c r="T325" s="1"/>
      <c r="U325" s="15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325" s="15" t="str">
        <f>_xlfn.TEXTBEFORE(_xlfn.TEXTAFTER(CantoralDB[[#This Row],[index.html]],"&gt;"),"&gt;")&amp;"&gt;"</f>
        <v>&lt;a href="canciones/pelayo_sanchez/bendigamos_al_señor.html"&gt;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2706</v>
      </c>
      <c r="C326" s="1"/>
      <c r="F326" s="1">
        <v>326</v>
      </c>
      <c r="J326" s="1"/>
      <c r="M326" s="15" t="s">
        <v>2707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326" s="1"/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326" s="15" t="str">
        <f>_xlfn.TEXTBEFORE(_xlfn.TEXTAFTER(CantoralDB[[#This Row],[index.html]],"&gt;"),"&gt;")&amp;"&gt;"</f>
        <v>&lt;a href="canciones/nuevas/hosanna.html"&gt;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2708</v>
      </c>
      <c r="C327" s="1"/>
      <c r="F327" s="1">
        <v>327</v>
      </c>
      <c r="J327" s="1"/>
      <c r="M327" s="15" t="s">
        <v>795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327" s="1"/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327" s="15" t="str">
        <f>_xlfn.TEXTBEFORE(_xlfn.TEXTAFTER(CantoralDB[[#This Row],[index.html]],"&gt;"),"&gt;")&amp;"&gt;"</f>
        <v>&lt;a href="canciones/nuevas/haz_de_mi_una_ofrenda.html"&gt;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96</v>
      </c>
      <c r="C328" s="1" t="s">
        <v>993</v>
      </c>
      <c r="D328" s="1" t="s">
        <v>721</v>
      </c>
      <c r="E328" s="1">
        <v>439</v>
      </c>
      <c r="F328" s="1">
        <v>328</v>
      </c>
      <c r="G328" s="1" t="s">
        <v>209</v>
      </c>
      <c r="H328" s="1" t="s">
        <v>531</v>
      </c>
      <c r="J328" s="1" t="s">
        <v>608</v>
      </c>
      <c r="M328" s="15" t="s">
        <v>575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328" s="1" t="s">
        <v>846</v>
      </c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328" s="15" t="str">
        <f>_xlfn.TEXTBEFORE(_xlfn.TEXTAFTER(CantoralDB[[#This Row],[index.html]],"&gt;"),"&gt;")&amp;"&gt;"</f>
        <v>&lt;a href="canciones/nsb/nadie_te_ama_como_yo.html"&gt;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140</v>
      </c>
      <c r="C329" s="1" t="s">
        <v>193</v>
      </c>
      <c r="D329" s="1" t="s">
        <v>1470</v>
      </c>
      <c r="F329" s="1">
        <v>329</v>
      </c>
      <c r="G329" s="1" t="s">
        <v>209</v>
      </c>
      <c r="H329" s="1" t="s">
        <v>531</v>
      </c>
      <c r="J329" s="1" t="s">
        <v>608</v>
      </c>
      <c r="M329" s="15" t="s">
        <v>570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329" s="1"/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329" s="15" t="str">
        <f>_xlfn.TEXTBEFORE(_xlfn.TEXTAFTER(CantoralDB[[#This Row],[index.html]],"&gt;"),"&gt;")&amp;"&gt;"</f>
        <v>&lt;a href="canciones/pelayo_sanchez/te_damos_gracias_señor.html"&gt;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2709</v>
      </c>
      <c r="C330" s="1"/>
      <c r="F330" s="1">
        <v>330</v>
      </c>
      <c r="J330" s="1"/>
      <c r="M330" s="15" t="s">
        <v>795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330" s="1"/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330" s="15" t="str">
        <f>_xlfn.TEXTBEFORE(_xlfn.TEXTAFTER(CantoralDB[[#This Row],[index.html]],"&gt;"),"&gt;")&amp;"&gt;"</f>
        <v>&lt;a href="canciones/nuevas/cristo_maravilloso_eres_tu.html"&gt;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2710</v>
      </c>
      <c r="C331" s="1"/>
      <c r="F331" s="1">
        <v>331</v>
      </c>
      <c r="J331" s="1"/>
      <c r="M331" s="15" t="s">
        <v>795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331" s="1"/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331" s="15" t="str">
        <f>_xlfn.TEXTBEFORE(_xlfn.TEXTAFTER(CantoralDB[[#This Row],[index.html]],"&gt;"),"&gt;")&amp;"&gt;"</f>
        <v>&lt;a href="canciones/nuevas/cantemos_al_señor.html"&gt;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2711</v>
      </c>
      <c r="C332" s="1"/>
      <c r="F332" s="1">
        <v>332</v>
      </c>
      <c r="H332" s="1" t="s">
        <v>1030</v>
      </c>
      <c r="J332" s="1" t="s">
        <v>608</v>
      </c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32" s="1"/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332" s="15" t="str">
        <f>_xlfn.TEXTBEFORE(_xlfn.TEXTAFTER(CantoralDB[[#This Row],[index.html]],"&gt;"),"&gt;")&amp;"&gt;"</f>
        <v>&lt;a href="canciones/alejandro_ruiz/arranca_de_mi_pecho.html"&gt;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193</v>
      </c>
      <c r="C333" s="1"/>
      <c r="F333" s="1">
        <v>333</v>
      </c>
      <c r="J333" s="1"/>
      <c r="M333" s="15" t="s">
        <v>2712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333" s="1"/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333" s="15" t="str">
        <f>_xlfn.TEXTBEFORE(_xlfn.TEXTAFTER(CantoralDB[[#This Row],[index.html]],"&gt;"),"&gt;")&amp;"&gt;"</f>
        <v>&lt;a href="canciones/nuevas/gloria.html"&gt;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2713</v>
      </c>
      <c r="C334" s="1"/>
      <c r="F334" s="1">
        <v>334</v>
      </c>
      <c r="J334" s="1"/>
      <c r="M334" s="15" t="s">
        <v>2510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334" s="1"/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334" s="15" t="str">
        <f>_xlfn.TEXTBEFORE(_xlfn.TEXTAFTER(CantoralDB[[#This Row],[index.html]],"&gt;"),"&gt;")&amp;"&gt;"</f>
        <v>&lt;a href="canciones/marta_gil-delgado/hasta_los_confines_de_la_tierra.html"&gt;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2714</v>
      </c>
      <c r="C335" s="1"/>
      <c r="F335" s="1">
        <v>335</v>
      </c>
      <c r="J335" s="1"/>
      <c r="M335" s="15" t="s">
        <v>795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335" s="1"/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335" s="15" t="str">
        <f>_xlfn.TEXTBEFORE(_xlfn.TEXTAFTER(CantoralDB[[#This Row],[index.html]],"&gt;"),"&gt;")&amp;"&gt;"</f>
        <v>&lt;a href="canciones/nuevas/no_hay_nadie_como_mi_dios.html"&gt;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2715</v>
      </c>
      <c r="C336" s="1"/>
      <c r="F336" s="1">
        <v>336</v>
      </c>
      <c r="J336" s="1"/>
      <c r="M336" s="15" t="s">
        <v>795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336" s="1"/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336" s="15" t="str">
        <f>_xlfn.TEXTBEFORE(_xlfn.TEXTAFTER(CantoralDB[[#This Row],[index.html]],"&gt;"),"&gt;")&amp;"&gt;"</f>
        <v>&lt;a href="canciones/nuevas/te_alabaran_oh_señor.html"&gt;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2716</v>
      </c>
      <c r="C337" s="1"/>
      <c r="F337" s="1">
        <v>337</v>
      </c>
      <c r="J337" s="1"/>
      <c r="M337" s="15" t="s">
        <v>2717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337" s="1"/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337" s="15" t="str">
        <f>_xlfn.TEXTBEFORE(_xlfn.TEXTAFTER(CantoralDB[[#This Row],[index.html]],"&gt;"),"&gt;")&amp;"&gt;"</f>
        <v>&lt;a href="canciones/nuevas/el_señor_resucitado.html"&gt;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45</v>
      </c>
      <c r="C338" s="1" t="s">
        <v>191</v>
      </c>
      <c r="D338" s="1" t="s">
        <v>733</v>
      </c>
      <c r="E338" s="1">
        <v>417</v>
      </c>
      <c r="F338" s="1">
        <v>338</v>
      </c>
      <c r="G338" s="1" t="s">
        <v>209</v>
      </c>
      <c r="H338" s="1" t="s">
        <v>531</v>
      </c>
      <c r="J338" s="1" t="s">
        <v>608</v>
      </c>
      <c r="M338" s="15" t="s">
        <v>502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338" s="15" t="str">
        <f>_xlfn.TEXTBEFORE(_xlfn.TEXTAFTER(CantoralDB[[#This Row],[index.html]],"&gt;"),"&gt;")&amp;"&gt;"</f>
        <v>&lt;a href="canciones/nsb/dios_esta_aqui.html"&gt;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236</v>
      </c>
      <c r="C339" s="1" t="s">
        <v>993</v>
      </c>
      <c r="D339" s="1" t="s">
        <v>710</v>
      </c>
      <c r="F339" s="1">
        <v>339</v>
      </c>
      <c r="G339" s="1" t="s">
        <v>216</v>
      </c>
      <c r="H339" s="1" t="s">
        <v>531</v>
      </c>
      <c r="J339" s="1" t="s">
        <v>608</v>
      </c>
      <c r="M339" s="15" t="s">
        <v>499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339" s="15" t="str">
        <f>_xlfn.TEXTBEFORE(_xlfn.TEXTAFTER(CantoralDB[[#This Row],[index.html]],"&gt;"),"&gt;")&amp;"&gt;"</f>
        <v>&lt;a href="canciones/brotes_de_olivo/hoy_señor_te_dare.html"&gt;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2718</v>
      </c>
      <c r="C340" s="1"/>
      <c r="F340" s="1">
        <v>340</v>
      </c>
      <c r="J340" s="1"/>
      <c r="M340" s="15" t="s">
        <v>2719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340" s="15" t="str">
        <f>_xlfn.TEXTBEFORE(_xlfn.TEXTAFTER(CantoralDB[[#This Row],[index.html]],"&gt;"),"&gt;")&amp;"&gt;"</f>
        <v>&lt;a href="canciones/nuevas/nuestro_dios_reina.html"&gt;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2720</v>
      </c>
      <c r="C341" s="1"/>
      <c r="F341" s="1">
        <v>341</v>
      </c>
      <c r="J341" s="1"/>
      <c r="M341" s="15" t="s">
        <v>2503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341" s="15" t="str">
        <f>_xlfn.TEXTBEFORE(_xlfn.TEXTAFTER(CantoralDB[[#This Row],[index.html]],"&gt;"),"&gt;")&amp;"&gt;"</f>
        <v>&lt;a href="canciones/rosa_cruz/saname_ahora.html"&gt;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2721</v>
      </c>
      <c r="C342" s="1"/>
      <c r="F342" s="1">
        <v>342</v>
      </c>
      <c r="J342" s="1"/>
      <c r="M342" s="15" t="s">
        <v>795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342" s="15" t="str">
        <f>_xlfn.TEXTBEFORE(_xlfn.TEXTAFTER(CantoralDB[[#This Row],[index.html]],"&gt;"),"&gt;")&amp;"&gt;"</f>
        <v>&lt;a href="canciones/nuevas/queremos_ser.html"&gt;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2722</v>
      </c>
      <c r="C343" s="1"/>
      <c r="F343" s="1">
        <v>343</v>
      </c>
      <c r="J343" s="1"/>
      <c r="M343" s="15" t="s">
        <v>795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343" s="15" t="str">
        <f>_xlfn.TEXTBEFORE(_xlfn.TEXTAFTER(CantoralDB[[#This Row],[index.html]],"&gt;"),"&gt;")&amp;"&gt;"</f>
        <v>&lt;a href="canciones/nuevas/quiero_llenar_tu_trono_de_alabanza.html"&gt;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2723</v>
      </c>
      <c r="C344" s="1"/>
      <c r="F344" s="1">
        <v>344</v>
      </c>
      <c r="J344" s="1"/>
      <c r="M344" s="15" t="s">
        <v>570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344" s="1"/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344" s="15" t="str">
        <f>_xlfn.TEXTBEFORE(_xlfn.TEXTAFTER(CantoralDB[[#This Row],[index.html]],"&gt;"),"&gt;")&amp;"&gt;"</f>
        <v>&lt;a href="canciones/pelayo_sanchez/desde_cualquier_rincon.html"&gt;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2724</v>
      </c>
      <c r="C345" s="1"/>
      <c r="F345" s="1">
        <v>345</v>
      </c>
      <c r="J345" s="1"/>
      <c r="M345" s="15" t="s">
        <v>2725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345" s="15" t="str">
        <f>_xlfn.TEXTBEFORE(_xlfn.TEXTAFTER(CantoralDB[[#This Row],[index.html]],"&gt;"),"&gt;")&amp;"&gt;"</f>
        <v>&lt;a href="canciones/nuevas/mi_paz.html"&gt;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2726</v>
      </c>
      <c r="C346" s="1"/>
      <c r="F346" s="1">
        <v>346</v>
      </c>
      <c r="J346" s="1"/>
      <c r="M346" s="15" t="s">
        <v>2727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346" s="15" t="str">
        <f>_xlfn.TEXTBEFORE(_xlfn.TEXTAFTER(CantoralDB[[#This Row],[index.html]],"&gt;"),"&gt;")&amp;"&gt;"</f>
        <v>&lt;a href="canciones/nuevas/celebrad_a_cristo.html"&gt;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2728</v>
      </c>
      <c r="C347" s="1"/>
      <c r="F347" s="1">
        <v>347</v>
      </c>
      <c r="J347" s="1"/>
      <c r="M347" s="15" t="s">
        <v>795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347" s="1"/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347" s="15" t="str">
        <f>_xlfn.TEXTBEFORE(_xlfn.TEXTAFTER(CantoralDB[[#This Row],[index.html]],"&gt;"),"&gt;")&amp;"&gt;"</f>
        <v>&lt;a href="canciones/nuevas/dios_me_ama_y_yo_le_amo.html"&gt;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2729</v>
      </c>
      <c r="C348" s="1"/>
      <c r="F348" s="1">
        <v>348</v>
      </c>
      <c r="J348" s="1"/>
      <c r="M348" s="15" t="s">
        <v>2730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348" s="1"/>
      <c r="T348" s="1"/>
      <c r="U348" s="15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348" s="15" t="str">
        <f>_xlfn.TEXTBEFORE(_xlfn.TEXTAFTER(CantoralDB[[#This Row],[index.html]],"&gt;"),"&gt;")&amp;"&gt;"</f>
        <v>&lt;a href="canciones/nuevas/exaltad.html"&gt;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2731</v>
      </c>
      <c r="C349" s="1"/>
      <c r="F349" s="1">
        <v>349</v>
      </c>
      <c r="J349" s="1"/>
      <c r="M349" s="15" t="s">
        <v>795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349" s="1"/>
      <c r="T349" s="1"/>
      <c r="U349" s="15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349" s="15" t="str">
        <f>_xlfn.TEXTBEFORE(_xlfn.TEXTAFTER(CantoralDB[[#This Row],[index.html]],"&gt;"),"&gt;")&amp;"&gt;"</f>
        <v>&lt;a href="canciones/nuevas/vamos_a_bendecir_al_señor.html"&gt;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2732</v>
      </c>
      <c r="C350" s="1"/>
      <c r="F350" s="1">
        <v>350</v>
      </c>
      <c r="J350" s="1"/>
      <c r="M350" s="15" t="s">
        <v>2733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350" s="1"/>
      <c r="T350" s="1"/>
      <c r="U350" s="15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350" s="15" t="str">
        <f>_xlfn.TEXTBEFORE(_xlfn.TEXTAFTER(CantoralDB[[#This Row],[index.html]],"&gt;"),"&gt;")&amp;"&gt;"</f>
        <v>&lt;a href="canciones/nuevas/clamamos_a_ti.html"&gt;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2734</v>
      </c>
      <c r="C351" s="1"/>
      <c r="F351" s="1">
        <v>351</v>
      </c>
      <c r="J351" s="1"/>
      <c r="M351" s="15" t="s">
        <v>795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351" s="1"/>
      <c r="T351" s="1"/>
      <c r="U351" s="15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351" s="15" t="str">
        <f>_xlfn.TEXTBEFORE(_xlfn.TEXTAFTER(CantoralDB[[#This Row],[index.html]],"&gt;"),"&gt;")&amp;"&gt;"</f>
        <v>&lt;a href="canciones/nuevas/yo_cantare_tus_alabanzas.html"&gt;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2735</v>
      </c>
      <c r="C352" s="1"/>
      <c r="F352" s="1">
        <v>352</v>
      </c>
      <c r="J352" s="1"/>
      <c r="M352" s="15" t="s">
        <v>795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352" s="1"/>
      <c r="T352" s="1"/>
      <c r="U352" s="15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352" s="15" t="str">
        <f>_xlfn.TEXTBEFORE(_xlfn.TEXTAFTER(CantoralDB[[#This Row],[index.html]],"&gt;"),"&gt;")&amp;"&gt;"</f>
        <v>&lt;a href="canciones/nuevas/hay_una_fuente_en_mi.html"&gt;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2736</v>
      </c>
      <c r="C353" s="1"/>
      <c r="F353" s="1">
        <v>353</v>
      </c>
      <c r="J353" s="1"/>
      <c r="M353" s="15" t="s">
        <v>2737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353" s="1"/>
      <c r="T353" s="1"/>
      <c r="U353" s="15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353" s="15" t="str">
        <f>_xlfn.TEXTBEFORE(_xlfn.TEXTAFTER(CantoralDB[[#This Row],[index.html]],"&gt;"),"&gt;")&amp;"&gt;"</f>
        <v>&lt;a href="canciones/nuevas/jesus_es_mi_luz_y_mi_salvacion.html"&gt;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76</v>
      </c>
      <c r="C354" s="1" t="s">
        <v>199</v>
      </c>
      <c r="D354" s="1" t="s">
        <v>1431</v>
      </c>
      <c r="E354" s="1">
        <v>139</v>
      </c>
      <c r="F354" s="1">
        <v>354</v>
      </c>
      <c r="G354" s="1" t="s">
        <v>209</v>
      </c>
      <c r="H354" s="1" t="s">
        <v>531</v>
      </c>
      <c r="I354" s="1" t="s">
        <v>2961</v>
      </c>
      <c r="J354" s="1" t="s">
        <v>608</v>
      </c>
      <c r="M354" s="15" t="s">
        <v>2896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4" s="1"/>
      <c r="T354" s="1"/>
      <c r="U354" s="15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354" s="15" t="str">
        <f>_xlfn.TEXTBEFORE(_xlfn.TEXTAFTER(CantoralDB[[#This Row],[index.html]],"&gt;"),"&gt;")&amp;"&gt;"</f>
        <v>&lt;a href="canciones/nsb/hoy_el_señor_resucito.html"&gt;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2738</v>
      </c>
      <c r="C355" s="1"/>
      <c r="F355" s="1">
        <v>355</v>
      </c>
      <c r="J355" s="1"/>
      <c r="M355" s="15" t="s">
        <v>2740</v>
      </c>
      <c r="N355" s="15"/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355" s="1"/>
      <c r="T355" s="1"/>
      <c r="U355" s="15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355" s="15" t="str">
        <f>_xlfn.TEXTBEFORE(_xlfn.TEXTAFTER(CantoralDB[[#This Row],[index.html]],"&gt;"),"&gt;")&amp;"&gt;"</f>
        <v>&lt;a href="canciones/nuevas/no_puedo_parar.html"&gt;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2739</v>
      </c>
      <c r="C356" s="1"/>
      <c r="F356" s="1">
        <v>356</v>
      </c>
      <c r="J356" s="1"/>
      <c r="M356" s="15" t="s">
        <v>795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356" s="1"/>
      <c r="T356" s="1"/>
      <c r="U356" s="15"/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356" s="15" t="str">
        <f>_xlfn.TEXTBEFORE(_xlfn.TEXTAFTER(CantoralDB[[#This Row],[index.html]],"&gt;"),"&gt;")&amp;"&gt;"</f>
        <v>&lt;a href="canciones/nuevas/reina_en_mi.html"&gt;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2741</v>
      </c>
      <c r="C357" s="1"/>
      <c r="F357" s="1">
        <v>357</v>
      </c>
      <c r="J357" s="1"/>
      <c r="M357" s="15" t="s">
        <v>2644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357" s="1"/>
      <c r="T357" s="1"/>
      <c r="U357" s="15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357" s="15" t="str">
        <f>_xlfn.TEXTBEFORE(_xlfn.TEXTAFTER(CantoralDB[[#This Row],[index.html]],"&gt;"),"&gt;")&amp;"&gt;"</f>
        <v>&lt;a href="canciones/nuevas/toma_mi_vida.html"&gt;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2742</v>
      </c>
      <c r="C358" s="1"/>
      <c r="F358" s="1">
        <v>358</v>
      </c>
      <c r="J358" s="1"/>
      <c r="M358" s="15" t="s">
        <v>2881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358" s="1"/>
      <c r="T358" s="1"/>
      <c r="U358" s="15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358" s="15" t="str">
        <f>_xlfn.TEXTBEFORE(_xlfn.TEXTAFTER(CantoralDB[[#This Row],[index.html]],"&gt;"),"&gt;")&amp;"&gt;"</f>
        <v>&lt;a href="canciones/nuevas/que_nuestro_dios_te_guarde.html"&gt;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2743</v>
      </c>
      <c r="C359" s="1"/>
      <c r="F359" s="1">
        <v>359</v>
      </c>
      <c r="J359" s="1"/>
      <c r="M359" s="15" t="s">
        <v>2393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359" s="15" t="str">
        <f>_xlfn.TEXTBEFORE(_xlfn.TEXTAFTER(CantoralDB[[#This Row],[index.html]],"&gt;"),"&gt;")&amp;"&gt;"</f>
        <v>&lt;a href="canciones/marcos_witt/has_cambiado_mi_lamento_en_baile.html"&gt;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2744</v>
      </c>
      <c r="C360" s="1"/>
      <c r="F360" s="1">
        <v>360</v>
      </c>
      <c r="J360" s="1"/>
      <c r="M360" s="15" t="s">
        <v>795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360" s="1"/>
      <c r="T360" s="1"/>
      <c r="U360" s="15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360" s="15" t="str">
        <f>_xlfn.TEXTBEFORE(_xlfn.TEXTAFTER(CantoralDB[[#This Row],[index.html]],"&gt;"),"&gt;")&amp;"&gt;"</f>
        <v>&lt;a href="canciones/nuevas/adonai.html"&gt;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2745</v>
      </c>
      <c r="C361" s="1"/>
      <c r="F361" s="1">
        <v>361</v>
      </c>
      <c r="J361" s="1"/>
      <c r="M361" s="15" t="s">
        <v>2400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361" s="1"/>
      <c r="T361" s="1"/>
      <c r="U361" s="15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361" s="15" t="str">
        <f>_xlfn.TEXTBEFORE(_xlfn.TEXTAFTER(CantoralDB[[#This Row],[index.html]],"&gt;"),"&gt;")&amp;"&gt;"</f>
        <v>&lt;a href="canciones/luis_alfredo_diaz/se_siente_una_paz_tan_grande.html"&gt;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2746</v>
      </c>
      <c r="C362" s="1"/>
      <c r="F362" s="1">
        <v>362</v>
      </c>
      <c r="J362" s="1"/>
      <c r="M362" s="15" t="s">
        <v>795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362" s="1"/>
      <c r="T362" s="1"/>
      <c r="U362" s="15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362" s="15" t="str">
        <f>_xlfn.TEXTBEFORE(_xlfn.TEXTAFTER(CantoralDB[[#This Row],[index.html]],"&gt;"),"&gt;")&amp;"&gt;"</f>
        <v>&lt;a href="canciones/nuevas/exaltando_a_jesus.html"&gt;</v>
      </c>
      <c r="AA362" s="1"/>
    </row>
    <row r="363" spans="1:27" x14ac:dyDescent="0.3">
      <c r="A363" s="1">
        <f>ROW(CantoralDB[[#This Row],[Título]])-1</f>
        <v>362</v>
      </c>
      <c r="B363" s="1" t="s">
        <v>2747</v>
      </c>
      <c r="C363" s="1"/>
      <c r="F363" s="1">
        <v>363</v>
      </c>
      <c r="J363" s="1"/>
      <c r="M363" s="15" t="s">
        <v>795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363" s="1"/>
      <c r="T363" s="1"/>
      <c r="U363" s="15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363" s="15" t="str">
        <f>_xlfn.TEXTBEFORE(_xlfn.TEXTAFTER(CantoralDB[[#This Row],[index.html]],"&gt;"),"&gt;")&amp;"&gt;"</f>
        <v>&lt;a href="canciones/nuevas/ante_su_nombre_todo_caera.html"&gt;</v>
      </c>
      <c r="AA363" s="1"/>
    </row>
    <row r="364" spans="1:27" x14ac:dyDescent="0.3">
      <c r="A364" s="1">
        <f>ROW(CantoralDB[[#This Row],[Título]])-1</f>
        <v>363</v>
      </c>
      <c r="B364" s="1" t="s">
        <v>885</v>
      </c>
      <c r="C364" s="1"/>
      <c r="F364" s="1">
        <v>364</v>
      </c>
      <c r="J364" s="1"/>
      <c r="M364" s="15" t="s">
        <v>795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64" s="1"/>
      <c r="T364" s="1"/>
      <c r="U364" s="15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364" s="15" t="str">
        <f>_xlfn.TEXTBEFORE(_xlfn.TEXTAFTER(CantoralDB[[#This Row],[index.html]],"&gt;"),"&gt;")&amp;"&gt;"</f>
        <v>&lt;a href="canciones/nuevas/bendecid_al_señor.html"&gt;</v>
      </c>
      <c r="AA364" s="1"/>
    </row>
    <row r="365" spans="1:27" x14ac:dyDescent="0.3">
      <c r="A365" s="1">
        <f>ROW(CantoralDB[[#This Row],[Título]])-1</f>
        <v>364</v>
      </c>
      <c r="B365" s="1" t="s">
        <v>2692</v>
      </c>
      <c r="C365" s="1" t="s">
        <v>191</v>
      </c>
      <c r="D365" s="1" t="s">
        <v>1364</v>
      </c>
      <c r="E365" s="1">
        <v>401</v>
      </c>
      <c r="F365" s="1">
        <v>365</v>
      </c>
      <c r="G365" s="1" t="s">
        <v>209</v>
      </c>
      <c r="H365" s="1" t="s">
        <v>1030</v>
      </c>
      <c r="J365" s="1" t="s">
        <v>608</v>
      </c>
      <c r="M365" s="15" t="s">
        <v>590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65" s="1" t="s">
        <v>799</v>
      </c>
      <c r="T365" s="1"/>
      <c r="U365" s="15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365" s="15" t="str">
        <f>_xlfn.TEXTBEFORE(_xlfn.TEXTAFTER(CantoralDB[[#This Row],[index.html]],"&gt;"),"&gt;")&amp;"&gt;"</f>
        <v>&lt;a href="canciones/alejandro_ruiz/abba_padre.html"&gt;</v>
      </c>
      <c r="AA365" s="1"/>
    </row>
    <row r="366" spans="1:27" x14ac:dyDescent="0.3">
      <c r="A366" s="1">
        <f>ROW(CantoralDB[[#This Row],[Título]])-1</f>
        <v>365</v>
      </c>
      <c r="B366" s="1" t="s">
        <v>2748</v>
      </c>
      <c r="C366" s="1"/>
      <c r="F366" s="1">
        <v>366</v>
      </c>
      <c r="J366" s="1"/>
      <c r="M366" s="15" t="s">
        <v>2749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366" s="1"/>
      <c r="T366" s="1"/>
      <c r="U366" s="15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366" s="15" t="str">
        <f>_xlfn.TEXTBEFORE(_xlfn.TEXTAFTER(CantoralDB[[#This Row],[index.html]],"&gt;"),"&gt;")&amp;"&gt;"</f>
        <v>&lt;a href="canciones/nuevas/con_gozo_al_señor_cantare.html"&gt;</v>
      </c>
      <c r="AA366" s="1"/>
    </row>
    <row r="367" spans="1:27" x14ac:dyDescent="0.3">
      <c r="A367" s="1">
        <f>ROW(CantoralDB[[#This Row],[Título]])-1</f>
        <v>366</v>
      </c>
      <c r="B367" s="1" t="s">
        <v>2750</v>
      </c>
      <c r="C367" s="1"/>
      <c r="F367" s="1">
        <v>367</v>
      </c>
      <c r="J367" s="1"/>
      <c r="M367" s="15" t="s">
        <v>2751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367" s="1"/>
      <c r="T367" s="1"/>
      <c r="U367" s="15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367" s="15" t="str">
        <f>_xlfn.TEXTBEFORE(_xlfn.TEXTAFTER(CantoralDB[[#This Row],[index.html]],"&gt;"),"&gt;")&amp;"&gt;"</f>
        <v>&lt;a href="canciones/nuevas/en_presencia.html"&gt;</v>
      </c>
      <c r="AA367" s="1"/>
    </row>
    <row r="368" spans="1:27" x14ac:dyDescent="0.3">
      <c r="A368" s="1">
        <f>ROW(CantoralDB[[#This Row],[Título]])-1</f>
        <v>367</v>
      </c>
      <c r="B368" s="1" t="s">
        <v>593</v>
      </c>
      <c r="C368" s="1" t="s">
        <v>201</v>
      </c>
      <c r="D368" s="1" t="s">
        <v>677</v>
      </c>
      <c r="F368" s="1">
        <v>368</v>
      </c>
      <c r="G368" s="1" t="s">
        <v>213</v>
      </c>
      <c r="H368" s="1" t="s">
        <v>531</v>
      </c>
      <c r="J368" s="1" t="s">
        <v>608</v>
      </c>
      <c r="M368" s="15" t="s">
        <v>539</v>
      </c>
      <c r="N368" s="15"/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368" s="1"/>
      <c r="T368" s="1"/>
      <c r="U368" s="15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368" s="15" t="str">
        <f>_xlfn.TEXTBEFORE(_xlfn.TEXTAFTER(CantoralDB[[#This Row],[index.html]],"&gt;"),"&gt;")&amp;"&gt;"</f>
        <v>&lt;a href="canciones/josep_asuncion/ven_y_descansate.html"&gt;</v>
      </c>
      <c r="AA368" s="1"/>
    </row>
    <row r="369" spans="1:27" x14ac:dyDescent="0.3">
      <c r="A369" s="1">
        <f>ROW(CantoralDB[[#This Row],[Título]])-1</f>
        <v>368</v>
      </c>
      <c r="B369" s="1" t="s">
        <v>2752</v>
      </c>
      <c r="C369" s="1"/>
      <c r="F369" s="1">
        <v>369</v>
      </c>
      <c r="J369" s="1"/>
      <c r="M369" s="15" t="s">
        <v>2755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369" s="1"/>
      <c r="T369" s="1"/>
      <c r="U369" s="15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369" s="15" t="str">
        <f>_xlfn.TEXTBEFORE(_xlfn.TEXTAFTER(CantoralDB[[#This Row],[index.html]],"&gt;"),"&gt;")&amp;"&gt;"</f>
        <v>&lt;a href="canciones/nuevas/en_la_tierra_habra.html"&gt;</v>
      </c>
      <c r="AA369" s="1"/>
    </row>
    <row r="370" spans="1:27" x14ac:dyDescent="0.3">
      <c r="A370" s="1">
        <f>ROW(CantoralDB[[#This Row],[Título]])-1</f>
        <v>369</v>
      </c>
      <c r="B370" s="1" t="s">
        <v>2753</v>
      </c>
      <c r="C370" s="1"/>
      <c r="F370" s="1">
        <v>370</v>
      </c>
      <c r="J370" s="1"/>
      <c r="M370" s="15" t="s">
        <v>2393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370" s="1"/>
      <c r="T370" s="1"/>
      <c r="U370" s="15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370" s="15" t="str">
        <f>_xlfn.TEXTBEFORE(_xlfn.TEXTAFTER(CantoralDB[[#This Row],[index.html]],"&gt;"),"&gt;")&amp;"&gt;"</f>
        <v>&lt;a href="canciones/marcos_witt/tu_amor_por_mi.html"&gt;</v>
      </c>
      <c r="AA370" s="1"/>
    </row>
    <row r="371" spans="1:27" x14ac:dyDescent="0.3">
      <c r="A371" s="1">
        <f>ROW(CantoralDB[[#This Row],[Título]])-1</f>
        <v>370</v>
      </c>
      <c r="B371" s="1" t="s">
        <v>2754</v>
      </c>
      <c r="C371" s="1"/>
      <c r="F371" s="1">
        <v>371</v>
      </c>
      <c r="J371" s="1"/>
      <c r="M371" s="15" t="s">
        <v>795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371" s="1"/>
      <c r="T371" s="1"/>
      <c r="U371" s="15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371" s="15" t="str">
        <f>_xlfn.TEXTBEFORE(_xlfn.TEXTAFTER(CantoralDB[[#This Row],[index.html]],"&gt;"),"&gt;")&amp;"&gt;"</f>
        <v>&lt;a href="canciones/nuevas/te_damos_gloria.html"&gt;</v>
      </c>
      <c r="AA371" s="1"/>
    </row>
    <row r="372" spans="1:27" x14ac:dyDescent="0.3">
      <c r="A372" s="1">
        <f>ROW(CantoralDB[[#This Row],[Título]])-1</f>
        <v>371</v>
      </c>
      <c r="B372" s="1" t="s">
        <v>2756</v>
      </c>
      <c r="C372" s="1"/>
      <c r="F372" s="1">
        <v>372</v>
      </c>
      <c r="J372" s="1"/>
      <c r="M372" s="15" t="s">
        <v>2406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372" s="1"/>
      <c r="T372" s="1"/>
      <c r="U372" s="15"/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372" s="15" t="str">
        <f>_xlfn.TEXTBEFORE(_xlfn.TEXTAFTER(CantoralDB[[#This Row],[index.html]],"&gt;"),"&gt;")&amp;"&gt;"</f>
        <v>&lt;a href="canciones/lazaro_iparraguirre/mirad_levantad.html"&gt;</v>
      </c>
      <c r="AA372" s="1"/>
    </row>
    <row r="373" spans="1:27" x14ac:dyDescent="0.3">
      <c r="A373" s="1">
        <f>ROW(CantoralDB[[#This Row],[Título]])-1</f>
        <v>372</v>
      </c>
      <c r="B373" s="1" t="s">
        <v>2758</v>
      </c>
      <c r="C373" s="1"/>
      <c r="F373" s="1">
        <v>373</v>
      </c>
      <c r="J373" s="1"/>
      <c r="M373" s="15" t="s">
        <v>2757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373" s="1"/>
      <c r="T373" s="1"/>
      <c r="U373" s="15"/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373" s="15" t="str">
        <f>_xlfn.TEXTBEFORE(_xlfn.TEXTAFTER(CantoralDB[[#This Row],[index.html]],"&gt;"),"&gt;")&amp;"&gt;"</f>
        <v>&lt;a href="canciones/nuevas/mi_cristo_mi_rey.html"&gt;</v>
      </c>
      <c r="AA373" s="1"/>
    </row>
    <row r="374" spans="1:27" x14ac:dyDescent="0.3">
      <c r="A374" s="1">
        <f>ROW(CantoralDB[[#This Row],[Título]])-1</f>
        <v>373</v>
      </c>
      <c r="B374" s="1" t="s">
        <v>2759</v>
      </c>
      <c r="C374" s="1"/>
      <c r="F374" s="1">
        <v>374</v>
      </c>
      <c r="J374" s="1"/>
      <c r="M374" s="15" t="s">
        <v>795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374" s="1"/>
      <c r="T374" s="1"/>
      <c r="U374" s="15"/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374" s="15" t="str">
        <f>_xlfn.TEXTBEFORE(_xlfn.TEXTAFTER(CantoralDB[[#This Row],[index.html]],"&gt;"),"&gt;")&amp;"&gt;"</f>
        <v>&lt;a href="canciones/nuevas/en_el_cielo_se_oye.html"&gt;</v>
      </c>
      <c r="AA374" s="1"/>
    </row>
    <row r="375" spans="1:27" x14ac:dyDescent="0.3">
      <c r="A375" s="1">
        <f>ROW(CantoralDB[[#This Row],[Título]])-1</f>
        <v>374</v>
      </c>
      <c r="B375" s="1" t="s">
        <v>2760</v>
      </c>
      <c r="C375" s="1"/>
      <c r="F375" s="1">
        <v>375</v>
      </c>
      <c r="J375" s="1"/>
      <c r="M375" s="15" t="s">
        <v>2730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375" s="1"/>
      <c r="T375" s="1"/>
      <c r="U375" s="15"/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375" s="15" t="str">
        <f>_xlfn.TEXTBEFORE(_xlfn.TEXTAFTER(CantoralDB[[#This Row],[index.html]],"&gt;"),"&gt;")&amp;"&gt;"</f>
        <v>&lt;a href="canciones/nuevas/tu_fidelidad.html"&gt;</v>
      </c>
      <c r="AA375" s="1"/>
    </row>
    <row r="376" spans="1:27" x14ac:dyDescent="0.3">
      <c r="A376" s="1">
        <f>ROW(CantoralDB[[#This Row],[Título]])-1</f>
        <v>375</v>
      </c>
      <c r="B376" s="1" t="s">
        <v>2761</v>
      </c>
      <c r="C376" s="1"/>
      <c r="F376" s="1">
        <v>376</v>
      </c>
      <c r="J376" s="1"/>
      <c r="M376" s="15" t="s">
        <v>2503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376" s="1"/>
      <c r="T376" s="1"/>
      <c r="U376" s="15"/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376" s="15" t="str">
        <f>_xlfn.TEXTBEFORE(_xlfn.TEXTAFTER(CantoralDB[[#This Row],[index.html]],"&gt;"),"&gt;")&amp;"&gt;"</f>
        <v>&lt;a href="canciones/rosa_cruz/no_tengo_señor_alabanza.html"&gt;</v>
      </c>
      <c r="AA376" s="1"/>
    </row>
    <row r="377" spans="1:27" x14ac:dyDescent="0.3">
      <c r="A377" s="1">
        <f>ROW(CantoralDB[[#This Row],[Título]])-1</f>
        <v>376</v>
      </c>
      <c r="B377" s="1" t="s">
        <v>2762</v>
      </c>
      <c r="C377" s="1"/>
      <c r="F377" s="1">
        <v>377</v>
      </c>
      <c r="J377" s="1"/>
      <c r="M377" s="15" t="s">
        <v>2763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377" s="1"/>
      <c r="T377" s="1"/>
      <c r="U377" s="15"/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377" s="15" t="str">
        <f>_xlfn.TEXTBEFORE(_xlfn.TEXTAFTER(CantoralDB[[#This Row],[index.html]],"&gt;"),"&gt;")&amp;"&gt;"</f>
        <v>&lt;a href="canciones/nuevas/jesus_tengo_sed.html"&gt;</v>
      </c>
      <c r="AA377" s="1"/>
    </row>
    <row r="378" spans="1:27" x14ac:dyDescent="0.3">
      <c r="A378" s="1">
        <f>ROW(CantoralDB[[#This Row],[Título]])-1</f>
        <v>377</v>
      </c>
      <c r="B378" s="1" t="s">
        <v>2764</v>
      </c>
      <c r="C378" s="1"/>
      <c r="F378" s="1">
        <v>378</v>
      </c>
      <c r="J378" s="1"/>
      <c r="M378" s="15" t="s">
        <v>795</v>
      </c>
      <c r="N378" s="15"/>
      <c r="O378" s="15"/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378" s="1"/>
      <c r="T378" s="1"/>
      <c r="U378" s="15"/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378" s="15" t="str">
        <f>_xlfn.TEXTBEFORE(_xlfn.TEXTAFTER(CantoralDB[[#This Row],[index.html]],"&gt;"),"&gt;")&amp;"&gt;"</f>
        <v>&lt;a href="canciones/nuevas/mi_pensamiento_eres_tu.html"&gt;</v>
      </c>
      <c r="AA378" s="1"/>
    </row>
    <row r="379" spans="1:27" x14ac:dyDescent="0.3">
      <c r="A379" s="1">
        <f>ROW(CantoralDB[[#This Row],[Título]])-1</f>
        <v>378</v>
      </c>
      <c r="B379" s="1" t="s">
        <v>131</v>
      </c>
      <c r="C379" s="1" t="s">
        <v>196</v>
      </c>
      <c r="D379" s="1" t="s">
        <v>780</v>
      </c>
      <c r="E379" s="1">
        <v>459</v>
      </c>
      <c r="F379" s="1">
        <v>379</v>
      </c>
      <c r="G379" s="1" t="s">
        <v>209</v>
      </c>
      <c r="H379" s="1" t="s">
        <v>1027</v>
      </c>
      <c r="I379" s="1" t="s">
        <v>2961</v>
      </c>
      <c r="J379" s="1" t="s">
        <v>608</v>
      </c>
      <c r="M379" s="15" t="s">
        <v>795</v>
      </c>
      <c r="N379" s="15"/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79" s="1"/>
      <c r="T379" s="1"/>
      <c r="U379" s="15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379" s="15" t="str">
        <f>_xlfn.TEXTBEFORE(_xlfn.TEXTAFTER(CantoralDB[[#This Row],[index.html]],"&gt;"),"&gt;")&amp;"&gt;"</f>
        <v>&lt;a href="canciones/nsb/santo_zaireño.html"&gt;</v>
      </c>
      <c r="AA379" s="1"/>
    </row>
    <row r="380" spans="1:27" x14ac:dyDescent="0.3">
      <c r="A380" s="1">
        <f>ROW(CantoralDB[[#This Row],[Título]])-1</f>
        <v>379</v>
      </c>
      <c r="B380" s="1" t="s">
        <v>2171</v>
      </c>
      <c r="C380" s="1"/>
      <c r="F380" s="1">
        <v>380</v>
      </c>
      <c r="H380" s="1" t="s">
        <v>1028</v>
      </c>
      <c r="J380" s="1" t="s">
        <v>608</v>
      </c>
      <c r="M380" s="15" t="s">
        <v>2680</v>
      </c>
      <c r="N380" s="15"/>
      <c r="O380" s="15"/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80" s="1"/>
      <c r="T380" s="1"/>
      <c r="U380" s="33" t="s">
        <v>3011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380" s="15" t="str">
        <f>_xlfn.TEXTBEFORE(_xlfn.TEXTAFTER(CantoralDB[[#This Row],[index.html]],"&gt;"),"&gt;")&amp;"&gt;"</f>
        <v>&lt;a href="canciones/nuevas/shalom_te_doy_la_paz.html"&gt;</v>
      </c>
      <c r="AA380" s="1"/>
    </row>
    <row r="381" spans="1:27" x14ac:dyDescent="0.3">
      <c r="A381" s="1">
        <f>ROW(CantoralDB[[#This Row],[Título]])-1</f>
        <v>380</v>
      </c>
      <c r="B381" s="1" t="s">
        <v>2765</v>
      </c>
      <c r="C381" s="1"/>
      <c r="F381" s="1">
        <v>381</v>
      </c>
      <c r="J381" s="1"/>
      <c r="M381" s="15" t="s">
        <v>2768</v>
      </c>
      <c r="N381" s="15"/>
      <c r="O381" s="15"/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81" s="1"/>
      <c r="T381" s="1"/>
      <c r="U381" s="15"/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381" s="15" t="str">
        <f>_xlfn.TEXTBEFORE(_xlfn.TEXTAFTER(CantoralDB[[#This Row],[index.html]],"&gt;"),"&gt;")&amp;"&gt;"</f>
        <v>&lt;a href="canciones/nuevas/mi_ser_alaba_al_señor.html"&gt;</v>
      </c>
      <c r="AA381" s="1"/>
    </row>
    <row r="382" spans="1:27" x14ac:dyDescent="0.3">
      <c r="A382" s="1">
        <f>ROW(CantoralDB[[#This Row],[Título]])-1</f>
        <v>381</v>
      </c>
      <c r="B382" s="1" t="s">
        <v>2766</v>
      </c>
      <c r="C382" s="1"/>
      <c r="F382" s="1">
        <v>382</v>
      </c>
      <c r="J382" s="1"/>
      <c r="M382" s="15" t="s">
        <v>2769</v>
      </c>
      <c r="N382" s="15"/>
      <c r="O382" s="15"/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382" s="1"/>
      <c r="T382" s="1"/>
      <c r="U382" s="15"/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382" s="15" t="str">
        <f>_xlfn.TEXTBEFORE(_xlfn.TEXTAFTER(CantoralDB[[#This Row],[index.html]],"&gt;"),"&gt;")&amp;"&gt;"</f>
        <v>&lt;a href="canciones/nuevas/majestuoso_poderoso.html"&gt;</v>
      </c>
      <c r="AA382" s="1"/>
    </row>
    <row r="383" spans="1:27" x14ac:dyDescent="0.3">
      <c r="A383" s="1">
        <f>ROW(CantoralDB[[#This Row],[Título]])-1</f>
        <v>382</v>
      </c>
      <c r="B383" s="1" t="s">
        <v>2767</v>
      </c>
      <c r="C383" s="1"/>
      <c r="F383" s="1">
        <v>383</v>
      </c>
      <c r="J383" s="1"/>
      <c r="M383" s="15" t="s">
        <v>2770</v>
      </c>
      <c r="N383" s="15"/>
      <c r="O383" s="15"/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383" s="1"/>
      <c r="T383" s="1"/>
      <c r="U383" s="15"/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383" s="15" t="str">
        <f>_xlfn.TEXTBEFORE(_xlfn.TEXTAFTER(CantoralDB[[#This Row],[index.html]],"&gt;"),"&gt;")&amp;"&gt;"</f>
        <v>&lt;a href="canciones/nuevas/asi_es_dios.html"&gt;</v>
      </c>
      <c r="AA383" s="1"/>
    </row>
    <row r="384" spans="1:27" x14ac:dyDescent="0.3">
      <c r="A384" s="1">
        <f>ROW(CantoralDB[[#This Row],[Título]])-1</f>
        <v>383</v>
      </c>
      <c r="B384" s="1" t="s">
        <v>2771</v>
      </c>
      <c r="C384" s="1"/>
      <c r="F384" s="1">
        <v>384</v>
      </c>
      <c r="J384" s="1"/>
      <c r="M384" s="15" t="s">
        <v>2406</v>
      </c>
      <c r="N384" s="15"/>
      <c r="O384" s="15"/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384" s="1"/>
      <c r="T384" s="1"/>
      <c r="U384" s="15"/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384" s="15" t="str">
        <f>_xlfn.TEXTBEFORE(_xlfn.TEXTAFTER(CantoralDB[[#This Row],[index.html]],"&gt;"),"&gt;")&amp;"&gt;"</f>
        <v>&lt;a href="canciones/lazaro_iparraguirre/nos_dejaste_señor.html"&gt;</v>
      </c>
      <c r="AA384" s="1"/>
    </row>
    <row r="385" spans="1:27" x14ac:dyDescent="0.3">
      <c r="A385" s="1">
        <f>ROW(CantoralDB[[#This Row],[Título]])-1</f>
        <v>384</v>
      </c>
      <c r="B385" s="1" t="s">
        <v>2772</v>
      </c>
      <c r="C385" s="1"/>
      <c r="F385" s="1">
        <v>385</v>
      </c>
      <c r="J385" s="1"/>
      <c r="M385" s="15" t="s">
        <v>2510</v>
      </c>
      <c r="N385" s="15"/>
      <c r="O385" s="15"/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385" s="1"/>
      <c r="T385" s="1"/>
      <c r="U385" s="15"/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385" s="15" t="str">
        <f>_xlfn.TEXTBEFORE(_xlfn.TEXTAFTER(CantoralDB[[#This Row],[index.html]],"&gt;"),"&gt;")&amp;"&gt;"</f>
        <v>&lt;a href="canciones/marta_gil-delgado/gloria_al_cordero.html"&gt;</v>
      </c>
      <c r="AA385" s="1"/>
    </row>
    <row r="386" spans="1:27" x14ac:dyDescent="0.3">
      <c r="A386" s="1">
        <f>ROW(CantoralDB[[#This Row],[Título]])-1</f>
        <v>385</v>
      </c>
      <c r="B386" s="1" t="s">
        <v>2773</v>
      </c>
      <c r="C386" s="1"/>
      <c r="F386" s="1">
        <v>386</v>
      </c>
      <c r="J386" s="1"/>
      <c r="M386" s="15" t="s">
        <v>2522</v>
      </c>
      <c r="N386" s="15"/>
      <c r="O386" s="15"/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386" s="1"/>
      <c r="T386" s="1"/>
      <c r="U386" s="15"/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386" s="15" t="str">
        <f>_xlfn.TEXTBEFORE(_xlfn.TEXTAFTER(CantoralDB[[#This Row],[index.html]],"&gt;"),"&gt;")&amp;"&gt;"</f>
        <v>&lt;a href="canciones/nuevas/alabad_a_yahve.html"&gt;</v>
      </c>
      <c r="AA386" s="1"/>
    </row>
    <row r="387" spans="1:27" x14ac:dyDescent="0.3">
      <c r="A387" s="1">
        <f>ROW(CantoralDB[[#This Row],[Título]])-1</f>
        <v>386</v>
      </c>
      <c r="B387" s="1" t="s">
        <v>2774</v>
      </c>
      <c r="C387" s="1"/>
      <c r="F387" s="1">
        <v>387</v>
      </c>
      <c r="J387" s="1"/>
      <c r="M387" s="15" t="s">
        <v>2776</v>
      </c>
      <c r="N387" s="15"/>
      <c r="O387" s="15"/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87" s="1"/>
      <c r="T387" s="1"/>
      <c r="U387" s="15"/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387" s="15" t="str">
        <f>_xlfn.TEXTBEFORE(_xlfn.TEXTAFTER(CantoralDB[[#This Row],[index.html]],"&gt;"),"&gt;")&amp;"&gt;"</f>
        <v>&lt;a href="canciones/nuevas/gracias_yo_te_dare.html"&gt;</v>
      </c>
      <c r="AA387" s="1"/>
    </row>
    <row r="388" spans="1:27" x14ac:dyDescent="0.3">
      <c r="A388" s="1">
        <f>ROW(CantoralDB[[#This Row],[Título]])-1</f>
        <v>387</v>
      </c>
      <c r="B388" s="1" t="s">
        <v>2775</v>
      </c>
      <c r="C388" s="1"/>
      <c r="F388" s="1">
        <v>388</v>
      </c>
      <c r="J388" s="1"/>
      <c r="M388" s="15" t="s">
        <v>795</v>
      </c>
      <c r="N388" s="15"/>
      <c r="O388" s="15"/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388" s="1"/>
      <c r="T388" s="1"/>
      <c r="U388" s="15"/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388" s="15" t="str">
        <f>_xlfn.TEXTBEFORE(_xlfn.TEXTAFTER(CantoralDB[[#This Row],[index.html]],"&gt;"),"&gt;")&amp;"&gt;"</f>
        <v>&lt;a href="canciones/nuevas/se_encienden_las_velas.html"&gt;</v>
      </c>
      <c r="AA388" s="1"/>
    </row>
    <row r="389" spans="1:27" x14ac:dyDescent="0.3">
      <c r="A389" s="1">
        <f>ROW(CantoralDB[[#This Row],[Título]])-1</f>
        <v>388</v>
      </c>
      <c r="B389" s="1" t="s">
        <v>2777</v>
      </c>
      <c r="C389" s="1"/>
      <c r="F389" s="1">
        <v>389</v>
      </c>
      <c r="J389" s="1"/>
      <c r="M389" s="15" t="s">
        <v>2778</v>
      </c>
      <c r="N389" s="15"/>
      <c r="O389" s="15"/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389" s="1"/>
      <c r="T389" s="1"/>
      <c r="U389" s="15"/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389" s="15" t="str">
        <f>_xlfn.TEXTBEFORE(_xlfn.TEXTAFTER(CantoralDB[[#This Row],[index.html]],"&gt;"),"&gt;")&amp;"&gt;"</f>
        <v>&lt;a href="canciones/nuevas/entra_en_la_presencia.html"&gt;</v>
      </c>
      <c r="AA389" s="1"/>
    </row>
    <row r="390" spans="1:27" x14ac:dyDescent="0.3">
      <c r="A390" s="1">
        <f>ROW(CantoralDB[[#This Row],[Título]])-1</f>
        <v>389</v>
      </c>
      <c r="B390" s="1" t="s">
        <v>2780</v>
      </c>
      <c r="C390" s="1"/>
      <c r="F390" s="1">
        <v>390</v>
      </c>
      <c r="J390" s="1"/>
      <c r="M390" s="15" t="s">
        <v>2779</v>
      </c>
      <c r="N390" s="15"/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90" s="1"/>
      <c r="T390" s="1"/>
      <c r="U390" s="15"/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390" s="15" t="str">
        <f>_xlfn.TEXTBEFORE(_xlfn.TEXTAFTER(CantoralDB[[#This Row],[index.html]],"&gt;"),"&gt;")&amp;"&gt;"</f>
        <v>&lt;a href="canciones/nuevas/bendito_sea_el_señor.html"&gt;</v>
      </c>
      <c r="AA390" s="1"/>
    </row>
    <row r="391" spans="1:27" x14ac:dyDescent="0.3">
      <c r="A391" s="1">
        <f>ROW(CantoralDB[[#This Row],[Título]])-1</f>
        <v>390</v>
      </c>
      <c r="B391" s="1" t="s">
        <v>2781</v>
      </c>
      <c r="C391" s="1"/>
      <c r="F391" s="1">
        <v>391</v>
      </c>
      <c r="J391" s="1"/>
      <c r="M391" s="15" t="s">
        <v>795</v>
      </c>
      <c r="N391" s="15"/>
      <c r="O391" s="15"/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391" s="1"/>
      <c r="T391" s="1"/>
      <c r="U391" s="15"/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391" s="15" t="str">
        <f>_xlfn.TEXTBEFORE(_xlfn.TEXTAFTER(CantoralDB[[#This Row],[index.html]],"&gt;"),"&gt;")&amp;"&gt;"</f>
        <v>&lt;a href="canciones/nuevas/cuando_cristo_venga_en_gloria.html"&gt;</v>
      </c>
      <c r="AA391" s="1"/>
    </row>
    <row r="392" spans="1:27" x14ac:dyDescent="0.3">
      <c r="A392" s="1">
        <f>ROW(CantoralDB[[#This Row],[Título]])-1</f>
        <v>391</v>
      </c>
      <c r="B392" s="1" t="s">
        <v>2782</v>
      </c>
      <c r="C392" s="1"/>
      <c r="F392" s="1">
        <v>392</v>
      </c>
      <c r="J392" s="1"/>
      <c r="M392" s="15" t="s">
        <v>795</v>
      </c>
      <c r="N392" s="15"/>
      <c r="O392" s="15"/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392" s="1"/>
      <c r="T392" s="1"/>
      <c r="U392" s="15"/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392" s="15" t="str">
        <f>_xlfn.TEXTBEFORE(_xlfn.TEXTAFTER(CantoralDB[[#This Row],[index.html]],"&gt;"),"&gt;")&amp;"&gt;"</f>
        <v>&lt;a href="canciones/nuevas/me_llaman_aleluya.html"&gt;</v>
      </c>
      <c r="AA392" s="1"/>
    </row>
    <row r="393" spans="1:27" x14ac:dyDescent="0.3">
      <c r="A393" s="1">
        <f>ROW(CantoralDB[[#This Row],[Título]])-1</f>
        <v>392</v>
      </c>
      <c r="B393" s="1" t="s">
        <v>2783</v>
      </c>
      <c r="C393" s="1"/>
      <c r="F393" s="1">
        <v>393</v>
      </c>
      <c r="J393" s="1"/>
      <c r="M393" s="15" t="s">
        <v>795</v>
      </c>
      <c r="N393" s="15"/>
      <c r="O393" s="15"/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393" s="1"/>
      <c r="T393" s="1"/>
      <c r="U393" s="15"/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393" s="15" t="str">
        <f>_xlfn.TEXTBEFORE(_xlfn.TEXTAFTER(CantoralDB[[#This Row],[index.html]],"&gt;"),"&gt;")&amp;"&gt;"</f>
        <v>&lt;a href="canciones/nuevas/y_es_que_tengo_un_fuego.html"&gt;</v>
      </c>
      <c r="AA393" s="1"/>
    </row>
    <row r="394" spans="1:27" x14ac:dyDescent="0.3">
      <c r="A394" s="1">
        <f>ROW(CantoralDB[[#This Row],[Título]])-1</f>
        <v>393</v>
      </c>
      <c r="B394" s="1" t="s">
        <v>2784</v>
      </c>
      <c r="C394" s="1"/>
      <c r="F394" s="1">
        <v>394</v>
      </c>
      <c r="J394" s="1"/>
      <c r="M394" s="15" t="s">
        <v>2518</v>
      </c>
      <c r="N394" s="15"/>
      <c r="O394" s="15"/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394" s="1"/>
      <c r="T394" s="1"/>
      <c r="U394" s="15"/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394" s="15" t="str">
        <f>_xlfn.TEXTBEFORE(_xlfn.TEXTAFTER(CantoralDB[[#This Row],[index.html]],"&gt;"),"&gt;")&amp;"&gt;"</f>
        <v>&lt;a href="canciones/nuevas/he_venido_para_que_vivais.html"&gt;</v>
      </c>
      <c r="AA394" s="1"/>
    </row>
    <row r="395" spans="1:27" x14ac:dyDescent="0.3">
      <c r="A395" s="1">
        <f>ROW(CantoralDB[[#This Row],[Título]])-1</f>
        <v>394</v>
      </c>
      <c r="B395" s="1" t="s">
        <v>2785</v>
      </c>
      <c r="C395" s="1"/>
      <c r="F395" s="1">
        <v>395</v>
      </c>
      <c r="J395" s="1"/>
      <c r="M395" s="15" t="s">
        <v>2786</v>
      </c>
      <c r="N395" s="15"/>
      <c r="O395" s="15"/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395" s="1"/>
      <c r="T395" s="1"/>
      <c r="U395" s="15"/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395" s="15" t="str">
        <f>_xlfn.TEXTBEFORE(_xlfn.TEXTAFTER(CantoralDB[[#This Row],[index.html]],"&gt;"),"&gt;")&amp;"&gt;"</f>
        <v>&lt;a href="canciones/nuevas/ven_y_juntos_alabemos.html"&gt;</v>
      </c>
      <c r="AA395" s="1"/>
    </row>
    <row r="396" spans="1:27" x14ac:dyDescent="0.3">
      <c r="A396" s="1">
        <f>ROW(CantoralDB[[#This Row],[Título]])-1</f>
        <v>395</v>
      </c>
      <c r="B396" s="1" t="s">
        <v>2787</v>
      </c>
      <c r="C396" s="1"/>
      <c r="F396" s="1">
        <v>396</v>
      </c>
      <c r="J396" s="1"/>
      <c r="M396" s="15" t="s">
        <v>2789</v>
      </c>
      <c r="N396" s="15"/>
      <c r="O396" s="15"/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396" s="1"/>
      <c r="T396" s="1"/>
      <c r="U396" s="15"/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396" s="15" t="str">
        <f>_xlfn.TEXTBEFORE(_xlfn.TEXTAFTER(CantoralDB[[#This Row],[index.html]],"&gt;"),"&gt;")&amp;"&gt;"</f>
        <v>&lt;a href="canciones/nuevas/se_exalta_nuestro_dios.html"&gt;</v>
      </c>
      <c r="AA396" s="1"/>
    </row>
    <row r="397" spans="1:27" x14ac:dyDescent="0.3">
      <c r="A397" s="1">
        <f>ROW(CantoralDB[[#This Row],[Título]])-1</f>
        <v>396</v>
      </c>
      <c r="B397" s="1" t="s">
        <v>2788</v>
      </c>
      <c r="C397" s="1"/>
      <c r="F397" s="1">
        <v>397</v>
      </c>
      <c r="J397" s="1"/>
      <c r="M397" s="15" t="s">
        <v>795</v>
      </c>
      <c r="N397" s="15"/>
      <c r="O397" s="15"/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397" s="1"/>
      <c r="T397" s="1"/>
      <c r="U397" s="15"/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397" s="15" t="str">
        <f>_xlfn.TEXTBEFORE(_xlfn.TEXTAFTER(CantoralDB[[#This Row],[index.html]],"&gt;"),"&gt;")&amp;"&gt;"</f>
        <v>&lt;a href="canciones/nuevas/siento_que_tus_ojos_me_miran.html"&gt;</v>
      </c>
      <c r="AA397" s="1"/>
    </row>
    <row r="398" spans="1:27" x14ac:dyDescent="0.3">
      <c r="A398" s="1">
        <f>ROW(CantoralDB[[#This Row],[Título]])-1</f>
        <v>397</v>
      </c>
      <c r="B398" s="1" t="s">
        <v>2790</v>
      </c>
      <c r="C398" s="1"/>
      <c r="F398" s="1">
        <v>398</v>
      </c>
      <c r="J398" s="1"/>
      <c r="M398" s="15" t="s">
        <v>795</v>
      </c>
      <c r="N398" s="15"/>
      <c r="O398" s="15"/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398" s="1"/>
      <c r="T398" s="1"/>
      <c r="U398" s="15"/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398" s="15" t="str">
        <f>_xlfn.TEXTBEFORE(_xlfn.TEXTAFTER(CantoralDB[[#This Row],[index.html]],"&gt;"),"&gt;")&amp;"&gt;"</f>
        <v>&lt;a href="canciones/nuevas/señor_llevame_a_tus_atrios.html"&gt;</v>
      </c>
      <c r="AA398" s="1"/>
    </row>
    <row r="399" spans="1:27" x14ac:dyDescent="0.3">
      <c r="A399" s="1">
        <f>ROW(CantoralDB[[#This Row],[Título]])-1</f>
        <v>398</v>
      </c>
      <c r="B399" s="1" t="s">
        <v>2791</v>
      </c>
      <c r="C399" s="1"/>
      <c r="F399" s="1">
        <v>399</v>
      </c>
      <c r="J399" s="1"/>
      <c r="M399" s="15" t="s">
        <v>795</v>
      </c>
      <c r="N399" s="15"/>
      <c r="O399" s="15"/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399" s="1"/>
      <c r="T399" s="1"/>
      <c r="U399" s="15"/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399" s="15" t="str">
        <f>_xlfn.TEXTBEFORE(_xlfn.TEXTAFTER(CantoralDB[[#This Row],[index.html]],"&gt;"),"&gt;")&amp;"&gt;"</f>
        <v>&lt;a href="canciones/nuevas/porque_tu_eres_bueno.html"&gt;</v>
      </c>
      <c r="AA399" s="1"/>
    </row>
    <row r="400" spans="1:27" x14ac:dyDescent="0.3">
      <c r="A400" s="1">
        <f>ROW(CantoralDB[[#This Row],[Título]])-1</f>
        <v>399</v>
      </c>
      <c r="B400" s="1" t="s">
        <v>171</v>
      </c>
      <c r="C400" s="1" t="s">
        <v>993</v>
      </c>
      <c r="D400" s="1" t="s">
        <v>1033</v>
      </c>
      <c r="F400" s="1">
        <v>400</v>
      </c>
      <c r="G400" s="1" t="s">
        <v>209</v>
      </c>
      <c r="H400" s="1" t="s">
        <v>1030</v>
      </c>
      <c r="J400" s="1" t="s">
        <v>608</v>
      </c>
      <c r="M400" s="15" t="s">
        <v>539</v>
      </c>
      <c r="N400" s="15"/>
      <c r="O400" s="15"/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400" s="1"/>
      <c r="T400" s="1"/>
      <c r="U400" s="15"/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400" s="15" t="str">
        <f>_xlfn.TEXTBEFORE(_xlfn.TEXTAFTER(CantoralDB[[#This Row],[index.html]],"&gt;"),"&gt;")&amp;"&gt;"</f>
        <v>&lt;a href="canciones/josep_asuncion/adorare_tu_cuerpo_herido.html"&gt;</v>
      </c>
      <c r="AA400" s="1"/>
    </row>
    <row r="401" spans="1:27" x14ac:dyDescent="0.3">
      <c r="A401" s="1">
        <f>ROW(CantoralDB[[#This Row],[Título]])-1</f>
        <v>400</v>
      </c>
      <c r="B401" s="1" t="s">
        <v>120</v>
      </c>
      <c r="C401" s="1" t="s">
        <v>195</v>
      </c>
      <c r="D401" s="1" t="s">
        <v>768</v>
      </c>
      <c r="E401" s="1">
        <v>450</v>
      </c>
      <c r="F401" s="1">
        <v>401</v>
      </c>
      <c r="G401" s="1" t="s">
        <v>209</v>
      </c>
      <c r="H401" s="1" t="s">
        <v>1030</v>
      </c>
      <c r="J401" s="1" t="s">
        <v>608</v>
      </c>
      <c r="M401" s="15" t="s">
        <v>2400</v>
      </c>
      <c r="N401" s="15"/>
      <c r="O401" s="15"/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401" s="1"/>
      <c r="T401" s="1"/>
      <c r="U401" s="15"/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401" s="15" t="str">
        <f>_xlfn.TEXTBEFORE(_xlfn.TEXTAFTER(CantoralDB[[#This Row],[index.html]],"&gt;"),"&gt;")&amp;"&gt;"</f>
        <v>&lt;a href="canciones/luis_alfredo_diaz/que_te_puedo_dar.html"&gt;</v>
      </c>
      <c r="AA401" s="1"/>
    </row>
    <row r="402" spans="1:27" x14ac:dyDescent="0.3">
      <c r="A402" s="1">
        <f>ROW(CantoralDB[[#This Row],[Título]])-1</f>
        <v>401</v>
      </c>
      <c r="B402" s="1" t="s">
        <v>2792</v>
      </c>
      <c r="C402" s="1"/>
      <c r="F402" s="1">
        <v>402</v>
      </c>
      <c r="J402" s="1"/>
      <c r="M402" s="15" t="s">
        <v>795</v>
      </c>
      <c r="N402" s="15"/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402" s="1"/>
      <c r="T402" s="1"/>
      <c r="U402" s="15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402" s="15" t="str">
        <f>_xlfn.TEXTBEFORE(_xlfn.TEXTAFTER(CantoralDB[[#This Row],[index.html]],"&gt;"),"&gt;")&amp;"&gt;"</f>
        <v>&lt;a href="canciones/nuevas/yo_te_adoro_señor.html"&gt;</v>
      </c>
      <c r="AA402" s="1"/>
    </row>
    <row r="403" spans="1:27" x14ac:dyDescent="0.3">
      <c r="A403" s="1">
        <f>ROW(CantoralDB[[#This Row],[Título]])-1</f>
        <v>402</v>
      </c>
      <c r="B403" s="1" t="s">
        <v>2793</v>
      </c>
      <c r="C403" s="1"/>
      <c r="F403" s="1">
        <v>403</v>
      </c>
      <c r="J403" s="1"/>
      <c r="M403" s="15" t="s">
        <v>795</v>
      </c>
      <c r="N403" s="15"/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403" s="1"/>
      <c r="T403" s="1"/>
      <c r="U403" s="15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403" s="15" t="str">
        <f>_xlfn.TEXTBEFORE(_xlfn.TEXTAFTER(CantoralDB[[#This Row],[index.html]],"&gt;"),"&gt;")&amp;"&gt;"</f>
        <v>&lt;a href="canciones/nuevas/la_paz_este_con_nosotros.html"&gt;</v>
      </c>
      <c r="AA403" s="1"/>
    </row>
    <row r="404" spans="1:27" x14ac:dyDescent="0.3">
      <c r="A404" s="1">
        <f>ROW(CantoralDB[[#This Row],[Título]])-1</f>
        <v>403</v>
      </c>
      <c r="B404" s="1" t="s">
        <v>2794</v>
      </c>
      <c r="C404" s="1"/>
      <c r="F404" s="1">
        <v>404</v>
      </c>
      <c r="J404" s="1"/>
      <c r="M404" s="15" t="s">
        <v>2795</v>
      </c>
      <c r="N404" s="15"/>
      <c r="O404" s="15"/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404" s="1"/>
      <c r="T404" s="1"/>
      <c r="U404" s="15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404" s="15" t="str">
        <f>_xlfn.TEXTBEFORE(_xlfn.TEXTAFTER(CantoralDB[[#This Row],[index.html]],"&gt;"),"&gt;")&amp;"&gt;"</f>
        <v>&lt;a href="canciones/nuevas/ahora_mas_que_nunca.html"&gt;</v>
      </c>
      <c r="AA404" s="1"/>
    </row>
    <row r="405" spans="1:27" x14ac:dyDescent="0.3">
      <c r="A405" s="1">
        <f>ROW(CantoralDB[[#This Row],[Título]])-1</f>
        <v>404</v>
      </c>
      <c r="B405" s="1" t="s">
        <v>2796</v>
      </c>
      <c r="C405" s="1"/>
      <c r="F405" s="1">
        <v>405</v>
      </c>
      <c r="J405" s="1"/>
      <c r="M405" s="15" t="s">
        <v>2797</v>
      </c>
      <c r="N405" s="15"/>
      <c r="O405" s="15"/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405" s="1"/>
      <c r="T405" s="1"/>
      <c r="U405" s="15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405" s="15" t="str">
        <f>_xlfn.TEXTBEFORE(_xlfn.TEXTAFTER(CantoralDB[[#This Row],[index.html]],"&gt;"),"&gt;")&amp;"&gt;"</f>
        <v>&lt;a href="canciones/nuevas/aclamad_al_señor.html"&gt;</v>
      </c>
      <c r="AA405" s="1"/>
    </row>
    <row r="406" spans="1:27" x14ac:dyDescent="0.3">
      <c r="A406" s="1">
        <f>ROW(CantoralDB[[#This Row],[Título]])-1</f>
        <v>405</v>
      </c>
      <c r="B406" s="1" t="s">
        <v>2798</v>
      </c>
      <c r="C406" s="1"/>
      <c r="F406" s="1">
        <v>406</v>
      </c>
      <c r="J406" s="1"/>
      <c r="M406" s="15" t="s">
        <v>2799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406" s="1"/>
      <c r="T406" s="1"/>
      <c r="U406" s="15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406" s="15" t="str">
        <f>_xlfn.TEXTBEFORE(_xlfn.TEXTAFTER(CantoralDB[[#This Row],[index.html]],"&gt;"),"&gt;")&amp;"&gt;"</f>
        <v>&lt;a href="canciones/nuevas/imagina.html"&gt;</v>
      </c>
      <c r="AA406" s="1"/>
    </row>
    <row r="407" spans="1:27" x14ac:dyDescent="0.3">
      <c r="A407" s="1">
        <f>ROW(CantoralDB[[#This Row],[Título]])-1</f>
        <v>406</v>
      </c>
      <c r="B407" s="1" t="s">
        <v>2800</v>
      </c>
      <c r="C407" s="1"/>
      <c r="F407" s="1">
        <v>407</v>
      </c>
      <c r="H407" s="32"/>
      <c r="I407" s="32"/>
      <c r="J407" s="1"/>
      <c r="M407" s="15" t="s">
        <v>590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407" s="1"/>
      <c r="T407" s="1"/>
      <c r="U407" s="15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407" s="15" t="str">
        <f>_xlfn.TEXTBEFORE(_xlfn.TEXTAFTER(CantoralDB[[#This Row],[index.html]],"&gt;"),"&gt;")&amp;"&gt;"</f>
        <v>&lt;a href="canciones/alejandro_ruiz/confiad.html"&gt;</v>
      </c>
      <c r="AA407" s="1"/>
    </row>
    <row r="408" spans="1:27" x14ac:dyDescent="0.3">
      <c r="A408" s="1">
        <f>ROW(CantoralDB[[#This Row],[Título]])-1</f>
        <v>407</v>
      </c>
      <c r="B408" s="1" t="s">
        <v>2801</v>
      </c>
      <c r="C408" s="1"/>
      <c r="F408" s="1">
        <v>408</v>
      </c>
      <c r="J408" s="1"/>
      <c r="M408" s="15" t="s">
        <v>2802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408" s="1"/>
      <c r="T408" s="1"/>
      <c r="U408" s="15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408" s="15" t="str">
        <f>_xlfn.TEXTBEFORE(_xlfn.TEXTAFTER(CantoralDB[[#This Row],[index.html]],"&gt;"),"&gt;")&amp;"&gt;"</f>
        <v>&lt;a href="canciones/nuevas/agnus_dei.html"&gt;</v>
      </c>
      <c r="AA408" s="1"/>
    </row>
    <row r="409" spans="1:27" x14ac:dyDescent="0.3">
      <c r="A409" s="1">
        <f>ROW(CantoralDB[[#This Row],[Título]])-1</f>
        <v>408</v>
      </c>
      <c r="B409" s="1" t="s">
        <v>2803</v>
      </c>
      <c r="C409" s="1"/>
      <c r="F409" s="1">
        <v>409</v>
      </c>
      <c r="J409" s="1"/>
      <c r="M409" s="15" t="s">
        <v>2503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409" s="1"/>
      <c r="T409" s="1"/>
      <c r="U409" s="15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409" s="15" t="str">
        <f>_xlfn.TEXTBEFORE(_xlfn.TEXTAFTER(CantoralDB[[#This Row],[index.html]],"&gt;"),"&gt;")&amp;"&gt;"</f>
        <v>&lt;a href="canciones/rosa_cruz/como_un_niño.html"&gt;</v>
      </c>
      <c r="AA409" s="1"/>
    </row>
    <row r="410" spans="1:27" x14ac:dyDescent="0.3">
      <c r="A410" s="1">
        <f>ROW(CantoralDB[[#This Row],[Título]])-1</f>
        <v>409</v>
      </c>
      <c r="B410" s="1" t="s">
        <v>2804</v>
      </c>
      <c r="C410" s="1"/>
      <c r="F410" s="1">
        <v>410</v>
      </c>
      <c r="J410" s="1"/>
      <c r="M410" s="15" t="s">
        <v>2805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410" s="1"/>
      <c r="T410" s="1"/>
      <c r="U410" s="15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410" s="15" t="str">
        <f>_xlfn.TEXTBEFORE(_xlfn.TEXTAFTER(CantoralDB[[#This Row],[index.html]],"&gt;"),"&gt;")&amp;"&gt;"</f>
        <v>&lt;a href="canciones/nuevas/tu_eres_dios.html"&gt;</v>
      </c>
      <c r="AA410" s="1"/>
    </row>
    <row r="411" spans="1:27" x14ac:dyDescent="0.3">
      <c r="A411" s="1">
        <f>ROW(CantoralDB[[#This Row],[Título]])-1</f>
        <v>410</v>
      </c>
      <c r="B411" s="1" t="s">
        <v>2807</v>
      </c>
      <c r="C411" s="1"/>
      <c r="F411" s="1">
        <v>411</v>
      </c>
      <c r="J411" s="1"/>
      <c r="M411" s="15" t="s">
        <v>2806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411" s="1"/>
      <c r="T411" s="1"/>
      <c r="U411" s="15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411" s="15" t="str">
        <f>_xlfn.TEXTBEFORE(_xlfn.TEXTAFTER(CantoralDB[[#This Row],[index.html]],"&gt;"),"&gt;")&amp;"&gt;"</f>
        <v>&lt;a href="canciones/nuevas/de_rodillas_madre.html"&gt;</v>
      </c>
      <c r="AA411" s="1"/>
    </row>
    <row r="412" spans="1:27" x14ac:dyDescent="0.3">
      <c r="A412" s="1">
        <f>ROW(CantoralDB[[#This Row],[Título]])-1</f>
        <v>411</v>
      </c>
      <c r="B412" s="1" t="s">
        <v>2808</v>
      </c>
      <c r="C412" s="1"/>
      <c r="F412" s="1">
        <v>412</v>
      </c>
      <c r="J412" s="1"/>
      <c r="M412" s="15" t="s">
        <v>590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412" s="1"/>
      <c r="T412" s="1"/>
      <c r="U412" s="15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412" s="15" t="str">
        <f>_xlfn.TEXTBEFORE(_xlfn.TEXTAFTER(CantoralDB[[#This Row],[index.html]],"&gt;"),"&gt;")&amp;"&gt;"</f>
        <v>&lt;a href="canciones/alejandro_ruiz/hijo_de_david.html"&gt;</v>
      </c>
      <c r="AA412" s="1"/>
    </row>
    <row r="413" spans="1:27" x14ac:dyDescent="0.3">
      <c r="A413" s="1">
        <f>ROW(CantoralDB[[#This Row],[Título]])-1</f>
        <v>412</v>
      </c>
      <c r="B413" s="1" t="s">
        <v>2809</v>
      </c>
      <c r="C413" s="1"/>
      <c r="F413" s="1">
        <v>413</v>
      </c>
      <c r="J413" s="1"/>
      <c r="M413" s="15" t="s">
        <v>795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413" s="1"/>
      <c r="T413" s="1"/>
      <c r="U413" s="15"/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413" s="15" t="str">
        <f>_xlfn.TEXTBEFORE(_xlfn.TEXTAFTER(CantoralDB[[#This Row],[index.html]],"&gt;"),"&gt;")&amp;"&gt;"</f>
        <v>&lt;a href="canciones/nuevas/es_la_confianza.html"&gt;</v>
      </c>
      <c r="AA413" s="1"/>
    </row>
    <row r="414" spans="1:27" x14ac:dyDescent="0.3">
      <c r="A414" s="1">
        <f>ROW(CantoralDB[[#This Row],[Título]])-1</f>
        <v>413</v>
      </c>
      <c r="B414" s="1" t="s">
        <v>2810</v>
      </c>
      <c r="C414" s="1"/>
      <c r="F414" s="1">
        <v>414</v>
      </c>
      <c r="J414" s="1"/>
      <c r="M414" s="15" t="s">
        <v>2813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414" s="1"/>
      <c r="T414" s="1"/>
      <c r="U414" s="15"/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414" s="15" t="str">
        <f>_xlfn.TEXTBEFORE(_xlfn.TEXTAFTER(CantoralDB[[#This Row],[index.html]],"&gt;"),"&gt;")&amp;"&gt;"</f>
        <v>&lt;a href="canciones/nuevas/ven_es_hora_de_adorarle.html"&gt;</v>
      </c>
      <c r="AA414" s="1"/>
    </row>
    <row r="415" spans="1:27" x14ac:dyDescent="0.3">
      <c r="A415" s="1">
        <f>ROW(CantoralDB[[#This Row],[Título]])-1</f>
        <v>414</v>
      </c>
      <c r="B415" s="1" t="s">
        <v>337</v>
      </c>
      <c r="C415" s="1" t="s">
        <v>1022</v>
      </c>
      <c r="D415" s="1" t="s">
        <v>1110</v>
      </c>
      <c r="F415" s="1">
        <v>415</v>
      </c>
      <c r="H415" s="1" t="s">
        <v>531</v>
      </c>
      <c r="I415" s="1" t="s">
        <v>2959</v>
      </c>
      <c r="J415" s="1" t="s">
        <v>608</v>
      </c>
      <c r="M415" s="15" t="s">
        <v>2140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415" s="1" t="s">
        <v>959</v>
      </c>
      <c r="T415" s="1"/>
      <c r="U415" s="15"/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415" s="15" t="str">
        <f>_xlfn.TEXTBEFORE(_xlfn.TEXTAFTER(CantoralDB[[#This Row],[index.html]],"&gt;"),"&gt;")&amp;"&gt;"</f>
        <v>&lt;a href="canciones/taize/de_noche.html"&gt;</v>
      </c>
      <c r="AA415" s="1"/>
    </row>
    <row r="416" spans="1:27" x14ac:dyDescent="0.3">
      <c r="A416" s="1">
        <f>ROW(CantoralDB[[#This Row],[Título]])-1</f>
        <v>415</v>
      </c>
      <c r="B416" s="1" t="s">
        <v>2811</v>
      </c>
      <c r="C416" s="1"/>
      <c r="F416" s="1">
        <v>416</v>
      </c>
      <c r="J416" s="1"/>
      <c r="M416" s="15" t="s">
        <v>2812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416" s="1"/>
      <c r="T416" s="1"/>
      <c r="U416" s="15"/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416" s="15" t="str">
        <f>_xlfn.TEXTBEFORE(_xlfn.TEXTAFTER(CantoralDB[[#This Row],[index.html]],"&gt;"),"&gt;")&amp;"&gt;"</f>
        <v>&lt;a href="canciones/nuevas/vengo_a_adorarte.html"&gt;</v>
      </c>
      <c r="AA416" s="1"/>
    </row>
    <row r="417" spans="1:27" x14ac:dyDescent="0.3">
      <c r="A417" s="1">
        <f>ROW(CantoralDB[[#This Row],[Título]])-1</f>
        <v>416</v>
      </c>
      <c r="B417" s="1" t="s">
        <v>2814</v>
      </c>
      <c r="C417" s="1"/>
      <c r="F417" s="1">
        <v>417</v>
      </c>
      <c r="J417" s="1"/>
      <c r="M417" s="15" t="s">
        <v>590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417" s="1"/>
      <c r="T417" s="1"/>
      <c r="U417" s="15"/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417" s="15" t="str">
        <f>_xlfn.TEXTBEFORE(_xlfn.TEXTAFTER(CantoralDB[[#This Row],[index.html]],"&gt;"),"&gt;")&amp;"&gt;"</f>
        <v>&lt;a href="canciones/alejandro_ruiz/que_tendras_tu.html"&gt;</v>
      </c>
      <c r="AA417" s="1"/>
    </row>
    <row r="418" spans="1:27" x14ac:dyDescent="0.3">
      <c r="A418" s="1">
        <f>ROW(CantoralDB[[#This Row],[Título]])-1</f>
        <v>417</v>
      </c>
      <c r="B418" s="1" t="s">
        <v>2815</v>
      </c>
      <c r="C418" s="1"/>
      <c r="F418" s="1">
        <v>418</v>
      </c>
      <c r="J418" s="1"/>
      <c r="M418" s="15" t="s">
        <v>795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418" s="1"/>
      <c r="T418" s="1"/>
      <c r="U418" s="15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418" s="15" t="str">
        <f>_xlfn.TEXTBEFORE(_xlfn.TEXTAFTER(CantoralDB[[#This Row],[index.html]],"&gt;"),"&gt;")&amp;"&gt;"</f>
        <v>&lt;a href="canciones/nuevas/ven_al_corazon.html"&gt;</v>
      </c>
      <c r="AA418" s="1"/>
    </row>
    <row r="419" spans="1:27" x14ac:dyDescent="0.3">
      <c r="A419" s="1">
        <f>ROW(CantoralDB[[#This Row],[Título]])-1</f>
        <v>418</v>
      </c>
      <c r="B419" s="1" t="s">
        <v>2818</v>
      </c>
      <c r="C419" s="1"/>
      <c r="F419" s="1">
        <v>419</v>
      </c>
      <c r="J419" s="1"/>
      <c r="M419" s="15" t="s">
        <v>795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419" s="1"/>
      <c r="T419" s="1"/>
      <c r="U419" s="15"/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419" s="15" t="str">
        <f>_xlfn.TEXTBEFORE(_xlfn.TEXTAFTER(CantoralDB[[#This Row],[index.html]],"&gt;"),"&gt;")&amp;"&gt;"</f>
        <v>&lt;a href="canciones/nuevas/el_leon_de_la_tribu_de_juda.html"&gt;</v>
      </c>
      <c r="AA419" s="1"/>
    </row>
    <row r="420" spans="1:27" x14ac:dyDescent="0.3">
      <c r="A420" s="1">
        <f>ROW(CantoralDB[[#This Row],[Título]])-1</f>
        <v>419</v>
      </c>
      <c r="B420" s="1" t="s">
        <v>2819</v>
      </c>
      <c r="C420" s="1"/>
      <c r="F420" s="1">
        <v>420</v>
      </c>
      <c r="J420" s="1"/>
      <c r="M420" s="15" t="s">
        <v>2816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420" s="1"/>
      <c r="T420" s="1"/>
      <c r="U420" s="15"/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420" s="15" t="str">
        <f>_xlfn.TEXTBEFORE(_xlfn.TEXTAFTER(CantoralDB[[#This Row],[index.html]],"&gt;"),"&gt;")&amp;"&gt;"</f>
        <v>&lt;a href="canciones/nuevas/eres_mi_respirar.html"&gt;</v>
      </c>
      <c r="AA420" s="1"/>
    </row>
    <row r="421" spans="1:27" x14ac:dyDescent="0.3">
      <c r="A421" s="1">
        <f>ROW(CantoralDB[[#This Row],[Título]])-1</f>
        <v>420</v>
      </c>
      <c r="B421" s="1" t="s">
        <v>2817</v>
      </c>
      <c r="C421" s="1"/>
      <c r="F421" s="1">
        <v>421</v>
      </c>
      <c r="J421" s="1"/>
      <c r="M421" s="15" t="s">
        <v>268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421" s="1"/>
      <c r="T421" s="1"/>
      <c r="U421" s="15"/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421" s="15" t="str">
        <f>_xlfn.TEXTBEFORE(_xlfn.TEXTAFTER(CantoralDB[[#This Row],[index.html]],"&gt;"),"&gt;")&amp;"&gt;"</f>
        <v>&lt;a href="canciones/taize/oh_pobreza.html"&gt;</v>
      </c>
      <c r="AA421" s="1"/>
    </row>
    <row r="422" spans="1:27" x14ac:dyDescent="0.3">
      <c r="A422" s="1">
        <f>ROW(CantoralDB[[#This Row],[Título]])-1</f>
        <v>421</v>
      </c>
      <c r="B422" s="1" t="s">
        <v>2820</v>
      </c>
      <c r="C422" s="1"/>
      <c r="F422" s="1">
        <v>422</v>
      </c>
      <c r="J422" s="1"/>
      <c r="M422" s="15" t="s">
        <v>2824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422" s="1"/>
      <c r="T422" s="1"/>
      <c r="U422" s="15"/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422" s="15" t="str">
        <f>_xlfn.TEXTBEFORE(_xlfn.TEXTAFTER(CantoralDB[[#This Row],[index.html]],"&gt;"),"&gt;")&amp;"&gt;"</f>
        <v>&lt;a href="canciones/nuevas/queremos_a_cristo_proclamar.html"&gt;</v>
      </c>
      <c r="AA422" s="1"/>
    </row>
    <row r="423" spans="1:27" x14ac:dyDescent="0.3">
      <c r="A423" s="1">
        <f>ROW(CantoralDB[[#This Row],[Título]])-1</f>
        <v>422</v>
      </c>
      <c r="B423" s="1" t="s">
        <v>895</v>
      </c>
      <c r="C423" s="1" t="s">
        <v>1021</v>
      </c>
      <c r="D423" s="1" t="s">
        <v>1099</v>
      </c>
      <c r="F423" s="1">
        <v>423</v>
      </c>
      <c r="H423" s="1" t="s">
        <v>531</v>
      </c>
      <c r="I423" s="1" t="s">
        <v>2961</v>
      </c>
      <c r="J423" s="1" t="s">
        <v>608</v>
      </c>
      <c r="M423" s="15" t="s">
        <v>1940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3" s="1" t="s">
        <v>957</v>
      </c>
      <c r="T423" s="1" t="s">
        <v>332</v>
      </c>
      <c r="U423" s="15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423" s="15" t="str">
        <f>_xlfn.TEXTBEFORE(_xlfn.TEXTAFTER(CantoralDB[[#This Row],[index.html]],"&gt;"),"&gt;")&amp;"&gt;"</f>
        <v>&lt;a href="canciones/taize/confitemini_domino.html"&gt;</v>
      </c>
      <c r="AA423" s="1"/>
    </row>
    <row r="424" spans="1:27" x14ac:dyDescent="0.3">
      <c r="A424" s="1">
        <f>ROW(CantoralDB[[#This Row],[Título]])-1</f>
        <v>423</v>
      </c>
      <c r="B424" s="1" t="s">
        <v>332</v>
      </c>
      <c r="C424" s="1" t="s">
        <v>1022</v>
      </c>
      <c r="D424" s="1" t="s">
        <v>1099</v>
      </c>
      <c r="F424" s="1">
        <v>423</v>
      </c>
      <c r="H424" s="1" t="s">
        <v>531</v>
      </c>
      <c r="I424" s="1" t="s">
        <v>2961</v>
      </c>
      <c r="J424" s="1" t="s">
        <v>608</v>
      </c>
      <c r="M424" s="15" t="s">
        <v>2140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4" s="1"/>
      <c r="T424" s="1"/>
      <c r="U424" s="15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424" s="15" t="str">
        <f>_xlfn.TEXTBEFORE(_xlfn.TEXTAFTER(CantoralDB[[#This Row],[index.html]],"&gt;"),"&gt;")&amp;"&gt;"</f>
        <v>&lt;a href="canciones/taize/confitemini_domino.html"&gt;</v>
      </c>
      <c r="AA424" s="1"/>
    </row>
    <row r="425" spans="1:27" x14ac:dyDescent="0.3">
      <c r="A425" s="1">
        <f>ROW(CantoralDB[[#This Row],[Título]])-1</f>
        <v>424</v>
      </c>
      <c r="B425" s="1" t="s">
        <v>2821</v>
      </c>
      <c r="C425" s="1"/>
      <c r="F425" s="1">
        <v>424</v>
      </c>
      <c r="J425" s="1"/>
      <c r="M425" s="15" t="s">
        <v>590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425" s="1"/>
      <c r="T425" s="1"/>
      <c r="U425" s="15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425" s="15" t="str">
        <f>_xlfn.TEXTBEFORE(_xlfn.TEXTAFTER(CantoralDB[[#This Row],[index.html]],"&gt;"),"&gt;")&amp;"&gt;"</f>
        <v>&lt;a href="canciones/alejandro_ruiz/ven_espiritu_santo_de_dios.html"&gt;</v>
      </c>
      <c r="AA425" s="1"/>
    </row>
    <row r="426" spans="1:27" x14ac:dyDescent="0.3">
      <c r="A426" s="1">
        <f>ROW(CantoralDB[[#This Row],[Título]])-1</f>
        <v>425</v>
      </c>
      <c r="B426" s="1" t="s">
        <v>2822</v>
      </c>
      <c r="C426" s="1"/>
      <c r="F426" s="1">
        <v>425</v>
      </c>
      <c r="J426" s="1"/>
      <c r="M426" s="15" t="s">
        <v>2823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426" s="1"/>
      <c r="T426" s="1"/>
      <c r="U426" s="15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426" s="15" t="str">
        <f>_xlfn.TEXTBEFORE(_xlfn.TEXTAFTER(CantoralDB[[#This Row],[index.html]],"&gt;"),"&gt;")&amp;"&gt;"</f>
        <v>&lt;a href="canciones/nuevas/haz_llover.html"&gt;</v>
      </c>
      <c r="AA426" s="1"/>
    </row>
    <row r="427" spans="1:27" x14ac:dyDescent="0.3">
      <c r="A427" s="1">
        <f>ROW(CantoralDB[[#This Row],[Título]])-1</f>
        <v>426</v>
      </c>
      <c r="B427" s="1" t="s">
        <v>2825</v>
      </c>
      <c r="C427" s="1"/>
      <c r="F427" s="1">
        <v>426</v>
      </c>
      <c r="J427" s="1"/>
      <c r="M427" s="15" t="s">
        <v>2827</v>
      </c>
      <c r="N427" s="15"/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427" s="1"/>
      <c r="T427" s="1"/>
      <c r="U427" s="15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427" s="15" t="str">
        <f>_xlfn.TEXTBEFORE(_xlfn.TEXTAFTER(CantoralDB[[#This Row],[index.html]],"&gt;"),"&gt;")&amp;"&gt;"</f>
        <v>&lt;a href="canciones/nuevas/esto_es_mi_cuerpo.html"&gt;</v>
      </c>
      <c r="AA427" s="1"/>
    </row>
    <row r="428" spans="1:27" x14ac:dyDescent="0.3">
      <c r="A428" s="1">
        <f>ROW(CantoralDB[[#This Row],[Título]])-1</f>
        <v>427</v>
      </c>
      <c r="B428" s="1" t="s">
        <v>2826</v>
      </c>
      <c r="C428" s="1"/>
      <c r="F428" s="1">
        <v>427</v>
      </c>
      <c r="J428" s="1"/>
      <c r="M428" s="15" t="s">
        <v>2828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428" s="1"/>
      <c r="T428" s="1"/>
      <c r="U428" s="15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428" s="15" t="str">
        <f>_xlfn.TEXTBEFORE(_xlfn.TEXTAFTER(CantoralDB[[#This Row],[index.html]],"&gt;"),"&gt;")&amp;"&gt;"</f>
        <v>&lt;a href="canciones/nuevas/ven_espiritu_ven.html"&gt;</v>
      </c>
      <c r="AA428" s="1"/>
    </row>
    <row r="429" spans="1:27" x14ac:dyDescent="0.3">
      <c r="A429" s="1">
        <f>ROW(CantoralDB[[#This Row],[Título]])-1</f>
        <v>428</v>
      </c>
      <c r="B429" s="1" t="s">
        <v>2829</v>
      </c>
      <c r="C429" s="1"/>
      <c r="F429" s="1">
        <v>428</v>
      </c>
      <c r="J429" s="1"/>
      <c r="M429" s="15" t="s">
        <v>795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429" s="1"/>
      <c r="T429" s="1"/>
      <c r="U429" s="15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429" s="15" t="str">
        <f>_xlfn.TEXTBEFORE(_xlfn.TEXTAFTER(CantoralDB[[#This Row],[index.html]],"&gt;"),"&gt;")&amp;"&gt;"</f>
        <v>&lt;a href="canciones/nuevas/buenas_noches_maria.html"&gt;</v>
      </c>
      <c r="AA429" s="1"/>
    </row>
    <row r="430" spans="1:27" x14ac:dyDescent="0.3">
      <c r="A430" s="1">
        <f>ROW(CantoralDB[[#This Row],[Título]])-1</f>
        <v>429</v>
      </c>
      <c r="B430" s="1" t="s">
        <v>927</v>
      </c>
      <c r="C430" s="1" t="s">
        <v>1021</v>
      </c>
      <c r="D430" s="1" t="s">
        <v>1140</v>
      </c>
      <c r="F430" s="1">
        <v>429</v>
      </c>
      <c r="H430" s="1" t="s">
        <v>531</v>
      </c>
      <c r="I430" s="1" t="s">
        <v>2960</v>
      </c>
      <c r="J430" s="1" t="s">
        <v>608</v>
      </c>
      <c r="M430" s="15" t="s">
        <v>1940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0" s="1" t="s">
        <v>974</v>
      </c>
      <c r="T430" s="1" t="s">
        <v>785</v>
      </c>
      <c r="U430" s="15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430" s="15" t="str">
        <f>_xlfn.TEXTBEFORE(_xlfn.TEXTAFTER(CantoralDB[[#This Row],[index.html]],"&gt;"),"&gt;")&amp;"&gt;"</f>
        <v>&lt;a href="canciones/taize/laudate_omnes_gentes.html"&gt;</v>
      </c>
      <c r="AA430" s="1"/>
    </row>
    <row r="431" spans="1:27" x14ac:dyDescent="0.3">
      <c r="A431" s="1">
        <f>ROW(CantoralDB[[#This Row],[Título]])-1</f>
        <v>430</v>
      </c>
      <c r="B431" s="1" t="s">
        <v>785</v>
      </c>
      <c r="C431" s="1" t="s">
        <v>1022</v>
      </c>
      <c r="D431" s="1" t="s">
        <v>1140</v>
      </c>
      <c r="F431" s="1">
        <v>429</v>
      </c>
      <c r="H431" s="1" t="s">
        <v>531</v>
      </c>
      <c r="I431" s="1" t="s">
        <v>2960</v>
      </c>
      <c r="J431" s="1" t="s">
        <v>608</v>
      </c>
      <c r="M431" s="15" t="s">
        <v>2140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1" s="1"/>
      <c r="T431" s="1"/>
      <c r="U431" s="15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431" s="15" t="str">
        <f>_xlfn.TEXTBEFORE(_xlfn.TEXTAFTER(CantoralDB[[#This Row],[index.html]],"&gt;"),"&gt;")&amp;"&gt;"</f>
        <v>&lt;a href="canciones/taize/laudate_omnes_gentes.html"&gt;</v>
      </c>
      <c r="AA431" s="1"/>
    </row>
    <row r="432" spans="1:27" x14ac:dyDescent="0.3">
      <c r="A432" s="1">
        <f>ROW(CantoralDB[[#This Row],[Título]])-1</f>
        <v>431</v>
      </c>
      <c r="B432" s="1" t="s">
        <v>2830</v>
      </c>
      <c r="C432" s="1"/>
      <c r="F432" s="1">
        <v>430</v>
      </c>
      <c r="J432" s="1"/>
      <c r="M432" s="15" t="s">
        <v>2828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432" s="1"/>
      <c r="T432" s="1"/>
      <c r="U432" s="15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432" s="15" t="str">
        <f>_xlfn.TEXTBEFORE(_xlfn.TEXTAFTER(CantoralDB[[#This Row],[index.html]],"&gt;"),"&gt;")&amp;"&gt;"</f>
        <v>&lt;a href="canciones/nuevas/a_el_le_sea_la_gloria.html"&gt;</v>
      </c>
      <c r="AA432" s="1"/>
    </row>
    <row r="433" spans="1:27" x14ac:dyDescent="0.3">
      <c r="A433" s="1">
        <f>ROW(CantoralDB[[#This Row],[Título]])-1</f>
        <v>432</v>
      </c>
      <c r="B433" s="1" t="s">
        <v>227</v>
      </c>
      <c r="C433" s="1" t="s">
        <v>192</v>
      </c>
      <c r="D433" s="1" t="s">
        <v>1367</v>
      </c>
      <c r="F433" s="1">
        <v>431</v>
      </c>
      <c r="G433" s="1" t="s">
        <v>216</v>
      </c>
      <c r="H433" s="1" t="s">
        <v>531</v>
      </c>
      <c r="J433" s="1" t="s">
        <v>608</v>
      </c>
      <c r="M433" s="15" t="s">
        <v>499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33" s="1"/>
      <c r="T433" s="1"/>
      <c r="U433" s="15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433" s="15" t="str">
        <f>_xlfn.TEXTBEFORE(_xlfn.TEXTAFTER(CantoralDB[[#This Row],[index.html]],"&gt;"),"&gt;")&amp;"&gt;"</f>
        <v>&lt;a href="canciones/brotes_de_olivo/agua_lavame.html"&gt;</v>
      </c>
      <c r="AA433" s="1"/>
    </row>
    <row r="434" spans="1:27" x14ac:dyDescent="0.3">
      <c r="A434" s="1">
        <f>ROW(CantoralDB[[#This Row],[Título]])-1</f>
        <v>433</v>
      </c>
      <c r="B434" s="1" t="s">
        <v>2831</v>
      </c>
      <c r="C434" s="1"/>
      <c r="F434" s="1">
        <v>432</v>
      </c>
      <c r="J434" s="1"/>
      <c r="M434" s="15" t="s">
        <v>590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434" s="1"/>
      <c r="T434" s="1"/>
      <c r="U434" s="15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434" s="15" t="str">
        <f>_xlfn.TEXTBEFORE(_xlfn.TEXTAFTER(CantoralDB[[#This Row],[index.html]],"&gt;"),"&gt;")&amp;"&gt;"</f>
        <v>&lt;a href="canciones/alejandro_ruiz/demos_gloria.html"&gt;</v>
      </c>
      <c r="AA434" s="1"/>
    </row>
    <row r="435" spans="1:27" x14ac:dyDescent="0.3">
      <c r="A435" s="1">
        <f>ROW(CantoralDB[[#This Row],[Título]])-1</f>
        <v>434</v>
      </c>
      <c r="B435" s="1" t="s">
        <v>2832</v>
      </c>
      <c r="C435" s="1"/>
      <c r="F435" s="1">
        <v>433</v>
      </c>
      <c r="J435" s="1"/>
      <c r="M435" s="15" t="s">
        <v>2834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435" s="1"/>
      <c r="T435" s="1"/>
      <c r="U435" s="15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435" s="15" t="str">
        <f>_xlfn.TEXTBEFORE(_xlfn.TEXTAFTER(CantoralDB[[#This Row],[index.html]],"&gt;"),"&gt;")&amp;"&gt;"</f>
        <v>&lt;a href="canciones/nuevas/cantico_de_victoria.html"&gt;</v>
      </c>
      <c r="AA435" s="1"/>
    </row>
    <row r="436" spans="1:27" x14ac:dyDescent="0.3">
      <c r="A436" s="1">
        <f>ROW(CantoralDB[[#This Row],[Título]])-1</f>
        <v>435</v>
      </c>
      <c r="B436" s="1" t="s">
        <v>2833</v>
      </c>
      <c r="C436" s="1"/>
      <c r="F436" s="1">
        <v>434</v>
      </c>
      <c r="J436" s="1"/>
      <c r="M436" s="15" t="s">
        <v>2835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436" s="1"/>
      <c r="T436" s="1"/>
      <c r="U436" s="15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436" s="15" t="str">
        <f>_xlfn.TEXTBEFORE(_xlfn.TEXTAFTER(CantoralDB[[#This Row],[index.html]],"&gt;"),"&gt;")&amp;"&gt;"</f>
        <v>&lt;a href="canciones/nuevas/ven_ven_espiritu_de_dios.html"&gt;</v>
      </c>
      <c r="AA436" s="1"/>
    </row>
    <row r="437" spans="1:27" x14ac:dyDescent="0.3">
      <c r="A437" s="1">
        <f>ROW(CantoralDB[[#This Row],[Título]])-1</f>
        <v>436</v>
      </c>
      <c r="B437" s="1" t="s">
        <v>2836</v>
      </c>
      <c r="C437" s="1"/>
      <c r="F437" s="1">
        <v>435</v>
      </c>
      <c r="J437" s="1"/>
      <c r="M437" s="15" t="s">
        <v>2179</v>
      </c>
      <c r="N437" s="15"/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437" s="1"/>
      <c r="T437" s="1"/>
      <c r="U437" s="15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437" s="15" t="str">
        <f>_xlfn.TEXTBEFORE(_xlfn.TEXTAFTER(CantoralDB[[#This Row],[index.html]],"&gt;"),"&gt;")&amp;"&gt;"</f>
        <v>&lt;a href="canciones/nuevas/cansado_del_camino.html"&gt;</v>
      </c>
      <c r="AA437" s="1"/>
    </row>
    <row r="438" spans="1:27" x14ac:dyDescent="0.3">
      <c r="A438" s="1">
        <f>ROW(CantoralDB[[#This Row],[Título]])-1</f>
        <v>437</v>
      </c>
      <c r="B438" s="1" t="s">
        <v>2837</v>
      </c>
      <c r="C438" s="1"/>
      <c r="F438" s="1">
        <v>436</v>
      </c>
      <c r="J438" s="1"/>
      <c r="M438" s="15" t="s">
        <v>2393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438" s="1"/>
      <c r="T438" s="1"/>
      <c r="U438" s="15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438" s="15" t="str">
        <f>_xlfn.TEXTBEFORE(_xlfn.TEXTAFTER(CantoralDB[[#This Row],[index.html]],"&gt;"),"&gt;")&amp;"&gt;"</f>
        <v>&lt;a href="canciones/marcos_witt/enciende_una_luz.html"&gt;</v>
      </c>
      <c r="AA438" s="1"/>
    </row>
    <row r="439" spans="1:27" x14ac:dyDescent="0.3">
      <c r="A439" s="1">
        <f>ROW(CantoralDB[[#This Row],[Título]])-1</f>
        <v>438</v>
      </c>
      <c r="B439" s="1" t="s">
        <v>2838</v>
      </c>
      <c r="C439" s="1"/>
      <c r="F439" s="1">
        <v>437</v>
      </c>
      <c r="J439" s="1"/>
      <c r="M439" s="15" t="s">
        <v>2179</v>
      </c>
      <c r="N439" s="15"/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439" s="15" t="str">
        <f>_xlfn.TEXTBEFORE(_xlfn.TEXTAFTER(CantoralDB[[#This Row],[index.html]],"&gt;"),"&gt;")&amp;"&gt;"</f>
        <v>&lt;a href="canciones/nuevas/que_seria_de_mi.html"&gt;</v>
      </c>
      <c r="AA439" s="1"/>
    </row>
    <row r="440" spans="1:27" x14ac:dyDescent="0.3">
      <c r="A440" s="1">
        <f>ROW(CantoralDB[[#This Row],[Título]])-1</f>
        <v>439</v>
      </c>
      <c r="B440" s="1" t="s">
        <v>2839</v>
      </c>
      <c r="C440" s="1"/>
      <c r="F440" s="1">
        <v>438</v>
      </c>
      <c r="J440" s="1"/>
      <c r="M440" s="15" t="s">
        <v>590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440" s="15" t="str">
        <f>_xlfn.TEXTBEFORE(_xlfn.TEXTAFTER(CantoralDB[[#This Row],[index.html]],"&gt;"),"&gt;")&amp;"&gt;"</f>
        <v>&lt;a href="canciones/alejandro_ruiz/alabad_al_señor_todas_las_naciones.html"&gt;</v>
      </c>
      <c r="AA440" s="1"/>
    </row>
    <row r="441" spans="1:27" x14ac:dyDescent="0.3">
      <c r="A441" s="1">
        <f>ROW(CantoralDB[[#This Row],[Título]])-1</f>
        <v>440</v>
      </c>
      <c r="B441" s="1" t="s">
        <v>2172</v>
      </c>
      <c r="C441" s="15"/>
      <c r="F441" s="1">
        <v>439</v>
      </c>
      <c r="H441" s="1" t="s">
        <v>531</v>
      </c>
      <c r="J441" s="1" t="s">
        <v>608</v>
      </c>
      <c r="M441" s="15" t="s">
        <v>2840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441" s="15" t="str">
        <f>_xlfn.TEXTBEFORE(_xlfn.TEXTAFTER(CantoralDB[[#This Row],[index.html]],"&gt;"),"&gt;")&amp;"&gt;"</f>
        <v>&lt;a href="canciones/nuevas/te_doy_mi_corazon.html"&gt;</v>
      </c>
      <c r="AA441" s="1"/>
    </row>
    <row r="442" spans="1:27" x14ac:dyDescent="0.3">
      <c r="A442" s="1">
        <f>ROW(CantoralDB[[#This Row],[Título]])-1</f>
        <v>441</v>
      </c>
      <c r="B442" s="1" t="s">
        <v>2841</v>
      </c>
      <c r="C442" s="1"/>
      <c r="F442" s="1">
        <v>440</v>
      </c>
      <c r="J442" s="1"/>
      <c r="M442" s="15" t="s">
        <v>590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442" s="15" t="str">
        <f>_xlfn.TEXTBEFORE(_xlfn.TEXTAFTER(CantoralDB[[#This Row],[index.html]],"&gt;"),"&gt;")&amp;"&gt;"</f>
        <v>&lt;a href="canciones/alejandro_ruiz/la_victoria_es_de_nuestro_dios.html"&gt;</v>
      </c>
      <c r="AA442" s="1"/>
    </row>
    <row r="443" spans="1:27" x14ac:dyDescent="0.3">
      <c r="A443" s="1">
        <f>ROW(CantoralDB[[#This Row],[Título]])-1</f>
        <v>442</v>
      </c>
      <c r="B443" s="1" t="s">
        <v>2842</v>
      </c>
      <c r="C443" s="1"/>
      <c r="F443" s="1">
        <v>441</v>
      </c>
      <c r="J443" s="1"/>
      <c r="M443" s="15" t="s">
        <v>2510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443" s="15" t="str">
        <f>_xlfn.TEXTBEFORE(_xlfn.TEXTAFTER(CantoralDB[[#This Row],[index.html]],"&gt;"),"&gt;")&amp;"&gt;"</f>
        <v>&lt;a href="canciones/marta_gil-delgado/quien_es_este.html"&gt;</v>
      </c>
      <c r="AA443" s="1"/>
    </row>
    <row r="444" spans="1:27" x14ac:dyDescent="0.3">
      <c r="A444" s="1">
        <f>ROW(CantoralDB[[#This Row],[Título]])-1</f>
        <v>443</v>
      </c>
      <c r="B444" s="1" t="s">
        <v>2843</v>
      </c>
      <c r="C444" s="1"/>
      <c r="F444" s="1">
        <v>442</v>
      </c>
      <c r="J444" s="1"/>
      <c r="M444" s="15" t="s">
        <v>590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444" s="15" t="str">
        <f>_xlfn.TEXTBEFORE(_xlfn.TEXTAFTER(CantoralDB[[#This Row],[index.html]],"&gt;"),"&gt;")&amp;"&gt;"</f>
        <v>&lt;a href="canciones/alejandro_ruiz/tu_me_has_vestido.html"&gt;</v>
      </c>
      <c r="AA444" s="1"/>
    </row>
    <row r="445" spans="1:27" x14ac:dyDescent="0.3">
      <c r="A445" s="1">
        <f>ROW(CantoralDB[[#This Row],[Título]])-1</f>
        <v>444</v>
      </c>
      <c r="B445" s="1" t="s">
        <v>2386</v>
      </c>
      <c r="C445" s="1" t="s">
        <v>201</v>
      </c>
      <c r="D445" s="1" t="s">
        <v>653</v>
      </c>
      <c r="F445" s="1">
        <v>443</v>
      </c>
      <c r="G445" s="1" t="s">
        <v>209</v>
      </c>
      <c r="H445" s="1" t="s">
        <v>531</v>
      </c>
      <c r="J445" s="1" t="s">
        <v>608</v>
      </c>
      <c r="M445" s="15" t="s">
        <v>511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445" s="1" t="s">
        <v>827</v>
      </c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445" s="15" t="str">
        <f>_xlfn.TEXTBEFORE(_xlfn.TEXTAFTER(CantoralDB[[#This Row],[index.html]],"&gt;"),"&gt;")&amp;"&gt;"</f>
        <v>&lt;a href="canciones/nsb/el_señor_es_mi_pastor_(nico_montero).html"&gt;</v>
      </c>
      <c r="AA445" s="1"/>
    </row>
    <row r="446" spans="1:27" x14ac:dyDescent="0.3">
      <c r="A446" s="1">
        <f>ROW(CantoralDB[[#This Row],[Título]])-1</f>
        <v>445</v>
      </c>
      <c r="B446" s="1" t="s">
        <v>2844</v>
      </c>
      <c r="C446" s="1"/>
      <c r="F446" s="1">
        <v>444</v>
      </c>
      <c r="J446" s="1"/>
      <c r="M446" s="15" t="s">
        <v>795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446" s="15" t="str">
        <f>_xlfn.TEXTBEFORE(_xlfn.TEXTAFTER(CantoralDB[[#This Row],[index.html]],"&gt;"),"&gt;")&amp;"&gt;"</f>
        <v>&lt;a href="canciones/nuevas/hay_que_volver_a_nacer_de_nuevo.html"&gt;</v>
      </c>
      <c r="AA446" s="1"/>
    </row>
    <row r="447" spans="1:27" x14ac:dyDescent="0.3">
      <c r="A447" s="1">
        <f>ROW(CantoralDB[[#This Row],[Título]])-1</f>
        <v>446</v>
      </c>
      <c r="B447" s="1" t="s">
        <v>2845</v>
      </c>
      <c r="C447" s="1"/>
      <c r="F447" s="1">
        <v>445</v>
      </c>
      <c r="J447" s="1"/>
      <c r="M447" s="15" t="s">
        <v>795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447" s="15" t="str">
        <f>_xlfn.TEXTBEFORE(_xlfn.TEXTAFTER(CantoralDB[[#This Row],[index.html]],"&gt;"),"&gt;")&amp;"&gt;"</f>
        <v>&lt;a href="canciones/nuevas/pa_arriba.html"&gt;</v>
      </c>
      <c r="AA447" s="1"/>
    </row>
    <row r="448" spans="1:27" x14ac:dyDescent="0.3">
      <c r="A448" s="1">
        <f>ROW(CantoralDB[[#This Row],[Título]])-1</f>
        <v>447</v>
      </c>
      <c r="B448" s="1" t="s">
        <v>2846</v>
      </c>
      <c r="C448" s="1"/>
      <c r="F448" s="1">
        <v>446</v>
      </c>
      <c r="J448" s="1"/>
      <c r="M448" s="15" t="s">
        <v>590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448" s="15" t="str">
        <f>_xlfn.TEXTBEFORE(_xlfn.TEXTAFTER(CantoralDB[[#This Row],[index.html]],"&gt;"),"&gt;")&amp;"&gt;"</f>
        <v>&lt;a href="canciones/alejandro_ruiz/el_alfa_y_la_omega.html"&gt;</v>
      </c>
      <c r="AA448" s="1"/>
    </row>
    <row r="449" spans="1:27" x14ac:dyDescent="0.3">
      <c r="A449" s="1">
        <f>ROW(CantoralDB[[#This Row],[Título]])-1</f>
        <v>448</v>
      </c>
      <c r="B449" s="1" t="s">
        <v>415</v>
      </c>
      <c r="C449" s="1"/>
      <c r="F449" s="1">
        <v>447</v>
      </c>
      <c r="J449" s="1"/>
      <c r="M449" s="15" t="s">
        <v>2847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449" s="15" t="str">
        <f>_xlfn.TEXTBEFORE(_xlfn.TEXTAFTER(CantoralDB[[#This Row],[index.html]],"&gt;"),"&gt;")&amp;"&gt;"</f>
        <v>&lt;a href="canciones/nuevas/nada_te_turbe.html"&gt;</v>
      </c>
      <c r="AA449" s="1"/>
    </row>
    <row r="450" spans="1:27" x14ac:dyDescent="0.3">
      <c r="A450" s="1">
        <f>ROW(CantoralDB[[#This Row],[Título]])-1</f>
        <v>449</v>
      </c>
      <c r="B450" s="1" t="s">
        <v>2848</v>
      </c>
      <c r="C450" s="1"/>
      <c r="F450" s="1">
        <v>448</v>
      </c>
      <c r="J450" s="1"/>
      <c r="M450" s="15" t="s">
        <v>2510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450" s="1"/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450" s="15" t="str">
        <f>_xlfn.TEXTBEFORE(_xlfn.TEXTAFTER(CantoralDB[[#This Row],[index.html]],"&gt;"),"&gt;")&amp;"&gt;"</f>
        <v>&lt;a href="canciones/marta_gil-delgado/no_me_callare.html"&gt;</v>
      </c>
      <c r="AA450" s="1"/>
    </row>
    <row r="451" spans="1:27" x14ac:dyDescent="0.3">
      <c r="A451" s="1">
        <f>ROW(CantoralDB[[#This Row],[Título]])-1</f>
        <v>450</v>
      </c>
      <c r="B451" s="1" t="s">
        <v>93</v>
      </c>
      <c r="C451" s="1" t="s">
        <v>192</v>
      </c>
      <c r="D451" s="1" t="s">
        <v>1441</v>
      </c>
      <c r="E451" s="1">
        <v>168</v>
      </c>
      <c r="F451" s="1" t="s">
        <v>2495</v>
      </c>
      <c r="G451" s="1" t="s">
        <v>209</v>
      </c>
      <c r="H451" s="1" t="s">
        <v>1027</v>
      </c>
      <c r="J451" s="1" t="s">
        <v>608</v>
      </c>
      <c r="M451" s="15" t="s">
        <v>2176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451" s="15" t="str">
        <f>_xlfn.TEXTBEFORE(_xlfn.TEXTAFTER(CantoralDB[[#This Row],[index.html]],"&gt;"),"&gt;")&amp;"&gt;"</f>
        <v>&lt;a href="canciones/nsb/mi_dios_esta_vivo.html"&gt;</v>
      </c>
      <c r="AA451" s="1"/>
    </row>
    <row r="452" spans="1:27" x14ac:dyDescent="0.3">
      <c r="A452" s="1">
        <f>ROW(CantoralDB[[#This Row],[Título]])-1</f>
        <v>451</v>
      </c>
      <c r="B452" s="1" t="s">
        <v>159</v>
      </c>
      <c r="C452" s="1" t="s">
        <v>199</v>
      </c>
      <c r="D452" s="1" t="s">
        <v>1474</v>
      </c>
      <c r="E452" s="1">
        <v>470</v>
      </c>
      <c r="F452" s="1" t="s">
        <v>2444</v>
      </c>
      <c r="G452" s="1" t="s">
        <v>209</v>
      </c>
      <c r="H452" s="1" t="s">
        <v>531</v>
      </c>
      <c r="I452" s="1" t="s">
        <v>2961</v>
      </c>
      <c r="J452" s="1" t="s">
        <v>608</v>
      </c>
      <c r="M452" s="15" t="s">
        <v>481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52" s="15" t="str">
        <f>_xlfn.TEXTBEFORE(_xlfn.TEXTAFTER(CantoralDB[[#This Row],[index.html]],"&gt;"),"&gt;")&amp;"&gt;"</f>
        <v>&lt;a href="canciones/francisco_palazon/vaso_nuevo.html"&gt;</v>
      </c>
      <c r="AA452" s="1"/>
    </row>
    <row r="453" spans="1:27" x14ac:dyDescent="0.3">
      <c r="A453" s="1">
        <f>ROW(CantoralDB[[#This Row],[Título]])-1</f>
        <v>452</v>
      </c>
      <c r="B453" s="1" t="s">
        <v>51</v>
      </c>
      <c r="C453" s="1" t="s">
        <v>993</v>
      </c>
      <c r="D453" s="1" t="s">
        <v>700</v>
      </c>
      <c r="E453" s="1">
        <v>95</v>
      </c>
      <c r="G453" s="1" t="s">
        <v>209</v>
      </c>
      <c r="H453" s="1" t="s">
        <v>1027</v>
      </c>
      <c r="J453" s="1" t="s">
        <v>608</v>
      </c>
      <c r="M453" s="15" t="s">
        <v>795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453" s="1" t="s">
        <v>825</v>
      </c>
      <c r="T453" s="1"/>
      <c r="U453" s="15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453" s="15" t="str">
        <f>_xlfn.TEXTBEFORE(_xlfn.TEXTAFTER(CantoralDB[[#This Row],[index.html]],"&gt;"),"&gt;")&amp;"&gt;"</f>
        <v>&lt;a href="canciones/nsb/el_señor_dios_nos_amo.html"&gt;</v>
      </c>
      <c r="AA453" s="1"/>
    </row>
    <row r="454" spans="1:27" x14ac:dyDescent="0.3">
      <c r="A454" s="1">
        <f>ROW(CantoralDB[[#This Row],[Título]])-1</f>
        <v>453</v>
      </c>
      <c r="B454" s="1" t="s">
        <v>57</v>
      </c>
      <c r="C454" s="1" t="s">
        <v>191</v>
      </c>
      <c r="D454" s="1" t="s">
        <v>737</v>
      </c>
      <c r="E454" s="1">
        <v>101</v>
      </c>
      <c r="G454" s="1" t="s">
        <v>209</v>
      </c>
      <c r="H454" s="1" t="s">
        <v>1027</v>
      </c>
      <c r="I454" s="1" t="s">
        <v>2961</v>
      </c>
      <c r="J454" s="1" t="s">
        <v>608</v>
      </c>
      <c r="M454" s="15" t="s">
        <v>795</v>
      </c>
      <c r="N454" s="15"/>
      <c r="O454" s="15"/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454" s="1"/>
      <c r="T454" s="1"/>
      <c r="U454" s="15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454" s="15" t="str">
        <f>_xlfn.TEXTBEFORE(_xlfn.TEXTAFTER(CantoralDB[[#This Row],[index.html]],"&gt;"),"&gt;")&amp;"&gt;"</f>
        <v>&lt;a href="canciones/nsb/en_el_señor_estamos_congregados.html"&gt;</v>
      </c>
      <c r="AA454" s="1"/>
    </row>
    <row r="455" spans="1:27" x14ac:dyDescent="0.3">
      <c r="A455" s="1">
        <f>ROW(CantoralDB[[#This Row],[Título]])-1</f>
        <v>454</v>
      </c>
      <c r="B455" s="1" t="s">
        <v>56</v>
      </c>
      <c r="C455" s="1" t="s">
        <v>197</v>
      </c>
      <c r="D455" s="1" t="s">
        <v>1417</v>
      </c>
      <c r="E455" s="1">
        <v>107</v>
      </c>
      <c r="G455" s="1" t="s">
        <v>209</v>
      </c>
      <c r="H455" s="1" t="s">
        <v>1030</v>
      </c>
      <c r="J455" s="1" t="s">
        <v>608</v>
      </c>
      <c r="M455" s="15" t="s">
        <v>795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455" s="1"/>
      <c r="T455" s="1"/>
      <c r="U455" s="15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455" s="15" t="str">
        <f>_xlfn.TEXTBEFORE(_xlfn.TEXTAFTER(CantoralDB[[#This Row],[index.html]],"&gt;"),"&gt;")&amp;"&gt;"</f>
        <v>&lt;a href="canciones/nsb/en_el_mar_he_oido_hoy.html"&gt;</v>
      </c>
      <c r="AA455" s="1"/>
    </row>
    <row r="456" spans="1:27" x14ac:dyDescent="0.3">
      <c r="A456" s="1">
        <f>ROW(CantoralDB[[#This Row],[Título]])-1</f>
        <v>455</v>
      </c>
      <c r="B456" s="1" t="s">
        <v>1246</v>
      </c>
      <c r="C456" s="1"/>
      <c r="E456" s="1">
        <v>109</v>
      </c>
      <c r="J456" s="1"/>
      <c r="M456" s="15" t="s">
        <v>795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456" s="1"/>
      <c r="T456" s="1"/>
      <c r="U456" s="15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456" s="15" t="str">
        <f>_xlfn.TEXTBEFORE(_xlfn.TEXTAFTER(CantoralDB[[#This Row],[index.html]],"&gt;"),"&gt;")&amp;"&gt;"</f>
        <v>&lt;a href="canciones/nsb/envia_tu_espiritu_señor.html"&gt;</v>
      </c>
      <c r="AA456" s="1"/>
    </row>
    <row r="457" spans="1:27" x14ac:dyDescent="0.3">
      <c r="A457" s="1">
        <f>ROW(CantoralDB[[#This Row],[Título]])-1</f>
        <v>456</v>
      </c>
      <c r="B457" s="1" t="s">
        <v>1252</v>
      </c>
      <c r="C457" s="1"/>
      <c r="E457" s="1">
        <v>118</v>
      </c>
      <c r="J457" s="1"/>
      <c r="M457" s="15" t="s">
        <v>795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457" s="15" t="str">
        <f>_xlfn.TEXTBEFORE(_xlfn.TEXTAFTER(CantoralDB[[#This Row],[index.html]],"&gt;"),"&gt;")&amp;"&gt;"</f>
        <v>&lt;a href="canciones/nsb/esta_es_la_noche_de_la_luz.html"&gt;</v>
      </c>
      <c r="AA457" s="1"/>
    </row>
    <row r="458" spans="1:27" x14ac:dyDescent="0.3">
      <c r="A458" s="1">
        <f>ROW(CantoralDB[[#This Row],[Título]])-1</f>
        <v>457</v>
      </c>
      <c r="B458" s="1" t="s">
        <v>1264</v>
      </c>
      <c r="C458" s="1"/>
      <c r="E458" s="1">
        <v>135</v>
      </c>
      <c r="H458" s="1" t="s">
        <v>531</v>
      </c>
      <c r="J458" s="1" t="s">
        <v>608</v>
      </c>
      <c r="M458" s="15" t="s">
        <v>795</v>
      </c>
      <c r="N458" s="15"/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458" s="1"/>
      <c r="T458" s="1"/>
      <c r="U458" s="33" t="s">
        <v>2993</v>
      </c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458" s="15" t="str">
        <f>_xlfn.TEXTBEFORE(_xlfn.TEXTAFTER(CantoralDB[[#This Row],[index.html]],"&gt;"),"&gt;")&amp;"&gt;"</f>
        <v>&lt;a href="canciones/nsb/hoy_empieza_una_nueva_era.html"&gt;</v>
      </c>
      <c r="AA458" s="1"/>
    </row>
    <row r="459" spans="1:27" x14ac:dyDescent="0.3">
      <c r="A459" s="1">
        <f>ROW(CantoralDB[[#This Row],[Título]])-1</f>
        <v>458</v>
      </c>
      <c r="B459" s="1" t="s">
        <v>1290</v>
      </c>
      <c r="C459" s="1"/>
      <c r="E459" s="1">
        <v>180</v>
      </c>
      <c r="H459" s="1" t="s">
        <v>531</v>
      </c>
      <c r="J459" s="1" t="s">
        <v>608</v>
      </c>
      <c r="M459" s="15" t="s">
        <v>795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459" s="15" t="str">
        <f>_xlfn.TEXTBEFORE(_xlfn.TEXTAFTER(CantoralDB[[#This Row],[index.html]],"&gt;"),"&gt;")&amp;"&gt;"</f>
        <v>&lt;a href="canciones/nsb/no_vayais_a_la_fiesta.html"&gt;</v>
      </c>
      <c r="AA459" s="1"/>
    </row>
    <row r="460" spans="1:27" x14ac:dyDescent="0.3">
      <c r="A460" s="1">
        <f>ROW(CantoralDB[[#This Row],[Título]])-1</f>
        <v>459</v>
      </c>
      <c r="B460" s="1" t="s">
        <v>101</v>
      </c>
      <c r="C460" s="1" t="s">
        <v>192</v>
      </c>
      <c r="D460" s="1" t="s">
        <v>1443</v>
      </c>
      <c r="E460" s="1">
        <v>191</v>
      </c>
      <c r="G460" s="1" t="s">
        <v>209</v>
      </c>
      <c r="H460" s="1" t="s">
        <v>531</v>
      </c>
      <c r="J460" s="1" t="s">
        <v>608</v>
      </c>
      <c r="M460" s="15" t="s">
        <v>795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460" s="15" t="str">
        <f>_xlfn.TEXTBEFORE(_xlfn.TEXTAFTER(CantoralDB[[#This Row],[index.html]],"&gt;"),"&gt;")&amp;"&gt;"</f>
        <v>&lt;a href="canciones/nsb/oh_señor_mueve_mi_espiritu.html"&gt;</v>
      </c>
      <c r="AA460" s="1"/>
    </row>
    <row r="461" spans="1:27" x14ac:dyDescent="0.3">
      <c r="A461" s="1">
        <f>ROW(CantoralDB[[#This Row],[Título]])-1</f>
        <v>460</v>
      </c>
      <c r="B461" s="1" t="s">
        <v>110</v>
      </c>
      <c r="C461" s="1" t="s">
        <v>198</v>
      </c>
      <c r="D461" s="1" t="s">
        <v>1452</v>
      </c>
      <c r="E461" s="1">
        <v>200</v>
      </c>
      <c r="G461" s="1" t="s">
        <v>209</v>
      </c>
      <c r="H461" s="1" t="s">
        <v>1027</v>
      </c>
      <c r="I461" s="1" t="s">
        <v>2961</v>
      </c>
      <c r="J461" s="1" t="s">
        <v>608</v>
      </c>
      <c r="M461" s="15" t="s">
        <v>795</v>
      </c>
      <c r="N461" s="15"/>
      <c r="O461" s="15"/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461" s="15" t="str">
        <f>_xlfn.TEXTBEFORE(_xlfn.TEXTAFTER(CantoralDB[[#This Row],[index.html]],"&gt;"),"&gt;")&amp;"&gt;"</f>
        <v>&lt;a href="canciones/nsb/paz_señor_en_el_cielo_y_la_tierra.html"&gt;</v>
      </c>
      <c r="AA461" s="1"/>
    </row>
    <row r="462" spans="1:27" x14ac:dyDescent="0.3">
      <c r="A462" s="1">
        <f>ROW(CantoralDB[[#This Row],[Título]])-1</f>
        <v>461</v>
      </c>
      <c r="B462" s="1" t="s">
        <v>113</v>
      </c>
      <c r="C462" s="1" t="s">
        <v>195</v>
      </c>
      <c r="D462" s="1" t="s">
        <v>767</v>
      </c>
      <c r="E462" s="1">
        <v>214</v>
      </c>
      <c r="G462" s="1" t="s">
        <v>209</v>
      </c>
      <c r="H462" s="1" t="s">
        <v>531</v>
      </c>
      <c r="J462" s="1" t="s">
        <v>608</v>
      </c>
      <c r="M462" s="15" t="s">
        <v>795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462" s="15" t="str">
        <f>_xlfn.TEXTBEFORE(_xlfn.TEXTAFTER(CantoralDB[[#This Row],[index.html]],"&gt;"),"&gt;")&amp;"&gt;"</f>
        <v>&lt;a href="canciones/nsb/por_los_hombres.html"&gt;</v>
      </c>
      <c r="AA462" s="1"/>
    </row>
    <row r="463" spans="1:27" x14ac:dyDescent="0.3">
      <c r="A463" s="1">
        <f>ROW(CantoralDB[[#This Row],[Título]])-1</f>
        <v>462</v>
      </c>
      <c r="B463" s="1" t="s">
        <v>132</v>
      </c>
      <c r="C463" s="1" t="s">
        <v>993</v>
      </c>
      <c r="D463" s="1" t="s">
        <v>1002</v>
      </c>
      <c r="E463" s="1">
        <v>233</v>
      </c>
      <c r="G463" s="1" t="s">
        <v>209</v>
      </c>
      <c r="H463" s="1" t="s">
        <v>531</v>
      </c>
      <c r="J463" s="1" t="s">
        <v>608</v>
      </c>
      <c r="M463" s="15" t="s">
        <v>795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463" s="15" t="str">
        <f>_xlfn.TEXTBEFORE(_xlfn.TEXTAFTER(CantoralDB[[#This Row],[index.html]],"&gt;"),"&gt;")&amp;"&gt;"</f>
        <v>&lt;a href="canciones/nsb/se_acerca_tu_navidad.html"&gt;</v>
      </c>
      <c r="AA463" s="1"/>
    </row>
    <row r="464" spans="1:27" x14ac:dyDescent="0.3">
      <c r="A464" s="1">
        <f>ROW(CantoralDB[[#This Row],[Título]])-1</f>
        <v>463</v>
      </c>
      <c r="B464" s="1" t="s">
        <v>134</v>
      </c>
      <c r="C464" s="1" t="s">
        <v>198</v>
      </c>
      <c r="D464" s="1" t="s">
        <v>776</v>
      </c>
      <c r="E464" s="1">
        <v>234</v>
      </c>
      <c r="G464" s="1" t="s">
        <v>209</v>
      </c>
      <c r="H464" s="1" t="s">
        <v>531</v>
      </c>
      <c r="I464" s="1" t="s">
        <v>2961</v>
      </c>
      <c r="J464" s="1" t="s">
        <v>608</v>
      </c>
      <c r="M464" s="15" t="s">
        <v>795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464" s="1"/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464" s="15" t="str">
        <f>_xlfn.TEXTBEFORE(_xlfn.TEXTAFTER(CantoralDB[[#This Row],[index.html]],"&gt;"),"&gt;")&amp;"&gt;"</f>
        <v>&lt;a href="canciones/nsb/shalom_haberim.html"&gt;</v>
      </c>
      <c r="AA464" s="1"/>
    </row>
    <row r="465" spans="1:27" x14ac:dyDescent="0.3">
      <c r="A465" s="1">
        <f>ROW(CantoralDB[[#This Row],[Título]])-1</f>
        <v>464</v>
      </c>
      <c r="B465" s="1" t="s">
        <v>135</v>
      </c>
      <c r="C465" s="1" t="s">
        <v>993</v>
      </c>
      <c r="D465" s="1" t="s">
        <v>1003</v>
      </c>
      <c r="E465" s="1">
        <v>235</v>
      </c>
      <c r="G465" s="1" t="s">
        <v>209</v>
      </c>
      <c r="H465" s="1" t="s">
        <v>531</v>
      </c>
      <c r="I465" s="1" t="s">
        <v>2961</v>
      </c>
      <c r="J465" s="1" t="s">
        <v>608</v>
      </c>
      <c r="M465" s="15" t="s">
        <v>795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465" s="15" t="str">
        <f>_xlfn.TEXTBEFORE(_xlfn.TEXTAFTER(CantoralDB[[#This Row],[index.html]],"&gt;"),"&gt;")&amp;"&gt;"</f>
        <v>&lt;a href="canciones/nsb/si_dios_a_su_mesa_nos_quiere_sentar.html"&gt;</v>
      </c>
      <c r="AA465" s="1"/>
    </row>
    <row r="466" spans="1:27" x14ac:dyDescent="0.3">
      <c r="A466" s="1">
        <f>ROW(CantoralDB[[#This Row],[Título]])-1</f>
        <v>465</v>
      </c>
      <c r="B466" s="1" t="s">
        <v>2105</v>
      </c>
      <c r="C466" s="1"/>
      <c r="E466" s="1">
        <v>248</v>
      </c>
      <c r="J466" s="1"/>
      <c r="M466" s="15" t="s">
        <v>795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466" s="1"/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466" s="15" t="str">
        <f>_xlfn.TEXTBEFORE(_xlfn.TEXTAFTER(CantoralDB[[#This Row],[index.html]],"&gt;"),"&gt;")&amp;"&gt;"</f>
        <v>&lt;a href="canciones/nsb/soy_un_pobre_pastorcillo.html"&gt;</v>
      </c>
      <c r="AA466" s="1"/>
    </row>
    <row r="467" spans="1:27" x14ac:dyDescent="0.3">
      <c r="A467" s="1">
        <f>ROW(CantoralDB[[#This Row],[Título]])-1</f>
        <v>466</v>
      </c>
      <c r="B467" s="1" t="s">
        <v>142</v>
      </c>
      <c r="C467" s="1" t="s">
        <v>993</v>
      </c>
      <c r="D467" s="1" t="s">
        <v>1010</v>
      </c>
      <c r="E467" s="1">
        <v>255</v>
      </c>
      <c r="G467" s="1" t="s">
        <v>209</v>
      </c>
      <c r="H467" s="1" t="s">
        <v>531</v>
      </c>
      <c r="I467" s="1" t="s">
        <v>2959</v>
      </c>
      <c r="J467" s="1" t="s">
        <v>608</v>
      </c>
      <c r="M467" s="15" t="s">
        <v>795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467" s="1" t="s">
        <v>863</v>
      </c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467" s="15" t="str">
        <f>_xlfn.TEXTBEFORE(_xlfn.TEXTAFTER(CantoralDB[[#This Row],[index.html]],"&gt;"),"&gt;")&amp;"&gt;"</f>
        <v>&lt;a href="canciones/nsb/tengo_que_gritar.html"&gt;</v>
      </c>
      <c r="AA467" s="1"/>
    </row>
    <row r="468" spans="1:27" x14ac:dyDescent="0.3">
      <c r="A468" s="1">
        <f>ROW(CantoralDB[[#This Row],[Título]])-1</f>
        <v>467</v>
      </c>
      <c r="B468" s="1" t="s">
        <v>145</v>
      </c>
      <c r="C468" s="1" t="s">
        <v>195</v>
      </c>
      <c r="D468" s="1" t="s">
        <v>771</v>
      </c>
      <c r="E468" s="1">
        <v>265</v>
      </c>
      <c r="G468" s="1" t="s">
        <v>209</v>
      </c>
      <c r="H468" s="1" t="s">
        <v>1027</v>
      </c>
      <c r="J468" s="1" t="s">
        <v>608</v>
      </c>
      <c r="M468" s="15" t="s">
        <v>795</v>
      </c>
      <c r="N468" s="15"/>
      <c r="O468" s="15"/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468" s="15" t="str">
        <f>_xlfn.TEXTBEFORE(_xlfn.TEXTAFTER(CantoralDB[[#This Row],[index.html]],"&gt;"),"&gt;")&amp;"&gt;"</f>
        <v>&lt;a href="canciones/nsb/traemos_a_tu_altar.html"&gt;</v>
      </c>
      <c r="AA468" s="1"/>
    </row>
    <row r="469" spans="1:27" x14ac:dyDescent="0.3">
      <c r="A469" s="1">
        <f>ROW(CantoralDB[[#This Row],[Título]])-1</f>
        <v>468</v>
      </c>
      <c r="B469" s="1" t="s">
        <v>152</v>
      </c>
      <c r="C469" s="1" t="s">
        <v>191</v>
      </c>
      <c r="D469" s="1" t="s">
        <v>752</v>
      </c>
      <c r="E469" s="1">
        <v>270</v>
      </c>
      <c r="G469" s="1" t="s">
        <v>209</v>
      </c>
      <c r="H469" s="1" t="s">
        <v>1027</v>
      </c>
      <c r="I469" s="1" t="s">
        <v>2961</v>
      </c>
      <c r="J469" s="1" t="s">
        <v>608</v>
      </c>
      <c r="M469" s="15" t="s">
        <v>795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469" s="1"/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469" s="15" t="str">
        <f>_xlfn.TEXTBEFORE(_xlfn.TEXTAFTER(CantoralDB[[#This Row],[index.html]],"&gt;"),"&gt;")&amp;"&gt;"</f>
        <v>&lt;a href="canciones/nsb/un_nuevo_sitio_disponed.html"&gt;</v>
      </c>
      <c r="AA469" s="1"/>
    </row>
    <row r="470" spans="1:27" x14ac:dyDescent="0.3">
      <c r="A470" s="1">
        <f>ROW(CantoralDB[[#This Row],[Título]])-1</f>
        <v>469</v>
      </c>
      <c r="B470" s="1" t="s">
        <v>69</v>
      </c>
      <c r="C470" s="1" t="s">
        <v>193</v>
      </c>
      <c r="D470" s="1" t="s">
        <v>1424</v>
      </c>
      <c r="E470" s="1">
        <v>303</v>
      </c>
      <c r="G470" s="1" t="s">
        <v>209</v>
      </c>
      <c r="H470" s="1" t="s">
        <v>531</v>
      </c>
      <c r="J470" s="1" t="s">
        <v>608</v>
      </c>
      <c r="M470" s="15" t="s">
        <v>795</v>
      </c>
      <c r="N470" s="15"/>
      <c r="O470" s="15"/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470" s="15" t="str">
        <f>_xlfn.TEXTBEFORE(_xlfn.TEXTAFTER(CantoralDB[[#This Row],[index.html]],"&gt;"),"&gt;")&amp;"&gt;"</f>
        <v>&lt;a href="canciones/nsb/gloria_y_alabanza.html"&gt;</v>
      </c>
      <c r="AA470" s="1"/>
    </row>
    <row r="471" spans="1:27" x14ac:dyDescent="0.3">
      <c r="A471" s="1">
        <f>ROW(CantoralDB[[#This Row],[Título]])-1</f>
        <v>470</v>
      </c>
      <c r="B471" s="1" t="s">
        <v>1352</v>
      </c>
      <c r="C471" s="1"/>
      <c r="E471" s="1">
        <v>304</v>
      </c>
      <c r="J471" s="1"/>
      <c r="M471" s="15" t="s">
        <v>795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471" s="1"/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471" s="15" t="str">
        <f>_xlfn.TEXTBEFORE(_xlfn.TEXTAFTER(CantoralDB[[#This Row],[index.html]],"&gt;"),"&gt;")&amp;"&gt;"</f>
        <v>&lt;a href="canciones/nsb/jesus_es_la_verdad.html"&gt;</v>
      </c>
      <c r="AA471" s="1"/>
    </row>
    <row r="472" spans="1:27" x14ac:dyDescent="0.3">
      <c r="A472" s="1">
        <f>ROW(CantoralDB[[#This Row],[Título]])-1</f>
        <v>471</v>
      </c>
      <c r="B472" s="1" t="s">
        <v>1353</v>
      </c>
      <c r="C472" s="1"/>
      <c r="E472" s="1">
        <v>305</v>
      </c>
      <c r="J472" s="1"/>
      <c r="M472" s="15" t="s">
        <v>795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472" s="15" t="str">
        <f>_xlfn.TEXTBEFORE(_xlfn.TEXTAFTER(CantoralDB[[#This Row],[index.html]],"&gt;"),"&gt;")&amp;"&gt;"</f>
        <v>&lt;a href="canciones/nsb/juntos_cantaremos_con_la_voz_de_la_cancion.html"&gt;</v>
      </c>
      <c r="AA472" s="1"/>
    </row>
    <row r="473" spans="1:27" x14ac:dyDescent="0.3">
      <c r="A473" s="1">
        <f>ROW(CantoralDB[[#This Row],[Título]])-1</f>
        <v>472</v>
      </c>
      <c r="B473" s="1" t="s">
        <v>1355</v>
      </c>
      <c r="C473" s="1"/>
      <c r="E473" s="1">
        <v>309</v>
      </c>
      <c r="J473" s="1"/>
      <c r="M473" s="15" t="s">
        <v>795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473" s="15" t="str">
        <f>_xlfn.TEXTBEFORE(_xlfn.TEXTAFTER(CantoralDB[[#This Row],[index.html]],"&gt;"),"&gt;")&amp;"&gt;"</f>
        <v>&lt;a href="canciones/nsb/somos_los_que_hacemos_puentes.html"&gt;</v>
      </c>
      <c r="AA473" s="1"/>
    </row>
    <row r="474" spans="1:27" x14ac:dyDescent="0.3">
      <c r="A474" s="1">
        <f>ROW(CantoralDB[[#This Row],[Título]])-1</f>
        <v>473</v>
      </c>
      <c r="B474" s="1" t="s">
        <v>1482</v>
      </c>
      <c r="C474" s="1"/>
      <c r="E474" s="1">
        <v>314</v>
      </c>
      <c r="H474" s="1" t="s">
        <v>531</v>
      </c>
      <c r="J474" s="1" t="s">
        <v>608</v>
      </c>
      <c r="M474" s="15" t="s">
        <v>795</v>
      </c>
      <c r="N474" s="33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474" s="1"/>
      <c r="T474" s="1"/>
      <c r="U474" s="33" t="s">
        <v>1481</v>
      </c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474" s="15" t="str">
        <f>_xlfn.TEXTBEFORE(_xlfn.TEXTAFTER(CantoralDB[[#This Row],[index.html]],"&gt;"),"&gt;")&amp;"&gt;"</f>
        <v>&lt;a href="canciones/nsb/el_tren_del_evangelio.html"&gt;</v>
      </c>
      <c r="AA474" s="1"/>
    </row>
    <row r="475" spans="1:27" x14ac:dyDescent="0.3">
      <c r="A475" s="1">
        <f>ROW(CantoralDB[[#This Row],[Título]])-1</f>
        <v>474</v>
      </c>
      <c r="B475" s="1" t="s">
        <v>38</v>
      </c>
      <c r="C475" s="1" t="s">
        <v>202</v>
      </c>
      <c r="D475" s="1" t="s">
        <v>1403</v>
      </c>
      <c r="E475" s="1">
        <v>415</v>
      </c>
      <c r="G475" s="1" t="s">
        <v>209</v>
      </c>
      <c r="H475" s="1" t="s">
        <v>1030</v>
      </c>
      <c r="J475" s="1" t="s">
        <v>608</v>
      </c>
      <c r="M475" s="15" t="s">
        <v>795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475" s="1"/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475" s="15" t="str">
        <f>_xlfn.TEXTBEFORE(_xlfn.TEXTAFTER(CantoralDB[[#This Row],[index.html]],"&gt;"),"&gt;")&amp;"&gt;"</f>
        <v>&lt;a href="canciones/nsb/cordero_de_dios_(boliviano).html"&gt;</v>
      </c>
      <c r="AA475" s="1"/>
    </row>
    <row r="476" spans="1:27" x14ac:dyDescent="0.3">
      <c r="A476" s="1">
        <f>ROW(CantoralDB[[#This Row],[Título]])-1</f>
        <v>475</v>
      </c>
      <c r="B476" s="1" t="s">
        <v>85</v>
      </c>
      <c r="C476" s="1" t="s">
        <v>200</v>
      </c>
      <c r="D476" s="1" t="s">
        <v>1436</v>
      </c>
      <c r="E476" s="1">
        <v>432</v>
      </c>
      <c r="G476" s="1" t="s">
        <v>209</v>
      </c>
      <c r="H476" s="1" t="s">
        <v>1029</v>
      </c>
      <c r="J476" s="1" t="s">
        <v>608</v>
      </c>
      <c r="M476" s="15" t="s">
        <v>795</v>
      </c>
      <c r="N476" s="15"/>
      <c r="O476" s="15"/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476" s="15" t="str">
        <f>_xlfn.TEXTBEFORE(_xlfn.TEXTAFTER(CantoralDB[[#This Row],[index.html]],"&gt;"),"&gt;")&amp;"&gt;"</f>
        <v>&lt;a href="canciones/nsb/la_virgen_sueña_caminos.html"&gt;</v>
      </c>
      <c r="AA476" s="1"/>
    </row>
    <row r="477" spans="1:27" x14ac:dyDescent="0.3">
      <c r="A477" s="1">
        <f>ROW(CantoralDB[[#This Row],[Título]])-1</f>
        <v>476</v>
      </c>
      <c r="B477" s="1" t="s">
        <v>90</v>
      </c>
      <c r="C477" s="1" t="s">
        <v>200</v>
      </c>
      <c r="D477" s="1" t="s">
        <v>1046</v>
      </c>
      <c r="E477" s="1">
        <v>434</v>
      </c>
      <c r="G477" s="1" t="s">
        <v>209</v>
      </c>
      <c r="H477" s="1" t="s">
        <v>531</v>
      </c>
      <c r="J477" s="1" t="s">
        <v>608</v>
      </c>
      <c r="M477" s="15" t="s">
        <v>795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477" s="15" t="str">
        <f>_xlfn.TEXTBEFORE(_xlfn.TEXTAFTER(CantoralDB[[#This Row],[index.html]],"&gt;"),"&gt;")&amp;"&gt;"</f>
        <v>&lt;a href="canciones/nsb/maria_madre_nuestra.html"&gt;</v>
      </c>
      <c r="AA477" s="1"/>
    </row>
    <row r="478" spans="1:27" x14ac:dyDescent="0.3">
      <c r="A478" s="1">
        <f>ROW(CantoralDB[[#This Row],[Título]])-1</f>
        <v>477</v>
      </c>
      <c r="B478" s="1" t="s">
        <v>98</v>
      </c>
      <c r="C478" s="1" t="s">
        <v>993</v>
      </c>
      <c r="D478" s="1" t="s">
        <v>722</v>
      </c>
      <c r="E478" s="1">
        <v>441</v>
      </c>
      <c r="G478" s="1" t="s">
        <v>209</v>
      </c>
      <c r="H478" s="1" t="s">
        <v>531</v>
      </c>
      <c r="J478" s="1" t="s">
        <v>608</v>
      </c>
      <c r="M478" s="15" t="s">
        <v>795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478" s="15" t="str">
        <f>_xlfn.TEXTBEFORE(_xlfn.TEXTAFTER(CantoralDB[[#This Row],[index.html]],"&gt;"),"&gt;")&amp;"&gt;"</f>
        <v>&lt;a href="canciones/nsb/no_me_mueve.html"&gt;</v>
      </c>
      <c r="AA478" s="1"/>
    </row>
    <row r="479" spans="1:27" x14ac:dyDescent="0.3">
      <c r="A479" s="1">
        <f>ROW(CantoralDB[[#This Row],[Título]])-1</f>
        <v>478</v>
      </c>
      <c r="B479" s="1" t="s">
        <v>105</v>
      </c>
      <c r="C479" s="1" t="s">
        <v>197</v>
      </c>
      <c r="D479" s="1" t="s">
        <v>1445</v>
      </c>
      <c r="E479" s="1">
        <v>444</v>
      </c>
      <c r="G479" s="1" t="s">
        <v>209</v>
      </c>
      <c r="H479" s="1" t="s">
        <v>1030</v>
      </c>
      <c r="I479" s="1" t="s">
        <v>2961</v>
      </c>
      <c r="J479" s="1" t="s">
        <v>608</v>
      </c>
      <c r="M479" s="15" t="s">
        <v>795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479" s="15" t="str">
        <f>_xlfn.TEXTBEFORE(_xlfn.TEXTAFTER(CantoralDB[[#This Row],[index.html]],"&gt;"),"&gt;")&amp;"&gt;"</f>
        <v>&lt;a href="canciones/nsb/padre_nuestro_(mexicano).html"&gt;</v>
      </c>
      <c r="AA479" s="1"/>
    </row>
    <row r="480" spans="1:27" x14ac:dyDescent="0.3">
      <c r="A480" s="1">
        <f>ROW(CantoralDB[[#This Row],[Título]])-1</f>
        <v>479</v>
      </c>
      <c r="B480" s="1" t="s">
        <v>108</v>
      </c>
      <c r="C480" s="1" t="s">
        <v>993</v>
      </c>
      <c r="D480" s="1" t="s">
        <v>726</v>
      </c>
      <c r="E480" s="1">
        <v>445</v>
      </c>
      <c r="G480" s="1" t="s">
        <v>209</v>
      </c>
      <c r="H480" s="1" t="s">
        <v>473</v>
      </c>
      <c r="J480" s="1" t="s">
        <v>608</v>
      </c>
      <c r="M480" s="15" t="s">
        <v>795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480" s="15" t="str">
        <f>_xlfn.TEXTBEFORE(_xlfn.TEXTAFTER(CantoralDB[[#This Row],[index.html]],"&gt;"),"&gt;")&amp;"&gt;"</f>
        <v>&lt;a href="canciones/nsb/para_el_que_sabe.html"&gt;</v>
      </c>
      <c r="AA480" s="1"/>
    </row>
    <row r="481" spans="1:27" x14ac:dyDescent="0.3">
      <c r="A481" s="1">
        <f>ROW(CantoralDB[[#This Row],[Título]])-1</f>
        <v>480</v>
      </c>
      <c r="B481" s="1" t="s">
        <v>164</v>
      </c>
      <c r="C481" s="1" t="s">
        <v>199</v>
      </c>
      <c r="D481" s="1" t="s">
        <v>1478</v>
      </c>
      <c r="E481" s="1">
        <v>472</v>
      </c>
      <c r="G481" s="1" t="s">
        <v>209</v>
      </c>
      <c r="H481" s="1" t="s">
        <v>1027</v>
      </c>
      <c r="J481" s="1" t="s">
        <v>608</v>
      </c>
      <c r="M481" s="15" t="s">
        <v>795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481" s="15" t="str">
        <f>_xlfn.TEXTBEFORE(_xlfn.TEXTAFTER(CantoralDB[[#This Row],[index.html]],"&gt;"),"&gt;")&amp;"&gt;"</f>
        <v>&lt;a href="canciones/nsb/vive_tu_amor_en_mi.html"&gt;</v>
      </c>
      <c r="AA481" s="1"/>
    </row>
    <row r="482" spans="1:27" x14ac:dyDescent="0.3">
      <c r="A482" s="1">
        <f>ROW(CantoralDB[[#This Row],[Título]])-1</f>
        <v>481</v>
      </c>
      <c r="B482" s="1" t="s">
        <v>165</v>
      </c>
      <c r="C482" s="1" t="s">
        <v>993</v>
      </c>
      <c r="D482" s="1" t="s">
        <v>1018</v>
      </c>
      <c r="E482" s="1">
        <v>473</v>
      </c>
      <c r="G482" s="1" t="s">
        <v>209</v>
      </c>
      <c r="H482" s="1" t="s">
        <v>531</v>
      </c>
      <c r="I482" s="1" t="s">
        <v>2961</v>
      </c>
      <c r="J482" s="1" t="s">
        <v>608</v>
      </c>
      <c r="M482" s="15" t="s">
        <v>795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482" s="15" t="str">
        <f>_xlfn.TEXTBEFORE(_xlfn.TEXTAFTER(CantoralDB[[#This Row],[index.html]],"&gt;"),"&gt;")&amp;"&gt;"</f>
        <v>&lt;a href="canciones/nsb/volar.html"&gt;</v>
      </c>
      <c r="AA482" s="1"/>
    </row>
    <row r="483" spans="1:27" x14ac:dyDescent="0.3">
      <c r="A483" s="1">
        <f>ROW(CantoralDB[[#This Row],[Título]])-1</f>
        <v>482</v>
      </c>
      <c r="B483" s="1" t="s">
        <v>596</v>
      </c>
      <c r="C483" s="1" t="s">
        <v>200</v>
      </c>
      <c r="D483" s="1" t="s">
        <v>1411</v>
      </c>
      <c r="G483" s="1" t="s">
        <v>595</v>
      </c>
      <c r="H483" s="1" t="s">
        <v>531</v>
      </c>
      <c r="I483" s="1" t="s">
        <v>2961</v>
      </c>
      <c r="J483" s="1" t="s">
        <v>608</v>
      </c>
      <c r="M483" s="15" t="s">
        <v>795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483" s="1"/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483" s="15" t="str">
        <f>_xlfn.TEXTBEFORE(_xlfn.TEXTAFTER(CantoralDB[[#This Row],[index.html]],"&gt;"),"&gt;")&amp;"&gt;"</f>
        <v>&lt;a href="canciones/nsb/dulce_muchacha_humilde_de_palestina.html"&gt;</v>
      </c>
      <c r="AA483" s="1"/>
    </row>
    <row r="484" spans="1:27" x14ac:dyDescent="0.3">
      <c r="A484" s="1">
        <f>ROW(CantoralDB[[#This Row],[Título]])-1</f>
        <v>483</v>
      </c>
      <c r="B484" s="1" t="s">
        <v>591</v>
      </c>
      <c r="C484" s="1" t="s">
        <v>211</v>
      </c>
      <c r="D484" s="1" t="s">
        <v>1437</v>
      </c>
      <c r="G484" s="1" t="s">
        <v>595</v>
      </c>
      <c r="H484" s="1" t="s">
        <v>531</v>
      </c>
      <c r="I484" s="1" t="s">
        <v>2958</v>
      </c>
      <c r="J484" s="1" t="s">
        <v>608</v>
      </c>
      <c r="M484" s="15" t="s">
        <v>795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484" s="15" t="str">
        <f>_xlfn.TEXTBEFORE(_xlfn.TEXTAFTER(CantoralDB[[#This Row],[index.html]],"&gt;"),"&gt;")&amp;"&gt;"</f>
        <v>&lt;a href="canciones/nsb/letanias.html"&gt;</v>
      </c>
      <c r="AA484" s="1"/>
    </row>
    <row r="485" spans="1:27" x14ac:dyDescent="0.3">
      <c r="A485" s="1">
        <f>ROW(CantoralDB[[#This Row],[Título]])-1</f>
        <v>484</v>
      </c>
      <c r="B485" s="1" t="s">
        <v>598</v>
      </c>
      <c r="C485" s="1" t="s">
        <v>200</v>
      </c>
      <c r="D485" s="1" t="s">
        <v>1053</v>
      </c>
      <c r="G485" s="1" t="s">
        <v>599</v>
      </c>
      <c r="H485" s="1" t="s">
        <v>531</v>
      </c>
      <c r="I485" s="1" t="s">
        <v>2961</v>
      </c>
      <c r="J485" s="1" t="s">
        <v>608</v>
      </c>
      <c r="M485" s="15" t="s">
        <v>795</v>
      </c>
      <c r="N485" s="15"/>
      <c r="O485" s="15"/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485" s="15" t="str">
        <f>_xlfn.TEXTBEFORE(_xlfn.TEXTAFTER(CantoralDB[[#This Row],[index.html]],"&gt;"),"&gt;")&amp;"&gt;"</f>
        <v>&lt;a href="canciones/nsb/salve_madre.html"&gt;</v>
      </c>
      <c r="AA485" s="1"/>
    </row>
    <row r="486" spans="1:27" x14ac:dyDescent="0.3">
      <c r="A486" s="1">
        <f>ROW(CantoralDB[[#This Row],[Título]])-1</f>
        <v>485</v>
      </c>
      <c r="B486" s="1" t="s">
        <v>579</v>
      </c>
      <c r="C486" s="1" t="s">
        <v>196</v>
      </c>
      <c r="D486" s="1" t="s">
        <v>1465</v>
      </c>
      <c r="G486" s="1" t="s">
        <v>209</v>
      </c>
      <c r="H486" s="1" t="s">
        <v>531</v>
      </c>
      <c r="I486" s="1" t="s">
        <v>2961</v>
      </c>
      <c r="J486" s="1" t="s">
        <v>608</v>
      </c>
      <c r="M486" s="15" t="s">
        <v>795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486" s="15" t="str">
        <f>_xlfn.TEXTBEFORE(_xlfn.TEXTAFTER(CantoralDB[[#This Row],[index.html]],"&gt;"),"&gt;")&amp;"&gt;"</f>
        <v>&lt;a href="canciones/nsb/santo_(santo_domingo_de_silos).html"&gt;</v>
      </c>
      <c r="AA486" s="1"/>
    </row>
    <row r="487" spans="1:27" x14ac:dyDescent="0.3">
      <c r="A487" s="1">
        <f>ROW(CantoralDB[[#This Row],[Título]])-1</f>
        <v>486</v>
      </c>
      <c r="B487" s="1" t="s">
        <v>567</v>
      </c>
      <c r="C487" s="1" t="s">
        <v>196</v>
      </c>
      <c r="D487" s="1" t="s">
        <v>778</v>
      </c>
      <c r="G487" s="1" t="s">
        <v>209</v>
      </c>
      <c r="H487" s="1" t="s">
        <v>531</v>
      </c>
      <c r="I487" s="1" t="s">
        <v>2961</v>
      </c>
      <c r="J487" s="1" t="s">
        <v>608</v>
      </c>
      <c r="M487" s="15" t="s">
        <v>795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487" s="15" t="str">
        <f>_xlfn.TEXTBEFORE(_xlfn.TEXTAFTER(CantoralDB[[#This Row],[index.html]],"&gt;"),"&gt;")&amp;"&gt;"</f>
        <v>&lt;a href="canciones/nsb/santo_eres_señor_dios_nuestro.html"&gt;</v>
      </c>
      <c r="AA487" s="1"/>
    </row>
    <row r="488" spans="1:27" x14ac:dyDescent="0.3">
      <c r="A488" s="1">
        <f>ROW(CantoralDB[[#This Row],[Título]])-1</f>
        <v>487</v>
      </c>
      <c r="B488" s="1" t="s">
        <v>2162</v>
      </c>
      <c r="C488" s="15"/>
      <c r="H488" s="1" t="s">
        <v>531</v>
      </c>
      <c r="J488" s="1" t="s">
        <v>608</v>
      </c>
      <c r="M488" s="15" t="s">
        <v>795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488" s="15" t="str">
        <f>_xlfn.TEXTBEFORE(_xlfn.TEXTAFTER(CantoralDB[[#This Row],[index.html]],"&gt;"),"&gt;")&amp;"&gt;"</f>
        <v>&lt;a href="canciones/nuevas/en_los_brazos_de_una_virgen.html"&gt;</v>
      </c>
      <c r="AA488" s="1"/>
    </row>
    <row r="489" spans="1:27" x14ac:dyDescent="0.3">
      <c r="A489" s="1">
        <f>ROW(CantoralDB[[#This Row],[Título]])-1</f>
        <v>488</v>
      </c>
      <c r="B489" s="1" t="s">
        <v>2165</v>
      </c>
      <c r="C489" s="15"/>
      <c r="H489" s="1" t="s">
        <v>531</v>
      </c>
      <c r="J489" s="1" t="s">
        <v>608</v>
      </c>
      <c r="M489" s="15" t="s">
        <v>795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489" s="1"/>
      <c r="T489" s="1"/>
      <c r="U489" s="33" t="s">
        <v>3008</v>
      </c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489" s="15" t="str">
        <f>_xlfn.TEXTBEFORE(_xlfn.TEXTAFTER(CantoralDB[[#This Row],[index.html]],"&gt;"),"&gt;")&amp;"&gt;"</f>
        <v>&lt;a href="canciones/nuevas/es_maria_la_blanca_paloma.html"&gt;</v>
      </c>
      <c r="AA489" s="1"/>
    </row>
    <row r="490" spans="1:27" x14ac:dyDescent="0.3">
      <c r="A490" s="1">
        <f>ROW(CantoralDB[[#This Row],[Título]])-1</f>
        <v>489</v>
      </c>
      <c r="B490" s="1" t="s">
        <v>217</v>
      </c>
      <c r="C490" s="1" t="s">
        <v>219</v>
      </c>
      <c r="D490" s="1" t="s">
        <v>1475</v>
      </c>
      <c r="G490" s="1" t="s">
        <v>209</v>
      </c>
      <c r="H490" s="1" t="s">
        <v>1028</v>
      </c>
      <c r="J490" s="1" t="s">
        <v>608</v>
      </c>
      <c r="M490" s="15" t="s">
        <v>795</v>
      </c>
      <c r="N490" s="15"/>
      <c r="O490" s="15"/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490" s="1"/>
      <c r="T490" s="1" t="s">
        <v>2127</v>
      </c>
      <c r="U490" s="15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490" s="15" t="str">
        <f>_xlfn.TEXTBEFORE(_xlfn.TEXTAFTER(CantoralDB[[#This Row],[index.html]],"&gt;"),"&gt;")&amp;"&gt;"</f>
        <v>&lt;a href="canciones/nsb/ven_espiritu_de_dios_(esprit_createur).html"&gt;</v>
      </c>
      <c r="AA490" s="1"/>
    </row>
    <row r="491" spans="1:27" x14ac:dyDescent="0.3">
      <c r="A491" s="1">
        <f>ROW(CantoralDB[[#This Row],[Título]])-1</f>
        <v>490</v>
      </c>
      <c r="B491" s="1" t="s">
        <v>782</v>
      </c>
      <c r="C491" s="1" t="s">
        <v>202</v>
      </c>
      <c r="D491" s="1" t="s">
        <v>1401</v>
      </c>
      <c r="G491" s="1" t="s">
        <v>533</v>
      </c>
      <c r="H491" s="1" t="s">
        <v>473</v>
      </c>
      <c r="J491" s="1" t="s">
        <v>608</v>
      </c>
      <c r="M491" s="15" t="s">
        <v>795</v>
      </c>
      <c r="N491" s="15"/>
      <c r="O491" s="15"/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491" s="15" t="str">
        <f>_xlfn.TEXTBEFORE(_xlfn.TEXTAFTER(CantoralDB[[#This Row],[index.html]],"&gt;"),"&gt;")&amp;"&gt;"</f>
        <v>&lt;a href="canciones/nsb/cordero_de_dios_(algete).html"&gt;</v>
      </c>
      <c r="AA491" s="1"/>
    </row>
    <row r="492" spans="1:27" x14ac:dyDescent="0.3">
      <c r="A492" s="1">
        <f>ROW(CantoralDB[[#This Row],[Título]])-1</f>
        <v>491</v>
      </c>
      <c r="B492" s="1" t="s">
        <v>233</v>
      </c>
      <c r="C492" s="1" t="s">
        <v>198</v>
      </c>
      <c r="D492" s="1" t="s">
        <v>1435</v>
      </c>
      <c r="G492" s="1" t="s">
        <v>213</v>
      </c>
      <c r="H492" s="1" t="s">
        <v>473</v>
      </c>
      <c r="I492" s="1" t="s">
        <v>2961</v>
      </c>
      <c r="J492" s="1" t="s">
        <v>608</v>
      </c>
      <c r="M492" s="15" t="s">
        <v>795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492" s="15" t="str">
        <f>_xlfn.TEXTBEFORE(_xlfn.TEXTAFTER(CantoralDB[[#This Row],[index.html]],"&gt;"),"&gt;")&amp;"&gt;"</f>
        <v>&lt;a href="canciones/nsb/la_paz_te_doy.html"&gt;</v>
      </c>
      <c r="AA492" s="1"/>
    </row>
    <row r="493" spans="1:27" x14ac:dyDescent="0.3">
      <c r="A493" s="1">
        <f>ROW(CantoralDB[[#This Row],[Título]])-1</f>
        <v>492</v>
      </c>
      <c r="B493" s="1" t="s">
        <v>234</v>
      </c>
      <c r="C493" s="1" t="s">
        <v>198</v>
      </c>
      <c r="D493" s="1" t="s">
        <v>1438</v>
      </c>
      <c r="G493" s="1" t="s">
        <v>213</v>
      </c>
      <c r="H493" s="1" t="s">
        <v>473</v>
      </c>
      <c r="I493" s="1" t="s">
        <v>2961</v>
      </c>
      <c r="J493" s="1" t="s">
        <v>608</v>
      </c>
      <c r="M493" s="15" t="s">
        <v>795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493" s="15" t="str">
        <f>_xlfn.TEXTBEFORE(_xlfn.TEXTAFTER(CantoralDB[[#This Row],[index.html]],"&gt;"),"&gt;")&amp;"&gt;"</f>
        <v>&lt;a href="canciones/nsb/llevad_la_buena_noticia.html"&gt;</v>
      </c>
      <c r="AA493" s="1"/>
    </row>
    <row r="494" spans="1:27" x14ac:dyDescent="0.3">
      <c r="A494" s="1">
        <f>ROW(CantoralDB[[#This Row],[Título]])-1</f>
        <v>493</v>
      </c>
      <c r="B494" s="1" t="s">
        <v>187</v>
      </c>
      <c r="C494" s="1" t="s">
        <v>192</v>
      </c>
      <c r="D494" s="1" t="s">
        <v>1471</v>
      </c>
      <c r="G494" s="1" t="s">
        <v>209</v>
      </c>
      <c r="H494" s="1" t="s">
        <v>531</v>
      </c>
      <c r="J494" s="1" t="s">
        <v>608</v>
      </c>
      <c r="M494" s="15" t="s">
        <v>795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494" s="1"/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494" s="15" t="str">
        <f>_xlfn.TEXTBEFORE(_xlfn.TEXTAFTER(CantoralDB[[#This Row],[index.html]],"&gt;"),"&gt;")&amp;"&gt;"</f>
        <v>&lt;a href="canciones/nsb/ten_piedad_de_mi_señor.html"&gt;</v>
      </c>
      <c r="AA494" s="1"/>
    </row>
    <row r="495" spans="1:27" x14ac:dyDescent="0.3">
      <c r="A495" s="1">
        <f>ROW(CantoralDB[[#This Row],[Título]])-1</f>
        <v>494</v>
      </c>
      <c r="B495" s="1" t="s">
        <v>989</v>
      </c>
      <c r="C495" s="1" t="s">
        <v>194</v>
      </c>
      <c r="D495" s="1" t="s">
        <v>1375</v>
      </c>
      <c r="G495" s="1" t="s">
        <v>991</v>
      </c>
      <c r="H495" s="1" t="s">
        <v>1029</v>
      </c>
      <c r="J495" s="1" t="s">
        <v>608</v>
      </c>
      <c r="M495" s="15" t="s">
        <v>795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495" s="15" t="str">
        <f>_xlfn.TEXTBEFORE(_xlfn.TEXTAFTER(CantoralDB[[#This Row],[index.html]],"&gt;"),"&gt;")&amp;"&gt;"</f>
        <v>&lt;a href="canciones/nsb/aleluya_de_adviento.html"&gt;</v>
      </c>
      <c r="AA495" s="1"/>
    </row>
    <row r="496" spans="1:27" x14ac:dyDescent="0.3">
      <c r="A496" s="1">
        <f>ROW(CantoralDB[[#This Row],[Título]])-1</f>
        <v>495</v>
      </c>
      <c r="B496" s="1" t="s">
        <v>1041</v>
      </c>
      <c r="C496" s="1" t="s">
        <v>993</v>
      </c>
      <c r="D496" s="1" t="s">
        <v>1042</v>
      </c>
      <c r="H496" s="1" t="s">
        <v>1029</v>
      </c>
      <c r="J496" s="1" t="s">
        <v>608</v>
      </c>
      <c r="M496" s="15" t="s">
        <v>795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496" s="15" t="str">
        <f>_xlfn.TEXTBEFORE(_xlfn.TEXTAFTER(CantoralDB[[#This Row],[index.html]],"&gt;"),"&gt;")&amp;"&gt;"</f>
        <v>&lt;a href="canciones/nsb/siempre_en_ti.html"&gt;</v>
      </c>
      <c r="AA496" s="1"/>
    </row>
    <row r="497" spans="1:27" x14ac:dyDescent="0.3">
      <c r="A497" s="1">
        <f>ROW(CantoralDB[[#This Row],[Título]])-1</f>
        <v>496</v>
      </c>
      <c r="B497" s="1" t="s">
        <v>560</v>
      </c>
      <c r="C497" s="1" t="s">
        <v>196</v>
      </c>
      <c r="D497" s="1" t="s">
        <v>779</v>
      </c>
      <c r="G497" s="1" t="s">
        <v>553</v>
      </c>
      <c r="H497" s="1" t="s">
        <v>1027</v>
      </c>
      <c r="J497" s="1" t="s">
        <v>608</v>
      </c>
      <c r="M497" s="15" t="s">
        <v>795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497" s="15" t="str">
        <f>_xlfn.TEXTBEFORE(_xlfn.TEXTAFTER(CantoralDB[[#This Row],[index.html]],"&gt;"),"&gt;")&amp;"&gt;"</f>
        <v>&lt;a href="canciones/nsb/santo_es_el_señor.html"&gt;</v>
      </c>
      <c r="AA497" s="1"/>
    </row>
    <row r="498" spans="1:27" x14ac:dyDescent="0.3">
      <c r="A498" s="1">
        <f>ROW(CantoralDB[[#This Row],[Título]])-1</f>
        <v>497</v>
      </c>
      <c r="B498" s="1" t="s">
        <v>561</v>
      </c>
      <c r="C498" s="1" t="s">
        <v>192</v>
      </c>
      <c r="D498" s="1" t="s">
        <v>1469</v>
      </c>
      <c r="G498" s="1" t="s">
        <v>553</v>
      </c>
      <c r="H498" s="1" t="s">
        <v>1027</v>
      </c>
      <c r="J498" s="1" t="s">
        <v>608</v>
      </c>
      <c r="M498" s="15" t="s">
        <v>795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498" s="15" t="str">
        <f>_xlfn.TEXTBEFORE(_xlfn.TEXTAFTER(CantoralDB[[#This Row],[index.html]],"&gt;"),"&gt;")&amp;"&gt;"</f>
        <v>&lt;a href="canciones/nsb/señor_ten_piedad_de_nosotros.html"&gt;</v>
      </c>
      <c r="AA498" s="1"/>
    </row>
    <row r="499" spans="1:27" x14ac:dyDescent="0.3">
      <c r="A499" s="1">
        <f>ROW(CantoralDB[[#This Row],[Título]])-1</f>
        <v>498</v>
      </c>
      <c r="B499" s="1" t="s">
        <v>2159</v>
      </c>
      <c r="C499" s="15"/>
      <c r="H499" s="1" t="s">
        <v>1027</v>
      </c>
      <c r="J499" s="1" t="s">
        <v>608</v>
      </c>
      <c r="M499" s="15" t="s">
        <v>795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499" s="1"/>
      <c r="T499" s="1"/>
      <c r="U499" s="33" t="s">
        <v>3004</v>
      </c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499" s="15" t="str">
        <f>_xlfn.TEXTBEFORE(_xlfn.TEXTAFTER(CantoralDB[[#This Row],[index.html]],"&gt;"),"&gt;")&amp;"&gt;"</f>
        <v>&lt;a href="canciones/nuevas/alma_de_cristo.html"&gt;</v>
      </c>
      <c r="AA499" s="1"/>
    </row>
    <row r="500" spans="1:27" x14ac:dyDescent="0.3">
      <c r="A500" s="1">
        <f>ROW(CantoralDB[[#This Row],[Título]])-1</f>
        <v>499</v>
      </c>
      <c r="B500" s="1" t="s">
        <v>2174</v>
      </c>
      <c r="C500" s="15"/>
      <c r="H500" s="1" t="s">
        <v>1027</v>
      </c>
      <c r="J500" s="1" t="s">
        <v>608</v>
      </c>
      <c r="M500" s="15" t="s">
        <v>795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500" s="15" t="str">
        <f>_xlfn.TEXTBEFORE(_xlfn.TEXTAFTER(CantoralDB[[#This Row],[index.html]],"&gt;"),"&gt;")&amp;"&gt;"</f>
        <v>&lt;a href="canciones/nuevas/vamos_amigos.html"&gt;</v>
      </c>
      <c r="AA500" s="1"/>
    </row>
    <row r="501" spans="1:27" x14ac:dyDescent="0.3">
      <c r="A501" s="1">
        <f>ROW(CantoralDB[[#This Row],[Título]])-1</f>
        <v>500</v>
      </c>
      <c r="B501" s="1" t="s">
        <v>555</v>
      </c>
      <c r="C501" s="1" t="s">
        <v>201</v>
      </c>
      <c r="D501" s="1" t="s">
        <v>666</v>
      </c>
      <c r="G501" s="1" t="s">
        <v>553</v>
      </c>
      <c r="H501" s="1" t="s">
        <v>1030</v>
      </c>
      <c r="J501" s="1" t="s">
        <v>608</v>
      </c>
      <c r="M501" s="15" t="s">
        <v>795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501" s="1" t="s">
        <v>848</v>
      </c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501" s="15" t="str">
        <f>_xlfn.TEXTBEFORE(_xlfn.TEXTAFTER(CantoralDB[[#This Row],[index.html]],"&gt;"),"&gt;")&amp;"&gt;"</f>
        <v>&lt;a href="canciones/nsb/no_quiero_alejarme_de_ti.html"&gt;</v>
      </c>
      <c r="AA501" s="1"/>
    </row>
    <row r="502" spans="1:27" x14ac:dyDescent="0.3">
      <c r="A502" s="1">
        <f>ROW(CantoralDB[[#This Row],[Título]])-1</f>
        <v>501</v>
      </c>
      <c r="B502" s="1" t="s">
        <v>2167</v>
      </c>
      <c r="C502" s="15"/>
      <c r="J502" s="1" t="s">
        <v>608</v>
      </c>
      <c r="L502" s="1" t="s">
        <v>2968</v>
      </c>
      <c r="M502" s="15" t="s">
        <v>795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502" s="1"/>
      <c r="T502" s="1"/>
      <c r="U502" s="33" t="s">
        <v>3009</v>
      </c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502" s="15" t="str">
        <f>_xlfn.TEXTBEFORE(_xlfn.TEXTAFTER(CantoralDB[[#This Row],[index.html]],"&gt;"),"&gt;")&amp;"&gt;"</f>
        <v>&lt;a href="canciones/nuevas/evenu_shalom_alejem.html"&gt;</v>
      </c>
      <c r="AA502" s="1"/>
    </row>
    <row r="503" spans="1:27" x14ac:dyDescent="0.3">
      <c r="A503" s="1">
        <f>ROW(CantoralDB[[#This Row],[Título]])-1</f>
        <v>502</v>
      </c>
      <c r="B503" s="1" t="s">
        <v>607</v>
      </c>
      <c r="C503" s="1" t="s">
        <v>211</v>
      </c>
      <c r="D503" s="1" t="s">
        <v>1467</v>
      </c>
      <c r="G503" s="1" t="s">
        <v>602</v>
      </c>
      <c r="H503" s="1" t="s">
        <v>1027</v>
      </c>
      <c r="J503" s="1" t="s">
        <v>608</v>
      </c>
      <c r="M503" s="15" t="s">
        <v>635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503" s="15" t="str">
        <f>_xlfn.TEXTBEFORE(_xlfn.TEXTAFTER(CantoralDB[[#This Row],[index.html]],"&gt;"),"&gt;")&amp;"&gt;"</f>
        <v>&lt;a href="canciones/nsb/secuencia_de_pascua.html"&gt;</v>
      </c>
      <c r="AA503" s="1"/>
    </row>
    <row r="504" spans="1:27" x14ac:dyDescent="0.3">
      <c r="A504" s="1">
        <f>ROW(CantoralDB[[#This Row],[Título]])-1</f>
        <v>503</v>
      </c>
      <c r="B504" s="1" t="s">
        <v>1786</v>
      </c>
      <c r="C504" s="1"/>
      <c r="H504" s="1" t="s">
        <v>1027</v>
      </c>
      <c r="J504" s="1" t="s">
        <v>608</v>
      </c>
      <c r="M504" s="15" t="s">
        <v>501</v>
      </c>
      <c r="N504" s="15" t="s">
        <v>1509</v>
      </c>
      <c r="O504" s="15">
        <v>1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504" s="15" t="str">
        <f>_xlfn.TEXTBEFORE(_xlfn.TEXTAFTER(CantoralDB[[#This Row],[index.html]],"&gt;"),"&gt;")&amp;"&gt;"</f>
        <v>&lt;a href="canciones/ain_karem/yo_soy_el_que_vive.html"&gt;</v>
      </c>
      <c r="AA504" s="1"/>
    </row>
    <row r="505" spans="1:27" x14ac:dyDescent="0.3">
      <c r="A505" s="1">
        <f>ROW(CantoralDB[[#This Row],[Título]])-1</f>
        <v>504</v>
      </c>
      <c r="B505" s="1" t="s">
        <v>1787</v>
      </c>
      <c r="C505" s="1"/>
      <c r="H505" s="1" t="s">
        <v>473</v>
      </c>
      <c r="I505" s="1" t="s">
        <v>2958</v>
      </c>
      <c r="J505" s="1" t="s">
        <v>608</v>
      </c>
      <c r="M505" s="15" t="s">
        <v>501</v>
      </c>
      <c r="N505" s="15" t="s">
        <v>1509</v>
      </c>
      <c r="O505" s="15">
        <v>2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505" s="15" t="str">
        <f>_xlfn.TEXTBEFORE(_xlfn.TEXTAFTER(CantoralDB[[#This Row],[index.html]],"&gt;"),"&gt;")&amp;"&gt;"</f>
        <v>&lt;a href="canciones/ain_karem/que_se_alegren_tus_entrañas.html"&gt;</v>
      </c>
      <c r="AA505" s="1"/>
    </row>
    <row r="506" spans="1:27" x14ac:dyDescent="0.3">
      <c r="A506" s="1">
        <f>ROW(CantoralDB[[#This Row],[Título]])-1</f>
        <v>505</v>
      </c>
      <c r="B506" s="1" t="s">
        <v>1788</v>
      </c>
      <c r="C506" s="1"/>
      <c r="H506" s="1" t="s">
        <v>531</v>
      </c>
      <c r="I506" s="1" t="s">
        <v>2959</v>
      </c>
      <c r="J506" s="1" t="s">
        <v>608</v>
      </c>
      <c r="M506" s="15" t="s">
        <v>501</v>
      </c>
      <c r="N506" s="15" t="s">
        <v>1509</v>
      </c>
      <c r="O506" s="15">
        <v>3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506" s="15" t="str">
        <f>_xlfn.TEXTBEFORE(_xlfn.TEXTAFTER(CantoralDB[[#This Row],[index.html]],"&gt;"),"&gt;")&amp;"&gt;"</f>
        <v>&lt;a href="canciones/ain_karem/palabra.html"&gt;</v>
      </c>
      <c r="AA506" s="1"/>
    </row>
    <row r="507" spans="1:27" x14ac:dyDescent="0.3">
      <c r="A507" s="1">
        <f>ROW(CantoralDB[[#This Row],[Título]])-1</f>
        <v>506</v>
      </c>
      <c r="B507" s="1" t="s">
        <v>1789</v>
      </c>
      <c r="C507" s="1"/>
      <c r="H507" s="1" t="s">
        <v>1027</v>
      </c>
      <c r="I507" s="1" t="s">
        <v>2960</v>
      </c>
      <c r="J507" s="1" t="s">
        <v>608</v>
      </c>
      <c r="M507" s="15" t="s">
        <v>501</v>
      </c>
      <c r="N507" s="15" t="s">
        <v>1509</v>
      </c>
      <c r="O507" s="15">
        <v>4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07" s="15" t="str">
        <f>_xlfn.TEXTBEFORE(_xlfn.TEXTAFTER(CantoralDB[[#This Row],[index.html]],"&gt;"),"&gt;")&amp;"&gt;"</f>
        <v>&lt;a href="canciones/ain_karem/atraviesas.html"&gt;</v>
      </c>
      <c r="AA507" s="1"/>
    </row>
    <row r="508" spans="1:27" x14ac:dyDescent="0.3">
      <c r="A508" s="1">
        <f>ROW(CantoralDB[[#This Row],[Título]])-1</f>
        <v>507</v>
      </c>
      <c r="B508" s="1" t="s">
        <v>1838</v>
      </c>
      <c r="C508" s="1"/>
      <c r="H508" s="1" t="s">
        <v>531</v>
      </c>
      <c r="I508" s="1" t="s">
        <v>2960</v>
      </c>
      <c r="J508" s="1" t="s">
        <v>608</v>
      </c>
      <c r="M508" s="15" t="s">
        <v>501</v>
      </c>
      <c r="N508" s="15" t="s">
        <v>1509</v>
      </c>
      <c r="O508" s="15">
        <v>5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508" s="1"/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508" s="15" t="str">
        <f>_xlfn.TEXTBEFORE(_xlfn.TEXTAFTER(CantoralDB[[#This Row],[index.html]],"&gt;"),"&gt;")&amp;"&gt;"</f>
        <v>&lt;a href="canciones/ain_karem/los_incontables.html"&gt;</v>
      </c>
      <c r="AA508" s="1"/>
    </row>
    <row r="509" spans="1:27" x14ac:dyDescent="0.3">
      <c r="A509" s="1">
        <f>ROW(CantoralDB[[#This Row],[Título]])-1</f>
        <v>508</v>
      </c>
      <c r="B509" s="1" t="s">
        <v>182</v>
      </c>
      <c r="C509" s="1" t="s">
        <v>201</v>
      </c>
      <c r="D509" s="1" t="s">
        <v>658</v>
      </c>
      <c r="G509" s="1" t="s">
        <v>209</v>
      </c>
      <c r="H509" s="1" t="s">
        <v>1030</v>
      </c>
      <c r="I509" s="1" t="s">
        <v>2961</v>
      </c>
      <c r="J509" s="1" t="s">
        <v>608</v>
      </c>
      <c r="M509" s="15" t="s">
        <v>501</v>
      </c>
      <c r="N509" s="15" t="s">
        <v>1509</v>
      </c>
      <c r="O509" s="15">
        <v>6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509" s="1" t="s">
        <v>837</v>
      </c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509" s="15" t="str">
        <f>_xlfn.TEXTBEFORE(_xlfn.TEXTAFTER(CantoralDB[[#This Row],[index.html]],"&gt;"),"&gt;")&amp;"&gt;"</f>
        <v>&lt;a href="canciones/ain_karem/he_venido_a_servir.html"&gt;</v>
      </c>
      <c r="AA509" s="1"/>
    </row>
    <row r="510" spans="1:27" x14ac:dyDescent="0.3">
      <c r="A510" s="1">
        <f>ROW(CantoralDB[[#This Row],[Título]])-1</f>
        <v>509</v>
      </c>
      <c r="B510" s="1" t="s">
        <v>1790</v>
      </c>
      <c r="C510" s="1"/>
      <c r="H510" s="1" t="s">
        <v>473</v>
      </c>
      <c r="I510" s="1" t="s">
        <v>2961</v>
      </c>
      <c r="J510" s="1" t="s">
        <v>608</v>
      </c>
      <c r="M510" s="15" t="s">
        <v>501</v>
      </c>
      <c r="N510" s="15" t="s">
        <v>1509</v>
      </c>
      <c r="O510" s="15">
        <v>7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510" s="15" t="str">
        <f>_xlfn.TEXTBEFORE(_xlfn.TEXTAFTER(CantoralDB[[#This Row],[index.html]],"&gt;"),"&gt;")&amp;"&gt;"</f>
        <v>&lt;a href="canciones/ain_karem/palabra_encarnada.html"&gt;</v>
      </c>
      <c r="AA510" s="1"/>
    </row>
    <row r="511" spans="1:27" x14ac:dyDescent="0.3">
      <c r="A511" s="1">
        <f>ROW(CantoralDB[[#This Row],[Título]])-1</f>
        <v>510</v>
      </c>
      <c r="B511" s="1" t="s">
        <v>1791</v>
      </c>
      <c r="C511" s="1"/>
      <c r="H511" s="1" t="s">
        <v>1027</v>
      </c>
      <c r="J511" s="1"/>
      <c r="M511" s="15" t="s">
        <v>501</v>
      </c>
      <c r="N511" s="15" t="s">
        <v>1509</v>
      </c>
      <c r="O511" s="15">
        <v>8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511" s="15" t="str">
        <f>_xlfn.TEXTBEFORE(_xlfn.TEXTAFTER(CantoralDB[[#This Row],[index.html]],"&gt;"),"&gt;")&amp;"&gt;"</f>
        <v>&lt;a href="canciones/ain_karem/kolokoso.html"&gt;</v>
      </c>
      <c r="AA511" s="1"/>
    </row>
    <row r="512" spans="1:27" x14ac:dyDescent="0.3">
      <c r="A512" s="1">
        <f>ROW(CantoralDB[[#This Row],[Título]])-1</f>
        <v>511</v>
      </c>
      <c r="B512" s="1" t="s">
        <v>1792</v>
      </c>
      <c r="C512" s="1"/>
      <c r="H512" s="1" t="s">
        <v>1030</v>
      </c>
      <c r="I512" s="1" t="s">
        <v>2959</v>
      </c>
      <c r="J512" s="1" t="s">
        <v>608</v>
      </c>
      <c r="M512" s="15" t="s">
        <v>501</v>
      </c>
      <c r="N512" s="15" t="s">
        <v>1509</v>
      </c>
      <c r="O512" s="15">
        <v>9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512" s="15" t="str">
        <f>_xlfn.TEXTBEFORE(_xlfn.TEXTAFTER(CantoralDB[[#This Row],[index.html]],"&gt;"),"&gt;")&amp;"&gt;"</f>
        <v>&lt;a href="canciones/ain_karem/la_mujer_cananea.html"&gt;</v>
      </c>
      <c r="AA512" s="1"/>
    </row>
    <row r="513" spans="1:27" x14ac:dyDescent="0.3">
      <c r="A513" s="1">
        <f>ROW(CantoralDB[[#This Row],[Título]])-1</f>
        <v>512</v>
      </c>
      <c r="B513" s="1" t="s">
        <v>1793</v>
      </c>
      <c r="C513" s="1"/>
      <c r="H513" s="1" t="s">
        <v>1028</v>
      </c>
      <c r="J513" s="1" t="s">
        <v>608</v>
      </c>
      <c r="M513" s="15" t="s">
        <v>501</v>
      </c>
      <c r="N513" s="15" t="s">
        <v>1509</v>
      </c>
      <c r="O513" s="15">
        <v>10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513" s="15" t="str">
        <f>_xlfn.TEXTBEFORE(_xlfn.TEXTAFTER(CantoralDB[[#This Row],[index.html]],"&gt;"),"&gt;")&amp;"&gt;"</f>
        <v>&lt;a href="canciones/ain_karem/el_siervo.html"&gt;</v>
      </c>
      <c r="AA513" s="1"/>
    </row>
    <row r="514" spans="1:27" x14ac:dyDescent="0.3">
      <c r="A514" s="1">
        <f>ROW(CantoralDB[[#This Row],[Título]])-1</f>
        <v>513</v>
      </c>
      <c r="B514" s="1" t="s">
        <v>1794</v>
      </c>
      <c r="C514" s="1"/>
      <c r="H514" s="1" t="s">
        <v>1027</v>
      </c>
      <c r="J514" s="1" t="s">
        <v>608</v>
      </c>
      <c r="M514" s="15" t="s">
        <v>501</v>
      </c>
      <c r="N514" s="15" t="s">
        <v>1509</v>
      </c>
      <c r="O514" s="15">
        <v>11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514" s="15" t="str">
        <f>_xlfn.TEXTBEFORE(_xlfn.TEXTAFTER(CantoralDB[[#This Row],[index.html]],"&gt;"),"&gt;")&amp;"&gt;"</f>
        <v>&lt;a href="canciones/ain_karem/la_moneda_perdida.html"&gt;</v>
      </c>
      <c r="AA514" s="1"/>
    </row>
    <row r="515" spans="1:27" x14ac:dyDescent="0.3">
      <c r="A515" s="1">
        <f>ROW(CantoralDB[[#This Row],[Título]])-1</f>
        <v>514</v>
      </c>
      <c r="B515" s="1" t="s">
        <v>1795</v>
      </c>
      <c r="C515" s="1"/>
      <c r="H515" s="1" t="s">
        <v>1030</v>
      </c>
      <c r="I515" s="1" t="s">
        <v>2959</v>
      </c>
      <c r="J515" s="1" t="s">
        <v>608</v>
      </c>
      <c r="M515" s="15" t="s">
        <v>501</v>
      </c>
      <c r="N515" s="15" t="s">
        <v>1509</v>
      </c>
      <c r="O515" s="15">
        <v>12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515" s="15" t="str">
        <f>_xlfn.TEXTBEFORE(_xlfn.TEXTAFTER(CantoralDB[[#This Row],[index.html]],"&gt;"),"&gt;")&amp;"&gt;"</f>
        <v>&lt;a href="canciones/ain_karem/señor_mio_y_dios_mio.html"&gt;</v>
      </c>
      <c r="AA515" s="1"/>
    </row>
    <row r="516" spans="1:27" x14ac:dyDescent="0.3">
      <c r="A516" s="1">
        <f>ROW(CantoralDB[[#This Row],[Título]])-1</f>
        <v>515</v>
      </c>
      <c r="B516" s="1" t="s">
        <v>1796</v>
      </c>
      <c r="C516" s="1"/>
      <c r="H516" s="1" t="s">
        <v>531</v>
      </c>
      <c r="J516" s="1" t="s">
        <v>608</v>
      </c>
      <c r="M516" s="15" t="s">
        <v>501</v>
      </c>
      <c r="N516" s="15" t="s">
        <v>1509</v>
      </c>
      <c r="O516" s="15">
        <v>13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516" s="15" t="str">
        <f>_xlfn.TEXTBEFORE(_xlfn.TEXTAFTER(CantoralDB[[#This Row],[index.html]],"&gt;"),"&gt;")&amp;"&gt;"</f>
        <v>&lt;a href="canciones/ain_karem/dame_una_palabra.html"&gt;</v>
      </c>
      <c r="AA516" s="1"/>
    </row>
    <row r="517" spans="1:27" x14ac:dyDescent="0.3">
      <c r="A517" s="1">
        <f>ROW(CantoralDB[[#This Row],[Título]])-1</f>
        <v>516</v>
      </c>
      <c r="B517" s="1" t="s">
        <v>1797</v>
      </c>
      <c r="C517" s="1"/>
      <c r="H517" s="1" t="s">
        <v>1027</v>
      </c>
      <c r="I517" s="1" t="s">
        <v>2961</v>
      </c>
      <c r="J517" s="1" t="s">
        <v>608</v>
      </c>
      <c r="M517" s="15" t="s">
        <v>501</v>
      </c>
      <c r="N517" s="15" t="s">
        <v>1509</v>
      </c>
      <c r="O517" s="15">
        <v>14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517" s="15" t="str">
        <f>_xlfn.TEXTBEFORE(_xlfn.TEXTAFTER(CantoralDB[[#This Row],[index.html]],"&gt;"),"&gt;")&amp;"&gt;"</f>
        <v>&lt;a href="canciones/ain_karem/somos_del_señor.html"&gt;</v>
      </c>
      <c r="AA517" s="1"/>
    </row>
    <row r="518" spans="1:27" x14ac:dyDescent="0.3">
      <c r="A518" s="1">
        <f>ROW(CantoralDB[[#This Row],[Título]])-1</f>
        <v>517</v>
      </c>
      <c r="B518" s="1" t="s">
        <v>1798</v>
      </c>
      <c r="C518" s="1"/>
      <c r="H518" s="1" t="s">
        <v>473</v>
      </c>
      <c r="I518" s="1" t="s">
        <v>2961</v>
      </c>
      <c r="J518" s="1" t="s">
        <v>608</v>
      </c>
      <c r="M518" s="15" t="s">
        <v>501</v>
      </c>
      <c r="N518" s="15" t="s">
        <v>1509</v>
      </c>
      <c r="O518" s="15">
        <v>15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518" s="15" t="str">
        <f>_xlfn.TEXTBEFORE(_xlfn.TEXTAFTER(CantoralDB[[#This Row],[index.html]],"&gt;"),"&gt;")&amp;"&gt;"</f>
        <v>&lt;a href="canciones/ain_karem/fuertes_humildes_y_diligentes.html"&gt;</v>
      </c>
      <c r="AA518" s="1"/>
    </row>
    <row r="519" spans="1:27" x14ac:dyDescent="0.3">
      <c r="A519" s="1">
        <f>ROW(CantoralDB[[#This Row],[Título]])-1</f>
        <v>518</v>
      </c>
      <c r="B519" s="1" t="s">
        <v>501</v>
      </c>
      <c r="C519" s="1"/>
      <c r="H519" s="1" t="s">
        <v>1030</v>
      </c>
      <c r="I519" s="1" t="s">
        <v>2961</v>
      </c>
      <c r="J519" s="1" t="s">
        <v>608</v>
      </c>
      <c r="M519" s="15" t="s">
        <v>501</v>
      </c>
      <c r="N519" s="15" t="s">
        <v>1506</v>
      </c>
      <c r="O519" s="15">
        <v>1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519" s="15" t="str">
        <f>_xlfn.TEXTBEFORE(_xlfn.TEXTAFTER(CantoralDB[[#This Row],[index.html]],"&gt;"),"&gt;")&amp;"&gt;"</f>
        <v>&lt;a href="canciones/ain_karem/ain_karem.html"&gt;</v>
      </c>
      <c r="AA519" s="1"/>
    </row>
    <row r="520" spans="1:27" x14ac:dyDescent="0.3">
      <c r="A520" s="1">
        <f>ROW(CantoralDB[[#This Row],[Título]])-1</f>
        <v>519</v>
      </c>
      <c r="B520" s="1" t="s">
        <v>1753</v>
      </c>
      <c r="C520" s="1"/>
      <c r="H520" s="1" t="s">
        <v>531</v>
      </c>
      <c r="I520" s="1" t="s">
        <v>2961</v>
      </c>
      <c r="J520" s="1" t="s">
        <v>608</v>
      </c>
      <c r="M520" s="15" t="s">
        <v>501</v>
      </c>
      <c r="N520" s="15" t="s">
        <v>1506</v>
      </c>
      <c r="O520" s="15">
        <v>2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520" s="1"/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520" s="15" t="str">
        <f>_xlfn.TEXTBEFORE(_xlfn.TEXTAFTER(CantoralDB[[#This Row],[index.html]],"&gt;"),"&gt;")&amp;"&gt;"</f>
        <v>&lt;a href="canciones/ain_karem/te_basta_mi_gracia.html"&gt;</v>
      </c>
      <c r="AA520" s="1"/>
    </row>
    <row r="521" spans="1:27" x14ac:dyDescent="0.3">
      <c r="A521" s="1">
        <f>ROW(CantoralDB[[#This Row],[Título]])-1</f>
        <v>520</v>
      </c>
      <c r="B521" s="1" t="s">
        <v>2893</v>
      </c>
      <c r="C521" s="1"/>
      <c r="H521" s="1" t="s">
        <v>531</v>
      </c>
      <c r="I521" s="1" t="s">
        <v>2960</v>
      </c>
      <c r="J521" s="1" t="s">
        <v>608</v>
      </c>
      <c r="M521" s="15" t="s">
        <v>501</v>
      </c>
      <c r="N521" s="15" t="s">
        <v>1506</v>
      </c>
      <c r="O521" s="15">
        <v>3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521" s="15" t="str">
        <f>_xlfn.TEXTBEFORE(_xlfn.TEXTAFTER(CantoralDB[[#This Row],[index.html]],"&gt;"),"&gt;")&amp;"&gt;"</f>
        <v>&lt;a href="canciones/ain_karem/poneos_en_pie.html"&gt;</v>
      </c>
      <c r="AA521" s="1"/>
    </row>
    <row r="522" spans="1:27" x14ac:dyDescent="0.3">
      <c r="A522" s="1">
        <f>ROW(CantoralDB[[#This Row],[Título]])-1</f>
        <v>521</v>
      </c>
      <c r="B522" s="1" t="s">
        <v>1754</v>
      </c>
      <c r="C522" s="1"/>
      <c r="H522" s="1" t="s">
        <v>1030</v>
      </c>
      <c r="I522" s="1" t="s">
        <v>2960</v>
      </c>
      <c r="J522" s="1" t="s">
        <v>608</v>
      </c>
      <c r="M522" s="15" t="s">
        <v>501</v>
      </c>
      <c r="N522" s="15" t="s">
        <v>1506</v>
      </c>
      <c r="O522" s="15">
        <v>4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522" s="15" t="str">
        <f>_xlfn.TEXTBEFORE(_xlfn.TEXTAFTER(CantoralDB[[#This Row],[index.html]],"&gt;"),"&gt;")&amp;"&gt;"</f>
        <v>&lt;a href="canciones/ain_karem/se_mi_luz.html"&gt;</v>
      </c>
      <c r="AA522" s="1"/>
    </row>
    <row r="523" spans="1:27" x14ac:dyDescent="0.3">
      <c r="A523" s="1">
        <f>ROW(CantoralDB[[#This Row],[Título]])-1</f>
        <v>522</v>
      </c>
      <c r="B523" s="1" t="s">
        <v>1843</v>
      </c>
      <c r="C523" s="1"/>
      <c r="H523" s="1" t="s">
        <v>531</v>
      </c>
      <c r="I523" s="1" t="s">
        <v>2961</v>
      </c>
      <c r="J523" s="1" t="s">
        <v>608</v>
      </c>
      <c r="M523" s="15" t="s">
        <v>501</v>
      </c>
      <c r="N523" s="15" t="s">
        <v>1506</v>
      </c>
      <c r="O523" s="15">
        <v>5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523" s="1"/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523" s="15" t="str">
        <f>_xlfn.TEXTBEFORE(_xlfn.TEXTAFTER(CantoralDB[[#This Row],[index.html]],"&gt;"),"&gt;")&amp;"&gt;"</f>
        <v>&lt;a href="canciones/ain_karem/como_podre_pagarte.html"&gt;</v>
      </c>
      <c r="AA523" s="1"/>
    </row>
    <row r="524" spans="1:27" x14ac:dyDescent="0.3">
      <c r="A524" s="1">
        <f>ROW(CantoralDB[[#This Row],[Título]])-1</f>
        <v>523</v>
      </c>
      <c r="B524" s="1" t="s">
        <v>1755</v>
      </c>
      <c r="C524" s="1"/>
      <c r="H524" s="1" t="s">
        <v>531</v>
      </c>
      <c r="I524" s="1" t="s">
        <v>2958</v>
      </c>
      <c r="J524" s="1" t="s">
        <v>608</v>
      </c>
      <c r="M524" s="15" t="s">
        <v>501</v>
      </c>
      <c r="N524" s="15" t="s">
        <v>1506</v>
      </c>
      <c r="O524" s="15">
        <v>6</v>
      </c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524" s="1"/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524" s="15" t="str">
        <f>_xlfn.TEXTBEFORE(_xlfn.TEXTAFTER(CantoralDB[[#This Row],[index.html]],"&gt;"),"&gt;")&amp;"&gt;"</f>
        <v>&lt;a href="canciones/ain_karem/palabras_de_vida.html"&gt;</v>
      </c>
      <c r="AA524" s="1"/>
    </row>
    <row r="525" spans="1:27" x14ac:dyDescent="0.3">
      <c r="A525" s="1">
        <f>ROW(CantoralDB[[#This Row],[Título]])-1</f>
        <v>524</v>
      </c>
      <c r="B525" s="1" t="s">
        <v>1756</v>
      </c>
      <c r="C525" s="1"/>
      <c r="H525" s="1" t="s">
        <v>531</v>
      </c>
      <c r="I525" s="1" t="s">
        <v>2960</v>
      </c>
      <c r="J525" s="1" t="s">
        <v>608</v>
      </c>
      <c r="M525" s="15" t="s">
        <v>501</v>
      </c>
      <c r="N525" s="15" t="s">
        <v>1506</v>
      </c>
      <c r="O525" s="15">
        <v>7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525" s="15" t="str">
        <f>_xlfn.TEXTBEFORE(_xlfn.TEXTAFTER(CantoralDB[[#This Row],[index.html]],"&gt;"),"&gt;")&amp;"&gt;"</f>
        <v>&lt;a href="canciones/ain_karem/seducida.html"&gt;</v>
      </c>
      <c r="AA525" s="1"/>
    </row>
    <row r="526" spans="1:27" x14ac:dyDescent="0.3">
      <c r="A526" s="1">
        <f>ROW(CantoralDB[[#This Row],[Título]])-1</f>
        <v>525</v>
      </c>
      <c r="B526" s="1" t="s">
        <v>1757</v>
      </c>
      <c r="C526" s="1"/>
      <c r="H526" s="1" t="s">
        <v>531</v>
      </c>
      <c r="I526" s="1" t="s">
        <v>2959</v>
      </c>
      <c r="J526" s="1" t="s">
        <v>608</v>
      </c>
      <c r="M526" s="15" t="s">
        <v>501</v>
      </c>
      <c r="N526" s="15" t="s">
        <v>1506</v>
      </c>
      <c r="O526" s="15">
        <v>8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526" s="1"/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526" s="15" t="str">
        <f>_xlfn.TEXTBEFORE(_xlfn.TEXTAFTER(CantoralDB[[#This Row],[index.html]],"&gt;"),"&gt;")&amp;"&gt;"</f>
        <v>&lt;a href="canciones/ain_karem/escucha.html"&gt;</v>
      </c>
      <c r="AA526" s="1"/>
    </row>
    <row r="527" spans="1:27" x14ac:dyDescent="0.3">
      <c r="A527" s="1">
        <f>ROW(CantoralDB[[#This Row],[Título]])-1</f>
        <v>526</v>
      </c>
      <c r="B527" s="1" t="s">
        <v>1758</v>
      </c>
      <c r="C527" s="1"/>
      <c r="H527" s="1" t="s">
        <v>531</v>
      </c>
      <c r="J527" s="1" t="s">
        <v>608</v>
      </c>
      <c r="M527" s="15" t="s">
        <v>501</v>
      </c>
      <c r="N527" s="15" t="s">
        <v>1506</v>
      </c>
      <c r="O527" s="15">
        <v>9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527" s="15" t="str">
        <f>_xlfn.TEXTBEFORE(_xlfn.TEXTAFTER(CantoralDB[[#This Row],[index.html]],"&gt;"),"&gt;")&amp;"&gt;"</f>
        <v>&lt;a href="canciones/ain_karem/ruah.html"&gt;</v>
      </c>
      <c r="AA527" s="1"/>
    </row>
    <row r="528" spans="1:27" x14ac:dyDescent="0.3">
      <c r="A528" s="1">
        <f>ROW(CantoralDB[[#This Row],[Título]])-1</f>
        <v>527</v>
      </c>
      <c r="B528" s="1" t="s">
        <v>1759</v>
      </c>
      <c r="C528" s="1"/>
      <c r="H528" s="1" t="s">
        <v>531</v>
      </c>
      <c r="I528" s="1" t="s">
        <v>2958</v>
      </c>
      <c r="J528" s="1" t="s">
        <v>608</v>
      </c>
      <c r="M528" s="15" t="s">
        <v>501</v>
      </c>
      <c r="N528" s="15" t="s">
        <v>1506</v>
      </c>
      <c r="O528" s="15">
        <v>10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528" s="15" t="str">
        <f>_xlfn.TEXTBEFORE(_xlfn.TEXTAFTER(CantoralDB[[#This Row],[index.html]],"&gt;"),"&gt;")&amp;"&gt;"</f>
        <v>&lt;a href="canciones/ain_karem/no_guardes_tu_vida.html"&gt;</v>
      </c>
      <c r="AA528" s="1"/>
    </row>
    <row r="529" spans="1:27" x14ac:dyDescent="0.3">
      <c r="A529" s="1">
        <f>ROW(CantoralDB[[#This Row],[Título]])-1</f>
        <v>528</v>
      </c>
      <c r="B529" s="1" t="s">
        <v>1760</v>
      </c>
      <c r="C529" s="1"/>
      <c r="H529" s="1" t="s">
        <v>1030</v>
      </c>
      <c r="I529" s="1" t="s">
        <v>2959</v>
      </c>
      <c r="J529" s="1" t="s">
        <v>608</v>
      </c>
      <c r="M529" s="15" t="s">
        <v>501</v>
      </c>
      <c r="N529" s="15" t="s">
        <v>1506</v>
      </c>
      <c r="O529" s="15">
        <v>11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529" s="15" t="str">
        <f>_xlfn.TEXTBEFORE(_xlfn.TEXTAFTER(CantoralDB[[#This Row],[index.html]],"&gt;"),"&gt;")&amp;"&gt;"</f>
        <v>&lt;a href="canciones/ain_karem/atraeme.html"&gt;</v>
      </c>
      <c r="AA529" s="1"/>
    </row>
    <row r="530" spans="1:27" x14ac:dyDescent="0.3">
      <c r="A530" s="1">
        <f>ROW(CantoralDB[[#This Row],[Título]])-1</f>
        <v>529</v>
      </c>
      <c r="B530" s="1" t="s">
        <v>1761</v>
      </c>
      <c r="C530" s="1"/>
      <c r="H530" s="1" t="s">
        <v>531</v>
      </c>
      <c r="I530" s="1" t="s">
        <v>2961</v>
      </c>
      <c r="J530" s="1" t="s">
        <v>608</v>
      </c>
      <c r="M530" s="15" t="s">
        <v>501</v>
      </c>
      <c r="N530" s="15" t="s">
        <v>1506</v>
      </c>
      <c r="O530" s="15">
        <v>12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530" s="1"/>
      <c r="T530" s="1"/>
      <c r="U530" s="15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530" s="15" t="str">
        <f>_xlfn.TEXTBEFORE(_xlfn.TEXTAFTER(CantoralDB[[#This Row],[index.html]],"&gt;"),"&gt;")&amp;"&gt;"</f>
        <v>&lt;a href="canciones/ain_karem/dios_de_la_historia_bendice.html"&gt;</v>
      </c>
      <c r="AA530" s="1"/>
    </row>
    <row r="531" spans="1:27" x14ac:dyDescent="0.3">
      <c r="A531" s="1">
        <f>ROW(CantoralDB[[#This Row],[Título]])-1</f>
        <v>530</v>
      </c>
      <c r="B531" s="1" t="s">
        <v>1762</v>
      </c>
      <c r="C531" s="1"/>
      <c r="H531" s="1" t="s">
        <v>1030</v>
      </c>
      <c r="I531" s="1" t="s">
        <v>2962</v>
      </c>
      <c r="J531" s="1" t="s">
        <v>608</v>
      </c>
      <c r="M531" s="15" t="s">
        <v>501</v>
      </c>
      <c r="N531" s="15" t="s">
        <v>1506</v>
      </c>
      <c r="O531" s="15">
        <v>13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531" s="15" t="str">
        <f>_xlfn.TEXTBEFORE(_xlfn.TEXTAFTER(CantoralDB[[#This Row],[index.html]],"&gt;"),"&gt;")&amp;"&gt;"</f>
        <v>&lt;a href="canciones/ain_karem/levantad_las_piedras.html"&gt;</v>
      </c>
      <c r="AA531" s="1"/>
    </row>
    <row r="532" spans="1:27" x14ac:dyDescent="0.3">
      <c r="A532" s="1">
        <f>ROW(CantoralDB[[#This Row],[Título]])-1</f>
        <v>531</v>
      </c>
      <c r="B532" s="1" t="s">
        <v>194</v>
      </c>
      <c r="C532" s="1"/>
      <c r="H532" s="1" t="s">
        <v>531</v>
      </c>
      <c r="I532" s="1" t="s">
        <v>2962</v>
      </c>
      <c r="J532" s="1" t="s">
        <v>608</v>
      </c>
      <c r="M532" s="15" t="s">
        <v>501</v>
      </c>
      <c r="N532" s="15" t="s">
        <v>1510</v>
      </c>
      <c r="O532" s="15">
        <v>1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532" s="15" t="str">
        <f>_xlfn.TEXTBEFORE(_xlfn.TEXTAFTER(CantoralDB[[#This Row],[index.html]],"&gt;"),"&gt;")&amp;"&gt;"</f>
        <v>&lt;a href="canciones/ain_karem/aleluya.html"&gt;</v>
      </c>
      <c r="AA532" s="1"/>
    </row>
    <row r="533" spans="1:27" x14ac:dyDescent="0.3">
      <c r="A533" s="1">
        <f>ROW(CantoralDB[[#This Row],[Título]])-1</f>
        <v>532</v>
      </c>
      <c r="B533" s="1" t="s">
        <v>1799</v>
      </c>
      <c r="C533" s="1"/>
      <c r="H533" s="1" t="s">
        <v>1030</v>
      </c>
      <c r="I533" s="1" t="s">
        <v>2958</v>
      </c>
      <c r="J533" s="1" t="s">
        <v>608</v>
      </c>
      <c r="M533" s="15" t="s">
        <v>501</v>
      </c>
      <c r="N533" s="15" t="s">
        <v>1510</v>
      </c>
      <c r="O533" s="15">
        <v>2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533" s="1"/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533" s="15" t="str">
        <f>_xlfn.TEXTBEFORE(_xlfn.TEXTAFTER(CantoralDB[[#This Row],[index.html]],"&gt;"),"&gt;")&amp;"&gt;"</f>
        <v>&lt;a href="canciones/ain_karem/tu_eres_mi_bien.html"&gt;</v>
      </c>
      <c r="AA533" s="1"/>
    </row>
    <row r="534" spans="1:27" x14ac:dyDescent="0.3">
      <c r="A534" s="1">
        <f>ROW(CantoralDB[[#This Row],[Título]])-1</f>
        <v>533</v>
      </c>
      <c r="B534" s="1" t="s">
        <v>1800</v>
      </c>
      <c r="C534" s="1"/>
      <c r="H534" s="1" t="s">
        <v>1030</v>
      </c>
      <c r="I534" s="1" t="s">
        <v>2958</v>
      </c>
      <c r="J534" s="1" t="s">
        <v>608</v>
      </c>
      <c r="M534" s="15" t="s">
        <v>501</v>
      </c>
      <c r="N534" s="15" t="s">
        <v>1510</v>
      </c>
      <c r="O534" s="15">
        <v>3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534" s="15" t="str">
        <f>_xlfn.TEXTBEFORE(_xlfn.TEXTAFTER(CantoralDB[[#This Row],[index.html]],"&gt;"),"&gt;")&amp;"&gt;"</f>
        <v>&lt;a href="canciones/ain_karem/desde_abajo.html"&gt;</v>
      </c>
      <c r="AA534" s="1"/>
    </row>
    <row r="535" spans="1:27" x14ac:dyDescent="0.3">
      <c r="A535" s="1">
        <f>ROW(CantoralDB[[#This Row],[Título]])-1</f>
        <v>534</v>
      </c>
      <c r="B535" s="1" t="s">
        <v>1801</v>
      </c>
      <c r="C535" s="1"/>
      <c r="H535" s="1" t="s">
        <v>1030</v>
      </c>
      <c r="I535" s="1" t="s">
        <v>2962</v>
      </c>
      <c r="J535" s="1" t="s">
        <v>608</v>
      </c>
      <c r="M535" s="15" t="s">
        <v>501</v>
      </c>
      <c r="N535" s="15" t="s">
        <v>1510</v>
      </c>
      <c r="O535" s="15">
        <v>4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535" s="1"/>
      <c r="T535" s="1"/>
      <c r="U535" s="15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535" s="15" t="str">
        <f>_xlfn.TEXTBEFORE(_xlfn.TEXTAFTER(CantoralDB[[#This Row],[index.html]],"&gt;"),"&gt;")&amp;"&gt;"</f>
        <v>&lt;a href="canciones/ain_karem/como_la_cierva.html"&gt;</v>
      </c>
      <c r="AA535" s="1"/>
    </row>
    <row r="536" spans="1:27" x14ac:dyDescent="0.3">
      <c r="A536" s="1">
        <f>ROW(CantoralDB[[#This Row],[Título]])-1</f>
        <v>535</v>
      </c>
      <c r="B536" s="1" t="s">
        <v>1802</v>
      </c>
      <c r="C536" s="1"/>
      <c r="H536" s="1" t="s">
        <v>531</v>
      </c>
      <c r="I536" s="1" t="s">
        <v>2959</v>
      </c>
      <c r="J536" s="1" t="s">
        <v>608</v>
      </c>
      <c r="M536" s="15" t="s">
        <v>501</v>
      </c>
      <c r="N536" s="15" t="s">
        <v>1510</v>
      </c>
      <c r="O536" s="15">
        <v>5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536" s="1"/>
      <c r="T536" s="1"/>
      <c r="U536" s="15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536" s="15" t="str">
        <f>_xlfn.TEXTBEFORE(_xlfn.TEXTAFTER(CantoralDB[[#This Row],[index.html]],"&gt;"),"&gt;")&amp;"&gt;"</f>
        <v>&lt;a href="canciones/ain_karem/solo_tu.html"&gt;</v>
      </c>
      <c r="AA536" s="1"/>
    </row>
    <row r="537" spans="1:27" x14ac:dyDescent="0.3">
      <c r="A537" s="1">
        <f>ROW(CantoralDB[[#This Row],[Título]])-1</f>
        <v>536</v>
      </c>
      <c r="B537" s="1" t="s">
        <v>1803</v>
      </c>
      <c r="C537" s="1"/>
      <c r="H537" s="1" t="s">
        <v>1027</v>
      </c>
      <c r="J537" s="1" t="s">
        <v>608</v>
      </c>
      <c r="M537" s="15" t="s">
        <v>501</v>
      </c>
      <c r="N537" s="15" t="s">
        <v>1510</v>
      </c>
      <c r="O537" s="15">
        <v>6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537" s="1"/>
      <c r="T537" s="1"/>
      <c r="U537" s="15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537" s="15" t="str">
        <f>_xlfn.TEXTBEFORE(_xlfn.TEXTAFTER(CantoralDB[[#This Row],[index.html]],"&gt;"),"&gt;")&amp;"&gt;"</f>
        <v>&lt;a href="canciones/ain_karem/sed_felices.html"&gt;</v>
      </c>
      <c r="AA537" s="1"/>
    </row>
    <row r="538" spans="1:27" x14ac:dyDescent="0.3">
      <c r="A538" s="1">
        <f>ROW(CantoralDB[[#This Row],[Título]])-1</f>
        <v>537</v>
      </c>
      <c r="B538" s="1" t="s">
        <v>1582</v>
      </c>
      <c r="C538" s="1"/>
      <c r="H538" s="1" t="s">
        <v>1030</v>
      </c>
      <c r="I538" s="1" t="s">
        <v>2962</v>
      </c>
      <c r="J538" s="1" t="s">
        <v>608</v>
      </c>
      <c r="M538" s="15" t="s">
        <v>501</v>
      </c>
      <c r="N538" s="15" t="s">
        <v>1510</v>
      </c>
      <c r="O538" s="15">
        <v>7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538" s="1"/>
      <c r="T538" s="1"/>
      <c r="U538" s="15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538" s="15" t="str">
        <f>_xlfn.TEXTBEFORE(_xlfn.TEXTAFTER(CantoralDB[[#This Row],[index.html]],"&gt;"),"&gt;")&amp;"&gt;"</f>
        <v>&lt;a href="canciones/ain_karem/ten_piedad.html"&gt;</v>
      </c>
      <c r="AA538" s="1"/>
    </row>
    <row r="539" spans="1:27" x14ac:dyDescent="0.3">
      <c r="A539" s="1">
        <f>ROW(CantoralDB[[#This Row],[Título]])-1</f>
        <v>538</v>
      </c>
      <c r="B539" s="1" t="s">
        <v>1510</v>
      </c>
      <c r="C539" s="1"/>
      <c r="H539" s="1" t="s">
        <v>1030</v>
      </c>
      <c r="J539" s="1" t="s">
        <v>608</v>
      </c>
      <c r="M539" s="15" t="s">
        <v>501</v>
      </c>
      <c r="N539" s="15" t="s">
        <v>1510</v>
      </c>
      <c r="O539" s="15">
        <v>8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539" s="1"/>
      <c r="T539" s="1"/>
      <c r="U539" s="15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539" s="15" t="str">
        <f>_xlfn.TEXTBEFORE(_xlfn.TEXTAFTER(CantoralDB[[#This Row],[index.html]],"&gt;"),"&gt;")&amp;"&gt;"</f>
        <v>&lt;a href="canciones/ain_karem/busca_mi_rostro.html"&gt;</v>
      </c>
      <c r="AA539" s="1"/>
    </row>
    <row r="540" spans="1:27" x14ac:dyDescent="0.3">
      <c r="A540" s="1">
        <f>ROW(CantoralDB[[#This Row],[Título]])-1</f>
        <v>539</v>
      </c>
      <c r="B540" s="1" t="s">
        <v>1804</v>
      </c>
      <c r="C540" s="1"/>
      <c r="H540" s="1" t="s">
        <v>473</v>
      </c>
      <c r="J540" s="1" t="s">
        <v>608</v>
      </c>
      <c r="M540" s="15" t="s">
        <v>501</v>
      </c>
      <c r="N540" s="15" t="s">
        <v>1510</v>
      </c>
      <c r="O540" s="15">
        <v>9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540" s="1"/>
      <c r="T540" s="1"/>
      <c r="U540" s="15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540" s="15" t="str">
        <f>_xlfn.TEXTBEFORE(_xlfn.TEXTAFTER(CantoralDB[[#This Row],[index.html]],"&gt;"),"&gt;")&amp;"&gt;"</f>
        <v>&lt;a href="canciones/ain_karem/señor_de_la_sabiduria.html"&gt;</v>
      </c>
      <c r="AA540" s="1"/>
    </row>
    <row r="541" spans="1:27" x14ac:dyDescent="0.3">
      <c r="A541" s="1">
        <f>ROW(CantoralDB[[#This Row],[Título]])-1</f>
        <v>540</v>
      </c>
      <c r="B541" s="1" t="s">
        <v>1805</v>
      </c>
      <c r="C541" s="1"/>
      <c r="H541" s="1" t="s">
        <v>1029</v>
      </c>
      <c r="I541" s="1" t="s">
        <v>2960</v>
      </c>
      <c r="J541" s="1" t="s">
        <v>608</v>
      </c>
      <c r="M541" s="15" t="s">
        <v>501</v>
      </c>
      <c r="N541" s="15" t="s">
        <v>1510</v>
      </c>
      <c r="O541" s="15">
        <v>10</v>
      </c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541" s="1"/>
      <c r="T541" s="1"/>
      <c r="U541" s="15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541" s="15" t="str">
        <f>_xlfn.TEXTBEFORE(_xlfn.TEXTAFTER(CantoralDB[[#This Row],[index.html]],"&gt;"),"&gt;")&amp;"&gt;"</f>
        <v>&lt;a href="canciones/ain_karem/descansa_en_ti_su_mirada.html"&gt;</v>
      </c>
      <c r="AA541" s="1"/>
    </row>
    <row r="542" spans="1:27" x14ac:dyDescent="0.3">
      <c r="A542" s="1">
        <f>ROW(CantoralDB[[#This Row],[Título]])-1</f>
        <v>541</v>
      </c>
      <c r="B542" s="1" t="s">
        <v>1806</v>
      </c>
      <c r="C542" s="1"/>
      <c r="H542" s="1" t="s">
        <v>1030</v>
      </c>
      <c r="J542" s="1" t="s">
        <v>608</v>
      </c>
      <c r="M542" s="15" t="s">
        <v>501</v>
      </c>
      <c r="N542" s="15" t="s">
        <v>1510</v>
      </c>
      <c r="O542" s="15">
        <v>11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542" s="1"/>
      <c r="T542" s="1"/>
      <c r="U542" s="15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542" s="15" t="str">
        <f>_xlfn.TEXTBEFORE(_xlfn.TEXTAFTER(CantoralDB[[#This Row],[index.html]],"&gt;"),"&gt;")&amp;"&gt;"</f>
        <v>&lt;a href="canciones/ain_karem/el_amor.html"&gt;</v>
      </c>
      <c r="AA542" s="1"/>
    </row>
    <row r="543" spans="1:27" x14ac:dyDescent="0.3">
      <c r="A543" s="1">
        <f>ROW(CantoralDB[[#This Row],[Título]])-1</f>
        <v>542</v>
      </c>
      <c r="B543" s="1" t="s">
        <v>534</v>
      </c>
      <c r="C543" s="1"/>
      <c r="H543" s="1" t="s">
        <v>1030</v>
      </c>
      <c r="I543" s="1" t="s">
        <v>2960</v>
      </c>
      <c r="J543" s="1" t="s">
        <v>608</v>
      </c>
      <c r="M543" s="15" t="s">
        <v>501</v>
      </c>
      <c r="N543" s="15" t="s">
        <v>1510</v>
      </c>
      <c r="O543" s="15">
        <v>12</v>
      </c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543" s="1"/>
      <c r="T543" s="1"/>
      <c r="U543" s="15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543" s="15" t="str">
        <f>_xlfn.TEXTBEFORE(_xlfn.TEXTAFTER(CantoralDB[[#This Row],[index.html]],"&gt;"),"&gt;")&amp;"&gt;"</f>
        <v>&lt;a href="canciones/ain_karem/maria_de_nazaret.html"&gt;</v>
      </c>
      <c r="AA543" s="1"/>
    </row>
    <row r="544" spans="1:27" x14ac:dyDescent="0.3">
      <c r="A544" s="1">
        <f>ROW(CantoralDB[[#This Row],[Título]])-1</f>
        <v>543</v>
      </c>
      <c r="B544" s="1" t="s">
        <v>1807</v>
      </c>
      <c r="C544" s="1"/>
      <c r="H544" s="1" t="s">
        <v>1030</v>
      </c>
      <c r="I544" s="1" t="s">
        <v>2961</v>
      </c>
      <c r="J544" s="1" t="s">
        <v>608</v>
      </c>
      <c r="M544" s="15" t="s">
        <v>501</v>
      </c>
      <c r="N544" s="15" t="s">
        <v>1510</v>
      </c>
      <c r="O544" s="15">
        <v>13</v>
      </c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544" s="1"/>
      <c r="T544" s="1"/>
      <c r="U544" s="15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544" s="15" t="str">
        <f>_xlfn.TEXTBEFORE(_xlfn.TEXTAFTER(CantoralDB[[#This Row],[index.html]],"&gt;"),"&gt;")&amp;"&gt;"</f>
        <v>&lt;a href="canciones/ain_karem/miradle.html"&gt;</v>
      </c>
      <c r="AA544" s="1"/>
    </row>
    <row r="545" spans="1:27" x14ac:dyDescent="0.3">
      <c r="A545" s="1">
        <f>ROW(CantoralDB[[#This Row],[Título]])-1</f>
        <v>544</v>
      </c>
      <c r="B545" s="1" t="s">
        <v>1808</v>
      </c>
      <c r="C545" s="1"/>
      <c r="H545" s="1" t="s">
        <v>1027</v>
      </c>
      <c r="J545" s="1" t="s">
        <v>608</v>
      </c>
      <c r="M545" s="15" t="s">
        <v>501</v>
      </c>
      <c r="N545" s="15" t="s">
        <v>1510</v>
      </c>
      <c r="O545" s="15">
        <v>14</v>
      </c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545" s="1"/>
      <c r="T545" s="1"/>
      <c r="U545" s="15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545" s="15" t="str">
        <f>_xlfn.TEXTBEFORE(_xlfn.TEXTAFTER(CantoralDB[[#This Row],[index.html]],"&gt;"),"&gt;")&amp;"&gt;"</f>
        <v>&lt;a href="canciones/ain_karem/venid_conmigo.html"&gt;</v>
      </c>
      <c r="AA545" s="1"/>
    </row>
    <row r="546" spans="1:27" x14ac:dyDescent="0.3">
      <c r="A546" s="1">
        <f>ROW(CantoralDB[[#This Row],[Título]])-1</f>
        <v>545</v>
      </c>
      <c r="B546" s="1" t="s">
        <v>1809</v>
      </c>
      <c r="C546" s="1"/>
      <c r="H546" s="1" t="s">
        <v>1030</v>
      </c>
      <c r="J546" s="1"/>
      <c r="M546" s="15" t="s">
        <v>501</v>
      </c>
      <c r="N546" s="15" t="s">
        <v>1510</v>
      </c>
      <c r="O546" s="15">
        <v>15</v>
      </c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546" s="1"/>
      <c r="T546" s="1"/>
      <c r="U546" s="15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546" s="15" t="str">
        <f>_xlfn.TEXTBEFORE(_xlfn.TEXTAFTER(CantoralDB[[#This Row],[index.html]],"&gt;"),"&gt;")&amp;"&gt;"</f>
        <v>&lt;a href="canciones/ain_karem/somos_vedruna.html"&gt;</v>
      </c>
      <c r="AA546" s="1"/>
    </row>
    <row r="547" spans="1:27" x14ac:dyDescent="0.3">
      <c r="A547" s="1">
        <f>ROW(CantoralDB[[#This Row],[Título]])-1</f>
        <v>546</v>
      </c>
      <c r="B547" s="1" t="s">
        <v>1763</v>
      </c>
      <c r="C547" s="1"/>
      <c r="H547" s="1" t="s">
        <v>531</v>
      </c>
      <c r="J547" s="1" t="s">
        <v>608</v>
      </c>
      <c r="M547" s="15" t="s">
        <v>501</v>
      </c>
      <c r="N547" s="15" t="s">
        <v>1507</v>
      </c>
      <c r="O547" s="15">
        <v>1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547" s="1"/>
      <c r="T547" s="1"/>
      <c r="U547" s="15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547" s="15" t="str">
        <f>_xlfn.TEXTBEFORE(_xlfn.TEXTAFTER(CantoralDB[[#This Row],[index.html]],"&gt;"),"&gt;")&amp;"&gt;"</f>
        <v>&lt;a href="canciones/ain_karem/dios_fiel.html"&gt;</v>
      </c>
      <c r="AA547" s="1"/>
    </row>
    <row r="548" spans="1:27" x14ac:dyDescent="0.3">
      <c r="A548" s="1">
        <f>ROW(CantoralDB[[#This Row],[Título]])-1</f>
        <v>547</v>
      </c>
      <c r="B548" s="1" t="s">
        <v>1764</v>
      </c>
      <c r="C548" s="1"/>
      <c r="H548" s="1" t="s">
        <v>473</v>
      </c>
      <c r="I548" s="1" t="s">
        <v>2958</v>
      </c>
      <c r="J548" s="1" t="s">
        <v>608</v>
      </c>
      <c r="M548" s="15" t="s">
        <v>501</v>
      </c>
      <c r="N548" s="15" t="s">
        <v>1507</v>
      </c>
      <c r="O548" s="15">
        <v>2</v>
      </c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548" s="1"/>
      <c r="T548" s="1"/>
      <c r="U548" s="15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548" s="15" t="str">
        <f>_xlfn.TEXTBEFORE(_xlfn.TEXTAFTER(CantoralDB[[#This Row],[index.html]],"&gt;"),"&gt;")&amp;"&gt;"</f>
        <v>&lt;a href="canciones/ain_karem/hambre_y_sed_de_ti.html"&gt;</v>
      </c>
      <c r="AA548" s="1"/>
    </row>
    <row r="549" spans="1:27" x14ac:dyDescent="0.3">
      <c r="A549" s="1">
        <f>ROW(CantoralDB[[#This Row],[Título]])-1</f>
        <v>548</v>
      </c>
      <c r="B549" s="1" t="s">
        <v>1765</v>
      </c>
      <c r="C549" s="1"/>
      <c r="H549" s="1" t="s">
        <v>1027</v>
      </c>
      <c r="J549" s="1" t="s">
        <v>608</v>
      </c>
      <c r="M549" s="15" t="s">
        <v>501</v>
      </c>
      <c r="N549" s="15" t="s">
        <v>1507</v>
      </c>
      <c r="O549" s="15">
        <v>3</v>
      </c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549" s="1"/>
      <c r="T549" s="1"/>
      <c r="U549" s="15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549" s="15" t="str">
        <f>_xlfn.TEXTBEFORE(_xlfn.TEXTAFTER(CantoralDB[[#This Row],[index.html]],"&gt;"),"&gt;")&amp;"&gt;"</f>
        <v>&lt;a href="canciones/ain_karem/confianza.html"&gt;</v>
      </c>
      <c r="AA549" s="1"/>
    </row>
    <row r="550" spans="1:27" x14ac:dyDescent="0.3">
      <c r="A550" s="1">
        <f>ROW(CantoralDB[[#This Row],[Título]])-1</f>
        <v>549</v>
      </c>
      <c r="B550" s="1" t="s">
        <v>1766</v>
      </c>
      <c r="C550" s="1"/>
      <c r="H550" s="1" t="s">
        <v>1027</v>
      </c>
      <c r="J550" s="1"/>
      <c r="M550" s="15" t="s">
        <v>501</v>
      </c>
      <c r="N550" s="15" t="s">
        <v>1507</v>
      </c>
      <c r="O550" s="15">
        <v>4</v>
      </c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550" s="1"/>
      <c r="T550" s="1"/>
      <c r="U550" s="15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550" s="15" t="str">
        <f>_xlfn.TEXTBEFORE(_xlfn.TEXTAFTER(CantoralDB[[#This Row],[index.html]],"&gt;"),"&gt;")&amp;"&gt;"</f>
        <v>&lt;a href="canciones/ain_karem/talita_kum.html"&gt;</v>
      </c>
      <c r="AA550" s="1"/>
    </row>
    <row r="551" spans="1:27" x14ac:dyDescent="0.3">
      <c r="A551" s="1">
        <f>ROW(CantoralDB[[#This Row],[Título]])-1</f>
        <v>550</v>
      </c>
      <c r="B551" s="1" t="s">
        <v>1767</v>
      </c>
      <c r="C551" s="1"/>
      <c r="H551" s="1" t="s">
        <v>531</v>
      </c>
      <c r="I551" s="1" t="s">
        <v>2961</v>
      </c>
      <c r="J551" s="1" t="s">
        <v>608</v>
      </c>
      <c r="M551" s="15" t="s">
        <v>501</v>
      </c>
      <c r="N551" s="15" t="s">
        <v>1507</v>
      </c>
      <c r="O551" s="15">
        <v>5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551" s="1"/>
      <c r="T551" s="1"/>
      <c r="U551" s="15"/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551" s="15" t="str">
        <f>_xlfn.TEXTBEFORE(_xlfn.TEXTAFTER(CantoralDB[[#This Row],[index.html]],"&gt;"),"&gt;")&amp;"&gt;"</f>
        <v>&lt;a href="canciones/ain_karem/pan_compartido.html"&gt;</v>
      </c>
      <c r="AA551" s="1"/>
    </row>
    <row r="552" spans="1:27" x14ac:dyDescent="0.3">
      <c r="A552" s="1">
        <f>ROW(CantoralDB[[#This Row],[Título]])-1</f>
        <v>551</v>
      </c>
      <c r="B552" s="1" t="s">
        <v>1768</v>
      </c>
      <c r="C552" s="1"/>
      <c r="H552" s="1" t="s">
        <v>531</v>
      </c>
      <c r="J552" s="1" t="s">
        <v>608</v>
      </c>
      <c r="M552" s="15" t="s">
        <v>501</v>
      </c>
      <c r="N552" s="15" t="s">
        <v>1507</v>
      </c>
      <c r="O552" s="15">
        <v>6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52" s="1"/>
      <c r="T552" s="1"/>
      <c r="U552" s="15"/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52" s="15" t="str">
        <f>_xlfn.TEXTBEFORE(_xlfn.TEXTAFTER(CantoralDB[[#This Row],[index.html]],"&gt;"),"&gt;")&amp;"&gt;"</f>
        <v>&lt;a href="canciones/ain_karem/gloria_trinitario.html"&gt;</v>
      </c>
      <c r="AA552" s="1"/>
    </row>
    <row r="553" spans="1:27" x14ac:dyDescent="0.3">
      <c r="A553" s="1">
        <f>ROW(CantoralDB[[#This Row],[Título]])-1</f>
        <v>552</v>
      </c>
      <c r="B553" s="1" t="s">
        <v>1769</v>
      </c>
      <c r="C553" s="1"/>
      <c r="H553" s="1" t="s">
        <v>1030</v>
      </c>
      <c r="J553" s="1" t="s">
        <v>608</v>
      </c>
      <c r="M553" s="15" t="s">
        <v>501</v>
      </c>
      <c r="N553" s="15" t="s">
        <v>1507</v>
      </c>
      <c r="O553" s="15">
        <v>7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53" s="1"/>
      <c r="T553" s="1"/>
      <c r="U553" s="15"/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53" s="15" t="str">
        <f>_xlfn.TEXTBEFORE(_xlfn.TEXTAFTER(CantoralDB[[#This Row],[index.html]],"&gt;"),"&gt;")&amp;"&gt;"</f>
        <v>&lt;a href="canciones/ain_karem/a_ti.html"&gt;</v>
      </c>
      <c r="AA553" s="1"/>
    </row>
    <row r="554" spans="1:27" x14ac:dyDescent="0.3">
      <c r="A554" s="1">
        <f>ROW(CantoralDB[[#This Row],[Título]])-1</f>
        <v>553</v>
      </c>
      <c r="B554" s="1" t="s">
        <v>1770</v>
      </c>
      <c r="C554" s="1"/>
      <c r="H554" s="1" t="s">
        <v>473</v>
      </c>
      <c r="J554" s="1" t="s">
        <v>608</v>
      </c>
      <c r="M554" s="15" t="s">
        <v>501</v>
      </c>
      <c r="N554" s="15" t="s">
        <v>1507</v>
      </c>
      <c r="O554" s="15">
        <v>8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54" s="1"/>
      <c r="T554" s="1"/>
      <c r="U554" s="15"/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54" s="15" t="str">
        <f>_xlfn.TEXTBEFORE(_xlfn.TEXTAFTER(CantoralDB[[#This Row],[index.html]],"&gt;"),"&gt;")&amp;"&gt;"</f>
        <v>&lt;a href="canciones/ain_karem/tu_lo_sabes.html"&gt;</v>
      </c>
      <c r="AA554" s="1"/>
    </row>
    <row r="555" spans="1:27" x14ac:dyDescent="0.3">
      <c r="A555" s="1">
        <f>ROW(CantoralDB[[#This Row],[Título]])-1</f>
        <v>554</v>
      </c>
      <c r="B555" s="1" t="s">
        <v>1771</v>
      </c>
      <c r="C555" s="1"/>
      <c r="H555" s="1" t="s">
        <v>1029</v>
      </c>
      <c r="I555" s="1" t="s">
        <v>2958</v>
      </c>
      <c r="J555" s="1" t="s">
        <v>608</v>
      </c>
      <c r="M555" s="15" t="s">
        <v>501</v>
      </c>
      <c r="N555" s="15" t="s">
        <v>1507</v>
      </c>
      <c r="O555" s="15">
        <v>9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55" s="1"/>
      <c r="T555" s="1"/>
      <c r="U555" s="15"/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55" s="15" t="str">
        <f>_xlfn.TEXTBEFORE(_xlfn.TEXTAFTER(CantoralDB[[#This Row],[index.html]],"&gt;"),"&gt;")&amp;"&gt;"</f>
        <v>&lt;a href="canciones/ain_karem/cana.html"&gt;</v>
      </c>
      <c r="AA555" s="1"/>
    </row>
    <row r="556" spans="1:27" x14ac:dyDescent="0.3">
      <c r="A556" s="1">
        <f>ROW(CantoralDB[[#This Row],[Título]])-1</f>
        <v>555</v>
      </c>
      <c r="B556" s="1" t="s">
        <v>1840</v>
      </c>
      <c r="C556" s="1"/>
      <c r="H556" s="1" t="s">
        <v>531</v>
      </c>
      <c r="J556" s="1" t="s">
        <v>608</v>
      </c>
      <c r="M556" s="15" t="s">
        <v>501</v>
      </c>
      <c r="N556" s="15" t="s">
        <v>1507</v>
      </c>
      <c r="O556" s="15">
        <v>10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56" s="1"/>
      <c r="T556" s="1"/>
      <c r="U556" s="15"/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56" s="15" t="str">
        <f>_xlfn.TEXTBEFORE(_xlfn.TEXTAFTER(CantoralDB[[#This Row],[index.html]],"&gt;"),"&gt;")&amp;"&gt;"</f>
        <v>&lt;a href="canciones/ain_karem/animo_soy_yo.html"&gt;</v>
      </c>
      <c r="AA556" s="1"/>
    </row>
    <row r="557" spans="1:27" x14ac:dyDescent="0.3">
      <c r="A557" s="1">
        <f>ROW(CantoralDB[[#This Row],[Título]])-1</f>
        <v>556</v>
      </c>
      <c r="B557" s="1" t="s">
        <v>196</v>
      </c>
      <c r="C557" s="1"/>
      <c r="H557" s="1" t="s">
        <v>531</v>
      </c>
      <c r="J557" s="1" t="s">
        <v>608</v>
      </c>
      <c r="M557" s="15" t="s">
        <v>501</v>
      </c>
      <c r="N557" s="15" t="s">
        <v>1507</v>
      </c>
      <c r="O557" s="15">
        <v>11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7" s="1"/>
      <c r="T557" s="1"/>
      <c r="U557" s="15"/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7" s="15" t="str">
        <f>_xlfn.TEXTBEFORE(_xlfn.TEXTAFTER(CantoralDB[[#This Row],[index.html]],"&gt;"),"&gt;")&amp;"&gt;"</f>
        <v>&lt;a href="canciones/ain_karem/santo.html"&gt;</v>
      </c>
      <c r="AA557" s="1"/>
    </row>
    <row r="558" spans="1:27" x14ac:dyDescent="0.3">
      <c r="A558" s="1">
        <f>ROW(CantoralDB[[#This Row],[Título]])-1</f>
        <v>557</v>
      </c>
      <c r="B558" s="1" t="s">
        <v>1772</v>
      </c>
      <c r="C558" s="1"/>
      <c r="H558" s="1" t="s">
        <v>1029</v>
      </c>
      <c r="J558" s="1" t="s">
        <v>608</v>
      </c>
      <c r="M558" s="15" t="s">
        <v>501</v>
      </c>
      <c r="N558" s="15" t="s">
        <v>1507</v>
      </c>
      <c r="O558" s="15">
        <v>12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58" s="1"/>
      <c r="T558" s="1"/>
      <c r="U558" s="15"/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58" s="15" t="str">
        <f>_xlfn.TEXTBEFORE(_xlfn.TEXTAFTER(CantoralDB[[#This Row],[index.html]],"&gt;"),"&gt;")&amp;"&gt;"</f>
        <v>&lt;a href="canciones/ain_karem/la_mujer_del_perfume.html"&gt;</v>
      </c>
      <c r="AA558" s="1"/>
    </row>
    <row r="559" spans="1:27" x14ac:dyDescent="0.3">
      <c r="A559" s="1">
        <f>ROW(CantoralDB[[#This Row],[Título]])-1</f>
        <v>558</v>
      </c>
      <c r="B559" s="1" t="s">
        <v>1773</v>
      </c>
      <c r="C559" s="1"/>
      <c r="H559" s="1" t="s">
        <v>473</v>
      </c>
      <c r="I559" s="1" t="s">
        <v>2962</v>
      </c>
      <c r="J559" s="1" t="s">
        <v>608</v>
      </c>
      <c r="M559" s="15" t="s">
        <v>501</v>
      </c>
      <c r="N559" s="15" t="s">
        <v>1507</v>
      </c>
      <c r="O559" s="15">
        <v>13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59" s="1"/>
      <c r="T559" s="1"/>
      <c r="U559" s="15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59" s="15" t="str">
        <f>_xlfn.TEXTBEFORE(_xlfn.TEXTAFTER(CantoralDB[[#This Row],[index.html]],"&gt;"),"&gt;")&amp;"&gt;"</f>
        <v>&lt;a href="canciones/ain_karem/para_estar_contigo.html"&gt;</v>
      </c>
      <c r="AA559" s="1"/>
    </row>
    <row r="560" spans="1:27" x14ac:dyDescent="0.3">
      <c r="A560" s="1">
        <f>ROW(CantoralDB[[#This Row],[Título]])-1</f>
        <v>559</v>
      </c>
      <c r="B560" s="1" t="s">
        <v>1774</v>
      </c>
      <c r="C560" s="1"/>
      <c r="H560" s="1" t="s">
        <v>473</v>
      </c>
      <c r="I560" s="1" t="s">
        <v>2961</v>
      </c>
      <c r="J560" s="1" t="s">
        <v>608</v>
      </c>
      <c r="M560" s="15" t="s">
        <v>501</v>
      </c>
      <c r="N560" s="15" t="s">
        <v>1507</v>
      </c>
      <c r="O560" s="15">
        <v>14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60" s="1"/>
      <c r="T560" s="1"/>
      <c r="U560" s="15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60" s="15" t="str">
        <f>_xlfn.TEXTBEFORE(_xlfn.TEXTAFTER(CantoralDB[[#This Row],[index.html]],"&gt;"),"&gt;")&amp;"&gt;"</f>
        <v>&lt;a href="canciones/ain_karem/samaritano.html"&gt;</v>
      </c>
      <c r="AA560" s="1"/>
    </row>
    <row r="561" spans="1:27" x14ac:dyDescent="0.3">
      <c r="A561" s="1">
        <f>ROW(CantoralDB[[#This Row],[Título]])-1</f>
        <v>560</v>
      </c>
      <c r="B561" s="1" t="s">
        <v>1775</v>
      </c>
      <c r="C561" s="1"/>
      <c r="H561" s="1" t="s">
        <v>1030</v>
      </c>
      <c r="I561" s="1" t="s">
        <v>2958</v>
      </c>
      <c r="J561" s="1" t="s">
        <v>608</v>
      </c>
      <c r="M561" s="15" t="s">
        <v>501</v>
      </c>
      <c r="N561" s="15" t="s">
        <v>1507</v>
      </c>
      <c r="O561" s="15">
        <v>15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61" s="1"/>
      <c r="T561" s="1"/>
      <c r="U561" s="15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61" s="15" t="str">
        <f>_xlfn.TEXTBEFORE(_xlfn.TEXTAFTER(CantoralDB[[#This Row],[index.html]],"&gt;"),"&gt;")&amp;"&gt;"</f>
        <v>&lt;a href="canciones/ain_karem/no_hay_fronteras.html"&gt;</v>
      </c>
      <c r="AA561" s="1"/>
    </row>
    <row r="562" spans="1:27" x14ac:dyDescent="0.3">
      <c r="A562" s="1">
        <f>ROW(CantoralDB[[#This Row],[Título]])-1</f>
        <v>561</v>
      </c>
      <c r="B562" s="1" t="s">
        <v>1505</v>
      </c>
      <c r="C562" s="1"/>
      <c r="H562" s="1" t="s">
        <v>531</v>
      </c>
      <c r="I562" s="1" t="s">
        <v>2962</v>
      </c>
      <c r="J562" s="1" t="s">
        <v>608</v>
      </c>
      <c r="M562" s="15" t="s">
        <v>501</v>
      </c>
      <c r="N562" s="15" t="s">
        <v>1505</v>
      </c>
      <c r="O562" s="15">
        <v>1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562" s="1"/>
      <c r="T562" s="1"/>
      <c r="U562" s="15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562" s="15" t="str">
        <f>_xlfn.TEXTBEFORE(_xlfn.TEXTAFTER(CantoralDB[[#This Row],[index.html]],"&gt;"),"&gt;")&amp;"&gt;"</f>
        <v>&lt;a href="canciones/ain_karem/descalzate.html"&gt;</v>
      </c>
      <c r="AA562" s="1"/>
    </row>
    <row r="563" spans="1:27" x14ac:dyDescent="0.3">
      <c r="A563" s="1">
        <f>ROW(CantoralDB[[#This Row],[Título]])-1</f>
        <v>562</v>
      </c>
      <c r="B563" s="1" t="s">
        <v>2895</v>
      </c>
      <c r="C563" s="1"/>
      <c r="H563" s="1" t="s">
        <v>473</v>
      </c>
      <c r="I563" s="1" t="s">
        <v>2961</v>
      </c>
      <c r="J563" s="1" t="s">
        <v>608</v>
      </c>
      <c r="M563" s="15" t="s">
        <v>501</v>
      </c>
      <c r="N563" s="15" t="s">
        <v>1505</v>
      </c>
      <c r="O563" s="15">
        <v>2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563" s="1"/>
      <c r="T563" s="1"/>
      <c r="U563" s="15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563" s="15" t="str">
        <f>_xlfn.TEXTBEFORE(_xlfn.TEXTAFTER(CantoralDB[[#This Row],[index.html]],"&gt;"),"&gt;")&amp;"&gt;"</f>
        <v>&lt;a href="canciones/ain_karem/la_vid_verdadera.html"&gt;</v>
      </c>
      <c r="AA563" s="1"/>
    </row>
    <row r="564" spans="1:27" x14ac:dyDescent="0.3">
      <c r="A564" s="1">
        <f>ROW(CantoralDB[[#This Row],[Título]])-1</f>
        <v>563</v>
      </c>
      <c r="B564" s="1" t="s">
        <v>941</v>
      </c>
      <c r="C564" s="1"/>
      <c r="H564" s="1" t="s">
        <v>531</v>
      </c>
      <c r="I564" s="1" t="s">
        <v>2961</v>
      </c>
      <c r="J564" s="1" t="s">
        <v>608</v>
      </c>
      <c r="M564" s="15" t="s">
        <v>501</v>
      </c>
      <c r="N564" s="15" t="s">
        <v>1505</v>
      </c>
      <c r="O564" s="15">
        <v>3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564" s="1"/>
      <c r="T564" s="1"/>
      <c r="U564" s="15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564" s="15" t="str">
        <f>_xlfn.TEXTBEFORE(_xlfn.TEXTAFTER(CantoralDB[[#This Row],[index.html]],"&gt;"),"&gt;")&amp;"&gt;"</f>
        <v>&lt;a href="canciones/ain_karem/ven_espiritu_de_dios.html"&gt;</v>
      </c>
      <c r="AA564" s="1"/>
    </row>
    <row r="565" spans="1:27" x14ac:dyDescent="0.3">
      <c r="A565" s="1">
        <f>ROW(CantoralDB[[#This Row],[Título]])-1</f>
        <v>564</v>
      </c>
      <c r="B565" s="1" t="s">
        <v>1745</v>
      </c>
      <c r="C565" s="1"/>
      <c r="H565" s="1" t="s">
        <v>1030</v>
      </c>
      <c r="I565" s="1" t="s">
        <v>2961</v>
      </c>
      <c r="J565" s="1" t="s">
        <v>608</v>
      </c>
      <c r="M565" s="15" t="s">
        <v>501</v>
      </c>
      <c r="N565" s="15" t="s">
        <v>1505</v>
      </c>
      <c r="O565" s="15">
        <v>4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565" s="1"/>
      <c r="T565" s="1"/>
      <c r="U565" s="15"/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565" s="15" t="str">
        <f>_xlfn.TEXTBEFORE(_xlfn.TEXTAFTER(CantoralDB[[#This Row],[index.html]],"&gt;"),"&gt;")&amp;"&gt;"</f>
        <v>&lt;a href="canciones/ain_karem/realidad.html"&gt;</v>
      </c>
      <c r="AA565" s="1"/>
    </row>
    <row r="566" spans="1:27" x14ac:dyDescent="0.3">
      <c r="A566" s="1">
        <f>ROW(CantoralDB[[#This Row],[Título]])-1</f>
        <v>565</v>
      </c>
      <c r="B566" s="1" t="s">
        <v>1746</v>
      </c>
      <c r="C566" s="1"/>
      <c r="H566" s="1" t="s">
        <v>473</v>
      </c>
      <c r="I566" s="1" t="s">
        <v>2961</v>
      </c>
      <c r="J566" s="1" t="s">
        <v>608</v>
      </c>
      <c r="M566" s="15" t="s">
        <v>501</v>
      </c>
      <c r="N566" s="15" t="s">
        <v>1505</v>
      </c>
      <c r="O566" s="15">
        <v>5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566" s="1"/>
      <c r="T566" s="1"/>
      <c r="U566" s="15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566" s="15" t="str">
        <f>_xlfn.TEXTBEFORE(_xlfn.TEXTAFTER(CantoralDB[[#This Row],[index.html]],"&gt;"),"&gt;")&amp;"&gt;"</f>
        <v>&lt;a href="canciones/ain_karem/boga_mar_adentro.html"&gt;</v>
      </c>
      <c r="AA566" s="1"/>
    </row>
    <row r="567" spans="1:27" x14ac:dyDescent="0.3">
      <c r="A567" s="1">
        <f>ROW(CantoralDB[[#This Row],[Título]])-1</f>
        <v>566</v>
      </c>
      <c r="B567" s="1" t="s">
        <v>1747</v>
      </c>
      <c r="C567" s="1"/>
      <c r="H567" s="1" t="s">
        <v>1030</v>
      </c>
      <c r="J567" s="1" t="s">
        <v>608</v>
      </c>
      <c r="M567" s="15" t="s">
        <v>501</v>
      </c>
      <c r="N567" s="15" t="s">
        <v>1505</v>
      </c>
      <c r="O567" s="15">
        <v>6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567" s="1"/>
      <c r="T567" s="1"/>
      <c r="U567" s="15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567" s="15" t="str">
        <f>_xlfn.TEXTBEFORE(_xlfn.TEXTAFTER(CantoralDB[[#This Row],[index.html]],"&gt;"),"&gt;")&amp;"&gt;"</f>
        <v>&lt;a href="canciones/ain_karem/no_tengas_miedo.html"&gt;</v>
      </c>
      <c r="AA567" s="1"/>
    </row>
    <row r="568" spans="1:27" x14ac:dyDescent="0.3">
      <c r="A568" s="1">
        <f>ROW(CantoralDB[[#This Row],[Título]])-1</f>
        <v>567</v>
      </c>
      <c r="B568" s="1" t="s">
        <v>1544</v>
      </c>
      <c r="C568" s="1"/>
      <c r="H568" s="1" t="s">
        <v>473</v>
      </c>
      <c r="I568" s="1" t="s">
        <v>2961</v>
      </c>
      <c r="J568" s="1" t="s">
        <v>608</v>
      </c>
      <c r="M568" s="15" t="s">
        <v>501</v>
      </c>
      <c r="N568" s="15" t="s">
        <v>1505</v>
      </c>
      <c r="O568" s="15">
        <v>7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568" s="1"/>
      <c r="T568" s="1"/>
      <c r="U568" s="15"/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568" s="15" t="str">
        <f>_xlfn.TEXTBEFORE(_xlfn.TEXTAFTER(CantoralDB[[#This Row],[index.html]],"&gt;"),"&gt;")&amp;"&gt;"</f>
        <v>&lt;a href="canciones/ain_karem/magnificat.html"&gt;</v>
      </c>
      <c r="AA568" s="1"/>
    </row>
    <row r="569" spans="1:27" x14ac:dyDescent="0.3">
      <c r="A569" s="1">
        <f>ROW(CantoralDB[[#This Row],[Título]])-1</f>
        <v>568</v>
      </c>
      <c r="B569" s="1" t="s">
        <v>1748</v>
      </c>
      <c r="C569" s="1"/>
      <c r="H569" s="1" t="s">
        <v>1027</v>
      </c>
      <c r="I569" s="1" t="s">
        <v>2961</v>
      </c>
      <c r="J569" s="1" t="s">
        <v>608</v>
      </c>
      <c r="M569" s="15" t="s">
        <v>501</v>
      </c>
      <c r="N569" s="15" t="s">
        <v>1505</v>
      </c>
      <c r="O569" s="15">
        <v>8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569" s="1"/>
      <c r="T569" s="1"/>
      <c r="U569" s="15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569" s="15" t="str">
        <f>_xlfn.TEXTBEFORE(_xlfn.TEXTAFTER(CantoralDB[[#This Row],[index.html]],"&gt;"),"&gt;")&amp;"&gt;"</f>
        <v>&lt;a href="canciones/ain_karem/ardo_en_celo.html"&gt;</v>
      </c>
      <c r="AA569" s="1"/>
    </row>
    <row r="570" spans="1:27" x14ac:dyDescent="0.3">
      <c r="A570" s="1">
        <f>ROW(CantoralDB[[#This Row],[Título]])-1</f>
        <v>569</v>
      </c>
      <c r="B570" s="1" t="s">
        <v>1909</v>
      </c>
      <c r="C570" s="1"/>
      <c r="H570" s="1" t="s">
        <v>1028</v>
      </c>
      <c r="I570" s="1" t="s">
        <v>2962</v>
      </c>
      <c r="J570" s="1" t="s">
        <v>608</v>
      </c>
      <c r="M570" s="15" t="s">
        <v>501</v>
      </c>
      <c r="N570" s="15" t="s">
        <v>1505</v>
      </c>
      <c r="O570" s="15">
        <v>9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570" s="1"/>
      <c r="T570" s="1"/>
      <c r="U570" s="15"/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570" s="15" t="str">
        <f>_xlfn.TEXTBEFORE(_xlfn.TEXTAFTER(CantoralDB[[#This Row],[index.html]],"&gt;"),"&gt;")&amp;"&gt;"</f>
        <v>&lt;a href="canciones/ain_karem/el_amor_no_dice_basta.html"&gt;</v>
      </c>
      <c r="AA570" s="1"/>
    </row>
    <row r="571" spans="1:27" x14ac:dyDescent="0.3">
      <c r="A571" s="1">
        <f>ROW(CantoralDB[[#This Row],[Título]])-1</f>
        <v>570</v>
      </c>
      <c r="B571" s="1" t="s">
        <v>1749</v>
      </c>
      <c r="C571" s="1"/>
      <c r="H571" s="1" t="s">
        <v>531</v>
      </c>
      <c r="J571" s="1" t="s">
        <v>608</v>
      </c>
      <c r="M571" s="15" t="s">
        <v>501</v>
      </c>
      <c r="N571" s="15" t="s">
        <v>1505</v>
      </c>
      <c r="O571" s="15">
        <v>10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571" s="1"/>
      <c r="T571" s="1"/>
      <c r="U571" s="15"/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571" s="15" t="str">
        <f>_xlfn.TEXTBEFORE(_xlfn.TEXTAFTER(CantoralDB[[#This Row],[index.html]],"&gt;"),"&gt;")&amp;"&gt;"</f>
        <v>&lt;a href="canciones/ain_karem/rut_y_noemi.html"&gt;</v>
      </c>
      <c r="AA571" s="1"/>
    </row>
    <row r="572" spans="1:27" x14ac:dyDescent="0.3">
      <c r="A572" s="1">
        <f>ROW(CantoralDB[[#This Row],[Título]])-1</f>
        <v>571</v>
      </c>
      <c r="B572" s="1" t="s">
        <v>1750</v>
      </c>
      <c r="C572" s="1"/>
      <c r="H572" s="1" t="s">
        <v>531</v>
      </c>
      <c r="I572" s="1" t="s">
        <v>2961</v>
      </c>
      <c r="J572" s="1" t="s">
        <v>608</v>
      </c>
      <c r="M572" s="15" t="s">
        <v>501</v>
      </c>
      <c r="N572" s="15" t="s">
        <v>1505</v>
      </c>
      <c r="O572" s="15">
        <v>11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572" s="1"/>
      <c r="T572" s="1"/>
      <c r="U572" s="15"/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572" s="15" t="str">
        <f>_xlfn.TEXTBEFORE(_xlfn.TEXTAFTER(CantoralDB[[#This Row],[index.html]],"&gt;"),"&gt;")&amp;"&gt;"</f>
        <v>&lt;a href="canciones/ain_karem/ven_espiritu.html"&gt;</v>
      </c>
      <c r="AA572" s="1"/>
    </row>
    <row r="573" spans="1:27" x14ac:dyDescent="0.3">
      <c r="A573" s="1">
        <f>ROW(CantoralDB[[#This Row],[Título]])-1</f>
        <v>572</v>
      </c>
      <c r="B573" s="1" t="s">
        <v>1751</v>
      </c>
      <c r="C573" s="1"/>
      <c r="H573" s="1" t="s">
        <v>531</v>
      </c>
      <c r="I573" s="1" t="s">
        <v>2961</v>
      </c>
      <c r="J573" s="1" t="s">
        <v>608</v>
      </c>
      <c r="M573" s="15" t="s">
        <v>501</v>
      </c>
      <c r="N573" s="15" t="s">
        <v>1505</v>
      </c>
      <c r="O573" s="15">
        <v>12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573" s="1"/>
      <c r="T573" s="1"/>
      <c r="U573" s="15"/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573" s="15" t="str">
        <f>_xlfn.TEXTBEFORE(_xlfn.TEXTAFTER(CantoralDB[[#This Row],[index.html]],"&gt;"),"&gt;")&amp;"&gt;"</f>
        <v>&lt;a href="canciones/ain_karem/maria_magdalena.html"&gt;</v>
      </c>
      <c r="AA573" s="1"/>
    </row>
    <row r="574" spans="1:27" x14ac:dyDescent="0.3">
      <c r="A574" s="1">
        <f>ROW(CantoralDB[[#This Row],[Título]])-1</f>
        <v>573</v>
      </c>
      <c r="B574" s="1" t="s">
        <v>1752</v>
      </c>
      <c r="C574" s="1"/>
      <c r="H574" s="1" t="s">
        <v>1030</v>
      </c>
      <c r="J574" s="1"/>
      <c r="M574" s="15" t="s">
        <v>501</v>
      </c>
      <c r="N574" s="15" t="s">
        <v>1505</v>
      </c>
      <c r="O574" s="15">
        <v>13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574" s="1"/>
      <c r="T574" s="1"/>
      <c r="U574" s="15"/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574" s="15" t="str">
        <f>_xlfn.TEXTBEFORE(_xlfn.TEXTAFTER(CantoralDB[[#This Row],[index.html]],"&gt;"),"&gt;")&amp;"&gt;"</f>
        <v>&lt;a href="canciones/ain_karem/joaquina_emigrante.html"&gt;</v>
      </c>
      <c r="AA574" s="1"/>
    </row>
    <row r="575" spans="1:27" x14ac:dyDescent="0.3">
      <c r="A575" s="1">
        <f>ROW(CantoralDB[[#This Row],[Título]])-1</f>
        <v>574</v>
      </c>
      <c r="B575" s="1" t="s">
        <v>1826</v>
      </c>
      <c r="C575" s="1"/>
      <c r="H575" s="1" t="s">
        <v>531</v>
      </c>
      <c r="I575" s="1" t="s">
        <v>2962</v>
      </c>
      <c r="J575" s="1" t="s">
        <v>608</v>
      </c>
      <c r="M575" s="15" t="s">
        <v>501</v>
      </c>
      <c r="N575" s="15" t="s">
        <v>1511</v>
      </c>
      <c r="O575" s="15">
        <v>1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575" s="1"/>
      <c r="T575" s="1"/>
      <c r="U575" s="15"/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575" s="15" t="str">
        <f>_xlfn.TEXTBEFORE(_xlfn.TEXTAFTER(CantoralDB[[#This Row],[index.html]],"&gt;"),"&gt;")&amp;"&gt;"</f>
        <v>&lt;a href="canciones/ain_karem/de_todo_corazon.html"&gt;</v>
      </c>
      <c r="AA575" s="1"/>
    </row>
    <row r="576" spans="1:27" x14ac:dyDescent="0.3">
      <c r="A576" s="1">
        <f>ROW(CantoralDB[[#This Row],[Título]])-1</f>
        <v>575</v>
      </c>
      <c r="B576" s="1" t="s">
        <v>1827</v>
      </c>
      <c r="C576" s="1"/>
      <c r="H576" s="1" t="s">
        <v>531</v>
      </c>
      <c r="J576" s="1" t="s">
        <v>608</v>
      </c>
      <c r="M576" s="15" t="s">
        <v>501</v>
      </c>
      <c r="N576" s="15" t="s">
        <v>1511</v>
      </c>
      <c r="O576" s="15">
        <v>2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576" s="1"/>
      <c r="T576" s="1"/>
      <c r="U576" s="15"/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576" s="15" t="str">
        <f>_xlfn.TEXTBEFORE(_xlfn.TEXTAFTER(CantoralDB[[#This Row],[index.html]],"&gt;"),"&gt;")&amp;"&gt;"</f>
        <v>&lt;a href="canciones/ain_karem/canto_de_ana.html"&gt;</v>
      </c>
      <c r="AA576" s="1"/>
    </row>
    <row r="577" spans="1:27" x14ac:dyDescent="0.3">
      <c r="A577" s="1">
        <f>ROW(CantoralDB[[#This Row],[Título]])-1</f>
        <v>576</v>
      </c>
      <c r="B577" s="1" t="s">
        <v>1828</v>
      </c>
      <c r="C577" s="1"/>
      <c r="H577" s="1" t="s">
        <v>531</v>
      </c>
      <c r="I577" s="1" t="s">
        <v>2961</v>
      </c>
      <c r="J577" s="1" t="s">
        <v>608</v>
      </c>
      <c r="M577" s="15" t="s">
        <v>501</v>
      </c>
      <c r="N577" s="15" t="s">
        <v>1511</v>
      </c>
      <c r="O577" s="15">
        <v>3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577" s="1"/>
      <c r="T577" s="1"/>
      <c r="U577" s="15"/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577" s="15" t="str">
        <f>_xlfn.TEXTBEFORE(_xlfn.TEXTAFTER(CantoralDB[[#This Row],[index.html]],"&gt;"),"&gt;")&amp;"&gt;"</f>
        <v>&lt;a href="canciones/ain_karem/seguirte.html"&gt;</v>
      </c>
      <c r="AA577" s="1"/>
    </row>
    <row r="578" spans="1:27" x14ac:dyDescent="0.3">
      <c r="A578" s="1">
        <f>ROW(CantoralDB[[#This Row],[Título]])-1</f>
        <v>577</v>
      </c>
      <c r="B578" s="1" t="s">
        <v>1829</v>
      </c>
      <c r="C578" s="1"/>
      <c r="H578" s="1" t="s">
        <v>1027</v>
      </c>
      <c r="I578" s="1" t="s">
        <v>2958</v>
      </c>
      <c r="J578" s="1" t="s">
        <v>608</v>
      </c>
      <c r="M578" s="15" t="s">
        <v>501</v>
      </c>
      <c r="N578" s="15" t="s">
        <v>1511</v>
      </c>
      <c r="O578" s="15">
        <v>4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578" s="1"/>
      <c r="T578" s="1"/>
      <c r="U578" s="15"/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578" s="15" t="str">
        <f>_xlfn.TEXTBEFORE(_xlfn.TEXTAFTER(CantoralDB[[#This Row],[index.html]],"&gt;"),"&gt;")&amp;"&gt;"</f>
        <v>&lt;a href="canciones/ain_karem/pueblo_suyo.html"&gt;</v>
      </c>
      <c r="AA578" s="1"/>
    </row>
    <row r="579" spans="1:27" x14ac:dyDescent="0.3">
      <c r="A579" s="1">
        <f>ROW(CantoralDB[[#This Row],[Título]])-1</f>
        <v>578</v>
      </c>
      <c r="B579" s="1" t="s">
        <v>1830</v>
      </c>
      <c r="C579" s="1"/>
      <c r="H579" s="1" t="s">
        <v>531</v>
      </c>
      <c r="I579" s="1" t="s">
        <v>2963</v>
      </c>
      <c r="J579" s="1" t="s">
        <v>608</v>
      </c>
      <c r="M579" s="15" t="s">
        <v>501</v>
      </c>
      <c r="N579" s="15" t="s">
        <v>1511</v>
      </c>
      <c r="O579" s="15">
        <v>5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579" s="1"/>
      <c r="T579" s="1"/>
      <c r="U579" s="15"/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579" s="15" t="str">
        <f>_xlfn.TEXTBEFORE(_xlfn.TEXTAFTER(CantoralDB[[#This Row],[index.html]],"&gt;"),"&gt;")&amp;"&gt;"</f>
        <v>&lt;a href="canciones/ain_karem/quedas_libre.html"&gt;</v>
      </c>
      <c r="AA579" s="1"/>
    </row>
    <row r="580" spans="1:27" x14ac:dyDescent="0.3">
      <c r="A580" s="1">
        <f>ROW(CantoralDB[[#This Row],[Título]])-1</f>
        <v>579</v>
      </c>
      <c r="B580" s="1" t="s">
        <v>1831</v>
      </c>
      <c r="C580" s="1"/>
      <c r="H580" s="1" t="s">
        <v>531</v>
      </c>
      <c r="J580" s="1" t="s">
        <v>608</v>
      </c>
      <c r="M580" s="15" t="s">
        <v>501</v>
      </c>
      <c r="N580" s="15" t="s">
        <v>1511</v>
      </c>
      <c r="O580" s="15">
        <v>6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580" s="1"/>
      <c r="T580" s="1"/>
      <c r="U580" s="15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580" s="15" t="str">
        <f>_xlfn.TEXTBEFORE(_xlfn.TEXTAFTER(CantoralDB[[#This Row],[index.html]],"&gt;"),"&gt;")&amp;"&gt;"</f>
        <v>&lt;a href="canciones/ain_karem/si_le_dais_posada.html"&gt;</v>
      </c>
      <c r="AA580" s="1"/>
    </row>
    <row r="581" spans="1:27" x14ac:dyDescent="0.3">
      <c r="A581" s="1">
        <f>ROW(CantoralDB[[#This Row],[Título]])-1</f>
        <v>580</v>
      </c>
      <c r="B581" s="1" t="s">
        <v>1832</v>
      </c>
      <c r="C581" s="1"/>
      <c r="H581" s="1" t="s">
        <v>531</v>
      </c>
      <c r="I581" s="1" t="s">
        <v>2960</v>
      </c>
      <c r="J581" s="1" t="s">
        <v>608</v>
      </c>
      <c r="M581" s="15" t="s">
        <v>501</v>
      </c>
      <c r="N581" s="15" t="s">
        <v>1511</v>
      </c>
      <c r="O581" s="15">
        <v>7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581" s="1"/>
      <c r="T581" s="1"/>
      <c r="U581" s="15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581" s="15" t="str">
        <f>_xlfn.TEXTBEFORE(_xlfn.TEXTAFTER(CantoralDB[[#This Row],[index.html]],"&gt;"),"&gt;")&amp;"&gt;"</f>
        <v>&lt;a href="canciones/ain_karem/es_mi_hermano.html"&gt;</v>
      </c>
      <c r="AA581" s="1"/>
    </row>
    <row r="582" spans="1:27" x14ac:dyDescent="0.3">
      <c r="A582" s="1">
        <f>ROW(CantoralDB[[#This Row],[Título]])-1</f>
        <v>581</v>
      </c>
      <c r="B582" s="1" t="s">
        <v>1833</v>
      </c>
      <c r="C582" s="1"/>
      <c r="H582" s="1" t="s">
        <v>1030</v>
      </c>
      <c r="J582" s="1" t="s">
        <v>608</v>
      </c>
      <c r="M582" s="15" t="s">
        <v>501</v>
      </c>
      <c r="N582" s="15" t="s">
        <v>1511</v>
      </c>
      <c r="O582" s="15">
        <v>8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582" s="1"/>
      <c r="T582" s="1"/>
      <c r="U582" s="15"/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582" s="15" t="str">
        <f>_xlfn.TEXTBEFORE(_xlfn.TEXTAFTER(CantoralDB[[#This Row],[index.html]],"&gt;"),"&gt;")&amp;"&gt;"</f>
        <v>&lt;a href="canciones/ain_karem/jesus.html"&gt;</v>
      </c>
      <c r="AA582" s="1"/>
    </row>
    <row r="583" spans="1:27" x14ac:dyDescent="0.3">
      <c r="A583" s="1">
        <f>ROW(CantoralDB[[#This Row],[Título]])-1</f>
        <v>582</v>
      </c>
      <c r="B583" s="1" t="s">
        <v>939</v>
      </c>
      <c r="C583" s="1"/>
      <c r="H583" s="1" t="s">
        <v>1027</v>
      </c>
      <c r="J583" s="1" t="s">
        <v>608</v>
      </c>
      <c r="M583" s="15" t="s">
        <v>501</v>
      </c>
      <c r="N583" s="15" t="s">
        <v>1511</v>
      </c>
      <c r="O583" s="15">
        <v>9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583" s="1"/>
      <c r="T583" s="1"/>
      <c r="U583" s="15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583" s="15" t="str">
        <f>_xlfn.TEXTBEFORE(_xlfn.TEXTAFTER(CantoralDB[[#This Row],[index.html]],"&gt;"),"&gt;")&amp;"&gt;"</f>
        <v>&lt;a href="canciones/ain_karem/el_reino_de_dios.html"&gt;</v>
      </c>
      <c r="AA583" s="1"/>
    </row>
    <row r="584" spans="1:27" x14ac:dyDescent="0.3">
      <c r="A584" s="1">
        <f>ROW(CantoralDB[[#This Row],[Título]])-1</f>
        <v>583</v>
      </c>
      <c r="B584" s="1" t="s">
        <v>2152</v>
      </c>
      <c r="C584" s="1"/>
      <c r="H584" s="1" t="s">
        <v>531</v>
      </c>
      <c r="J584" s="1" t="s">
        <v>608</v>
      </c>
      <c r="M584" s="15" t="s">
        <v>501</v>
      </c>
      <c r="N584" s="15" t="s">
        <v>1511</v>
      </c>
      <c r="O584" s="15">
        <v>10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584" s="1"/>
      <c r="T584" s="1"/>
      <c r="U584" s="15"/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584" s="15" t="str">
        <f>_xlfn.TEXTBEFORE(_xlfn.TEXTAFTER(CantoralDB[[#This Row],[index.html]],"&gt;"),"&gt;")&amp;"&gt;"</f>
        <v>&lt;a href="canciones/ain_karem/recibid_mi_espiritu.html"&gt;</v>
      </c>
      <c r="AA584" s="1"/>
    </row>
    <row r="585" spans="1:27" x14ac:dyDescent="0.3">
      <c r="A585" s="1">
        <f>ROW(CantoralDB[[#This Row],[Título]])-1</f>
        <v>584</v>
      </c>
      <c r="B585" s="1" t="s">
        <v>2888</v>
      </c>
      <c r="C585" s="1"/>
      <c r="H585" s="1" t="s">
        <v>531</v>
      </c>
      <c r="J585" s="1" t="s">
        <v>608</v>
      </c>
      <c r="M585" s="15" t="s">
        <v>501</v>
      </c>
      <c r="N585" s="15" t="s">
        <v>1511</v>
      </c>
      <c r="O585" s="15">
        <v>11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585" s="1"/>
      <c r="T585" s="1"/>
      <c r="U585" s="15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585" s="15" t="str">
        <f>_xlfn.TEXTBEFORE(_xlfn.TEXTAFTER(CantoralDB[[#This Row],[index.html]],"&gt;"),"&gt;")&amp;"&gt;"</f>
        <v>&lt;a href="canciones/ain_karem/confia.html"&gt;</v>
      </c>
      <c r="AA585" s="1"/>
    </row>
    <row r="586" spans="1:27" x14ac:dyDescent="0.3">
      <c r="A586" s="1">
        <f>ROW(CantoralDB[[#This Row],[Título]])-1</f>
        <v>585</v>
      </c>
      <c r="B586" s="1" t="s">
        <v>1834</v>
      </c>
      <c r="C586" s="1"/>
      <c r="H586" s="1" t="s">
        <v>473</v>
      </c>
      <c r="J586" s="1" t="s">
        <v>608</v>
      </c>
      <c r="M586" s="15" t="s">
        <v>501</v>
      </c>
      <c r="N586" s="15" t="s">
        <v>1511</v>
      </c>
      <c r="O586" s="15">
        <v>12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586" s="1"/>
      <c r="T586" s="1"/>
      <c r="U586" s="15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586" s="15" t="str">
        <f>_xlfn.TEXTBEFORE(_xlfn.TEXTAFTER(CantoralDB[[#This Row],[index.html]],"&gt;"),"&gt;")&amp;"&gt;"</f>
        <v>&lt;a href="canciones/ain_karem/como_tu.html"&gt;</v>
      </c>
      <c r="AA586" s="1"/>
    </row>
    <row r="587" spans="1:27" x14ac:dyDescent="0.3">
      <c r="A587" s="1">
        <f>ROW(CantoralDB[[#This Row],[Título]])-1</f>
        <v>586</v>
      </c>
      <c r="B587" s="1" t="s">
        <v>1835</v>
      </c>
      <c r="C587" s="1"/>
      <c r="H587" s="1" t="s">
        <v>531</v>
      </c>
      <c r="J587" s="1" t="s">
        <v>608</v>
      </c>
      <c r="M587" s="15" t="s">
        <v>501</v>
      </c>
      <c r="N587" s="15" t="s">
        <v>1511</v>
      </c>
      <c r="O587" s="15">
        <v>13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587" s="1"/>
      <c r="T587" s="1"/>
      <c r="U587" s="15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587" s="15" t="str">
        <f>_xlfn.TEXTBEFORE(_xlfn.TEXTAFTER(CantoralDB[[#This Row],[index.html]],"&gt;"),"&gt;")&amp;"&gt;"</f>
        <v>&lt;a href="canciones/ain_karem/pequeño_israel.html"&gt;</v>
      </c>
      <c r="AA587" s="1"/>
    </row>
    <row r="588" spans="1:27" x14ac:dyDescent="0.3">
      <c r="A588" s="1">
        <f>ROW(CantoralDB[[#This Row],[Título]])-1</f>
        <v>587</v>
      </c>
      <c r="B588" s="1" t="s">
        <v>1836</v>
      </c>
      <c r="C588" s="1"/>
      <c r="H588" s="1" t="s">
        <v>531</v>
      </c>
      <c r="J588" s="1" t="s">
        <v>608</v>
      </c>
      <c r="M588" s="15" t="s">
        <v>501</v>
      </c>
      <c r="N588" s="15" t="s">
        <v>1511</v>
      </c>
      <c r="O588" s="15">
        <v>14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588" s="1"/>
      <c r="T588" s="1"/>
      <c r="U588" s="15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588" s="15" t="str">
        <f>_xlfn.TEXTBEFORE(_xlfn.TEXTAFTER(CantoralDB[[#This Row],[index.html]],"&gt;"),"&gt;")&amp;"&gt;"</f>
        <v>&lt;a href="canciones/ain_karem/vivid_en_comunion.html"&gt;</v>
      </c>
      <c r="AA588" s="1"/>
    </row>
    <row r="589" spans="1:27" x14ac:dyDescent="0.3">
      <c r="A589" s="1">
        <f>ROW(CantoralDB[[#This Row],[Título]])-1</f>
        <v>588</v>
      </c>
      <c r="B589" s="1" t="s">
        <v>2234</v>
      </c>
      <c r="C589" s="1"/>
      <c r="H589" s="1" t="s">
        <v>1027</v>
      </c>
      <c r="J589" s="1" t="s">
        <v>608</v>
      </c>
      <c r="M589" s="15" t="s">
        <v>501</v>
      </c>
      <c r="N589" s="15" t="s">
        <v>1511</v>
      </c>
      <c r="O589" s="15">
        <v>15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589" s="1"/>
      <c r="T589" s="1"/>
      <c r="U589" s="15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589" s="15" t="str">
        <f>_xlfn.TEXTBEFORE(_xlfn.TEXTAFTER(CantoralDB[[#This Row],[index.html]],"&gt;"),"&gt;")&amp;"&gt;"</f>
        <v>&lt;a href="canciones/ain_karem/vengan_a_mi.html"&gt;</v>
      </c>
      <c r="AA589" s="1"/>
    </row>
    <row r="590" spans="1:27" x14ac:dyDescent="0.3">
      <c r="A590" s="1">
        <f>ROW(CantoralDB[[#This Row],[Título]])-1</f>
        <v>589</v>
      </c>
      <c r="B590" s="1" t="s">
        <v>1825</v>
      </c>
      <c r="C590" s="1"/>
      <c r="H590" s="1" t="s">
        <v>531</v>
      </c>
      <c r="I590" s="1" t="s">
        <v>2962</v>
      </c>
      <c r="J590" s="1" t="s">
        <v>608</v>
      </c>
      <c r="M590" s="15" t="s">
        <v>501</v>
      </c>
      <c r="N590" s="15" t="s">
        <v>1511</v>
      </c>
      <c r="O590" s="15">
        <v>16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590" s="1"/>
      <c r="T590" s="1"/>
      <c r="U590" s="15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590" s="15" t="str">
        <f>_xlfn.TEXTBEFORE(_xlfn.TEXTAFTER(CantoralDB[[#This Row],[index.html]],"&gt;"),"&gt;")&amp;"&gt;"</f>
        <v>&lt;a href="canciones/ain_karem/os_envio.html"&gt;</v>
      </c>
      <c r="AA590" s="1"/>
    </row>
    <row r="591" spans="1:27" x14ac:dyDescent="0.3">
      <c r="A591" s="1">
        <f>ROW(CantoralDB[[#This Row],[Título]])-1</f>
        <v>590</v>
      </c>
      <c r="B591" s="1" t="s">
        <v>1810</v>
      </c>
      <c r="C591" s="1"/>
      <c r="H591" s="1" t="s">
        <v>531</v>
      </c>
      <c r="I591" s="1" t="s">
        <v>2960</v>
      </c>
      <c r="J591" s="1" t="s">
        <v>608</v>
      </c>
      <c r="M591" s="15" t="s">
        <v>501</v>
      </c>
      <c r="N591" s="15" t="s">
        <v>1512</v>
      </c>
      <c r="O591" s="15">
        <v>1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591" s="1"/>
      <c r="T591" s="1"/>
      <c r="U591" s="15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591" s="15" t="str">
        <f>_xlfn.TEXTBEFORE(_xlfn.TEXTAFTER(CantoralDB[[#This Row],[index.html]],"&gt;"),"&gt;")&amp;"&gt;"</f>
        <v>&lt;a href="canciones/ain_karem/fuego.html"&gt;</v>
      </c>
      <c r="AA591" s="1"/>
    </row>
    <row r="592" spans="1:27" x14ac:dyDescent="0.3">
      <c r="A592" s="1">
        <f>ROW(CantoralDB[[#This Row],[Título]])-1</f>
        <v>591</v>
      </c>
      <c r="B592" s="1" t="s">
        <v>1811</v>
      </c>
      <c r="C592" s="1"/>
      <c r="H592" s="1" t="s">
        <v>1030</v>
      </c>
      <c r="J592" s="1" t="s">
        <v>608</v>
      </c>
      <c r="M592" s="15" t="s">
        <v>501</v>
      </c>
      <c r="N592" s="15" t="s">
        <v>1512</v>
      </c>
      <c r="O592" s="15">
        <v>2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592" s="1"/>
      <c r="T592" s="1"/>
      <c r="U592" s="15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592" s="15" t="str">
        <f>_xlfn.TEXTBEFORE(_xlfn.TEXTAFTER(CantoralDB[[#This Row],[index.html]],"&gt;"),"&gt;")&amp;"&gt;"</f>
        <v>&lt;a href="canciones/ain_karem/mujeres_en_camino.html"&gt;</v>
      </c>
      <c r="AA592" s="1"/>
    </row>
    <row r="593" spans="1:27" x14ac:dyDescent="0.3">
      <c r="A593" s="1">
        <f>ROW(CantoralDB[[#This Row],[Título]])-1</f>
        <v>592</v>
      </c>
      <c r="B593" s="1" t="s">
        <v>215</v>
      </c>
      <c r="C593" s="1"/>
      <c r="H593" s="1" t="s">
        <v>1029</v>
      </c>
      <c r="J593" s="1" t="s">
        <v>608</v>
      </c>
      <c r="M593" s="15" t="s">
        <v>501</v>
      </c>
      <c r="N593" s="15" t="s">
        <v>1512</v>
      </c>
      <c r="O593" s="15">
        <v>3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593" s="1"/>
      <c r="T593" s="1"/>
      <c r="U593" s="15"/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593" s="15" t="str">
        <f>_xlfn.TEXTBEFORE(_xlfn.TEXTAFTER(CantoralDB[[#This Row],[index.html]],"&gt;"),"&gt;")&amp;"&gt;"</f>
        <v>&lt;a href="canciones/ain_karem/no_temas.html"&gt;</v>
      </c>
      <c r="AA593" s="1"/>
    </row>
    <row r="594" spans="1:27" x14ac:dyDescent="0.3">
      <c r="A594" s="1">
        <f>ROW(CantoralDB[[#This Row],[Título]])-1</f>
        <v>593</v>
      </c>
      <c r="B594" s="1" t="s">
        <v>1812</v>
      </c>
      <c r="C594" s="1"/>
      <c r="H594" s="1" t="s">
        <v>1027</v>
      </c>
      <c r="J594" s="1" t="s">
        <v>608</v>
      </c>
      <c r="M594" s="15" t="s">
        <v>501</v>
      </c>
      <c r="N594" s="15" t="s">
        <v>1512</v>
      </c>
      <c r="O594" s="15">
        <v>4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594" s="1"/>
      <c r="T594" s="1"/>
      <c r="U594" s="15"/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594" s="15" t="str">
        <f>_xlfn.TEXTBEFORE(_xlfn.TEXTAFTER(CantoralDB[[#This Row],[index.html]],"&gt;"),"&gt;")&amp;"&gt;"</f>
        <v>&lt;a href="canciones/ain_karem/abre_mis_puertas.html"&gt;</v>
      </c>
      <c r="AA594" s="1"/>
    </row>
    <row r="595" spans="1:27" x14ac:dyDescent="0.3">
      <c r="A595" s="1">
        <f>ROW(CantoralDB[[#This Row],[Título]])-1</f>
        <v>594</v>
      </c>
      <c r="B595" s="1" t="s">
        <v>1813</v>
      </c>
      <c r="C595" s="1"/>
      <c r="H595" s="1" t="s">
        <v>473</v>
      </c>
      <c r="J595" s="1" t="s">
        <v>608</v>
      </c>
      <c r="M595" s="15" t="s">
        <v>501</v>
      </c>
      <c r="N595" s="15" t="s">
        <v>1512</v>
      </c>
      <c r="O595" s="15">
        <v>5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595" s="1"/>
      <c r="T595" s="1"/>
      <c r="U595" s="15"/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595" s="15" t="str">
        <f>_xlfn.TEXTBEFORE(_xlfn.TEXTAFTER(CantoralDB[[#This Row],[index.html]],"&gt;"),"&gt;")&amp;"&gt;"</f>
        <v>&lt;a href="canciones/ain_karem/danos_de_beber.html"&gt;</v>
      </c>
      <c r="AA595" s="1"/>
    </row>
    <row r="596" spans="1:27" x14ac:dyDescent="0.3">
      <c r="A596" s="1">
        <f>ROW(CantoralDB[[#This Row],[Título]])-1</f>
        <v>595</v>
      </c>
      <c r="B596" s="1" t="s">
        <v>1814</v>
      </c>
      <c r="C596" s="1"/>
      <c r="H596" s="1" t="s">
        <v>531</v>
      </c>
      <c r="I596" s="1" t="s">
        <v>2962</v>
      </c>
      <c r="J596" s="1" t="s">
        <v>608</v>
      </c>
      <c r="M596" s="15" t="s">
        <v>501</v>
      </c>
      <c r="N596" s="15" t="s">
        <v>1512</v>
      </c>
      <c r="O596" s="15">
        <v>6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596" s="1"/>
      <c r="T596" s="1"/>
      <c r="U596" s="15"/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596" s="15" t="str">
        <f>_xlfn.TEXTBEFORE(_xlfn.TEXTAFTER(CantoralDB[[#This Row],[index.html]],"&gt;"),"&gt;")&amp;"&gt;"</f>
        <v>&lt;a href="canciones/ain_karem/secuencia_pascual.html"&gt;</v>
      </c>
      <c r="AA596" s="1"/>
    </row>
    <row r="597" spans="1:27" x14ac:dyDescent="0.3">
      <c r="A597" s="1">
        <f>ROW(CantoralDB[[#This Row],[Título]])-1</f>
        <v>596</v>
      </c>
      <c r="B597" s="1" t="s">
        <v>1815</v>
      </c>
      <c r="C597" s="1"/>
      <c r="H597" s="1" t="s">
        <v>1030</v>
      </c>
      <c r="I597" s="1" t="s">
        <v>2961</v>
      </c>
      <c r="J597" s="1" t="s">
        <v>608</v>
      </c>
      <c r="M597" s="15" t="s">
        <v>501</v>
      </c>
      <c r="N597" s="15" t="s">
        <v>1512</v>
      </c>
      <c r="O597" s="15">
        <v>7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597" s="1"/>
      <c r="T597" s="1"/>
      <c r="U597" s="15"/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597" s="15" t="str">
        <f>_xlfn.TEXTBEFORE(_xlfn.TEXTAFTER(CantoralDB[[#This Row],[index.html]],"&gt;"),"&gt;")&amp;"&gt;"</f>
        <v>&lt;a href="canciones/ain_karem/solo_en_dios.html"&gt;</v>
      </c>
      <c r="AA597" s="1"/>
    </row>
    <row r="598" spans="1:27" x14ac:dyDescent="0.3">
      <c r="A598" s="1">
        <f>ROW(CantoralDB[[#This Row],[Título]])-1</f>
        <v>597</v>
      </c>
      <c r="B598" s="1" t="s">
        <v>1816</v>
      </c>
      <c r="C598" s="1"/>
      <c r="H598" s="1" t="s">
        <v>473</v>
      </c>
      <c r="I598" s="1" t="s">
        <v>2958</v>
      </c>
      <c r="J598" s="1" t="s">
        <v>608</v>
      </c>
      <c r="M598" s="15" t="s">
        <v>501</v>
      </c>
      <c r="N598" s="15" t="s">
        <v>1512</v>
      </c>
      <c r="O598" s="15">
        <v>8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598" s="1"/>
      <c r="T598" s="1"/>
      <c r="U598" s="15"/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598" s="15" t="str">
        <f>_xlfn.TEXTBEFORE(_xlfn.TEXTAFTER(CantoralDB[[#This Row],[index.html]],"&gt;"),"&gt;")&amp;"&gt;"</f>
        <v>&lt;a href="canciones/ain_karem/cantad_al_señor.html"&gt;</v>
      </c>
      <c r="AA598" s="1"/>
    </row>
    <row r="599" spans="1:27" x14ac:dyDescent="0.3">
      <c r="A599" s="1">
        <f>ROW(CantoralDB[[#This Row],[Título]])-1</f>
        <v>598</v>
      </c>
      <c r="B599" s="1" t="s">
        <v>1817</v>
      </c>
      <c r="C599" s="1"/>
      <c r="H599" s="1" t="s">
        <v>531</v>
      </c>
      <c r="I599" s="1" t="s">
        <v>2961</v>
      </c>
      <c r="J599" s="1" t="s">
        <v>608</v>
      </c>
      <c r="M599" s="15" t="s">
        <v>501</v>
      </c>
      <c r="N599" s="15" t="s">
        <v>1512</v>
      </c>
      <c r="O599" s="15">
        <v>9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599" s="1"/>
      <c r="T599" s="1"/>
      <c r="U599" s="15"/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599" s="15" t="str">
        <f>_xlfn.TEXTBEFORE(_xlfn.TEXTAFTER(CantoralDB[[#This Row],[index.html]],"&gt;"),"&gt;")&amp;"&gt;"</f>
        <v>&lt;a href="canciones/ain_karem/agua_viva.html"&gt;</v>
      </c>
      <c r="AA599" s="1"/>
    </row>
    <row r="600" spans="1:27" x14ac:dyDescent="0.3">
      <c r="A600" s="1">
        <f>ROW(CantoralDB[[#This Row],[Título]])-1</f>
        <v>599</v>
      </c>
      <c r="B600" s="1" t="s">
        <v>1512</v>
      </c>
      <c r="C600" s="1"/>
      <c r="H600" s="1" t="s">
        <v>1030</v>
      </c>
      <c r="J600" s="1" t="s">
        <v>608</v>
      </c>
      <c r="M600" s="15" t="s">
        <v>501</v>
      </c>
      <c r="N600" s="15" t="s">
        <v>1512</v>
      </c>
      <c r="O600" s="15">
        <v>10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600" s="1"/>
      <c r="T600" s="1"/>
      <c r="U600" s="15"/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600" s="15" t="str">
        <f>_xlfn.TEXTBEFORE(_xlfn.TEXTAFTER(CantoralDB[[#This Row],[index.html]],"&gt;"),"&gt;")&amp;"&gt;"</f>
        <v>&lt;a href="canciones/ain_karem/fuego_y_abrazo.html"&gt;</v>
      </c>
      <c r="AA600" s="1"/>
    </row>
    <row r="601" spans="1:27" x14ac:dyDescent="0.3">
      <c r="A601" s="1">
        <f>ROW(CantoralDB[[#This Row],[Título]])-1</f>
        <v>600</v>
      </c>
      <c r="B601" s="1" t="s">
        <v>1818</v>
      </c>
      <c r="C601" s="1"/>
      <c r="H601" s="1" t="s">
        <v>473</v>
      </c>
      <c r="J601" s="1" t="s">
        <v>608</v>
      </c>
      <c r="M601" s="15" t="s">
        <v>501</v>
      </c>
      <c r="N601" s="15" t="s">
        <v>1512</v>
      </c>
      <c r="O601" s="15">
        <v>11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601" s="1"/>
      <c r="T601" s="1"/>
      <c r="U601" s="15"/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601" s="15" t="str">
        <f>_xlfn.TEXTBEFORE(_xlfn.TEXTAFTER(CantoralDB[[#This Row],[index.html]],"&gt;"),"&gt;")&amp;"&gt;"</f>
        <v>&lt;a href="canciones/ain_karem/habitare.html"&gt;</v>
      </c>
      <c r="AA601" s="1"/>
    </row>
    <row r="602" spans="1:27" x14ac:dyDescent="0.3">
      <c r="A602" s="1">
        <f>ROW(CantoralDB[[#This Row],[Título]])-1</f>
        <v>601</v>
      </c>
      <c r="B602" s="1" t="s">
        <v>1839</v>
      </c>
      <c r="C602" s="1"/>
      <c r="H602" s="1" t="s">
        <v>1027</v>
      </c>
      <c r="J602" s="1" t="s">
        <v>608</v>
      </c>
      <c r="M602" s="15" t="s">
        <v>501</v>
      </c>
      <c r="N602" s="15" t="s">
        <v>1512</v>
      </c>
      <c r="O602" s="15">
        <v>12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602" s="1"/>
      <c r="T602" s="1"/>
      <c r="U602" s="15"/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602" s="15" t="str">
        <f>_xlfn.TEXTBEFORE(_xlfn.TEXTAFTER(CantoralDB[[#This Row],[index.html]],"&gt;"),"&gt;")&amp;"&gt;"</f>
        <v>&lt;a href="canciones/ain_karem/discipulos.html"&gt;</v>
      </c>
      <c r="AA602" s="1"/>
    </row>
    <row r="603" spans="1:27" x14ac:dyDescent="0.3">
      <c r="A603" s="1">
        <f>ROW(CantoralDB[[#This Row],[Título]])-1</f>
        <v>602</v>
      </c>
      <c r="B603" s="1" t="s">
        <v>2951</v>
      </c>
      <c r="C603" s="1"/>
      <c r="H603" s="1" t="s">
        <v>1028</v>
      </c>
      <c r="J603" s="1" t="s">
        <v>608</v>
      </c>
      <c r="M603" s="15" t="s">
        <v>501</v>
      </c>
      <c r="N603" s="15" t="s">
        <v>1512</v>
      </c>
      <c r="O603" s="15">
        <v>13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603" s="1"/>
      <c r="T603" s="1"/>
      <c r="U603" s="15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603" s="15" t="str">
        <f>_xlfn.TEXTBEFORE(_xlfn.TEXTAFTER(CantoralDB[[#This Row],[index.html]],"&gt;"),"&gt;")&amp;"&gt;"</f>
        <v>&lt;a href="canciones/ain_karem/no_os_dejo_solos.html"&gt;</v>
      </c>
      <c r="AA603" s="1"/>
    </row>
    <row r="604" spans="1:27" x14ac:dyDescent="0.3">
      <c r="A604" s="1">
        <f>ROW(CantoralDB[[#This Row],[Título]])-1</f>
        <v>603</v>
      </c>
      <c r="B604" s="1" t="s">
        <v>1819</v>
      </c>
      <c r="C604" s="1"/>
      <c r="H604" s="1" t="s">
        <v>1030</v>
      </c>
      <c r="I604" s="1" t="s">
        <v>2958</v>
      </c>
      <c r="J604" s="1" t="s">
        <v>608</v>
      </c>
      <c r="M604" s="15" t="s">
        <v>501</v>
      </c>
      <c r="N604" s="15" t="s">
        <v>1512</v>
      </c>
      <c r="O604" s="15">
        <v>14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604" s="1"/>
      <c r="T604" s="1"/>
      <c r="U604" s="15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604" s="15" t="str">
        <f>_xlfn.TEXTBEFORE(_xlfn.TEXTAFTER(CantoralDB[[#This Row],[index.html]],"&gt;"),"&gt;")&amp;"&gt;"</f>
        <v>&lt;a href="canciones/ain_karem/por_amor_a_tu_pueblo.html"&gt;</v>
      </c>
      <c r="AA604" s="1"/>
    </row>
    <row r="605" spans="1:27" x14ac:dyDescent="0.3">
      <c r="A605" s="1">
        <f>ROW(CantoralDB[[#This Row],[Título]])-1</f>
        <v>604</v>
      </c>
      <c r="B605" s="1" t="s">
        <v>1820</v>
      </c>
      <c r="C605" s="1"/>
      <c r="H605" s="1" t="s">
        <v>531</v>
      </c>
      <c r="I605" s="1" t="s">
        <v>2961</v>
      </c>
      <c r="J605" s="1" t="s">
        <v>608</v>
      </c>
      <c r="M605" s="15" t="s">
        <v>501</v>
      </c>
      <c r="N605" s="15" t="s">
        <v>1512</v>
      </c>
      <c r="O605" s="15">
        <v>15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605" s="1"/>
      <c r="T605" s="1"/>
      <c r="U605" s="15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605" s="15" t="str">
        <f>_xlfn.TEXTBEFORE(_xlfn.TEXTAFTER(CantoralDB[[#This Row],[index.html]],"&gt;"),"&gt;")&amp;"&gt;"</f>
        <v>&lt;a href="canciones/ain_karem/llama_de_amor_viva.html"&gt;</v>
      </c>
      <c r="AA605" s="1"/>
    </row>
    <row r="606" spans="1:27" x14ac:dyDescent="0.3">
      <c r="A606" s="1">
        <f>ROW(CantoralDB[[#This Row],[Título]])-1</f>
        <v>605</v>
      </c>
      <c r="B606" s="1" t="s">
        <v>1821</v>
      </c>
      <c r="C606" s="1"/>
      <c r="H606" s="1" t="s">
        <v>1029</v>
      </c>
      <c r="I606" s="1" t="s">
        <v>2958</v>
      </c>
      <c r="J606" s="1" t="s">
        <v>608</v>
      </c>
      <c r="M606" s="15" t="s">
        <v>501</v>
      </c>
      <c r="N606" s="15" t="s">
        <v>1512</v>
      </c>
      <c r="O606" s="15">
        <v>16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606" s="1"/>
      <c r="T606" s="1"/>
      <c r="U606" s="15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606" s="15" t="str">
        <f>_xlfn.TEXTBEFORE(_xlfn.TEXTAFTER(CantoralDB[[#This Row],[index.html]],"&gt;"),"&gt;")&amp;"&gt;"</f>
        <v>&lt;a href="canciones/ain_karem/la_piedra_angular.html"&gt;</v>
      </c>
      <c r="AA606" s="1"/>
    </row>
    <row r="607" spans="1:27" x14ac:dyDescent="0.3">
      <c r="A607" s="1">
        <f>ROW(CantoralDB[[#This Row],[Título]])-1</f>
        <v>606</v>
      </c>
      <c r="B607" s="1" t="s">
        <v>1822</v>
      </c>
      <c r="C607" s="1"/>
      <c r="H607" s="1" t="s">
        <v>473</v>
      </c>
      <c r="J607" s="1" t="s">
        <v>608</v>
      </c>
      <c r="M607" s="15" t="s">
        <v>501</v>
      </c>
      <c r="N607" s="15" t="s">
        <v>1512</v>
      </c>
      <c r="O607" s="15">
        <v>17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607" s="1"/>
      <c r="T607" s="1"/>
      <c r="U607" s="15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607" s="15" t="str">
        <f>_xlfn.TEXTBEFORE(_xlfn.TEXTAFTER(CantoralDB[[#This Row],[index.html]],"&gt;"),"&gt;")&amp;"&gt;"</f>
        <v>&lt;a href="canciones/ain_karem/como_pan_pequeño.html"&gt;</v>
      </c>
      <c r="AA607" s="1"/>
    </row>
    <row r="608" spans="1:27" x14ac:dyDescent="0.3">
      <c r="A608" s="1">
        <f>ROW(CantoralDB[[#This Row],[Título]])-1</f>
        <v>607</v>
      </c>
      <c r="B608" s="1" t="s">
        <v>1823</v>
      </c>
      <c r="C608" s="1"/>
      <c r="H608" s="1" t="s">
        <v>1030</v>
      </c>
      <c r="I608" s="1" t="s">
        <v>2960</v>
      </c>
      <c r="J608" s="1" t="s">
        <v>608</v>
      </c>
      <c r="M608" s="15" t="s">
        <v>501</v>
      </c>
      <c r="N608" s="15" t="s">
        <v>1512</v>
      </c>
      <c r="O608" s="15">
        <v>18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608" s="1"/>
      <c r="T608" s="1"/>
      <c r="U608" s="15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608" s="15" t="str">
        <f>_xlfn.TEXTBEFORE(_xlfn.TEXTAFTER(CantoralDB[[#This Row],[index.html]],"&gt;"),"&gt;")&amp;"&gt;"</f>
        <v>&lt;a href="canciones/ain_karem/en_ti.html"&gt;</v>
      </c>
      <c r="AA608" s="1"/>
    </row>
    <row r="609" spans="1:27" x14ac:dyDescent="0.3">
      <c r="A609" s="1">
        <f>ROW(CantoralDB[[#This Row],[Título]])-1</f>
        <v>608</v>
      </c>
      <c r="B609" s="1" t="s">
        <v>1842</v>
      </c>
      <c r="C609" s="1"/>
      <c r="H609" s="1" t="s">
        <v>531</v>
      </c>
      <c r="J609" s="1" t="s">
        <v>608</v>
      </c>
      <c r="M609" s="15" t="s">
        <v>501</v>
      </c>
      <c r="N609" s="15" t="s">
        <v>1512</v>
      </c>
      <c r="O609" s="15">
        <v>19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609" s="1"/>
      <c r="T609" s="1"/>
      <c r="U609" s="15"/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609" s="15" t="str">
        <f>_xlfn.TEXTBEFORE(_xlfn.TEXTAFTER(CantoralDB[[#This Row],[index.html]],"&gt;"),"&gt;")&amp;"&gt;"</f>
        <v>&lt;a href="canciones/ain_karem/ven_señor.html"&gt;</v>
      </c>
      <c r="AA609" s="1"/>
    </row>
    <row r="610" spans="1:27" x14ac:dyDescent="0.3">
      <c r="A610" s="1">
        <f>ROW(CantoralDB[[#This Row],[Título]])-1</f>
        <v>609</v>
      </c>
      <c r="B610" s="1" t="s">
        <v>1824</v>
      </c>
      <c r="C610" s="1"/>
      <c r="H610" s="1" t="s">
        <v>531</v>
      </c>
      <c r="J610" s="1" t="s">
        <v>608</v>
      </c>
      <c r="M610" s="15" t="s">
        <v>501</v>
      </c>
      <c r="N610" s="15" t="s">
        <v>1512</v>
      </c>
      <c r="O610" s="15">
        <v>20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610" s="1"/>
      <c r="T610" s="1"/>
      <c r="U610" s="15"/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610" s="15" t="str">
        <f>_xlfn.TEXTBEFORE(_xlfn.TEXTAFTER(CantoralDB[[#This Row],[index.html]],"&gt;"),"&gt;")&amp;"&gt;"</f>
        <v>&lt;a href="canciones/ain_karem/volemos.html"&gt;</v>
      </c>
      <c r="AA610" s="1"/>
    </row>
    <row r="611" spans="1:27" x14ac:dyDescent="0.3">
      <c r="A611" s="1">
        <f>ROW(CantoralDB[[#This Row],[Título]])-1</f>
        <v>610</v>
      </c>
      <c r="B611" s="1" t="s">
        <v>1776</v>
      </c>
      <c r="C611" s="1"/>
      <c r="H611" s="1" t="s">
        <v>1030</v>
      </c>
      <c r="I611" s="1" t="s">
        <v>2960</v>
      </c>
      <c r="J611" s="1" t="s">
        <v>608</v>
      </c>
      <c r="M611" s="15" t="s">
        <v>501</v>
      </c>
      <c r="N611" s="15" t="s">
        <v>1508</v>
      </c>
      <c r="O611" s="15">
        <v>1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611" s="1"/>
      <c r="T611" s="1"/>
      <c r="U611" s="15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611" s="15" t="str">
        <f>_xlfn.TEXTBEFORE(_xlfn.TEXTAFTER(CantoralDB[[#This Row],[index.html]],"&gt;"),"&gt;")&amp;"&gt;"</f>
        <v>&lt;a href="canciones/ain_karem/yo_soy.html"&gt;</v>
      </c>
      <c r="AA611" s="1"/>
    </row>
    <row r="612" spans="1:27" x14ac:dyDescent="0.3">
      <c r="A612" s="1">
        <f>ROW(CantoralDB[[#This Row],[Título]])-1</f>
        <v>611</v>
      </c>
      <c r="B612" s="1" t="s">
        <v>1777</v>
      </c>
      <c r="C612" s="1"/>
      <c r="H612" s="1" t="s">
        <v>1030</v>
      </c>
      <c r="I612" s="1" t="s">
        <v>2958</v>
      </c>
      <c r="J612" s="1" t="s">
        <v>608</v>
      </c>
      <c r="M612" s="15" t="s">
        <v>501</v>
      </c>
      <c r="N612" s="15" t="s">
        <v>1508</v>
      </c>
      <c r="O612" s="15">
        <v>2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612" s="1"/>
      <c r="T612" s="1"/>
      <c r="U612" s="15"/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612" s="15" t="str">
        <f>_xlfn.TEXTBEFORE(_xlfn.TEXTAFTER(CantoralDB[[#This Row],[index.html]],"&gt;"),"&gt;")&amp;"&gt;"</f>
        <v>&lt;a href="canciones/ain_karem/a_toda_la_tierra_alcanza_su_pregon.html"&gt;</v>
      </c>
      <c r="AA612" s="1"/>
    </row>
    <row r="613" spans="1:27" x14ac:dyDescent="0.3">
      <c r="A613" s="1">
        <f>ROW(CantoralDB[[#This Row],[Título]])-1</f>
        <v>612</v>
      </c>
      <c r="B613" s="1" t="s">
        <v>1778</v>
      </c>
      <c r="C613" s="1"/>
      <c r="H613" s="1" t="s">
        <v>1027</v>
      </c>
      <c r="I613" s="1" t="s">
        <v>2961</v>
      </c>
      <c r="J613" s="1" t="s">
        <v>608</v>
      </c>
      <c r="M613" s="15" t="s">
        <v>501</v>
      </c>
      <c r="N613" s="15" t="s">
        <v>1508</v>
      </c>
      <c r="O613" s="15">
        <v>3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613" s="1"/>
      <c r="T613" s="1"/>
      <c r="U613" s="15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613" s="15" t="str">
        <f>_xlfn.TEXTBEFORE(_xlfn.TEXTAFTER(CantoralDB[[#This Row],[index.html]],"&gt;"),"&gt;")&amp;"&gt;"</f>
        <v>&lt;a href="canciones/ain_karem/con_amor_eterno.html"&gt;</v>
      </c>
      <c r="AA613" s="1"/>
    </row>
    <row r="614" spans="1:27" x14ac:dyDescent="0.3">
      <c r="A614" s="1">
        <f>ROW(CantoralDB[[#This Row],[Título]])-1</f>
        <v>613</v>
      </c>
      <c r="B614" s="1" t="s">
        <v>601</v>
      </c>
      <c r="C614" s="1" t="s">
        <v>201</v>
      </c>
      <c r="D614" s="1" t="s">
        <v>660</v>
      </c>
      <c r="G614" s="1" t="s">
        <v>602</v>
      </c>
      <c r="H614" s="1" t="s">
        <v>531</v>
      </c>
      <c r="I614" s="1" t="s">
        <v>2961</v>
      </c>
      <c r="J614" s="1" t="s">
        <v>608</v>
      </c>
      <c r="M614" s="15" t="s">
        <v>501</v>
      </c>
      <c r="N614" s="15" t="s">
        <v>1508</v>
      </c>
      <c r="O614" s="15">
        <v>4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614" s="1" t="s">
        <v>842</v>
      </c>
      <c r="T614" s="1"/>
      <c r="U614" s="15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614" s="15" t="str">
        <f>_xlfn.TEXTBEFORE(_xlfn.TEXTAFTER(CantoralDB[[#This Row],[index.html]],"&gt;"),"&gt;")&amp;"&gt;"</f>
        <v>&lt;a href="canciones/ain_karem/lampara_es_tu_palabra.html"&gt;</v>
      </c>
      <c r="AA614" s="1"/>
    </row>
    <row r="615" spans="1:27" x14ac:dyDescent="0.3">
      <c r="A615" s="1">
        <f>ROW(CantoralDB[[#This Row],[Título]])-1</f>
        <v>614</v>
      </c>
      <c r="B615" s="1" t="s">
        <v>1779</v>
      </c>
      <c r="C615" s="1"/>
      <c r="H615" s="1" t="s">
        <v>531</v>
      </c>
      <c r="I615" s="1" t="s">
        <v>2961</v>
      </c>
      <c r="J615" s="1" t="s">
        <v>608</v>
      </c>
      <c r="M615" s="15" t="s">
        <v>501</v>
      </c>
      <c r="N615" s="15" t="s">
        <v>1508</v>
      </c>
      <c r="O615" s="15">
        <v>5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615" s="1"/>
      <c r="T615" s="1"/>
      <c r="U615" s="15"/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615" s="15" t="str">
        <f>_xlfn.TEXTBEFORE(_xlfn.TEXTAFTER(CantoralDB[[#This Row],[index.html]],"&gt;"),"&gt;")&amp;"&gt;"</f>
        <v>&lt;a href="canciones/ain_karem/anunciarte.html"&gt;</v>
      </c>
      <c r="AA615" s="1"/>
    </row>
    <row r="616" spans="1:27" x14ac:dyDescent="0.3">
      <c r="A616" s="1">
        <f>ROW(CantoralDB[[#This Row],[Título]])-1</f>
        <v>615</v>
      </c>
      <c r="B616" s="1" t="s">
        <v>1780</v>
      </c>
      <c r="C616" s="1"/>
      <c r="H616" s="1" t="s">
        <v>531</v>
      </c>
      <c r="I616" s="1" t="s">
        <v>2961</v>
      </c>
      <c r="J616" s="1" t="s">
        <v>608</v>
      </c>
      <c r="M616" s="15" t="s">
        <v>501</v>
      </c>
      <c r="N616" s="15" t="s">
        <v>1508</v>
      </c>
      <c r="O616" s="15">
        <v>6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616" s="1"/>
      <c r="T616" s="1"/>
      <c r="U616" s="15"/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616" s="15" t="str">
        <f>_xlfn.TEXTBEFORE(_xlfn.TEXTAFTER(CantoralDB[[#This Row],[index.html]],"&gt;"),"&gt;")&amp;"&gt;"</f>
        <v>&lt;a href="canciones/ain_karem/invitanos.html"&gt;</v>
      </c>
      <c r="AA616" s="1"/>
    </row>
    <row r="617" spans="1:27" x14ac:dyDescent="0.3">
      <c r="A617" s="1">
        <f>ROW(CantoralDB[[#This Row],[Título]])-1</f>
        <v>616</v>
      </c>
      <c r="B617" s="1" t="s">
        <v>72</v>
      </c>
      <c r="C617" s="1"/>
      <c r="H617" s="1" t="s">
        <v>1030</v>
      </c>
      <c r="I617" s="1" t="s">
        <v>2959</v>
      </c>
      <c r="J617" s="1" t="s">
        <v>608</v>
      </c>
      <c r="M617" s="15" t="s">
        <v>501</v>
      </c>
      <c r="N617" s="15" t="s">
        <v>1508</v>
      </c>
      <c r="O617" s="15">
        <v>7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617" s="1"/>
      <c r="T617" s="1"/>
      <c r="U617" s="15"/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617" s="15" t="str">
        <f>_xlfn.TEXTBEFORE(_xlfn.TEXTAFTER(CantoralDB[[#This Row],[index.html]],"&gt;"),"&gt;")&amp;"&gt;"</f>
        <v>&lt;a href="canciones/ain_karem/hagase.html"&gt;</v>
      </c>
      <c r="AA617" s="1"/>
    </row>
    <row r="618" spans="1:27" x14ac:dyDescent="0.3">
      <c r="A618" s="1">
        <f>ROW(CantoralDB[[#This Row],[Título]])-1</f>
        <v>617</v>
      </c>
      <c r="B618" s="1" t="s">
        <v>1781</v>
      </c>
      <c r="C618" s="1"/>
      <c r="H618" s="1" t="s">
        <v>531</v>
      </c>
      <c r="I618" s="1" t="s">
        <v>2962</v>
      </c>
      <c r="J618" s="1" t="s">
        <v>608</v>
      </c>
      <c r="M618" s="15" t="s">
        <v>501</v>
      </c>
      <c r="N618" s="15" t="s">
        <v>1508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618" s="1"/>
      <c r="T618" s="1"/>
      <c r="U618" s="15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618" s="15" t="str">
        <f>_xlfn.TEXTBEFORE(_xlfn.TEXTAFTER(CantoralDB[[#This Row],[index.html]],"&gt;"),"&gt;")&amp;"&gt;"</f>
        <v>&lt;a href="canciones/ain_karem/creatura_habitada.html"&gt;</v>
      </c>
      <c r="AA618" s="1"/>
    </row>
    <row r="619" spans="1:27" x14ac:dyDescent="0.3">
      <c r="A619" s="1">
        <f>ROW(CantoralDB[[#This Row],[Título]])-1</f>
        <v>618</v>
      </c>
      <c r="B619" s="1" t="s">
        <v>1782</v>
      </c>
      <c r="C619" s="1"/>
      <c r="H619" s="1" t="s">
        <v>531</v>
      </c>
      <c r="I619" s="1" t="s">
        <v>2960</v>
      </c>
      <c r="J619" s="1" t="s">
        <v>608</v>
      </c>
      <c r="M619" s="15" t="s">
        <v>501</v>
      </c>
      <c r="N619" s="15" t="s">
        <v>1508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619" s="1"/>
      <c r="T619" s="1"/>
      <c r="U619" s="15"/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619" s="15" t="str">
        <f>_xlfn.TEXTBEFORE(_xlfn.TEXTAFTER(CantoralDB[[#This Row],[index.html]],"&gt;"),"&gt;")&amp;"&gt;"</f>
        <v>&lt;a href="canciones/ain_karem/el_hombre_de_gerasa.html"&gt;</v>
      </c>
      <c r="AA619" s="1"/>
    </row>
    <row r="620" spans="1:27" x14ac:dyDescent="0.3">
      <c r="A620" s="1">
        <f>ROW(CantoralDB[[#This Row],[Título]])-1</f>
        <v>619</v>
      </c>
      <c r="B620" s="1" t="s">
        <v>1841</v>
      </c>
      <c r="C620" s="1"/>
      <c r="H620" s="1" t="s">
        <v>531</v>
      </c>
      <c r="J620" s="1" t="s">
        <v>608</v>
      </c>
      <c r="M620" s="15" t="s">
        <v>501</v>
      </c>
      <c r="N620" s="15" t="s">
        <v>1508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620" s="1"/>
      <c r="T620" s="1"/>
      <c r="U620" s="15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620" s="15" t="str">
        <f>_xlfn.TEXTBEFORE(_xlfn.TEXTAFTER(CantoralDB[[#This Row],[index.html]],"&gt;"),"&gt;")&amp;"&gt;"</f>
        <v>&lt;a href="canciones/ain_karem/llueve_tu.html"&gt;</v>
      </c>
      <c r="AA620" s="1"/>
    </row>
    <row r="621" spans="1:27" x14ac:dyDescent="0.3">
      <c r="A621" s="1">
        <f>ROW(CantoralDB[[#This Row],[Título]])-1</f>
        <v>620</v>
      </c>
      <c r="B621" s="1" t="s">
        <v>1783</v>
      </c>
      <c r="C621" s="1"/>
      <c r="H621" s="1" t="s">
        <v>1030</v>
      </c>
      <c r="I621" s="1" t="s">
        <v>2961</v>
      </c>
      <c r="J621" s="1" t="s">
        <v>608</v>
      </c>
      <c r="M621" s="15" t="s">
        <v>501</v>
      </c>
      <c r="N621" s="15" t="s">
        <v>1508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621" s="1"/>
      <c r="T621" s="1"/>
      <c r="U621" s="15"/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621" s="15" t="str">
        <f>_xlfn.TEXTBEFORE(_xlfn.TEXTAFTER(CantoralDB[[#This Row],[index.html]],"&gt;"),"&gt;")&amp;"&gt;"</f>
        <v>&lt;a href="canciones/ain_karem/benedictus.html"&gt;</v>
      </c>
      <c r="AA621" s="1"/>
    </row>
    <row r="622" spans="1:27" x14ac:dyDescent="0.3">
      <c r="A622" s="1">
        <f>ROW(CantoralDB[[#This Row],[Título]])-1</f>
        <v>621</v>
      </c>
      <c r="B622" s="1" t="s">
        <v>1784</v>
      </c>
      <c r="C622" s="1"/>
      <c r="H622" s="1" t="s">
        <v>473</v>
      </c>
      <c r="I622" s="1" t="s">
        <v>2959</v>
      </c>
      <c r="J622" s="1"/>
      <c r="M622" s="15" t="s">
        <v>501</v>
      </c>
      <c r="N622" s="15" t="s">
        <v>1508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622" s="1"/>
      <c r="T622" s="1"/>
      <c r="U622" s="15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622" s="15" t="str">
        <f>_xlfn.TEXTBEFORE(_xlfn.TEXTAFTER(CantoralDB[[#This Row],[index.html]],"&gt;"),"&gt;")&amp;"&gt;"</f>
        <v>&lt;a href="canciones/ain_karem/oracion_de_una_mujer.html"&gt;</v>
      </c>
      <c r="AA622" s="1"/>
    </row>
    <row r="623" spans="1:27" x14ac:dyDescent="0.3">
      <c r="A623" s="1">
        <f>ROW(CantoralDB[[#This Row],[Título]])-1</f>
        <v>622</v>
      </c>
      <c r="B623" s="1" t="s">
        <v>1785</v>
      </c>
      <c r="C623" s="1"/>
      <c r="H623" s="1" t="s">
        <v>1030</v>
      </c>
      <c r="I623" s="1" t="s">
        <v>2960</v>
      </c>
      <c r="J623" s="1" t="s">
        <v>608</v>
      </c>
      <c r="M623" s="15" t="s">
        <v>501</v>
      </c>
      <c r="N623" s="15" t="s">
        <v>1508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623" s="1"/>
      <c r="T623" s="1"/>
      <c r="U623" s="15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623" s="15" t="str">
        <f>_xlfn.TEXTBEFORE(_xlfn.TEXTAFTER(CantoralDB[[#This Row],[index.html]],"&gt;"),"&gt;")&amp;"&gt;"</f>
        <v>&lt;a href="canciones/ain_karem/heme_aqui.html"&gt;</v>
      </c>
      <c r="AA623" s="1"/>
    </row>
    <row r="624" spans="1:27" x14ac:dyDescent="0.3">
      <c r="A624" s="1">
        <f>ROW(CantoralDB[[#This Row],[Título]])-1</f>
        <v>623</v>
      </c>
      <c r="B624" s="1" t="s">
        <v>1292</v>
      </c>
      <c r="C624" s="1"/>
      <c r="E624" s="1">
        <v>182</v>
      </c>
      <c r="H624" s="1" t="s">
        <v>1030</v>
      </c>
      <c r="J624" s="1" t="s">
        <v>608</v>
      </c>
      <c r="M624" s="15" t="s">
        <v>2100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624" s="1"/>
      <c r="T624" s="1"/>
      <c r="U624" s="15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624" s="15" t="str">
        <f>_xlfn.TEXTBEFORE(_xlfn.TEXTAFTER(CantoralDB[[#This Row],[index.html]],"&gt;"),"&gt;")&amp;"&gt;"</f>
        <v>&lt;a href="canciones/nsb/nueva_aurora_en_nuestra_noche.html"&gt;</v>
      </c>
      <c r="AA624" s="1"/>
    </row>
    <row r="625" spans="1:27" x14ac:dyDescent="0.3">
      <c r="A625" s="1">
        <f>ROW(CantoralDB[[#This Row],[Título]])-1</f>
        <v>624</v>
      </c>
      <c r="B625" s="1" t="s">
        <v>1321</v>
      </c>
      <c r="C625" s="1"/>
      <c r="E625" s="1">
        <v>242</v>
      </c>
      <c r="H625" s="1" t="s">
        <v>473</v>
      </c>
      <c r="J625" s="1" t="s">
        <v>608</v>
      </c>
      <c r="M625" s="15" t="s">
        <v>2100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625" s="1"/>
      <c r="T625" s="1"/>
      <c r="U625" s="15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625" s="15" t="str">
        <f>_xlfn.TEXTBEFORE(_xlfn.TEXTAFTER(CantoralDB[[#This Row],[index.html]],"&gt;"),"&gt;")&amp;"&gt;"</f>
        <v>&lt;a href="canciones/nsb/si_despierta_el_corazon.html"&gt;</v>
      </c>
      <c r="AA625" s="1"/>
    </row>
    <row r="626" spans="1:27" x14ac:dyDescent="0.3">
      <c r="A626" s="1">
        <f>ROW(CantoralDB[[#This Row],[Título]])-1</f>
        <v>625</v>
      </c>
      <c r="B626" s="1" t="s">
        <v>1157</v>
      </c>
      <c r="C626" s="1"/>
      <c r="E626" s="1">
        <v>6</v>
      </c>
      <c r="H626" s="1" t="s">
        <v>1027</v>
      </c>
      <c r="J626" s="1" t="s">
        <v>608</v>
      </c>
      <c r="M626" s="15" t="s">
        <v>2368</v>
      </c>
      <c r="N626" s="15" t="s">
        <v>2226</v>
      </c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626" s="1"/>
      <c r="T626" s="1"/>
      <c r="U626" s="15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626" s="15" t="str">
        <f>_xlfn.TEXTBEFORE(_xlfn.TEXTAFTER(CantoralDB[[#This Row],[index.html]],"&gt;"),"&gt;")&amp;"&gt;"</f>
        <v>&lt;a href="canciones/nsb/acompañame_señor_en_la_tribulacion.html"&gt;</v>
      </c>
      <c r="AA626" s="1"/>
    </row>
    <row r="627" spans="1:27" x14ac:dyDescent="0.3">
      <c r="A627" s="1">
        <f>ROW(CantoralDB[[#This Row],[Título]])-1</f>
        <v>626</v>
      </c>
      <c r="B627" s="1" t="s">
        <v>494</v>
      </c>
      <c r="C627" s="1" t="s">
        <v>192</v>
      </c>
      <c r="D627" s="1" t="s">
        <v>1400</v>
      </c>
      <c r="G627" s="1" t="s">
        <v>495</v>
      </c>
      <c r="H627" s="1" t="s">
        <v>1030</v>
      </c>
      <c r="J627" s="1" t="s">
        <v>608</v>
      </c>
      <c r="M627" s="15" t="s">
        <v>500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627" s="1"/>
      <c r="T627" s="1"/>
      <c r="U627" s="15"/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627" s="15" t="str">
        <f>_xlfn.TEXTBEFORE(_xlfn.TEXTAFTER(CantoralDB[[#This Row],[index.html]],"&gt;"),"&gt;")&amp;"&gt;"</f>
        <v>&lt;a href="canciones/nsb/confieso.html"&gt;</v>
      </c>
      <c r="AA627" s="1"/>
    </row>
    <row r="628" spans="1:27" x14ac:dyDescent="0.3">
      <c r="A628" s="1">
        <f>ROW(CantoralDB[[#This Row],[Título]])-1</f>
        <v>627</v>
      </c>
      <c r="B628" s="1" t="s">
        <v>1168</v>
      </c>
      <c r="C628" s="1"/>
      <c r="E628" s="1">
        <v>29</v>
      </c>
      <c r="H628" s="1" t="s">
        <v>531</v>
      </c>
      <c r="J628" s="1" t="s">
        <v>608</v>
      </c>
      <c r="M628" s="15" t="s">
        <v>574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628" s="1"/>
      <c r="T628" s="1"/>
      <c r="U628" s="15"/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628" s="15" t="str">
        <f>_xlfn.TEXTBEFORE(_xlfn.TEXTAFTER(CantoralDB[[#This Row],[index.html]],"&gt;"),"&gt;")&amp;"&gt;"</f>
        <v>&lt;a href="canciones/nsb/antes_de_ser_llevado_a_la_muerte.html"&gt;</v>
      </c>
      <c r="AA628" s="1"/>
    </row>
    <row r="629" spans="1:27" x14ac:dyDescent="0.3">
      <c r="A629" s="1">
        <f>ROW(CantoralDB[[#This Row],[Título]])-1</f>
        <v>628</v>
      </c>
      <c r="B629" s="1" t="s">
        <v>44</v>
      </c>
      <c r="C629" s="1" t="s">
        <v>993</v>
      </c>
      <c r="D629" s="1" t="s">
        <v>695</v>
      </c>
      <c r="E629" s="1">
        <v>83</v>
      </c>
      <c r="G629" s="1" t="s">
        <v>209</v>
      </c>
      <c r="H629" s="1" t="s">
        <v>1027</v>
      </c>
      <c r="J629" s="1" t="s">
        <v>608</v>
      </c>
      <c r="M629" s="15" t="s">
        <v>574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629" s="1"/>
      <c r="T629" s="1"/>
      <c r="U629" s="15"/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629" s="15" t="str">
        <f>_xlfn.TEXTBEFORE(_xlfn.TEXTAFTER(CantoralDB[[#This Row],[index.html]],"&gt;"),"&gt;")&amp;"&gt;"</f>
        <v>&lt;a href="canciones/nsb/dios_es_fiel.html"&gt;</v>
      </c>
      <c r="AA629" s="1"/>
    </row>
    <row r="630" spans="1:27" x14ac:dyDescent="0.3">
      <c r="A630" s="1">
        <f>ROW(CantoralDB[[#This Row],[Título]])-1</f>
        <v>629</v>
      </c>
      <c r="B630" s="1" t="s">
        <v>52</v>
      </c>
      <c r="C630" s="1" t="s">
        <v>201</v>
      </c>
      <c r="D630" s="1" t="s">
        <v>651</v>
      </c>
      <c r="E630" s="1">
        <v>96</v>
      </c>
      <c r="G630" s="1" t="s">
        <v>209</v>
      </c>
      <c r="H630" s="1" t="s">
        <v>1027</v>
      </c>
      <c r="I630" s="1" t="s">
        <v>2961</v>
      </c>
      <c r="J630" s="1" t="s">
        <v>608</v>
      </c>
      <c r="M630" s="15" t="s">
        <v>574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630" s="1" t="s">
        <v>826</v>
      </c>
      <c r="T630" s="1"/>
      <c r="U630" s="15"/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630" s="15" t="str">
        <f>_xlfn.TEXTBEFORE(_xlfn.TEXTAFTER(CantoralDB[[#This Row],[index.html]],"&gt;"),"&gt;")&amp;"&gt;"</f>
        <v>&lt;a href="canciones/nsb/el_señor_es_mi_luz.html"&gt;</v>
      </c>
      <c r="AA630" s="1"/>
    </row>
    <row r="631" spans="1:27" x14ac:dyDescent="0.3">
      <c r="A631" s="1">
        <f>ROW(CantoralDB[[#This Row],[Título]])-1</f>
        <v>630</v>
      </c>
      <c r="B631" s="1" t="s">
        <v>63</v>
      </c>
      <c r="C631" s="1" t="s">
        <v>993</v>
      </c>
      <c r="D631" s="1" t="s">
        <v>706</v>
      </c>
      <c r="E631" s="1">
        <v>425</v>
      </c>
      <c r="G631" s="1" t="s">
        <v>209</v>
      </c>
      <c r="H631" s="1" t="s">
        <v>531</v>
      </c>
      <c r="J631" s="1" t="s">
        <v>608</v>
      </c>
      <c r="M631" s="15" t="s">
        <v>631</v>
      </c>
      <c r="N631" s="15"/>
      <c r="O631" s="15"/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631" s="1"/>
      <c r="T631" s="1"/>
      <c r="U631" s="15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631" s="15" t="str">
        <f>_xlfn.TEXTBEFORE(_xlfn.TEXTAFTER(CantoralDB[[#This Row],[index.html]],"&gt;"),"&gt;")&amp;"&gt;"</f>
        <v>&lt;a href="canciones/nsb/es_de_locos.html"&gt;</v>
      </c>
      <c r="AA631" s="1"/>
    </row>
    <row r="632" spans="1:27" x14ac:dyDescent="0.3">
      <c r="A632" s="1">
        <f>ROW(CantoralDB[[#This Row],[Título]])-1</f>
        <v>631</v>
      </c>
      <c r="B632" s="1" t="s">
        <v>170</v>
      </c>
      <c r="C632" s="1" t="s">
        <v>195</v>
      </c>
      <c r="D632" s="1" t="s">
        <v>775</v>
      </c>
      <c r="E632" s="1">
        <v>476</v>
      </c>
      <c r="G632" s="1" t="s">
        <v>209</v>
      </c>
      <c r="H632" s="1" t="s">
        <v>473</v>
      </c>
      <c r="I632" s="1" t="s">
        <v>2961</v>
      </c>
      <c r="J632" s="1" t="s">
        <v>608</v>
      </c>
      <c r="M632" s="15" t="s">
        <v>493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632" s="1" t="s">
        <v>871</v>
      </c>
      <c r="T632" s="1"/>
      <c r="U632" s="15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632" s="15" t="str">
        <f>_xlfn.TEXTBEFORE(_xlfn.TEXTAFTER(CantoralDB[[#This Row],[index.html]],"&gt;"),"&gt;")&amp;"&gt;"</f>
        <v>&lt;a href="canciones/nsb/yo_soy_la_vida_y_la_verdad.html"&gt;</v>
      </c>
    </row>
    <row r="633" spans="1:27" x14ac:dyDescent="0.3">
      <c r="A633" s="1">
        <f>ROW(CantoralDB[[#This Row],[Título]])-1</f>
        <v>632</v>
      </c>
      <c r="B633" s="1" t="s">
        <v>226</v>
      </c>
      <c r="C633" s="1" t="s">
        <v>191</v>
      </c>
      <c r="D633" s="1" t="s">
        <v>759</v>
      </c>
      <c r="G633" s="1" t="s">
        <v>216</v>
      </c>
      <c r="H633" s="1" t="s">
        <v>1030</v>
      </c>
      <c r="J633" s="1" t="s">
        <v>608</v>
      </c>
      <c r="M633" s="15" t="s">
        <v>493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633" s="1"/>
      <c r="T633" s="1"/>
      <c r="U633" s="15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633" s="15" t="str">
        <f>_xlfn.TEXTBEFORE(_xlfn.TEXTAFTER(CantoralDB[[#This Row],[index.html]],"&gt;"),"&gt;")&amp;"&gt;"</f>
        <v>&lt;a href="canciones/nsb/ven_a_celebrar.html"&gt;</v>
      </c>
    </row>
    <row r="634" spans="1:27" x14ac:dyDescent="0.3">
      <c r="A634" s="1">
        <f>ROW(CantoralDB[[#This Row],[Título]])-1</f>
        <v>633</v>
      </c>
      <c r="B634" s="1" t="s">
        <v>621</v>
      </c>
      <c r="C634" s="1" t="s">
        <v>202</v>
      </c>
      <c r="D634" s="1" t="s">
        <v>1405</v>
      </c>
      <c r="G634" s="1" t="s">
        <v>209</v>
      </c>
      <c r="H634" s="1" t="s">
        <v>1030</v>
      </c>
      <c r="J634" s="1" t="s">
        <v>608</v>
      </c>
      <c r="M634" s="15" t="s">
        <v>620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634" s="1"/>
      <c r="T634" s="1"/>
      <c r="U634" s="15"/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634" s="15" t="str">
        <f>_xlfn.TEXTBEFORE(_xlfn.TEXTAFTER(CantoralDB[[#This Row],[index.html]],"&gt;"),"&gt;")&amp;"&gt;"</f>
        <v>&lt;a href="canciones/nsb/cordero_de_dios_(maristas).html"&gt;</v>
      </c>
    </row>
    <row r="635" spans="1:27" x14ac:dyDescent="0.3">
      <c r="A635" s="1">
        <f>ROW(CantoralDB[[#This Row],[Título]])-1</f>
        <v>634</v>
      </c>
      <c r="B635" s="1" t="s">
        <v>2365</v>
      </c>
      <c r="C635" s="1"/>
      <c r="E635" s="1" t="s">
        <v>2366</v>
      </c>
      <c r="H635" s="1" t="s">
        <v>1027</v>
      </c>
      <c r="J635" s="1" t="s">
        <v>608</v>
      </c>
      <c r="M635" s="15" t="s">
        <v>2367</v>
      </c>
      <c r="N635" s="15"/>
      <c r="O635" s="15"/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635" s="1"/>
      <c r="T635" s="1"/>
      <c r="U635" s="15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635" s="15" t="str">
        <f>_xlfn.TEXTBEFORE(_xlfn.TEXTAFTER(CantoralDB[[#This Row],[index.html]],"&gt;"),"&gt;")&amp;"&gt;"</f>
        <v>&lt;a href="canciones/nsb/hoy_señor_me_has_vuelto_a_perdonar.html"&gt;</v>
      </c>
    </row>
    <row r="636" spans="1:27" x14ac:dyDescent="0.3">
      <c r="A636" s="1">
        <f>ROW(CantoralDB[[#This Row],[Título]])-1</f>
        <v>635</v>
      </c>
      <c r="B636" s="1" t="s">
        <v>1185</v>
      </c>
      <c r="C636" s="1"/>
      <c r="E636" s="1">
        <v>56</v>
      </c>
      <c r="H636" s="1" t="s">
        <v>531</v>
      </c>
      <c r="J636" s="1" t="s">
        <v>608</v>
      </c>
      <c r="M636" s="15" t="s">
        <v>488</v>
      </c>
      <c r="N636" s="15"/>
      <c r="O636" s="15"/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636" s="1"/>
      <c r="T636" s="1"/>
      <c r="U636" s="15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636" s="15" t="str">
        <f>_xlfn.TEXTBEFORE(_xlfn.TEXTAFTER(CantoralDB[[#This Row],[index.html]],"&gt;"),"&gt;")&amp;"&gt;"</f>
        <v>&lt;a href="canciones/al-haraca/como_jonas.html"&gt;</v>
      </c>
    </row>
    <row r="637" spans="1:27" x14ac:dyDescent="0.3">
      <c r="A637" s="1">
        <f>ROW(CantoralDB[[#This Row],[Título]])-1</f>
        <v>636</v>
      </c>
      <c r="B637" s="1" t="s">
        <v>1249</v>
      </c>
      <c r="C637" s="1"/>
      <c r="E637" s="1">
        <v>114</v>
      </c>
      <c r="J637" s="1"/>
      <c r="M637" s="15" t="s">
        <v>488</v>
      </c>
      <c r="N637" s="15"/>
      <c r="O637" s="15"/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637" s="1"/>
      <c r="T637" s="1"/>
      <c r="U637" s="15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637" s="15" t="str">
        <f>_xlfn.TEXTBEFORE(_xlfn.TEXTAFTER(CantoralDB[[#This Row],[index.html]],"&gt;"),"&gt;")&amp;"&gt;"</f>
        <v>&lt;a href="canciones/al-haraca/en_esto_conoceran.html"&gt;</v>
      </c>
    </row>
    <row r="638" spans="1:27" x14ac:dyDescent="0.3">
      <c r="A638" s="1">
        <f>ROW(CantoralDB[[#This Row],[Título]])-1</f>
        <v>637</v>
      </c>
      <c r="B638" s="1" t="s">
        <v>2906</v>
      </c>
      <c r="C638" s="1"/>
      <c r="E638" s="1">
        <v>197</v>
      </c>
      <c r="H638" s="1" t="s">
        <v>1030</v>
      </c>
      <c r="J638" s="1" t="s">
        <v>608</v>
      </c>
      <c r="M638" s="15" t="s">
        <v>488</v>
      </c>
      <c r="N638" s="15"/>
      <c r="O638" s="15"/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638" s="1"/>
      <c r="T638" s="1"/>
      <c r="U638" s="15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638" s="15" t="str">
        <f>_xlfn.TEXTBEFORE(_xlfn.TEXTAFTER(CantoralDB[[#This Row],[index.html]],"&gt;"),"&gt;")&amp;"&gt;"</f>
        <v>&lt;a href="canciones/al-haraca/padre_me_pongo_en_tu_regazo.html"&gt;</v>
      </c>
    </row>
    <row r="639" spans="1:27" x14ac:dyDescent="0.3">
      <c r="A639" s="1">
        <f>ROW(CantoralDB[[#This Row],[Título]])-1</f>
        <v>638</v>
      </c>
      <c r="B639" s="1" t="s">
        <v>186</v>
      </c>
      <c r="C639" s="1" t="s">
        <v>198</v>
      </c>
      <c r="D639" s="1" t="s">
        <v>1454</v>
      </c>
      <c r="E639" s="1">
        <v>209</v>
      </c>
      <c r="G639" s="1" t="s">
        <v>209</v>
      </c>
      <c r="H639" s="1" t="s">
        <v>531</v>
      </c>
      <c r="I639" s="1" t="s">
        <v>2961</v>
      </c>
      <c r="J639" s="1" t="s">
        <v>608</v>
      </c>
      <c r="M639" s="15" t="s">
        <v>488</v>
      </c>
      <c r="N639" s="15"/>
      <c r="O639" s="15"/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639" s="1"/>
      <c r="T639" s="1"/>
      <c r="U639" s="15"/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639" s="15" t="str">
        <f>_xlfn.TEXTBEFORE(_xlfn.TEXTAFTER(CantoralDB[[#This Row],[index.html]],"&gt;"),"&gt;")&amp;"&gt;"</f>
        <v>&lt;a href="canciones/al-haraca/por_la_paz_no_callare.html"&gt;</v>
      </c>
    </row>
    <row r="640" spans="1:27" x14ac:dyDescent="0.3">
      <c r="A640" s="1">
        <f>ROW(CantoralDB[[#This Row],[Título]])-1</f>
        <v>639</v>
      </c>
      <c r="B640" s="1" t="s">
        <v>2907</v>
      </c>
      <c r="C640" s="1"/>
      <c r="E640" s="1">
        <v>213</v>
      </c>
      <c r="H640" s="1" t="s">
        <v>531</v>
      </c>
      <c r="J640" s="1" t="s">
        <v>608</v>
      </c>
      <c r="M640" s="15" t="s">
        <v>488</v>
      </c>
      <c r="N640" s="15"/>
      <c r="O640" s="15"/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640" s="1"/>
      <c r="T640" s="1"/>
      <c r="U640" s="15"/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640" s="15" t="str">
        <f>_xlfn.TEXTBEFORE(_xlfn.TEXTAFTER(CantoralDB[[#This Row],[index.html]],"&gt;"),"&gt;")&amp;"&gt;"</f>
        <v>&lt;a href="canciones/al-haraca/santa_maria_servidora.html"&gt;</v>
      </c>
    </row>
    <row r="641" spans="1:23" x14ac:dyDescent="0.3">
      <c r="A641" s="1">
        <f>ROW(CantoralDB[[#This Row],[Título]])-1</f>
        <v>640</v>
      </c>
      <c r="B641" s="1" t="s">
        <v>169</v>
      </c>
      <c r="C641" s="1" t="s">
        <v>191</v>
      </c>
      <c r="D641" s="1" t="s">
        <v>764</v>
      </c>
      <c r="E641" s="1">
        <v>294</v>
      </c>
      <c r="G641" s="1" t="s">
        <v>209</v>
      </c>
      <c r="H641" s="1" t="s">
        <v>1030</v>
      </c>
      <c r="J641" s="1" t="s">
        <v>608</v>
      </c>
      <c r="M641" s="15" t="s">
        <v>488</v>
      </c>
      <c r="N641" s="15"/>
      <c r="O641" s="15"/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641" s="1" t="s">
        <v>870</v>
      </c>
      <c r="T641" s="1"/>
      <c r="U641" s="15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641" s="15" t="str">
        <f>_xlfn.TEXTBEFORE(_xlfn.TEXTAFTER(CantoralDB[[#This Row],[index.html]],"&gt;"),"&gt;")&amp;"&gt;"</f>
        <v>&lt;a href="canciones/al-haraca/yo_soy_la_luz_del_mundo.html"&gt;</v>
      </c>
    </row>
    <row r="642" spans="1:23" x14ac:dyDescent="0.3">
      <c r="A642" s="1">
        <f>ROW(CantoralDB[[#This Row],[Título]])-1</f>
        <v>641</v>
      </c>
      <c r="B642" s="1" t="s">
        <v>625</v>
      </c>
      <c r="C642" s="1" t="s">
        <v>993</v>
      </c>
      <c r="D642" s="1" t="s">
        <v>1008</v>
      </c>
      <c r="G642" s="1" t="s">
        <v>209</v>
      </c>
      <c r="H642" s="1" t="s">
        <v>1029</v>
      </c>
      <c r="J642" s="1" t="s">
        <v>608</v>
      </c>
      <c r="M642" s="15" t="s">
        <v>572</v>
      </c>
      <c r="N642" s="15"/>
      <c r="O642" s="15"/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642" s="1"/>
      <c r="T642" s="1"/>
      <c r="U642" s="15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642" s="15" t="str">
        <f>_xlfn.TEXTBEFORE(_xlfn.TEXTAFTER(CantoralDB[[#This Row],[index.html]],"&gt;"),"&gt;")&amp;"&gt;"</f>
        <v>&lt;a href="canciones/nsb/tanto_amo_dios_al_mundo.html"&gt;</v>
      </c>
    </row>
    <row r="643" spans="1:23" x14ac:dyDescent="0.3">
      <c r="A643" s="1">
        <f>ROW(CantoralDB[[#This Row],[Título]])-1</f>
        <v>642</v>
      </c>
      <c r="B643" s="1" t="s">
        <v>2160</v>
      </c>
      <c r="C643" s="15"/>
      <c r="H643" s="1" t="s">
        <v>531</v>
      </c>
      <c r="J643" s="1" t="s">
        <v>608</v>
      </c>
      <c r="M643" s="15" t="s">
        <v>2178</v>
      </c>
      <c r="N643" s="15"/>
      <c r="O643" s="15"/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643" s="1"/>
      <c r="T643" s="1"/>
      <c r="U643" s="15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643" s="15" t="str">
        <f>_xlfn.TEXTBEFORE(_xlfn.TEXTAFTER(CantoralDB[[#This Row],[index.html]],"&gt;"),"&gt;")&amp;"&gt;"</f>
        <v>&lt;a href="canciones/nuevas/contigo_me_la_juego.html"&gt;</v>
      </c>
    </row>
    <row r="644" spans="1:23" x14ac:dyDescent="0.3">
      <c r="A644" s="1">
        <f>ROW(CantoralDB[[#This Row],[Título]])-1</f>
        <v>643</v>
      </c>
      <c r="B644" s="1" t="s">
        <v>505</v>
      </c>
      <c r="C644" s="1" t="s">
        <v>193</v>
      </c>
      <c r="D644" s="1" t="s">
        <v>1426</v>
      </c>
      <c r="E644" s="1">
        <v>127</v>
      </c>
      <c r="G644" s="1" t="s">
        <v>209</v>
      </c>
      <c r="H644" s="1" t="s">
        <v>1030</v>
      </c>
      <c r="J644" s="1" t="s">
        <v>608</v>
      </c>
      <c r="M644" s="15" t="s">
        <v>2896</v>
      </c>
      <c r="N644" s="15"/>
      <c r="O644" s="15"/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644" s="1"/>
      <c r="T644" s="1"/>
      <c r="U644" s="15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644" s="15" t="str">
        <f>_xlfn.TEXTBEFORE(_xlfn.TEXTAFTER(CantoralDB[[#This Row],[index.html]],"&gt;"),"&gt;")&amp;"&gt;"</f>
        <v>&lt;a href="canciones/nsb/gloria_gloria_aleluya.html"&gt;</v>
      </c>
    </row>
    <row r="645" spans="1:23" x14ac:dyDescent="0.3">
      <c r="A645" s="1">
        <f>ROW(CantoralDB[[#This Row],[Título]])-1</f>
        <v>644</v>
      </c>
      <c r="B645" s="1" t="s">
        <v>1293</v>
      </c>
      <c r="C645" s="1"/>
      <c r="E645" s="1">
        <v>183</v>
      </c>
      <c r="H645" s="1" t="s">
        <v>531</v>
      </c>
      <c r="J645" s="1" t="s">
        <v>608</v>
      </c>
      <c r="M645" s="15" t="s">
        <v>2896</v>
      </c>
      <c r="N645" s="15"/>
      <c r="O645" s="15"/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645" s="1"/>
      <c r="T645" s="1"/>
      <c r="U645" s="15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645" s="15" t="str">
        <f>_xlfn.TEXTBEFORE(_xlfn.TEXTAFTER(CantoralDB[[#This Row],[index.html]],"&gt;"),"&gt;")&amp;"&gt;"</f>
        <v>&lt;a href="canciones/nsb/nosotros_venceremos.html"&gt;</v>
      </c>
    </row>
    <row r="646" spans="1:23" x14ac:dyDescent="0.3">
      <c r="A646" s="1">
        <f>ROW(CantoralDB[[#This Row],[Título]])-1</f>
        <v>645</v>
      </c>
      <c r="B646" s="1" t="s">
        <v>1210</v>
      </c>
      <c r="C646" s="1"/>
      <c r="E646" s="1">
        <v>88</v>
      </c>
      <c r="H646" s="1" t="s">
        <v>1029</v>
      </c>
      <c r="J646" s="1" t="s">
        <v>608</v>
      </c>
      <c r="M646" s="15" t="s">
        <v>486</v>
      </c>
      <c r="N646" s="15"/>
      <c r="O646" s="15"/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646" s="1"/>
      <c r="T646" s="1"/>
      <c r="U646" s="15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646" s="15" t="str">
        <f>_xlfn.TEXTBEFORE(_xlfn.TEXTAFTER(CantoralDB[[#This Row],[index.html]],"&gt;"),"&gt;")&amp;"&gt;"</f>
        <v>&lt;a href="canciones/antonio_alcalde/de_la_virgen_ha_nacido_el_niño.html"&gt;</v>
      </c>
    </row>
    <row r="647" spans="1:23" x14ac:dyDescent="0.3">
      <c r="A647" s="1">
        <f>ROW(CantoralDB[[#This Row],[Título]])-1</f>
        <v>646</v>
      </c>
      <c r="B647" s="1" t="s">
        <v>1254</v>
      </c>
      <c r="C647" s="1"/>
      <c r="E647" s="1">
        <v>120</v>
      </c>
      <c r="J647" s="1"/>
      <c r="M647" s="15" t="s">
        <v>486</v>
      </c>
      <c r="N647" s="15"/>
      <c r="O647" s="15"/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647" s="1"/>
      <c r="T647" s="1"/>
      <c r="U647" s="15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647" s="15" t="str">
        <f>_xlfn.TEXTBEFORE(_xlfn.TEXTAFTER(CantoralDB[[#This Row],[index.html]],"&gt;"),"&gt;")&amp;"&gt;"</f>
        <v>&lt;a href="canciones/antonio_alcalde/esta_noche_he_visto_a_dios.html"&gt;</v>
      </c>
    </row>
    <row r="648" spans="1:23" x14ac:dyDescent="0.3">
      <c r="A648" s="1">
        <f>ROW(CantoralDB[[#This Row],[Título]])-1</f>
        <v>647</v>
      </c>
      <c r="B648" s="1" t="s">
        <v>86</v>
      </c>
      <c r="C648" s="1" t="s">
        <v>199</v>
      </c>
      <c r="D648" s="1" t="s">
        <v>1439</v>
      </c>
      <c r="E648" s="1">
        <v>152</v>
      </c>
      <c r="G648" s="1" t="s">
        <v>209</v>
      </c>
      <c r="H648" s="1" t="s">
        <v>1030</v>
      </c>
      <c r="J648" s="1" t="s">
        <v>608</v>
      </c>
      <c r="M648" s="15" t="s">
        <v>486</v>
      </c>
      <c r="N648" s="15"/>
      <c r="O648" s="15"/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648" s="1"/>
      <c r="T648" s="1"/>
      <c r="U648" s="15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648" s="15" t="str">
        <f>_xlfn.TEXTBEFORE(_xlfn.TEXTAFTER(CantoralDB[[#This Row],[index.html]],"&gt;"),"&gt;")&amp;"&gt;"</f>
        <v>&lt;a href="canciones/antonio_alcalde/lo_que_hemos_visto_y_oido.html"&gt;</v>
      </c>
    </row>
    <row r="649" spans="1:23" x14ac:dyDescent="0.3">
      <c r="A649" s="1">
        <f>ROW(CantoralDB[[#This Row],[Título]])-1</f>
        <v>648</v>
      </c>
      <c r="B649" s="1" t="s">
        <v>1291</v>
      </c>
      <c r="C649" s="1"/>
      <c r="E649" s="1">
        <v>181</v>
      </c>
      <c r="H649" s="1" t="s">
        <v>1030</v>
      </c>
      <c r="J649" s="1" t="s">
        <v>608</v>
      </c>
      <c r="M649" s="15" t="s">
        <v>486</v>
      </c>
      <c r="N649" s="15"/>
      <c r="O649" s="15"/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649" s="1"/>
      <c r="T649" s="1"/>
      <c r="U649" s="33" t="s">
        <v>2972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649" s="15" t="str">
        <f>_xlfn.TEXTBEFORE(_xlfn.TEXTAFTER(CantoralDB[[#This Row],[index.html]],"&gt;"),"&gt;")&amp;"&gt;"</f>
        <v>&lt;a href="canciones/antonio_alcalde/nos_has_llamado_al_desierto.html"&gt;</v>
      </c>
    </row>
    <row r="650" spans="1:23" x14ac:dyDescent="0.3">
      <c r="A650" s="1">
        <f>ROW(CantoralDB[[#This Row],[Título]])-1</f>
        <v>649</v>
      </c>
      <c r="B650" s="1" t="s">
        <v>247</v>
      </c>
      <c r="C650" s="1" t="s">
        <v>191</v>
      </c>
      <c r="D650" s="1" t="s">
        <v>746</v>
      </c>
      <c r="E650" s="1">
        <v>208</v>
      </c>
      <c r="G650" s="1" t="s">
        <v>248</v>
      </c>
      <c r="H650" s="1" t="s">
        <v>1028</v>
      </c>
      <c r="J650" s="1" t="s">
        <v>608</v>
      </c>
      <c r="M650" s="15" t="s">
        <v>486</v>
      </c>
      <c r="N650" s="15"/>
      <c r="O650" s="15"/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650" s="1"/>
      <c r="T650" s="1"/>
      <c r="U650" s="15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650" s="15" t="str">
        <f>_xlfn.TEXTBEFORE(_xlfn.TEXTAFTER(CantoralDB[[#This Row],[index.html]],"&gt;"),"&gt;")&amp;"&gt;"</f>
        <v>&lt;a href="canciones/antonio_alcalde/peregrinos_de_la_paz_y_la_alegria.html"&gt;</v>
      </c>
    </row>
    <row r="651" spans="1:23" x14ac:dyDescent="0.3">
      <c r="A651" s="1">
        <f>ROW(CantoralDB[[#This Row],[Título]])-1</f>
        <v>650</v>
      </c>
      <c r="B651" s="1" t="s">
        <v>121</v>
      </c>
      <c r="C651" s="1" t="s">
        <v>993</v>
      </c>
      <c r="D651" s="1" t="s">
        <v>996</v>
      </c>
      <c r="E651" s="1">
        <v>217</v>
      </c>
      <c r="G651" s="1" t="s">
        <v>209</v>
      </c>
      <c r="H651" s="1" t="s">
        <v>1027</v>
      </c>
      <c r="J651" s="1" t="s">
        <v>608</v>
      </c>
      <c r="M651" s="15" t="s">
        <v>486</v>
      </c>
      <c r="N651" s="15"/>
      <c r="O651" s="15"/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651" s="1"/>
      <c r="T651" s="1"/>
      <c r="U651" s="15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651" s="15" t="str">
        <f>_xlfn.TEXTBEFORE(_xlfn.TEXTAFTER(CantoralDB[[#This Row],[index.html]],"&gt;"),"&gt;")&amp;"&gt;"</f>
        <v>&lt;a href="canciones/antonio_alcalde/que_tendra_lo_pequeño.html"&gt;</v>
      </c>
    </row>
    <row r="652" spans="1:23" x14ac:dyDescent="0.3">
      <c r="A652" s="1">
        <f>ROW(CantoralDB[[#This Row],[Título]])-1</f>
        <v>651</v>
      </c>
      <c r="B652" s="1" t="s">
        <v>1348</v>
      </c>
      <c r="C652" s="1"/>
      <c r="E652" s="1">
        <v>291</v>
      </c>
      <c r="H652" s="1" t="s">
        <v>1030</v>
      </c>
      <c r="J652" s="1" t="s">
        <v>608</v>
      </c>
      <c r="M652" s="15" t="s">
        <v>486</v>
      </c>
      <c r="N652" s="15"/>
      <c r="O652" s="15"/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652" s="1"/>
      <c r="T652" s="1"/>
      <c r="U652" s="33" t="s">
        <v>2973</v>
      </c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652" s="15" t="str">
        <f>_xlfn.TEXTBEFORE(_xlfn.TEXTAFTER(CantoralDB[[#This Row],[index.html]],"&gt;"),"&gt;")&amp;"&gt;"</f>
        <v>&lt;a href="canciones/antonio_alcalde/ven_señor_a_nuestra_vida.html"&gt;</v>
      </c>
    </row>
    <row r="653" spans="1:23" x14ac:dyDescent="0.3">
      <c r="A653" s="1">
        <f>ROW(CantoralDB[[#This Row],[Título]])-1</f>
        <v>652</v>
      </c>
      <c r="B653" s="1" t="s">
        <v>1325</v>
      </c>
      <c r="C653" s="1"/>
      <c r="E653" s="1" t="s">
        <v>2104</v>
      </c>
      <c r="J653" s="1"/>
      <c r="M653" s="15" t="s">
        <v>486</v>
      </c>
      <c r="N653" s="15"/>
      <c r="O653" s="15"/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653" s="1"/>
      <c r="T653" s="1"/>
      <c r="U653" s="15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653" s="15" t="str">
        <f>_xlfn.TEXTBEFORE(_xlfn.TEXTAFTER(CantoralDB[[#This Row],[index.html]],"&gt;"),"&gt;")&amp;"&gt;"</f>
        <v>&lt;a href="canciones/antonio_alcalde/señor_dios_nuestro_restauranos.html"&gt;</v>
      </c>
    </row>
    <row r="654" spans="1:23" x14ac:dyDescent="0.3">
      <c r="A654" s="1">
        <f>ROW(CantoralDB[[#This Row],[Título]])-1</f>
        <v>653</v>
      </c>
      <c r="B654" s="1" t="s">
        <v>1340</v>
      </c>
      <c r="C654" s="1"/>
      <c r="E654" s="1" t="s">
        <v>2106</v>
      </c>
      <c r="J654" s="1"/>
      <c r="M654" s="15" t="s">
        <v>486</v>
      </c>
      <c r="N654" s="15"/>
      <c r="O654" s="15"/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654" s="1"/>
      <c r="T654" s="1"/>
      <c r="U654" s="15"/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654" s="15" t="str">
        <f>_xlfn.TEXTBEFORE(_xlfn.TEXTAFTER(CantoralDB[[#This Row],[index.html]],"&gt;"),"&gt;")&amp;"&gt;"</f>
        <v>&lt;a href="canciones/antonio_alcalde/unenos_señor_jesus.html"&gt;</v>
      </c>
    </row>
    <row r="655" spans="1:23" x14ac:dyDescent="0.3">
      <c r="A655" s="1">
        <f>ROW(CantoralDB[[#This Row],[Título]])-1</f>
        <v>654</v>
      </c>
      <c r="B655" s="1" t="s">
        <v>1182</v>
      </c>
      <c r="C655" s="1"/>
      <c r="E655" s="1" t="s">
        <v>1187</v>
      </c>
      <c r="J655" s="1"/>
      <c r="M655" s="15" t="s">
        <v>486</v>
      </c>
      <c r="N655" s="15"/>
      <c r="O655" s="15"/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655" s="1"/>
      <c r="T655" s="1"/>
      <c r="U655" s="15"/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655" s="15" t="str">
        <f>_xlfn.TEXTBEFORE(_xlfn.TEXTAFTER(CantoralDB[[#This Row],[index.html]],"&gt;"),"&gt;")&amp;"&gt;"</f>
        <v>&lt;a href="canciones/antonio_alcalde/cielos_destilad_el_rocio.html"&gt;</v>
      </c>
    </row>
    <row r="656" spans="1:23" x14ac:dyDescent="0.3">
      <c r="A656" s="1">
        <f>ROW(CantoralDB[[#This Row],[Título]])-1</f>
        <v>655</v>
      </c>
      <c r="B656" s="1" t="s">
        <v>2173</v>
      </c>
      <c r="C656" s="15"/>
      <c r="H656" s="1" t="s">
        <v>531</v>
      </c>
      <c r="J656" s="1" t="s">
        <v>608</v>
      </c>
      <c r="M656" s="15" t="s">
        <v>577</v>
      </c>
      <c r="N656" s="15"/>
      <c r="O656" s="15"/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656" s="1"/>
      <c r="T656" s="1"/>
      <c r="U656" s="33" t="s">
        <v>3013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656" s="15" t="str">
        <f>_xlfn.TEXTBEFORE(_xlfn.TEXTAFTER(CantoralDB[[#This Row],[index.html]],"&gt;"),"&gt;")&amp;"&gt;"</f>
        <v>&lt;a href="canciones/nuevas/todo_es_tuyo.html"&gt;</v>
      </c>
    </row>
    <row r="657" spans="1:23" x14ac:dyDescent="0.3">
      <c r="A657" s="1">
        <f>ROW(CantoralDB[[#This Row],[Título]])-1</f>
        <v>656</v>
      </c>
      <c r="B657" s="1" t="s">
        <v>237</v>
      </c>
      <c r="C657" s="1" t="s">
        <v>200</v>
      </c>
      <c r="D657" s="1" t="s">
        <v>1051</v>
      </c>
      <c r="G657" s="1" t="s">
        <v>209</v>
      </c>
      <c r="H657" s="1" t="s">
        <v>1027</v>
      </c>
      <c r="J657" s="1" t="s">
        <v>608</v>
      </c>
      <c r="M657" s="15" t="s">
        <v>577</v>
      </c>
      <c r="N657" s="15"/>
      <c r="O657" s="15"/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657" s="1"/>
      <c r="T657" s="1"/>
      <c r="U657" s="15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657" s="15" t="str">
        <f>_xlfn.TEXTBEFORE(_xlfn.TEXTAFTER(CantoralDB[[#This Row],[index.html]],"&gt;"),"&gt;")&amp;"&gt;"</f>
        <v>&lt;a href="canciones/nsb/quiero_caminar_contigo_maria.html"&gt;</v>
      </c>
    </row>
    <row r="658" spans="1:23" x14ac:dyDescent="0.3">
      <c r="A658" s="1">
        <f>ROW(CantoralDB[[#This Row],[Título]])-1</f>
        <v>657</v>
      </c>
      <c r="B658" s="1" t="s">
        <v>2155</v>
      </c>
      <c r="C658" s="15"/>
      <c r="H658" s="1" t="s">
        <v>1030</v>
      </c>
      <c r="J658" s="1" t="s">
        <v>608</v>
      </c>
      <c r="M658" s="15" t="s">
        <v>577</v>
      </c>
      <c r="N658" s="15"/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658" s="1"/>
      <c r="T658" s="1"/>
      <c r="U658" s="33" t="s">
        <v>2999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658" s="15" t="str">
        <f>_xlfn.TEXTBEFORE(_xlfn.TEXTAFTER(CantoralDB[[#This Row],[index.html]],"&gt;"),"&gt;")&amp;"&gt;"</f>
        <v>&lt;a href="canciones/nuevas/acaso_no_estoy_yo_aqui_que_soy_tu_madre.html"&gt;</v>
      </c>
    </row>
    <row r="659" spans="1:23" x14ac:dyDescent="0.3">
      <c r="A659" s="1">
        <f>ROW(CantoralDB[[#This Row],[Título]])-1</f>
        <v>658</v>
      </c>
      <c r="B659" s="1" t="s">
        <v>2850</v>
      </c>
      <c r="C659" s="1"/>
      <c r="H659" s="1" t="s">
        <v>531</v>
      </c>
      <c r="I659" s="1" t="s">
        <v>2959</v>
      </c>
      <c r="J659" s="1" t="s">
        <v>608</v>
      </c>
      <c r="M659" s="15" t="s">
        <v>499</v>
      </c>
      <c r="N659" s="15" t="s">
        <v>2849</v>
      </c>
      <c r="O659" s="15">
        <v>1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659" s="1"/>
      <c r="T659" s="1"/>
      <c r="U659" s="15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659" s="15" t="str">
        <f>_xlfn.TEXTBEFORE(_xlfn.TEXTAFTER(CantoralDB[[#This Row],[index.html]],"&gt;"),"&gt;")&amp;"&gt;"</f>
        <v>&lt;a href="canciones/brotes_de_olivo/señor_mirame.html"&gt;</v>
      </c>
    </row>
    <row r="660" spans="1:23" x14ac:dyDescent="0.3">
      <c r="A660" s="1">
        <f>ROW(CantoralDB[[#This Row],[Título]])-1</f>
        <v>659</v>
      </c>
      <c r="B660" s="1" t="s">
        <v>1582</v>
      </c>
      <c r="C660" s="1"/>
      <c r="H660" s="1" t="s">
        <v>531</v>
      </c>
      <c r="J660" s="1" t="s">
        <v>608</v>
      </c>
      <c r="M660" s="15" t="s">
        <v>499</v>
      </c>
      <c r="N660" s="15" t="s">
        <v>2849</v>
      </c>
      <c r="O660" s="15">
        <v>2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660" s="1"/>
      <c r="T660" s="1"/>
      <c r="U660" s="15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660" s="15" t="str">
        <f>_xlfn.TEXTBEFORE(_xlfn.TEXTAFTER(CantoralDB[[#This Row],[index.html]],"&gt;"),"&gt;")&amp;"&gt;"</f>
        <v>&lt;a href="canciones/brotes_de_olivo/ten_piedad.html"&gt;</v>
      </c>
    </row>
    <row r="661" spans="1:23" x14ac:dyDescent="0.3">
      <c r="A661" s="1">
        <f>ROW(CantoralDB[[#This Row],[Título]])-1</f>
        <v>660</v>
      </c>
      <c r="B661" s="1" t="s">
        <v>2851</v>
      </c>
      <c r="C661" s="1"/>
      <c r="H661" s="1" t="s">
        <v>531</v>
      </c>
      <c r="J661" s="1" t="s">
        <v>608</v>
      </c>
      <c r="M661" s="15" t="s">
        <v>499</v>
      </c>
      <c r="N661" s="15" t="s">
        <v>2849</v>
      </c>
      <c r="O661" s="15">
        <v>3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661" s="1"/>
      <c r="T661" s="1"/>
      <c r="U661" s="15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661" s="15" t="str">
        <f>_xlfn.TEXTBEFORE(_xlfn.TEXTAFTER(CantoralDB[[#This Row],[index.html]],"&gt;"),"&gt;")&amp;"&gt;"</f>
        <v>&lt;a href="canciones/brotes_de_olivo/he_oido_tu_voz.html"&gt;</v>
      </c>
    </row>
    <row r="662" spans="1:23" x14ac:dyDescent="0.3">
      <c r="A662" s="1">
        <f>ROW(CantoralDB[[#This Row],[Título]])-1</f>
        <v>661</v>
      </c>
      <c r="B662" s="1" t="s">
        <v>2852</v>
      </c>
      <c r="C662" s="1"/>
      <c r="H662" s="1" t="s">
        <v>1027</v>
      </c>
      <c r="J662" s="1" t="s">
        <v>608</v>
      </c>
      <c r="M662" s="15" t="s">
        <v>499</v>
      </c>
      <c r="N662" s="15" t="s">
        <v>2849</v>
      </c>
      <c r="O662" s="15">
        <v>4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662" s="1"/>
      <c r="T662" s="1"/>
      <c r="U662" s="15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662" s="15" t="str">
        <f>_xlfn.TEXTBEFORE(_xlfn.TEXTAFTER(CantoralDB[[#This Row],[index.html]],"&gt;"),"&gt;")&amp;"&gt;"</f>
        <v>&lt;a href="canciones/brotes_de_olivo/pan_y_vino_de_amor.html"&gt;</v>
      </c>
    </row>
    <row r="663" spans="1:23" x14ac:dyDescent="0.3">
      <c r="A663" s="1">
        <f>ROW(CantoralDB[[#This Row],[Título]])-1</f>
        <v>662</v>
      </c>
      <c r="B663" s="1" t="s">
        <v>196</v>
      </c>
      <c r="C663" s="1"/>
      <c r="H663" s="1" t="s">
        <v>531</v>
      </c>
      <c r="I663" s="1" t="s">
        <v>2961</v>
      </c>
      <c r="J663" s="1" t="s">
        <v>608</v>
      </c>
      <c r="M663" s="15" t="s">
        <v>499</v>
      </c>
      <c r="N663" s="15" t="s">
        <v>2849</v>
      </c>
      <c r="O663" s="15">
        <v>5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663" s="1"/>
      <c r="T663" s="1"/>
      <c r="U663" s="15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663" s="15" t="str">
        <f>_xlfn.TEXTBEFORE(_xlfn.TEXTAFTER(CantoralDB[[#This Row],[index.html]],"&gt;"),"&gt;")&amp;"&gt;"</f>
        <v>&lt;a href="canciones/brotes_de_olivo/santo.html"&gt;</v>
      </c>
    </row>
    <row r="664" spans="1:23" x14ac:dyDescent="0.3">
      <c r="A664" s="1">
        <f>ROW(CantoralDB[[#This Row],[Título]])-1</f>
        <v>663</v>
      </c>
      <c r="B664" s="1" t="s">
        <v>1556</v>
      </c>
      <c r="C664" s="1"/>
      <c r="H664" s="1" t="s">
        <v>531</v>
      </c>
      <c r="J664" s="1" t="s">
        <v>608</v>
      </c>
      <c r="M664" s="15" t="s">
        <v>499</v>
      </c>
      <c r="N664" s="15" t="s">
        <v>2849</v>
      </c>
      <c r="O664" s="15">
        <v>6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664" s="1"/>
      <c r="T664" s="1"/>
      <c r="U664" s="15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664" s="15" t="str">
        <f>_xlfn.TEXTBEFORE(_xlfn.TEXTAFTER(CantoralDB[[#This Row],[index.html]],"&gt;"),"&gt;")&amp;"&gt;"</f>
        <v>&lt;a href="canciones/brotes_de_olivo/padre_nuestro.html"&gt;</v>
      </c>
    </row>
    <row r="665" spans="1:23" x14ac:dyDescent="0.3">
      <c r="A665" s="1">
        <f>ROW(CantoralDB[[#This Row],[Título]])-1</f>
        <v>664</v>
      </c>
      <c r="B665" s="1" t="s">
        <v>2853</v>
      </c>
      <c r="C665" s="1"/>
      <c r="H665" s="1" t="s">
        <v>473</v>
      </c>
      <c r="I665" s="1" t="s">
        <v>2959</v>
      </c>
      <c r="J665" s="1" t="s">
        <v>608</v>
      </c>
      <c r="M665" s="15" t="s">
        <v>499</v>
      </c>
      <c r="N665" s="15" t="s">
        <v>2849</v>
      </c>
      <c r="O665" s="15">
        <v>7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665" s="1"/>
      <c r="T665" s="1"/>
      <c r="U665" s="15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665" s="15" t="str">
        <f>_xlfn.TEXTBEFORE(_xlfn.TEXTAFTER(CantoralDB[[#This Row],[index.html]],"&gt;"),"&gt;")&amp;"&gt;"</f>
        <v>&lt;a href="canciones/brotes_de_olivo/ven_junto_a_mi.html"&gt;</v>
      </c>
    </row>
    <row r="666" spans="1:23" x14ac:dyDescent="0.3">
      <c r="A666" s="1">
        <f>ROW(CantoralDB[[#This Row],[Título]])-1</f>
        <v>665</v>
      </c>
      <c r="B666" s="1" t="s">
        <v>2854</v>
      </c>
      <c r="C666" s="1"/>
      <c r="H666" s="1" t="s">
        <v>1027</v>
      </c>
      <c r="J666" s="1" t="s">
        <v>608</v>
      </c>
      <c r="M666" s="15" t="s">
        <v>499</v>
      </c>
      <c r="N666" s="15" t="s">
        <v>2849</v>
      </c>
      <c r="O666" s="15">
        <v>8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666" s="1"/>
      <c r="T666" s="1"/>
      <c r="U666" s="15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666" s="15" t="str">
        <f>_xlfn.TEXTBEFORE(_xlfn.TEXTAFTER(CantoralDB[[#This Row],[index.html]],"&gt;"),"&gt;")&amp;"&gt;"</f>
        <v>&lt;a href="canciones/brotes_de_olivo/nadie_contesto.html"&gt;</v>
      </c>
    </row>
    <row r="667" spans="1:23" x14ac:dyDescent="0.3">
      <c r="A667" s="1">
        <f>ROW(CantoralDB[[#This Row],[Título]])-1</f>
        <v>666</v>
      </c>
      <c r="B667" s="1" t="s">
        <v>2855</v>
      </c>
      <c r="C667" s="1"/>
      <c r="H667" s="1" t="s">
        <v>531</v>
      </c>
      <c r="I667" s="1" t="s">
        <v>2959</v>
      </c>
      <c r="J667" s="1" t="s">
        <v>608</v>
      </c>
      <c r="M667" s="15" t="s">
        <v>499</v>
      </c>
      <c r="N667" s="15" t="s">
        <v>2849</v>
      </c>
      <c r="O667" s="15">
        <v>9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667" s="1"/>
      <c r="T667" s="1"/>
      <c r="U667" s="15"/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667" s="15" t="str">
        <f>_xlfn.TEXTBEFORE(_xlfn.TEXTAFTER(CantoralDB[[#This Row],[index.html]],"&gt;"),"&gt;")&amp;"&gt;"</f>
        <v>&lt;a href="canciones/brotes_de_olivo/tras_las_huellas_del_padre.html"&gt;</v>
      </c>
    </row>
    <row r="668" spans="1:23" x14ac:dyDescent="0.3">
      <c r="A668" s="1">
        <f>ROW(CantoralDB[[#This Row],[Título]])-1</f>
        <v>667</v>
      </c>
      <c r="B668" s="1" t="s">
        <v>2856</v>
      </c>
      <c r="C668" s="1"/>
      <c r="H668" s="1" t="s">
        <v>531</v>
      </c>
      <c r="I668" s="1" t="s">
        <v>2959</v>
      </c>
      <c r="J668" s="1" t="s">
        <v>608</v>
      </c>
      <c r="M668" s="15" t="s">
        <v>499</v>
      </c>
      <c r="N668" s="15" t="s">
        <v>2849</v>
      </c>
      <c r="O668" s="15">
        <v>10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668" s="1"/>
      <c r="T668" s="1"/>
      <c r="U668" s="15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668" s="15" t="str">
        <f>_xlfn.TEXTBEFORE(_xlfn.TEXTAFTER(CantoralDB[[#This Row],[index.html]],"&gt;"),"&gt;")&amp;"&gt;"</f>
        <v>&lt;a href="canciones/brotes_de_olivo/tierra.html"&gt;</v>
      </c>
    </row>
    <row r="669" spans="1:23" x14ac:dyDescent="0.3">
      <c r="A669" s="1">
        <f>ROW(CantoralDB[[#This Row],[Título]])-1</f>
        <v>668</v>
      </c>
      <c r="B669" s="1" t="s">
        <v>2857</v>
      </c>
      <c r="C669" s="1"/>
      <c r="J669" s="1"/>
      <c r="M669" s="15" t="s">
        <v>499</v>
      </c>
      <c r="N669" s="15" t="s">
        <v>2849</v>
      </c>
      <c r="O669" s="15">
        <v>11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669" s="1"/>
      <c r="T669" s="1"/>
      <c r="U669" s="15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669" s="15" t="str">
        <f>_xlfn.TEXTBEFORE(_xlfn.TEXTAFTER(CantoralDB[[#This Row],[index.html]],"&gt;"),"&gt;")&amp;"&gt;"</f>
        <v>&lt;a href="canciones/brotes_de_olivo/sinfonia_de_las_vocales.html"&gt;</v>
      </c>
    </row>
    <row r="670" spans="1:23" x14ac:dyDescent="0.3">
      <c r="A670" s="1">
        <f>ROW(CantoralDB[[#This Row],[Título]])-1</f>
        <v>669</v>
      </c>
      <c r="B670" s="1" t="s">
        <v>2858</v>
      </c>
      <c r="C670" s="1"/>
      <c r="H670" s="1" t="s">
        <v>531</v>
      </c>
      <c r="J670" s="1" t="s">
        <v>608</v>
      </c>
      <c r="M670" s="15" t="s">
        <v>499</v>
      </c>
      <c r="N670" s="15" t="s">
        <v>2849</v>
      </c>
      <c r="O670" s="15">
        <v>12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670" s="1"/>
      <c r="T670" s="1"/>
      <c r="U670" s="15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670" s="15" t="str">
        <f>_xlfn.TEXTBEFORE(_xlfn.TEXTAFTER(CantoralDB[[#This Row],[index.html]],"&gt;"),"&gt;")&amp;"&gt;"</f>
        <v>&lt;a href="canciones/brotes_de_olivo/todos_juntos.html"&gt;</v>
      </c>
    </row>
    <row r="671" spans="1:23" x14ac:dyDescent="0.3">
      <c r="A671" s="1">
        <f>ROW(CantoralDB[[#This Row],[Título]])-1</f>
        <v>670</v>
      </c>
      <c r="B671" s="1" t="s">
        <v>2859</v>
      </c>
      <c r="C671" s="1"/>
      <c r="J671" s="1"/>
      <c r="M671" s="15" t="s">
        <v>499</v>
      </c>
      <c r="N671" s="15" t="s">
        <v>2849</v>
      </c>
      <c r="O671" s="15">
        <v>13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671" s="1"/>
      <c r="T671" s="1"/>
      <c r="U671" s="15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671" s="15" t="str">
        <f>_xlfn.TEXTBEFORE(_xlfn.TEXTAFTER(CantoralDB[[#This Row],[index.html]],"&gt;"),"&gt;")&amp;"&gt;"</f>
        <v>&lt;a href="canciones/brotes_de_olivo/y_el_septimo_descanso.html"&gt;</v>
      </c>
    </row>
    <row r="672" spans="1:23" x14ac:dyDescent="0.3">
      <c r="A672" s="1">
        <f>ROW(CantoralDB[[#This Row],[Título]])-1</f>
        <v>671</v>
      </c>
      <c r="B672" s="1" t="s">
        <v>2370</v>
      </c>
      <c r="C672" s="1"/>
      <c r="H672" s="1" t="s">
        <v>531</v>
      </c>
      <c r="J672" s="1" t="s">
        <v>608</v>
      </c>
      <c r="M672" s="15" t="s">
        <v>499</v>
      </c>
      <c r="N672" s="15" t="s">
        <v>2369</v>
      </c>
      <c r="O672" s="15">
        <v>1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672" s="1"/>
      <c r="T672" s="1"/>
      <c r="U672" s="15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672" s="15" t="str">
        <f>_xlfn.TEXTBEFORE(_xlfn.TEXTAFTER(CantoralDB[[#This Row],[index.html]],"&gt;"),"&gt;")&amp;"&gt;"</f>
        <v>&lt;a href="canciones/brotes_de_olivo/allanad_los_caminos.html"&gt;</v>
      </c>
    </row>
    <row r="673" spans="1:23" x14ac:dyDescent="0.3">
      <c r="A673" s="1">
        <f>ROW(CantoralDB[[#This Row],[Título]])-1</f>
        <v>672</v>
      </c>
      <c r="B673" s="1" t="s">
        <v>2371</v>
      </c>
      <c r="C673" s="1"/>
      <c r="H673" s="1" t="s">
        <v>1027</v>
      </c>
      <c r="I673" s="1" t="s">
        <v>2960</v>
      </c>
      <c r="J673" s="1" t="s">
        <v>608</v>
      </c>
      <c r="M673" s="15" t="s">
        <v>499</v>
      </c>
      <c r="N673" s="15" t="s">
        <v>2369</v>
      </c>
      <c r="O673" s="15">
        <v>2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673" s="1"/>
      <c r="T673" s="1"/>
      <c r="U673" s="15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673" s="15" t="str">
        <f>_xlfn.TEXTBEFORE(_xlfn.TEXTAFTER(CantoralDB[[#This Row],[index.html]],"&gt;"),"&gt;")&amp;"&gt;"</f>
        <v>&lt;a href="canciones/brotes_de_olivo/las_bodas_de_cana.html"&gt;</v>
      </c>
    </row>
    <row r="674" spans="1:23" x14ac:dyDescent="0.3">
      <c r="A674" s="1">
        <f>ROW(CantoralDB[[#This Row],[Título]])-1</f>
        <v>673</v>
      </c>
      <c r="B674" s="1" t="s">
        <v>2372</v>
      </c>
      <c r="C674" s="1"/>
      <c r="H674" s="1" t="s">
        <v>531</v>
      </c>
      <c r="J674" s="1" t="s">
        <v>608</v>
      </c>
      <c r="M674" s="15" t="s">
        <v>499</v>
      </c>
      <c r="N674" s="15" t="s">
        <v>2369</v>
      </c>
      <c r="O674" s="15">
        <v>3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674" s="1"/>
      <c r="T674" s="1"/>
      <c r="U674" s="15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674" s="15" t="str">
        <f>_xlfn.TEXTBEFORE(_xlfn.TEXTAFTER(CantoralDB[[#This Row],[index.html]],"&gt;"),"&gt;")&amp;"&gt;"</f>
        <v>&lt;a href="canciones/brotes_de_olivo/el_soplo_de_dios.html"&gt;</v>
      </c>
    </row>
    <row r="675" spans="1:23" x14ac:dyDescent="0.3">
      <c r="A675" s="1">
        <f>ROW(CantoralDB[[#This Row],[Título]])-1</f>
        <v>674</v>
      </c>
      <c r="B675" s="1" t="s">
        <v>2373</v>
      </c>
      <c r="C675" s="1"/>
      <c r="H675" s="1" t="s">
        <v>531</v>
      </c>
      <c r="I675" s="1" t="s">
        <v>2960</v>
      </c>
      <c r="J675" s="1" t="s">
        <v>608</v>
      </c>
      <c r="M675" s="15" t="s">
        <v>499</v>
      </c>
      <c r="N675" s="15" t="s">
        <v>2369</v>
      </c>
      <c r="O675" s="15">
        <v>4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675" s="1"/>
      <c r="T675" s="1"/>
      <c r="U675" s="15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675" s="15" t="str">
        <f>_xlfn.TEXTBEFORE(_xlfn.TEXTAFTER(CantoralDB[[#This Row],[index.html]],"&gt;"),"&gt;")&amp;"&gt;"</f>
        <v>&lt;a href="canciones/brotes_de_olivo/el_agua_viva.html"&gt;</v>
      </c>
    </row>
    <row r="676" spans="1:23" x14ac:dyDescent="0.3">
      <c r="A676" s="1">
        <f>ROW(CantoralDB[[#This Row],[Título]])-1</f>
        <v>675</v>
      </c>
      <c r="B676" s="1" t="s">
        <v>2374</v>
      </c>
      <c r="C676" s="1"/>
      <c r="J676" s="1"/>
      <c r="M676" s="15" t="s">
        <v>499</v>
      </c>
      <c r="N676" s="15" t="s">
        <v>2369</v>
      </c>
      <c r="O676" s="15">
        <v>5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676" s="1"/>
      <c r="T676" s="1"/>
      <c r="U676" s="15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676" s="15" t="str">
        <f>_xlfn.TEXTBEFORE(_xlfn.TEXTAFTER(CantoralDB[[#This Row],[index.html]],"&gt;"),"&gt;")&amp;"&gt;"</f>
        <v>&lt;a href="canciones/brotes_de_olivo/la_piscina_probatica.html"&gt;</v>
      </c>
    </row>
    <row r="677" spans="1:23" x14ac:dyDescent="0.3">
      <c r="A677" s="1">
        <f>ROW(CantoralDB[[#This Row],[Título]])-1</f>
        <v>676</v>
      </c>
      <c r="B677" s="1" t="s">
        <v>2375</v>
      </c>
      <c r="C677" s="1"/>
      <c r="H677" s="1" t="s">
        <v>1027</v>
      </c>
      <c r="I677" s="1" t="s">
        <v>2961</v>
      </c>
      <c r="J677" s="1" t="s">
        <v>608</v>
      </c>
      <c r="M677" s="15" t="s">
        <v>499</v>
      </c>
      <c r="N677" s="15" t="s">
        <v>2369</v>
      </c>
      <c r="O677" s="15">
        <v>6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677" s="1"/>
      <c r="T677" s="1"/>
      <c r="U677" s="15"/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677" s="15" t="str">
        <f>_xlfn.TEXTBEFORE(_xlfn.TEXTAFTER(CantoralDB[[#This Row],[index.html]],"&gt;"),"&gt;")&amp;"&gt;"</f>
        <v>&lt;a href="canciones/brotes_de_olivo/el_pan_de_vida.html"&gt;</v>
      </c>
    </row>
    <row r="678" spans="1:23" x14ac:dyDescent="0.3">
      <c r="A678" s="1">
        <f>ROW(CantoralDB[[#This Row],[Título]])-1</f>
        <v>677</v>
      </c>
      <c r="B678" s="1" t="s">
        <v>2376</v>
      </c>
      <c r="C678" s="1"/>
      <c r="H678" s="1" t="s">
        <v>473</v>
      </c>
      <c r="I678" s="1" t="s">
        <v>2959</v>
      </c>
      <c r="J678" s="1" t="s">
        <v>608</v>
      </c>
      <c r="M678" s="15" t="s">
        <v>499</v>
      </c>
      <c r="N678" s="15" t="s">
        <v>2369</v>
      </c>
      <c r="O678" s="15">
        <v>7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678" s="1"/>
      <c r="T678" s="1"/>
      <c r="U678" s="15"/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678" s="15" t="str">
        <f>_xlfn.TEXTBEFORE(_xlfn.TEXTAFTER(CantoralDB[[#This Row],[index.html]],"&gt;"),"&gt;")&amp;"&gt;"</f>
        <v>&lt;a href="canciones/brotes_de_olivo/quien_tirara_la_primera_piedra.html"&gt;</v>
      </c>
    </row>
    <row r="679" spans="1:23" x14ac:dyDescent="0.3">
      <c r="A679" s="1">
        <f>ROW(CantoralDB[[#This Row],[Título]])-1</f>
        <v>678</v>
      </c>
      <c r="B679" s="1" t="s">
        <v>2377</v>
      </c>
      <c r="C679" s="1"/>
      <c r="H679" s="1" t="s">
        <v>531</v>
      </c>
      <c r="I679" s="1" t="s">
        <v>2961</v>
      </c>
      <c r="J679" s="1" t="s">
        <v>608</v>
      </c>
      <c r="M679" s="15" t="s">
        <v>499</v>
      </c>
      <c r="N679" s="15" t="s">
        <v>2369</v>
      </c>
      <c r="O679" s="15">
        <v>8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679" s="1"/>
      <c r="T679" s="1"/>
      <c r="U679" s="15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679" s="15" t="str">
        <f>_xlfn.TEXTBEFORE(_xlfn.TEXTAFTER(CantoralDB[[#This Row],[index.html]],"&gt;"),"&gt;")&amp;"&gt;"</f>
        <v>&lt;a href="canciones/brotes_de_olivo/el_buen_pastor.html"&gt;</v>
      </c>
    </row>
    <row r="680" spans="1:23" x14ac:dyDescent="0.3">
      <c r="A680" s="1">
        <f>ROW(CantoralDB[[#This Row],[Título]])-1</f>
        <v>679</v>
      </c>
      <c r="B680" s="1" t="s">
        <v>2378</v>
      </c>
      <c r="C680" s="1"/>
      <c r="H680" s="1" t="s">
        <v>531</v>
      </c>
      <c r="I680" s="1" t="s">
        <v>2962</v>
      </c>
      <c r="J680" s="1" t="s">
        <v>608</v>
      </c>
      <c r="M680" s="15" t="s">
        <v>499</v>
      </c>
      <c r="N680" s="15" t="s">
        <v>2369</v>
      </c>
      <c r="O680" s="15">
        <v>9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680" s="1"/>
      <c r="T680" s="1"/>
      <c r="U680" s="15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680" s="15" t="str">
        <f>_xlfn.TEXTBEFORE(_xlfn.TEXTAFTER(CantoralDB[[#This Row],[index.html]],"&gt;"),"&gt;")&amp;"&gt;"</f>
        <v>&lt;a href="canciones/brotes_de_olivo/vivir_en_el_señor.html"&gt;</v>
      </c>
    </row>
    <row r="681" spans="1:23" x14ac:dyDescent="0.3">
      <c r="A681" s="1">
        <f>ROW(CantoralDB[[#This Row],[Título]])-1</f>
        <v>680</v>
      </c>
      <c r="B681" s="1" t="s">
        <v>2379</v>
      </c>
      <c r="C681" s="1"/>
      <c r="H681" s="1" t="s">
        <v>1027</v>
      </c>
      <c r="J681" s="1" t="s">
        <v>608</v>
      </c>
      <c r="M681" s="15" t="s">
        <v>499</v>
      </c>
      <c r="N681" s="15" t="s">
        <v>2369</v>
      </c>
      <c r="O681" s="15">
        <v>10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681" s="1"/>
      <c r="T681" s="1"/>
      <c r="U681" s="15"/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681" s="15" t="str">
        <f>_xlfn.TEXTBEFORE(_xlfn.TEXTAFTER(CantoralDB[[#This Row],[index.html]],"&gt;"),"&gt;")&amp;"&gt;"</f>
        <v>&lt;a href="canciones/brotes_de_olivo/amaos_unos_a_otros.html"&gt;</v>
      </c>
    </row>
    <row r="682" spans="1:23" x14ac:dyDescent="0.3">
      <c r="A682" s="1">
        <f>ROW(CantoralDB[[#This Row],[Título]])-1</f>
        <v>681</v>
      </c>
      <c r="B682" s="1" t="s">
        <v>2380</v>
      </c>
      <c r="C682" s="1"/>
      <c r="H682" s="1" t="s">
        <v>1030</v>
      </c>
      <c r="I682" s="1" t="s">
        <v>2960</v>
      </c>
      <c r="J682" s="1" t="s">
        <v>608</v>
      </c>
      <c r="M682" s="15" t="s">
        <v>499</v>
      </c>
      <c r="N682" s="15" t="s">
        <v>2369</v>
      </c>
      <c r="O682" s="15">
        <v>11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682" s="1"/>
      <c r="T682" s="1"/>
      <c r="U682" s="15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682" s="15" t="str">
        <f>_xlfn.TEXTBEFORE(_xlfn.TEXTAFTER(CantoralDB[[#This Row],[index.html]],"&gt;"),"&gt;")&amp;"&gt;"</f>
        <v>&lt;a href="canciones/brotes_de_olivo/yo_soy_el_que_sirve.html"&gt;</v>
      </c>
    </row>
    <row r="683" spans="1:23" x14ac:dyDescent="0.3">
      <c r="A683" s="1">
        <f>ROW(CantoralDB[[#This Row],[Título]])-1</f>
        <v>682</v>
      </c>
      <c r="B683" s="1" t="s">
        <v>2381</v>
      </c>
      <c r="C683" s="1"/>
      <c r="H683" s="1" t="s">
        <v>531</v>
      </c>
      <c r="I683" s="1" t="s">
        <v>2961</v>
      </c>
      <c r="J683" s="1" t="s">
        <v>608</v>
      </c>
      <c r="M683" s="15" t="s">
        <v>499</v>
      </c>
      <c r="N683" s="15" t="s">
        <v>2369</v>
      </c>
      <c r="O683" s="15">
        <v>12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683" s="1"/>
      <c r="T683" s="1"/>
      <c r="U683" s="15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683" s="15" t="str">
        <f>_xlfn.TEXTBEFORE(_xlfn.TEXTAFTER(CantoralDB[[#This Row],[index.html]],"&gt;"),"&gt;")&amp;"&gt;"</f>
        <v>&lt;a href="canciones/brotes_de_olivo/la_vid_y_los_sarmientos.html"&gt;</v>
      </c>
    </row>
    <row r="684" spans="1:23" x14ac:dyDescent="0.3">
      <c r="A684" s="1">
        <f>ROW(CantoralDB[[#This Row],[Título]])-1</f>
        <v>683</v>
      </c>
      <c r="B684" s="1" t="s">
        <v>2382</v>
      </c>
      <c r="C684" s="1"/>
      <c r="H684" s="1" t="s">
        <v>1030</v>
      </c>
      <c r="I684" s="1" t="s">
        <v>2959</v>
      </c>
      <c r="J684" s="1" t="s">
        <v>608</v>
      </c>
      <c r="M684" s="15" t="s">
        <v>499</v>
      </c>
      <c r="N684" s="15" t="s">
        <v>2369</v>
      </c>
      <c r="O684" s="15">
        <v>13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684" s="1"/>
      <c r="T684" s="1"/>
      <c r="U684" s="15"/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684" s="15" t="str">
        <f>_xlfn.TEXTBEFORE(_xlfn.TEXTAFTER(CantoralDB[[#This Row],[index.html]],"&gt;"),"&gt;")&amp;"&gt;"</f>
        <v>&lt;a href="canciones/brotes_de_olivo/siempre_estare_con_vosotros.html"&gt;</v>
      </c>
    </row>
    <row r="685" spans="1:23" x14ac:dyDescent="0.3">
      <c r="A685" s="1">
        <f>ROW(CantoralDB[[#This Row],[Título]])-1</f>
        <v>684</v>
      </c>
      <c r="B685" s="1" t="s">
        <v>2383</v>
      </c>
      <c r="C685" s="1"/>
      <c r="H685" s="1" t="s">
        <v>531</v>
      </c>
      <c r="I685" s="1" t="s">
        <v>2960</v>
      </c>
      <c r="J685" s="1" t="s">
        <v>608</v>
      </c>
      <c r="M685" s="15" t="s">
        <v>499</v>
      </c>
      <c r="N685" s="15" t="s">
        <v>2369</v>
      </c>
      <c r="O685" s="15">
        <v>14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685" s="1"/>
      <c r="T685" s="1"/>
      <c r="U685" s="15"/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685" s="15" t="str">
        <f>_xlfn.TEXTBEFORE(_xlfn.TEXTAFTER(CantoralDB[[#This Row],[index.html]],"&gt;"),"&gt;")&amp;"&gt;"</f>
        <v>&lt;a href="canciones/brotes_de_olivo/el_juicio_de_cristo.html"&gt;</v>
      </c>
    </row>
    <row r="686" spans="1:23" x14ac:dyDescent="0.3">
      <c r="A686" s="1">
        <f>ROW(CantoralDB[[#This Row],[Título]])-1</f>
        <v>685</v>
      </c>
      <c r="B686" s="1" t="s">
        <v>2384</v>
      </c>
      <c r="C686" s="1"/>
      <c r="H686" s="1" t="s">
        <v>473</v>
      </c>
      <c r="J686" s="1" t="s">
        <v>608</v>
      </c>
      <c r="M686" s="15" t="s">
        <v>499</v>
      </c>
      <c r="N686" s="15" t="s">
        <v>2369</v>
      </c>
      <c r="O686" s="15">
        <v>15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686" s="1"/>
      <c r="T686" s="1"/>
      <c r="U686" s="15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686" s="15" t="str">
        <f>_xlfn.TEXTBEFORE(_xlfn.TEXTAFTER(CantoralDB[[#This Row],[index.html]],"&gt;"),"&gt;")&amp;"&gt;"</f>
        <v>&lt;a href="canciones/brotes_de_olivo/aleluya_el_señor_resucito.html"&gt;</v>
      </c>
    </row>
    <row r="687" spans="1:23" x14ac:dyDescent="0.3">
      <c r="A687" s="1">
        <f>ROW(CantoralDB[[#This Row],[Título]])-1</f>
        <v>686</v>
      </c>
      <c r="B687" s="1" t="s">
        <v>15</v>
      </c>
      <c r="C687" s="1" t="s">
        <v>194</v>
      </c>
      <c r="D687" s="1" t="s">
        <v>1374</v>
      </c>
      <c r="E687" s="1">
        <v>405</v>
      </c>
      <c r="G687" s="1" t="s">
        <v>209</v>
      </c>
      <c r="H687" s="1" t="s">
        <v>1030</v>
      </c>
      <c r="J687" s="1" t="s">
        <v>608</v>
      </c>
      <c r="M687" s="15" t="s">
        <v>499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687" s="1"/>
      <c r="T687" s="1"/>
      <c r="U687" s="15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687" s="15" t="str">
        <f>_xlfn.TEXTBEFORE(_xlfn.TEXTAFTER(CantoralDB[[#This Row],[index.html]],"&gt;"),"&gt;")&amp;"&gt;"</f>
        <v>&lt;a href="canciones/brotes_de_olivo/aleluya_cantara.html"&gt;</v>
      </c>
    </row>
    <row r="688" spans="1:23" x14ac:dyDescent="0.3">
      <c r="A688" s="1">
        <f>ROW(CantoralDB[[#This Row],[Título]])-1</f>
        <v>687</v>
      </c>
      <c r="B688" s="1" t="s">
        <v>49</v>
      </c>
      <c r="C688" s="1" t="s">
        <v>993</v>
      </c>
      <c r="D688" s="1" t="s">
        <v>698</v>
      </c>
      <c r="E688" s="1">
        <v>419</v>
      </c>
      <c r="G688" s="1" t="s">
        <v>209</v>
      </c>
      <c r="H688" s="1" t="s">
        <v>1027</v>
      </c>
      <c r="J688" s="1" t="s">
        <v>608</v>
      </c>
      <c r="M688" s="15" t="s">
        <v>499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688" s="1"/>
      <c r="T688" s="1"/>
      <c r="U688" s="15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688" s="15" t="str">
        <f>_xlfn.TEXTBEFORE(_xlfn.TEXTAFTER(CantoralDB[[#This Row],[index.html]],"&gt;"),"&gt;")&amp;"&gt;"</f>
        <v>&lt;a href="canciones/brotes_de_olivo/el_calor_de_tu_palabra.html"&gt;</v>
      </c>
    </row>
    <row r="689" spans="1:23" x14ac:dyDescent="0.3">
      <c r="A689" s="1">
        <f>ROW(CantoralDB[[#This Row],[Título]])-1</f>
        <v>688</v>
      </c>
      <c r="B689" s="1" t="s">
        <v>59</v>
      </c>
      <c r="C689" s="1" t="s">
        <v>201</v>
      </c>
      <c r="D689" s="1" t="s">
        <v>654</v>
      </c>
      <c r="E689" s="1">
        <v>423</v>
      </c>
      <c r="G689" s="1" t="s">
        <v>209</v>
      </c>
      <c r="H689" s="1" t="s">
        <v>1027</v>
      </c>
      <c r="J689" s="1" t="s">
        <v>608</v>
      </c>
      <c r="M689" s="15" t="s">
        <v>499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689" s="1" t="s">
        <v>830</v>
      </c>
      <c r="T689" s="1"/>
      <c r="U689" s="15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689" s="15" t="str">
        <f>_xlfn.TEXTBEFORE(_xlfn.TEXTAFTER(CantoralDB[[#This Row],[index.html]],"&gt;"),"&gt;")&amp;"&gt;"</f>
        <v>&lt;a href="canciones/brotes_de_olivo/en_mi_debilidad.html"&gt;</v>
      </c>
    </row>
    <row r="690" spans="1:23" x14ac:dyDescent="0.3">
      <c r="A690" s="1">
        <f>ROW(CantoralDB[[#This Row],[Título]])-1</f>
        <v>689</v>
      </c>
      <c r="B690" s="1" t="s">
        <v>228</v>
      </c>
      <c r="C690" s="1" t="s">
        <v>201</v>
      </c>
      <c r="D690" s="1" t="s">
        <v>661</v>
      </c>
      <c r="G690" s="1" t="s">
        <v>216</v>
      </c>
      <c r="H690" s="1" t="s">
        <v>531</v>
      </c>
      <c r="J690" s="1" t="s">
        <v>608</v>
      </c>
      <c r="M690" s="15" t="s">
        <v>499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690" s="1" t="s">
        <v>843</v>
      </c>
      <c r="T690" s="1"/>
      <c r="U690" s="15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690" s="15" t="str">
        <f>_xlfn.TEXTBEFORE(_xlfn.TEXTAFTER(CantoralDB[[#This Row],[index.html]],"&gt;"),"&gt;")&amp;"&gt;"</f>
        <v>&lt;a href="canciones/brotes_de_olivo/me_levantare.html"&gt;</v>
      </c>
    </row>
    <row r="691" spans="1:23" x14ac:dyDescent="0.3">
      <c r="A691" s="1">
        <f>ROW(CantoralDB[[#This Row],[Título]])-1</f>
        <v>690</v>
      </c>
      <c r="B691" s="1" t="s">
        <v>643</v>
      </c>
      <c r="C691" s="1" t="s">
        <v>201</v>
      </c>
      <c r="D691" s="1" t="s">
        <v>663</v>
      </c>
      <c r="G691" s="1" t="s">
        <v>644</v>
      </c>
      <c r="H691" s="1" t="s">
        <v>531</v>
      </c>
      <c r="I691" s="1" t="s">
        <v>2960</v>
      </c>
      <c r="J691" s="1" t="s">
        <v>608</v>
      </c>
      <c r="M691" s="15" t="s">
        <v>499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691" s="1" t="s">
        <v>845</v>
      </c>
      <c r="T691" s="1"/>
      <c r="U691" s="15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691" s="15" t="str">
        <f>_xlfn.TEXTBEFORE(_xlfn.TEXTAFTER(CantoralDB[[#This Row],[index.html]],"&gt;"),"&gt;")&amp;"&gt;"</f>
        <v>&lt;a href="canciones/brotes_de_olivo/nada_has_pensado.html"&gt;</v>
      </c>
    </row>
    <row r="692" spans="1:23" x14ac:dyDescent="0.3">
      <c r="A692" s="1">
        <f>ROW(CantoralDB[[#This Row],[Título]])-1</f>
        <v>691</v>
      </c>
      <c r="B692" s="1" t="s">
        <v>265</v>
      </c>
      <c r="C692" s="1" t="s">
        <v>199</v>
      </c>
      <c r="D692" s="1" t="s">
        <v>1457</v>
      </c>
      <c r="G692" s="1" t="s">
        <v>266</v>
      </c>
      <c r="H692" s="1" t="s">
        <v>531</v>
      </c>
      <c r="J692" s="1" t="s">
        <v>608</v>
      </c>
      <c r="M692" s="15" t="s">
        <v>499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692" s="1" t="s">
        <v>815</v>
      </c>
      <c r="T692" s="1"/>
      <c r="U692" s="15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692" s="15" t="str">
        <f>_xlfn.TEXTBEFORE(_xlfn.TEXTAFTER(CantoralDB[[#This Row],[index.html]],"&gt;"),"&gt;")&amp;"&gt;"</f>
        <v>&lt;a href="canciones/brotes_de_olivo/que_sea_mi_vida_la_sal.html"&gt;</v>
      </c>
    </row>
    <row r="693" spans="1:23" x14ac:dyDescent="0.3">
      <c r="A693" s="1">
        <f>ROW(CantoralDB[[#This Row],[Título]])-1</f>
        <v>692</v>
      </c>
      <c r="B693" s="1" t="s">
        <v>563</v>
      </c>
      <c r="C693" s="1" t="s">
        <v>201</v>
      </c>
      <c r="D693" s="1" t="s">
        <v>678</v>
      </c>
      <c r="G693" s="1" t="s">
        <v>553</v>
      </c>
      <c r="H693" s="1" t="s">
        <v>473</v>
      </c>
      <c r="J693" s="1" t="s">
        <v>608</v>
      </c>
      <c r="M693" s="15" t="s">
        <v>499</v>
      </c>
      <c r="N693" s="15"/>
      <c r="O693" s="15"/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693" s="1"/>
      <c r="T693" s="1"/>
      <c r="U693" s="15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693" s="15" t="str">
        <f>_xlfn.TEXTBEFORE(_xlfn.TEXTAFTER(CantoralDB[[#This Row],[index.html]],"&gt;"),"&gt;")&amp;"&gt;"</f>
        <v>&lt;a href="canciones/brotes_de_olivo/ven_no_apartes_de_mi_los_ojos.html"&gt;</v>
      </c>
    </row>
    <row r="694" spans="1:23" x14ac:dyDescent="0.3">
      <c r="A694" s="1">
        <f>ROW(CantoralDB[[#This Row],[Título]])-1</f>
        <v>693</v>
      </c>
      <c r="B694" s="1" t="s">
        <v>214</v>
      </c>
      <c r="C694" s="1" t="s">
        <v>993</v>
      </c>
      <c r="D694" s="1" t="s">
        <v>704</v>
      </c>
      <c r="G694" s="1" t="s">
        <v>213</v>
      </c>
      <c r="H694" s="1" t="s">
        <v>1027</v>
      </c>
      <c r="J694" s="1" t="s">
        <v>608</v>
      </c>
      <c r="M694" s="15" t="s">
        <v>499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694" s="1"/>
      <c r="T694" s="1"/>
      <c r="U694" s="15"/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694" s="15" t="str">
        <f>_xlfn.TEXTBEFORE(_xlfn.TEXTAFTER(CantoralDB[[#This Row],[index.html]],"&gt;"),"&gt;")&amp;"&gt;"</f>
        <v>&lt;a href="canciones/brotes_de_olivo/enviame.html"&gt;</v>
      </c>
    </row>
    <row r="695" spans="1:23" x14ac:dyDescent="0.3">
      <c r="A695" s="1">
        <f>ROW(CantoralDB[[#This Row],[Título]])-1</f>
        <v>694</v>
      </c>
      <c r="B695" s="1" t="s">
        <v>1169</v>
      </c>
      <c r="C695" s="1"/>
      <c r="E695" s="1">
        <v>30</v>
      </c>
      <c r="H695" s="1" t="s">
        <v>1028</v>
      </c>
      <c r="J695" s="1" t="s">
        <v>608</v>
      </c>
      <c r="M695" s="15" t="s">
        <v>2082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695" s="1"/>
      <c r="T695" s="1"/>
      <c r="U695" s="15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695" s="15" t="str">
        <f>_xlfn.TEXTBEFORE(_xlfn.TEXTAFTER(CantoralDB[[#This Row],[index.html]],"&gt;"),"&gt;")&amp;"&gt;"</f>
        <v>&lt;a href="canciones/nsb/arriba_nubes_negras.html"&gt;</v>
      </c>
    </row>
    <row r="696" spans="1:23" x14ac:dyDescent="0.3">
      <c r="A696" s="1">
        <f>ROW(CantoralDB[[#This Row],[Título]])-1</f>
        <v>695</v>
      </c>
      <c r="B696" s="1" t="s">
        <v>1204</v>
      </c>
      <c r="C696" s="1"/>
      <c r="E696" s="1">
        <v>81</v>
      </c>
      <c r="H696" s="1" t="s">
        <v>1030</v>
      </c>
      <c r="J696" s="1" t="s">
        <v>608</v>
      </c>
      <c r="M696" s="15" t="s">
        <v>2082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696" s="1"/>
      <c r="T696" s="1"/>
      <c r="U696" s="33" t="s">
        <v>1479</v>
      </c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696" s="15" t="str">
        <f>_xlfn.TEXTBEFORE(_xlfn.TEXTAFTER(CantoralDB[[#This Row],[index.html]],"&gt;"),"&gt;")&amp;"&gt;"</f>
        <v>&lt;a href="canciones/nsb/de_jerusalen_bajaba_a_jerico.html"&gt;</v>
      </c>
    </row>
    <row r="697" spans="1:23" x14ac:dyDescent="0.3">
      <c r="A697" s="1">
        <f>ROW(CantoralDB[[#This Row],[Título]])-1</f>
        <v>696</v>
      </c>
      <c r="B697" s="1" t="s">
        <v>6</v>
      </c>
      <c r="C697" s="1" t="s">
        <v>191</v>
      </c>
      <c r="D697" s="1" t="s">
        <v>1365</v>
      </c>
      <c r="E697" s="1">
        <v>8</v>
      </c>
      <c r="G697" s="1" t="s">
        <v>209</v>
      </c>
      <c r="H697" s="1" t="s">
        <v>1027</v>
      </c>
      <c r="I697" s="1" t="s">
        <v>2961</v>
      </c>
      <c r="J697" s="1" t="s">
        <v>608</v>
      </c>
      <c r="M697" s="15" t="s">
        <v>479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697" s="1"/>
      <c r="T697" s="1"/>
      <c r="U697" s="15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697" s="15" t="str">
        <f>_xlfn.TEXTBEFORE(_xlfn.TEXTAFTER(CantoralDB[[#This Row],[index.html]],"&gt;"),"&gt;")&amp;"&gt;"</f>
        <v>&lt;a href="canciones/carmelo_erdozain/abre_tu_tienda_al_señor.html"&gt;</v>
      </c>
    </row>
    <row r="698" spans="1:23" x14ac:dyDescent="0.3">
      <c r="A698" s="1">
        <f>ROW(CantoralDB[[#This Row],[Título]])-1</f>
        <v>697</v>
      </c>
      <c r="B698" s="1" t="s">
        <v>19</v>
      </c>
      <c r="C698" s="1" t="s">
        <v>194</v>
      </c>
      <c r="D698" s="1" t="s">
        <v>1379</v>
      </c>
      <c r="E698" s="1">
        <v>13</v>
      </c>
      <c r="G698" s="1" t="s">
        <v>209</v>
      </c>
      <c r="H698" s="1" t="s">
        <v>1027</v>
      </c>
      <c r="I698" s="1" t="s">
        <v>2961</v>
      </c>
      <c r="J698" s="1" t="s">
        <v>608</v>
      </c>
      <c r="M698" s="15" t="s">
        <v>479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698" s="1"/>
      <c r="T698" s="1"/>
      <c r="U698" s="15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698" s="15" t="str">
        <f>_xlfn.TEXTBEFORE(_xlfn.TEXTAFTER(CantoralDB[[#This Row],[index.html]],"&gt;"),"&gt;")&amp;"&gt;"</f>
        <v>&lt;a href="canciones/carmelo_erdozain/aleluya_es_la_fiesta_del_señor.html"&gt;</v>
      </c>
    </row>
    <row r="699" spans="1:23" x14ac:dyDescent="0.3">
      <c r="A699" s="1">
        <f>ROW(CantoralDB[[#This Row],[Título]])-1</f>
        <v>698</v>
      </c>
      <c r="B699" s="1" t="s">
        <v>1165</v>
      </c>
      <c r="C699" s="1" t="s">
        <v>195</v>
      </c>
      <c r="D699" s="1" t="s">
        <v>1384</v>
      </c>
      <c r="E699" s="1">
        <v>24</v>
      </c>
      <c r="G699" s="1" t="s">
        <v>209</v>
      </c>
      <c r="H699" s="1" t="s">
        <v>531</v>
      </c>
      <c r="I699" s="1" t="s">
        <v>2961</v>
      </c>
      <c r="J699" s="1" t="s">
        <v>608</v>
      </c>
      <c r="M699" s="15" t="s">
        <v>479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699" s="1"/>
      <c r="T699" s="1"/>
      <c r="U699" s="15"/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699" s="15" t="str">
        <f>_xlfn.TEXTBEFORE(_xlfn.TEXTAFTER(CantoralDB[[#This Row],[index.html]],"&gt;"),"&gt;")&amp;"&gt;"</f>
        <v>&lt;a href="canciones/carmelo_erdozain/ante_ti_señor.html"&gt;</v>
      </c>
    </row>
    <row r="700" spans="1:23" x14ac:dyDescent="0.3">
      <c r="A700" s="1">
        <f>ROW(CantoralDB[[#This Row],[Título]])-1</f>
        <v>699</v>
      </c>
      <c r="B700" s="1" t="s">
        <v>1176</v>
      </c>
      <c r="C700" s="1"/>
      <c r="E700" s="1">
        <v>44</v>
      </c>
      <c r="H700" s="1" t="s">
        <v>531</v>
      </c>
      <c r="J700" s="1" t="s">
        <v>608</v>
      </c>
      <c r="M700" s="15" t="s">
        <v>479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700" s="1"/>
      <c r="T700" s="1"/>
      <c r="U700" s="15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700" s="15" t="str">
        <f>_xlfn.TEXTBEFORE(_xlfn.TEXTAFTER(CantoralDB[[#This Row],[index.html]],"&gt;"),"&gt;")&amp;"&gt;"</f>
        <v>&lt;a href="canciones/carmelo_erdozain/con_nosotros_esta_el_señor.html"&gt;</v>
      </c>
    </row>
    <row r="701" spans="1:23" x14ac:dyDescent="0.3">
      <c r="A701" s="1">
        <f>ROW(CantoralDB[[#This Row],[Título]])-1</f>
        <v>700</v>
      </c>
      <c r="B701" s="1" t="s">
        <v>35</v>
      </c>
      <c r="C701" s="1" t="s">
        <v>201</v>
      </c>
      <c r="D701" s="1" t="s">
        <v>648</v>
      </c>
      <c r="E701" s="1">
        <v>51</v>
      </c>
      <c r="G701" s="1" t="s">
        <v>209</v>
      </c>
      <c r="H701" s="1" t="s">
        <v>531</v>
      </c>
      <c r="I701" s="1" t="s">
        <v>2960</v>
      </c>
      <c r="J701" s="1" t="s">
        <v>608</v>
      </c>
      <c r="M701" s="15" t="s">
        <v>479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701" s="1"/>
      <c r="T701" s="1"/>
      <c r="U701" s="15"/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701" s="15" t="str">
        <f>_xlfn.TEXTBEFORE(_xlfn.TEXTAFTER(CantoralDB[[#This Row],[index.html]],"&gt;"),"&gt;")&amp;"&gt;"</f>
        <v>&lt;a href="canciones/carmelo_erdozain/compartir_junto_al_señor.html"&gt;</v>
      </c>
    </row>
    <row r="702" spans="1:23" x14ac:dyDescent="0.3">
      <c r="A702" s="1">
        <f>ROW(CantoralDB[[#This Row],[Título]])-1</f>
        <v>701</v>
      </c>
      <c r="B702" s="1" t="s">
        <v>33</v>
      </c>
      <c r="C702" s="1" t="s">
        <v>993</v>
      </c>
      <c r="D702" s="1" t="s">
        <v>688</v>
      </c>
      <c r="E702" s="1">
        <v>52</v>
      </c>
      <c r="G702" s="1" t="s">
        <v>209</v>
      </c>
      <c r="H702" s="1" t="s">
        <v>473</v>
      </c>
      <c r="I702" s="1" t="s">
        <v>2960</v>
      </c>
      <c r="J702" s="1" t="s">
        <v>608</v>
      </c>
      <c r="M702" s="15" t="s">
        <v>479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702" s="1" t="s">
        <v>814</v>
      </c>
      <c r="T702" s="1"/>
      <c r="U702" s="15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702" s="15" t="str">
        <f>_xlfn.TEXTBEFORE(_xlfn.TEXTAFTER(CantoralDB[[#This Row],[index.html]],"&gt;"),"&gt;")&amp;"&gt;"</f>
        <v>&lt;a href="canciones/carmelo_erdozain/cerca_esta_el_señor.html"&gt;</v>
      </c>
    </row>
    <row r="703" spans="1:23" x14ac:dyDescent="0.3">
      <c r="A703" s="1">
        <f>ROW(CantoralDB[[#This Row],[Título]])-1</f>
        <v>702</v>
      </c>
      <c r="B703" s="1" t="s">
        <v>1184</v>
      </c>
      <c r="C703" s="1"/>
      <c r="E703" s="1">
        <v>55</v>
      </c>
      <c r="H703" s="1" t="s">
        <v>1028</v>
      </c>
      <c r="J703" s="1" t="s">
        <v>608</v>
      </c>
      <c r="M703" s="15" t="s">
        <v>479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703" s="1"/>
      <c r="T703" s="1"/>
      <c r="U703" s="15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703" s="15" t="str">
        <f>_xlfn.TEXTBEFORE(_xlfn.TEXTAFTER(CantoralDB[[#This Row],[index.html]],"&gt;"),"&gt;")&amp;"&gt;"</f>
        <v>&lt;a href="canciones/carmelo_erdozain/cristo_fue_sincero.html"&gt;</v>
      </c>
    </row>
    <row r="704" spans="1:23" x14ac:dyDescent="0.3">
      <c r="A704" s="1">
        <f>ROW(CantoralDB[[#This Row],[Título]])-1</f>
        <v>703</v>
      </c>
      <c r="B704" s="1" t="s">
        <v>1186</v>
      </c>
      <c r="C704" s="1"/>
      <c r="E704" s="1">
        <v>57</v>
      </c>
      <c r="H704" s="1" t="s">
        <v>1029</v>
      </c>
      <c r="J704" s="1" t="s">
        <v>608</v>
      </c>
      <c r="M704" s="15" t="s">
        <v>479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704" s="1"/>
      <c r="T704" s="1"/>
      <c r="U704" s="15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704" s="15" t="str">
        <f>_xlfn.TEXTBEFORE(_xlfn.TEXTAFTER(CantoralDB[[#This Row],[index.html]],"&gt;"),"&gt;")&amp;"&gt;"</f>
        <v>&lt;a href="canciones/carmelo_erdozain/cristo_se_entrego_por_nosotros.html"&gt;</v>
      </c>
    </row>
    <row r="705" spans="1:23" x14ac:dyDescent="0.3">
      <c r="A705" s="1">
        <f>ROW(CantoralDB[[#This Row],[Título]])-1</f>
        <v>704</v>
      </c>
      <c r="B705" s="1" t="s">
        <v>1188</v>
      </c>
      <c r="C705" s="1"/>
      <c r="E705" s="1">
        <v>58</v>
      </c>
      <c r="H705" s="1" t="s">
        <v>1028</v>
      </c>
      <c r="J705" s="1" t="s">
        <v>608</v>
      </c>
      <c r="M705" s="15" t="s">
        <v>479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705" s="1"/>
      <c r="T705" s="1"/>
      <c r="U705" s="15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705" s="15" t="str">
        <f>_xlfn.TEXTBEFORE(_xlfn.TEXTAFTER(CantoralDB[[#This Row],[index.html]],"&gt;"),"&gt;")&amp;"&gt;"</f>
        <v>&lt;a href="canciones/carmelo_erdozain/cristo_es_la_imagen_de_dios.html"&gt;</v>
      </c>
    </row>
    <row r="706" spans="1:23" x14ac:dyDescent="0.3">
      <c r="A706" s="1">
        <f>ROW(CantoralDB[[#This Row],[Título]])-1</f>
        <v>705</v>
      </c>
      <c r="B706" s="1" t="s">
        <v>41</v>
      </c>
      <c r="C706" s="1" t="s">
        <v>201</v>
      </c>
      <c r="D706" s="1" t="s">
        <v>649</v>
      </c>
      <c r="E706" s="1">
        <v>59</v>
      </c>
      <c r="G706" s="1" t="s">
        <v>209</v>
      </c>
      <c r="H706" s="1" t="s">
        <v>473</v>
      </c>
      <c r="I706" s="1" t="s">
        <v>2958</v>
      </c>
      <c r="J706" s="1" t="s">
        <v>608</v>
      </c>
      <c r="M706" s="15" t="s">
        <v>479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706" s="1" t="s">
        <v>818</v>
      </c>
      <c r="T706" s="1"/>
      <c r="U706" s="15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706" s="15" t="str">
        <f>_xlfn.TEXTBEFORE(_xlfn.TEXTAFTER(CantoralDB[[#This Row],[index.html]],"&gt;"),"&gt;")&amp;"&gt;"</f>
        <v>&lt;a href="canciones/carmelo_erdozain/cristo_por_nosotros.html"&gt;</v>
      </c>
    </row>
    <row r="707" spans="1:23" x14ac:dyDescent="0.3">
      <c r="A707" s="1">
        <f>ROW(CantoralDB[[#This Row],[Título]])-1</f>
        <v>706</v>
      </c>
      <c r="B707" s="1" t="s">
        <v>40</v>
      </c>
      <c r="C707" s="1" t="s">
        <v>993</v>
      </c>
      <c r="D707" s="1" t="s">
        <v>692</v>
      </c>
      <c r="E707" s="1">
        <v>63</v>
      </c>
      <c r="G707" s="1" t="s">
        <v>209</v>
      </c>
      <c r="H707" s="1" t="s">
        <v>531</v>
      </c>
      <c r="J707" s="1" t="s">
        <v>608</v>
      </c>
      <c r="M707" s="15" t="s">
        <v>479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707" s="1"/>
      <c r="T707" s="1"/>
      <c r="U707" s="15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707" s="15" t="str">
        <f>_xlfn.TEXTBEFORE(_xlfn.TEXTAFTER(CantoralDB[[#This Row],[index.html]],"&gt;"),"&gt;")&amp;"&gt;"</f>
        <v>&lt;a href="canciones/carmelo_erdozain/cristo_nos_da_la_libertad.html"&gt;</v>
      </c>
    </row>
    <row r="708" spans="1:23" x14ac:dyDescent="0.3">
      <c r="A708" s="1">
        <f>ROW(CantoralDB[[#This Row],[Título]])-1</f>
        <v>707</v>
      </c>
      <c r="B708" s="1" t="s">
        <v>1194</v>
      </c>
      <c r="C708" s="1"/>
      <c r="E708" s="1">
        <v>68</v>
      </c>
      <c r="H708" s="1" t="s">
        <v>1030</v>
      </c>
      <c r="J708" s="1" t="s">
        <v>608</v>
      </c>
      <c r="M708" s="15" t="s">
        <v>479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708" s="1"/>
      <c r="T708" s="1"/>
      <c r="U708" s="15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708" s="15" t="str">
        <f>_xlfn.TEXTBEFORE(_xlfn.TEXTAFTER(CantoralDB[[#This Row],[index.html]],"&gt;"),"&gt;")&amp;"&gt;"</f>
        <v>&lt;a href="canciones/carmelo_erdozain/cuantos_años_han_de_pasar.html"&gt;</v>
      </c>
    </row>
    <row r="709" spans="1:23" x14ac:dyDescent="0.3">
      <c r="A709" s="1">
        <f>ROW(CantoralDB[[#This Row],[Título]])-1</f>
        <v>708</v>
      </c>
      <c r="B709" s="1" t="s">
        <v>1207</v>
      </c>
      <c r="C709" s="1"/>
      <c r="E709" s="1">
        <v>82</v>
      </c>
      <c r="H709" s="1" t="s">
        <v>1030</v>
      </c>
      <c r="J709" s="1" t="s">
        <v>608</v>
      </c>
      <c r="M709" s="15" t="s">
        <v>479</v>
      </c>
      <c r="N709" s="15"/>
      <c r="O709" s="15"/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709" s="1"/>
      <c r="T709" s="1"/>
      <c r="U709" s="15"/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709" s="15" t="str">
        <f>_xlfn.TEXTBEFORE(_xlfn.TEXTAFTER(CantoralDB[[#This Row],[index.html]],"&gt;"),"&gt;")&amp;"&gt;"</f>
        <v>&lt;a href="canciones/carmelo_erdozain/dios_te_salve_maria.html"&gt;</v>
      </c>
    </row>
    <row r="710" spans="1:23" x14ac:dyDescent="0.3">
      <c r="A710" s="1">
        <f>ROW(CantoralDB[[#This Row],[Título]])-1</f>
        <v>709</v>
      </c>
      <c r="B710" s="1" t="s">
        <v>1209</v>
      </c>
      <c r="C710" s="1"/>
      <c r="E710" s="1">
        <v>87</v>
      </c>
      <c r="H710" s="1" t="s">
        <v>1030</v>
      </c>
      <c r="J710" s="1" t="s">
        <v>608</v>
      </c>
      <c r="M710" s="15" t="s">
        <v>479</v>
      </c>
      <c r="N710" s="15"/>
      <c r="O710" s="15"/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710" s="1"/>
      <c r="T710" s="1"/>
      <c r="U710" s="15"/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710" s="15" t="str">
        <f>_xlfn.TEXTBEFORE(_xlfn.TEXTAFTER(CantoralDB[[#This Row],[index.html]],"&gt;"),"&gt;")&amp;"&gt;"</f>
        <v>&lt;a href="canciones/carmelo_erdozain/dios_te_salve_maria_llena_eres_de_gracia.html"&gt;</v>
      </c>
    </row>
    <row r="711" spans="1:23" x14ac:dyDescent="0.3">
      <c r="A711" s="1">
        <f>ROW(CantoralDB[[#This Row],[Título]])-1</f>
        <v>710</v>
      </c>
      <c r="B711" s="1" t="s">
        <v>2890</v>
      </c>
      <c r="C711" s="1" t="s">
        <v>201</v>
      </c>
      <c r="D711" s="1" t="s">
        <v>655</v>
      </c>
      <c r="E711" s="1">
        <v>116</v>
      </c>
      <c r="G711" s="1" t="s">
        <v>209</v>
      </c>
      <c r="H711" s="1" t="s">
        <v>1027</v>
      </c>
      <c r="J711" s="1" t="s">
        <v>608</v>
      </c>
      <c r="M711" s="15" t="s">
        <v>479</v>
      </c>
      <c r="N711" s="15"/>
      <c r="O711" s="15"/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711" s="1"/>
      <c r="T711" s="1"/>
      <c r="U711" s="15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711" s="15" t="str">
        <f>_xlfn.TEXTBEFORE(_xlfn.TEXTAFTER(CantoralDB[[#This Row],[index.html]],"&gt;"),"&gt;")&amp;"&gt;"</f>
        <v>&lt;a href="canciones/carmelo_erdozain/escucha_tu_la_palabra_de_dios.html"&gt;</v>
      </c>
    </row>
    <row r="712" spans="1:23" x14ac:dyDescent="0.3">
      <c r="A712" s="1">
        <f>ROW(CantoralDB[[#This Row],[Título]])-1</f>
        <v>711</v>
      </c>
      <c r="B712" s="1" t="s">
        <v>1257</v>
      </c>
      <c r="C712" s="1"/>
      <c r="E712" s="1">
        <v>126</v>
      </c>
      <c r="H712" s="1" t="s">
        <v>1028</v>
      </c>
      <c r="J712" s="1" t="s">
        <v>608</v>
      </c>
      <c r="M712" s="15" t="s">
        <v>479</v>
      </c>
      <c r="N712" s="15"/>
      <c r="O712" s="15"/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712" s="1"/>
      <c r="T712" s="1"/>
      <c r="U712" s="15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712" s="15" t="str">
        <f>_xlfn.TEXTBEFORE(_xlfn.TEXTAFTER(CantoralDB[[#This Row],[index.html]],"&gt;"),"&gt;")&amp;"&gt;"</f>
        <v>&lt;a href="canciones/carmelo_erdozain/gracias_señor_por_tu_palabra.html"&gt;</v>
      </c>
    </row>
    <row r="713" spans="1:23" x14ac:dyDescent="0.3">
      <c r="A713" s="1">
        <f>ROW(CantoralDB[[#This Row],[Título]])-1</f>
        <v>712</v>
      </c>
      <c r="B713" s="1" t="s">
        <v>75</v>
      </c>
      <c r="C713" s="1" t="s">
        <v>211</v>
      </c>
      <c r="D713" s="1" t="s">
        <v>1430</v>
      </c>
      <c r="E713" s="1">
        <v>136</v>
      </c>
      <c r="G713" s="1" t="s">
        <v>209</v>
      </c>
      <c r="H713" s="1" t="s">
        <v>1027</v>
      </c>
      <c r="I713" s="1" t="s">
        <v>2958</v>
      </c>
      <c r="J713" s="1" t="s">
        <v>608</v>
      </c>
      <c r="M713" s="15" t="s">
        <v>479</v>
      </c>
      <c r="N713" s="15"/>
      <c r="O713" s="15"/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713" s="1" t="s">
        <v>838</v>
      </c>
      <c r="T713" s="1"/>
      <c r="U713" s="15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713" s="15" t="str">
        <f>_xlfn.TEXTBEFORE(_xlfn.TEXTAFTER(CantoralDB[[#This Row],[index.html]],"&gt;"),"&gt;")&amp;"&gt;"</f>
        <v>&lt;a href="canciones/carmelo_erdozain/hosanna_hosanna_hosanna.html"&gt;</v>
      </c>
    </row>
    <row r="714" spans="1:23" x14ac:dyDescent="0.3">
      <c r="A714" s="1">
        <f>ROW(CantoralDB[[#This Row],[Título]])-1</f>
        <v>713</v>
      </c>
      <c r="B714" s="1" t="s">
        <v>1265</v>
      </c>
      <c r="C714" s="1"/>
      <c r="E714" s="1">
        <v>137</v>
      </c>
      <c r="H714" s="1" t="s">
        <v>531</v>
      </c>
      <c r="J714" s="1" t="s">
        <v>608</v>
      </c>
      <c r="M714" s="15" t="s">
        <v>479</v>
      </c>
      <c r="N714" s="15"/>
      <c r="O714" s="15"/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714" s="1"/>
      <c r="T714" s="1"/>
      <c r="U714" s="15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714" s="15" t="str">
        <f>_xlfn.TEXTBEFORE(_xlfn.TEXTAFTER(CantoralDB[[#This Row],[index.html]],"&gt;"),"&gt;")&amp;"&gt;"</f>
        <v>&lt;a href="canciones/carmelo_erdozain/hoy_me_siento_peregrino.html"&gt;</v>
      </c>
    </row>
    <row r="715" spans="1:23" x14ac:dyDescent="0.3">
      <c r="A715" s="1">
        <f>ROW(CantoralDB[[#This Row],[Título]])-1</f>
        <v>714</v>
      </c>
      <c r="B715" s="1" t="s">
        <v>77</v>
      </c>
      <c r="C715" s="1" t="s">
        <v>993</v>
      </c>
      <c r="D715" s="1" t="s">
        <v>711</v>
      </c>
      <c r="E715" s="1">
        <v>138</v>
      </c>
      <c r="G715" s="1" t="s">
        <v>209</v>
      </c>
      <c r="H715" s="1" t="s">
        <v>531</v>
      </c>
      <c r="I715" s="1" t="s">
        <v>2960</v>
      </c>
      <c r="J715" s="1" t="s">
        <v>608</v>
      </c>
      <c r="M715" s="15" t="s">
        <v>479</v>
      </c>
      <c r="N715" s="15"/>
      <c r="O715" s="15"/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715" s="1" t="s">
        <v>839</v>
      </c>
      <c r="T715" s="1"/>
      <c r="U715" s="15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715" s="15" t="str">
        <f>_xlfn.TEXTBEFORE(_xlfn.TEXTAFTER(CantoralDB[[#This Row],[index.html]],"&gt;"),"&gt;")&amp;"&gt;"</f>
        <v>&lt;a href="canciones/carmelo_erdozain/hoy_vuelvo_de_lejos.html"&gt;</v>
      </c>
    </row>
    <row r="716" spans="1:23" x14ac:dyDescent="0.3">
      <c r="A716" s="1">
        <f>ROW(CantoralDB[[#This Row],[Título]])-1</f>
        <v>715</v>
      </c>
      <c r="B716" s="1" t="s">
        <v>1273</v>
      </c>
      <c r="C716" s="1"/>
      <c r="E716" s="1">
        <v>154</v>
      </c>
      <c r="H716" s="1" t="s">
        <v>1027</v>
      </c>
      <c r="J716" s="1" t="s">
        <v>608</v>
      </c>
      <c r="M716" s="15" t="s">
        <v>479</v>
      </c>
      <c r="N716" s="15"/>
      <c r="O716" s="15"/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716" s="1"/>
      <c r="T716" s="1"/>
      <c r="U716" s="15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716" s="15" t="str">
        <f>_xlfn.TEXTBEFORE(_xlfn.TEXTAFTER(CantoralDB[[#This Row],[index.html]],"&gt;"),"&gt;")&amp;"&gt;"</f>
        <v>&lt;a href="canciones/carmelo_erdozain/las_puertas_de_la_nueva_ciudad.html"&gt;</v>
      </c>
    </row>
    <row r="717" spans="1:23" x14ac:dyDescent="0.3">
      <c r="A717" s="1">
        <f>ROW(CantoralDB[[#This Row],[Título]])-1</f>
        <v>716</v>
      </c>
      <c r="B717" s="1" t="s">
        <v>1275</v>
      </c>
      <c r="C717" s="1"/>
      <c r="E717" s="1">
        <v>156</v>
      </c>
      <c r="H717" s="1" t="s">
        <v>1030</v>
      </c>
      <c r="J717" s="1" t="s">
        <v>608</v>
      </c>
      <c r="M717" s="15" t="s">
        <v>479</v>
      </c>
      <c r="N717" s="15"/>
      <c r="O717" s="15"/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717" s="1"/>
      <c r="T717" s="1"/>
      <c r="U717" s="15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717" s="15" t="str">
        <f>_xlfn.TEXTBEFORE(_xlfn.TEXTAFTER(CantoralDB[[#This Row],[index.html]],"&gt;"),"&gt;")&amp;"&gt;"</f>
        <v>&lt;a href="canciones/carmelo_erdozain/levantate_pueblo_mio.html"&gt;</v>
      </c>
    </row>
    <row r="718" spans="1:23" x14ac:dyDescent="0.3">
      <c r="A718" s="1">
        <f>ROW(CantoralDB[[#This Row],[Título]])-1</f>
        <v>717</v>
      </c>
      <c r="B718" s="1" t="s">
        <v>1276</v>
      </c>
      <c r="C718" s="1"/>
      <c r="E718" s="1">
        <v>159</v>
      </c>
      <c r="H718" s="1" t="s">
        <v>531</v>
      </c>
      <c r="J718" s="1" t="s">
        <v>608</v>
      </c>
      <c r="M718" s="15" t="s">
        <v>479</v>
      </c>
      <c r="N718" s="15"/>
      <c r="O718" s="15"/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718" s="1"/>
      <c r="T718" s="1"/>
      <c r="U718" s="15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718" s="15" t="str">
        <f>_xlfn.TEXTBEFORE(_xlfn.TEXTAFTER(CantoralDB[[#This Row],[index.html]],"&gt;"),"&gt;")&amp;"&gt;"</f>
        <v>&lt;a href="canciones/carmelo_erdozain/llego_la_noche.html"&gt;</v>
      </c>
    </row>
    <row r="719" spans="1:23" x14ac:dyDescent="0.3">
      <c r="A719" s="1">
        <f>ROW(CantoralDB[[#This Row],[Título]])-1</f>
        <v>718</v>
      </c>
      <c r="B719" s="1" t="s">
        <v>1280</v>
      </c>
      <c r="C719" s="1"/>
      <c r="E719" s="1">
        <v>167</v>
      </c>
      <c r="J719" s="1"/>
      <c r="M719" s="15" t="s">
        <v>479</v>
      </c>
      <c r="N719" s="15"/>
      <c r="O719" s="15"/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719" s="1"/>
      <c r="T719" s="1"/>
      <c r="U719" s="15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719" s="15" t="str">
        <f>_xlfn.TEXTBEFORE(_xlfn.TEXTAFTER(CantoralDB[[#This Row],[index.html]],"&gt;"),"&gt;")&amp;"&gt;"</f>
        <v>&lt;a href="canciones/carmelo_erdozain/mas_alla_las_redes_mas_alla.html"&gt;</v>
      </c>
    </row>
    <row r="720" spans="1:23" x14ac:dyDescent="0.3">
      <c r="A720" s="1">
        <f>ROW(CantoralDB[[#This Row],[Título]])-1</f>
        <v>719</v>
      </c>
      <c r="B720" s="1" t="s">
        <v>1289</v>
      </c>
      <c r="C720" s="1"/>
      <c r="E720" s="1">
        <v>179</v>
      </c>
      <c r="H720" s="1" t="s">
        <v>1028</v>
      </c>
      <c r="J720" s="1" t="s">
        <v>608</v>
      </c>
      <c r="M720" s="15" t="s">
        <v>479</v>
      </c>
      <c r="N720" s="15"/>
      <c r="O720" s="15"/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720" s="1"/>
      <c r="T720" s="1"/>
      <c r="U720" s="15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720" s="15" t="str">
        <f>_xlfn.TEXTBEFORE(_xlfn.TEXTAFTER(CantoralDB[[#This Row],[index.html]],"&gt;"),"&gt;")&amp;"&gt;"</f>
        <v>&lt;a href="canciones/carmelo_erdozain/nochebuena_nochebuena.html"&gt;</v>
      </c>
    </row>
    <row r="721" spans="1:23" x14ac:dyDescent="0.3">
      <c r="A721" s="1">
        <f>ROW(CantoralDB[[#This Row],[Título]])-1</f>
        <v>720</v>
      </c>
      <c r="B721" s="1" t="s">
        <v>2123</v>
      </c>
      <c r="C721" s="1"/>
      <c r="E721" s="1">
        <v>184</v>
      </c>
      <c r="H721" s="1" t="s">
        <v>1030</v>
      </c>
      <c r="J721" s="1" t="s">
        <v>608</v>
      </c>
      <c r="M721" s="15" t="s">
        <v>479</v>
      </c>
      <c r="N721" s="15"/>
      <c r="O721" s="15"/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721" s="1"/>
      <c r="T721" s="1"/>
      <c r="U721" s="33" t="s">
        <v>2975</v>
      </c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721" s="15" t="str">
        <f>_xlfn.TEXTBEFORE(_xlfn.TEXTAFTER(CantoralDB[[#This Row],[index.html]],"&gt;"),"&gt;")&amp;"&gt;"</f>
        <v>&lt;a href="canciones/carmelo_erdozain/oi_tu_voz.html"&gt;</v>
      </c>
    </row>
    <row r="722" spans="1:23" x14ac:dyDescent="0.3">
      <c r="A722" s="1">
        <f>ROW(CantoralDB[[#This Row],[Título]])-1</f>
        <v>721</v>
      </c>
      <c r="B722" s="1" t="s">
        <v>100</v>
      </c>
      <c r="C722" s="1" t="s">
        <v>201</v>
      </c>
      <c r="D722" s="1" t="s">
        <v>668</v>
      </c>
      <c r="E722" s="1">
        <v>189</v>
      </c>
      <c r="G722" s="1" t="s">
        <v>209</v>
      </c>
      <c r="H722" s="1" t="s">
        <v>1028</v>
      </c>
      <c r="J722" s="1" t="s">
        <v>608</v>
      </c>
      <c r="M722" s="15" t="s">
        <v>479</v>
      </c>
      <c r="N722" s="15"/>
      <c r="O722" s="15"/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722" s="1" t="s">
        <v>850</v>
      </c>
      <c r="T722" s="1"/>
      <c r="U722" s="15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722" s="15" t="str">
        <f>_xlfn.TEXTBEFORE(_xlfn.TEXTAFTER(CantoralDB[[#This Row],[index.html]],"&gt;"),"&gt;")&amp;"&gt;"</f>
        <v>&lt;a href="canciones/carmelo_erdozain/oh_mi_dios_crea_en_mi.html"&gt;</v>
      </c>
    </row>
    <row r="723" spans="1:23" x14ac:dyDescent="0.3">
      <c r="A723" s="1">
        <f>ROW(CantoralDB[[#This Row],[Título]])-1</f>
        <v>722</v>
      </c>
      <c r="B723" s="1" t="s">
        <v>118</v>
      </c>
      <c r="C723" s="1" t="s">
        <v>993</v>
      </c>
      <c r="D723" s="1" t="s">
        <v>995</v>
      </c>
      <c r="E723" s="1">
        <v>211</v>
      </c>
      <c r="G723" s="1" t="s">
        <v>209</v>
      </c>
      <c r="H723" s="1" t="s">
        <v>1030</v>
      </c>
      <c r="J723" s="1" t="s">
        <v>608</v>
      </c>
      <c r="M723" s="15" t="s">
        <v>479</v>
      </c>
      <c r="N723" s="15"/>
      <c r="O723" s="15"/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723" s="1"/>
      <c r="T723" s="1"/>
      <c r="U723" s="15"/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723" s="15" t="str">
        <f>_xlfn.TEXTBEFORE(_xlfn.TEXTAFTER(CantoralDB[[#This Row],[index.html]],"&gt;"),"&gt;")&amp;"&gt;"</f>
        <v>&lt;a href="canciones/carmelo_erdozain/purificame_señor.html"&gt;</v>
      </c>
    </row>
    <row r="724" spans="1:23" x14ac:dyDescent="0.3">
      <c r="A724" s="1">
        <f>ROW(CantoralDB[[#This Row],[Título]])-1</f>
        <v>723</v>
      </c>
      <c r="B724" s="1" t="s">
        <v>1323</v>
      </c>
      <c r="C724" s="1"/>
      <c r="E724" s="1">
        <v>244</v>
      </c>
      <c r="H724" s="1" t="s">
        <v>1030</v>
      </c>
      <c r="J724" s="1" t="s">
        <v>608</v>
      </c>
      <c r="M724" s="15" t="s">
        <v>479</v>
      </c>
      <c r="N724" s="15"/>
      <c r="O724" s="15"/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724" s="1"/>
      <c r="T724" s="1"/>
      <c r="U724" s="33" t="s">
        <v>2976</v>
      </c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724" s="15" t="str">
        <f>_xlfn.TEXTBEFORE(_xlfn.TEXTAFTER(CantoralDB[[#This Row],[index.html]],"&gt;"),"&gt;")&amp;"&gt;"</f>
        <v>&lt;a href="canciones/carmelo_erdozain/se_acerca_el_reino_de_dios.html"&gt;</v>
      </c>
    </row>
    <row r="725" spans="1:23" x14ac:dyDescent="0.3">
      <c r="A725" s="1">
        <f>ROW(CantoralDB[[#This Row],[Título]])-1</f>
        <v>724</v>
      </c>
      <c r="B725" s="1" t="s">
        <v>2910</v>
      </c>
      <c r="C725" s="1"/>
      <c r="E725" s="1">
        <v>261</v>
      </c>
      <c r="H725" s="1" t="s">
        <v>1027</v>
      </c>
      <c r="J725" s="1" t="s">
        <v>608</v>
      </c>
      <c r="M725" s="15" t="s">
        <v>479</v>
      </c>
      <c r="N725" s="15"/>
      <c r="O725" s="15"/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725" s="1"/>
      <c r="T725" s="1"/>
      <c r="U725" s="15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725" s="15" t="str">
        <f>_xlfn.TEXTBEFORE(_xlfn.TEXTAFTER(CantoralDB[[#This Row],[index.html]],"&gt;"),"&gt;")&amp;"&gt;"</f>
        <v>&lt;a href="canciones/carmelo_erdozain/arriesgate.html"&gt;</v>
      </c>
    </row>
    <row r="726" spans="1:23" x14ac:dyDescent="0.3">
      <c r="A726" s="1">
        <f>ROW(CantoralDB[[#This Row],[Título]])-1</f>
        <v>725</v>
      </c>
      <c r="B726" s="1" t="s">
        <v>160</v>
      </c>
      <c r="C726" s="1" t="s">
        <v>191</v>
      </c>
      <c r="D726" s="1" t="s">
        <v>761</v>
      </c>
      <c r="E726" s="1">
        <v>283</v>
      </c>
      <c r="G726" s="1" t="s">
        <v>209</v>
      </c>
      <c r="H726" s="1" t="s">
        <v>1029</v>
      </c>
      <c r="J726" s="1" t="s">
        <v>608</v>
      </c>
      <c r="M726" s="15" t="s">
        <v>479</v>
      </c>
      <c r="N726" s="15"/>
      <c r="O726" s="15"/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726" s="1"/>
      <c r="T726" s="1"/>
      <c r="U726" s="15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726" s="15" t="str">
        <f>_xlfn.TEXTBEFORE(_xlfn.TEXTAFTER(CantoralDB[[#This Row],[index.html]],"&gt;"),"&gt;")&amp;"&gt;"</f>
        <v>&lt;a href="canciones/carmelo_erdozain/ven_salvador.html"&gt;</v>
      </c>
    </row>
    <row r="727" spans="1:23" x14ac:dyDescent="0.3">
      <c r="A727" s="1">
        <f>ROW(CantoralDB[[#This Row],[Título]])-1</f>
        <v>726</v>
      </c>
      <c r="B727" s="1" t="s">
        <v>156</v>
      </c>
      <c r="C727" s="1" t="s">
        <v>191</v>
      </c>
      <c r="D727" s="1" t="s">
        <v>756</v>
      </c>
      <c r="E727" s="1">
        <v>284</v>
      </c>
      <c r="G727" s="1" t="s">
        <v>209</v>
      </c>
      <c r="H727" s="1" t="s">
        <v>531</v>
      </c>
      <c r="J727" s="1" t="s">
        <v>608</v>
      </c>
      <c r="M727" s="15" t="s">
        <v>479</v>
      </c>
      <c r="N727" s="15"/>
      <c r="O727" s="15"/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727" s="1"/>
      <c r="T727" s="1"/>
      <c r="U727" s="15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727" s="15" t="str">
        <f>_xlfn.TEXTBEFORE(_xlfn.TEXTAFTER(CantoralDB[[#This Row],[index.html]],"&gt;"),"&gt;")&amp;"&gt;"</f>
        <v>&lt;a href="canciones/carmelo_erdozain/vamos_a_preparar.html"&gt;</v>
      </c>
    </row>
    <row r="728" spans="1:23" x14ac:dyDescent="0.3">
      <c r="A728" s="1">
        <f>ROW(CantoralDB[[#This Row],[Título]])-1</f>
        <v>727</v>
      </c>
      <c r="B728" s="1" t="s">
        <v>1347</v>
      </c>
      <c r="C728" s="1"/>
      <c r="E728" s="1">
        <v>290</v>
      </c>
      <c r="H728" s="1" t="s">
        <v>1027</v>
      </c>
      <c r="J728" s="1" t="s">
        <v>608</v>
      </c>
      <c r="M728" s="15" t="s">
        <v>479</v>
      </c>
      <c r="N728" s="15"/>
      <c r="O728" s="15"/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728" s="1"/>
      <c r="T728" s="1"/>
      <c r="U728" s="33" t="s">
        <v>2977</v>
      </c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728" s="15" t="str">
        <f>_xlfn.TEXTBEFORE(_xlfn.TEXTAFTER(CantoralDB[[#This Row],[index.html]],"&gt;"),"&gt;")&amp;"&gt;"</f>
        <v>&lt;a href="canciones/carmelo_erdozain/ven_espiritu_santo.html"&gt;</v>
      </c>
    </row>
    <row r="729" spans="1:23" x14ac:dyDescent="0.3">
      <c r="A729" s="1">
        <f>ROW(CantoralDB[[#This Row],[Título]])-1</f>
        <v>728</v>
      </c>
      <c r="B729" s="1" t="s">
        <v>1351</v>
      </c>
      <c r="C729" s="1"/>
      <c r="E729" s="1">
        <v>296</v>
      </c>
      <c r="H729" s="1" t="s">
        <v>1027</v>
      </c>
      <c r="J729" s="1" t="s">
        <v>608</v>
      </c>
      <c r="M729" s="15" t="s">
        <v>479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729" s="1"/>
      <c r="T729" s="1"/>
      <c r="U729" s="33" t="s">
        <v>2978</v>
      </c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729" s="15" t="str">
        <f>_xlfn.TEXTBEFORE(_xlfn.TEXTAFTER(CantoralDB[[#This Row],[index.html]],"&gt;"),"&gt;")&amp;"&gt;"</f>
        <v>&lt;a href="canciones/carmelo_erdozain/yo_estare_con_vosotros.html"&gt;</v>
      </c>
    </row>
    <row r="730" spans="1:23" x14ac:dyDescent="0.3">
      <c r="A730" s="1">
        <f>ROW(CantoralDB[[#This Row],[Título]])-1</f>
        <v>729</v>
      </c>
      <c r="B730" s="1" t="s">
        <v>1223</v>
      </c>
      <c r="C730" s="1"/>
      <c r="E730" s="1">
        <v>301</v>
      </c>
      <c r="H730" s="1" t="s">
        <v>1028</v>
      </c>
      <c r="J730" s="1" t="s">
        <v>608</v>
      </c>
      <c r="M730" s="15" t="s">
        <v>479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730" s="1"/>
      <c r="T730" s="1"/>
      <c r="U730" s="15"/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730" s="15" t="str">
        <f>_xlfn.TEXTBEFORE(_xlfn.TEXTAFTER(CantoralDB[[#This Row],[index.html]],"&gt;"),"&gt;")&amp;"&gt;"</f>
        <v>&lt;a href="canciones/carmelo_erdozain/creo_en_jesus.html"&gt;</v>
      </c>
    </row>
    <row r="731" spans="1:23" x14ac:dyDescent="0.3">
      <c r="A731" s="1">
        <f>ROW(CantoralDB[[#This Row],[Título]])-1</f>
        <v>730</v>
      </c>
      <c r="B731" s="1" t="s">
        <v>2905</v>
      </c>
      <c r="C731" s="1"/>
      <c r="E731" s="1" t="s">
        <v>1206</v>
      </c>
      <c r="H731" s="1" t="s">
        <v>1028</v>
      </c>
      <c r="J731" s="1" t="s">
        <v>608</v>
      </c>
      <c r="M731" s="15" t="s">
        <v>479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731" s="1"/>
      <c r="T731" s="1"/>
      <c r="U731" s="33" t="s">
        <v>2110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731" s="15" t="str">
        <f>_xlfn.TEXTBEFORE(_xlfn.TEXTAFTER(CantoralDB[[#This Row],[index.html]],"&gt;"),"&gt;")&amp;"&gt;"</f>
        <v>&lt;a href="canciones/carmelo_erdozain/tened_encendida_la_lampara.html"&gt;</v>
      </c>
    </row>
    <row r="732" spans="1:23" x14ac:dyDescent="0.3">
      <c r="A732" s="1">
        <f>ROW(CantoralDB[[#This Row],[Título]])-1</f>
        <v>731</v>
      </c>
      <c r="B732" s="1" t="s">
        <v>222</v>
      </c>
      <c r="C732" s="1" t="s">
        <v>191</v>
      </c>
      <c r="D732" s="1" t="s">
        <v>734</v>
      </c>
      <c r="G732" s="1" t="s">
        <v>216</v>
      </c>
      <c r="H732" s="1" t="s">
        <v>531</v>
      </c>
      <c r="J732" s="1" t="s">
        <v>608</v>
      </c>
      <c r="M732" s="15" t="s">
        <v>479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732" s="1"/>
      <c r="T732" s="1"/>
      <c r="U732" s="15"/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732" s="15" t="str">
        <f>_xlfn.TEXTBEFORE(_xlfn.TEXTAFTER(CantoralDB[[#This Row],[index.html]],"&gt;"),"&gt;")&amp;"&gt;"</f>
        <v>&lt;a href="canciones/carmelo_erdozain/dios_nos_convoca.html"&gt;</v>
      </c>
    </row>
    <row r="733" spans="1:23" x14ac:dyDescent="0.3">
      <c r="A733" s="1">
        <f>ROW(CantoralDB[[#This Row],[Título]])-1</f>
        <v>732</v>
      </c>
      <c r="B733" s="1" t="s">
        <v>618</v>
      </c>
      <c r="C733" s="1" t="s">
        <v>197</v>
      </c>
      <c r="D733" s="1" t="s">
        <v>1444</v>
      </c>
      <c r="G733" s="1" t="s">
        <v>248</v>
      </c>
      <c r="H733" s="1" t="s">
        <v>531</v>
      </c>
      <c r="J733" s="1" t="s">
        <v>608</v>
      </c>
      <c r="M733" s="15" t="s">
        <v>479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733" s="1"/>
      <c r="T733" s="1"/>
      <c r="U733" s="15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733" s="15" t="str">
        <f>_xlfn.TEXTBEFORE(_xlfn.TEXTAFTER(CantoralDB[[#This Row],[index.html]],"&gt;"),"&gt;")&amp;"&gt;"</f>
        <v>&lt;a href="canciones/carmelo_erdozain/padre_nuestro_(erdozain).html"&gt;</v>
      </c>
    </row>
    <row r="734" spans="1:23" x14ac:dyDescent="0.3">
      <c r="A734" s="1">
        <f>ROW(CantoralDB[[#This Row],[Título]])-1</f>
        <v>733</v>
      </c>
      <c r="B734" s="1" t="s">
        <v>2154</v>
      </c>
      <c r="C734" s="1"/>
      <c r="H734" s="1" t="s">
        <v>1027</v>
      </c>
      <c r="J734" s="1" t="s">
        <v>608</v>
      </c>
      <c r="M734" s="15" t="s">
        <v>479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734" s="1"/>
      <c r="T734" s="1"/>
      <c r="U734" s="33" t="s">
        <v>2974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734" s="15" t="str">
        <f>_xlfn.TEXTBEFORE(_xlfn.TEXTAFTER(CantoralDB[[#This Row],[index.html]],"&gt;"),"&gt;")&amp;"&gt;"</f>
        <v>&lt;a href="canciones/carmelo_erdozain/este_pan_y_vino.html"&gt;</v>
      </c>
    </row>
    <row r="735" spans="1:23" x14ac:dyDescent="0.3">
      <c r="A735" s="1">
        <f>ROW(CantoralDB[[#This Row],[Título]])-1</f>
        <v>734</v>
      </c>
      <c r="B735" s="1" t="s">
        <v>9</v>
      </c>
      <c r="C735" s="1" t="s">
        <v>993</v>
      </c>
      <c r="D735" s="1" t="s">
        <v>1035</v>
      </c>
      <c r="E735" s="1">
        <v>19</v>
      </c>
      <c r="G735" s="1" t="s">
        <v>209</v>
      </c>
      <c r="H735" s="1" t="s">
        <v>531</v>
      </c>
      <c r="I735" s="1" t="s">
        <v>2961</v>
      </c>
      <c r="J735" s="1" t="s">
        <v>608</v>
      </c>
      <c r="M735" s="15" t="s">
        <v>483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735" s="1" t="s">
        <v>798</v>
      </c>
      <c r="T735" s="1"/>
      <c r="U735" s="15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735" s="15" t="str">
        <f>_xlfn.TEXTBEFORE(_xlfn.TEXTAFTER(CantoralDB[[#This Row],[index.html]],"&gt;"),"&gt;")&amp;"&gt;"</f>
        <v>&lt;a href="canciones/cesareo_gabarain/al_atardecer_de_la_vida.html"&gt;</v>
      </c>
    </row>
    <row r="736" spans="1:23" x14ac:dyDescent="0.3">
      <c r="A736" s="1">
        <f>ROW(CantoralDB[[#This Row],[Título]])-1</f>
        <v>735</v>
      </c>
      <c r="B736" s="1" t="s">
        <v>28</v>
      </c>
      <c r="C736" s="1" t="s">
        <v>191</v>
      </c>
      <c r="D736" s="1" t="s">
        <v>730</v>
      </c>
      <c r="E736" s="1">
        <v>38</v>
      </c>
      <c r="G736" s="1" t="s">
        <v>209</v>
      </c>
      <c r="H736" s="1" t="s">
        <v>1027</v>
      </c>
      <c r="J736" s="1" t="s">
        <v>608</v>
      </c>
      <c r="M736" s="15" t="s">
        <v>483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736" s="1"/>
      <c r="T736" s="1"/>
      <c r="U736" s="15"/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736" s="15" t="str">
        <f>_xlfn.TEXTBEFORE(_xlfn.TEXTAFTER(CantoralDB[[#This Row],[index.html]],"&gt;"),"&gt;")&amp;"&gt;"</f>
        <v>&lt;a href="canciones/cesareo_gabarain/caminando_voy.html"&gt;</v>
      </c>
    </row>
    <row r="737" spans="1:23" x14ac:dyDescent="0.3">
      <c r="A737" s="1">
        <f>ROW(CantoralDB[[#This Row],[Título]])-1</f>
        <v>736</v>
      </c>
      <c r="B737" s="1" t="s">
        <v>1196</v>
      </c>
      <c r="C737" s="1"/>
      <c r="E737" s="1">
        <v>70</v>
      </c>
      <c r="H737" s="1" t="s">
        <v>1027</v>
      </c>
      <c r="J737" s="1" t="s">
        <v>608</v>
      </c>
      <c r="M737" s="15" t="s">
        <v>483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737" s="1"/>
      <c r="T737" s="1"/>
      <c r="U737" s="15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737" s="15" t="str">
        <f>_xlfn.TEXTBEFORE(_xlfn.TEXTAFTER(CantoralDB[[#This Row],[index.html]],"&gt;"),"&gt;")&amp;"&gt;"</f>
        <v>&lt;a href="canciones/cesareo_gabarain/cuando_rezamos_cuando_cantamos.html"&gt;</v>
      </c>
    </row>
    <row r="738" spans="1:23" x14ac:dyDescent="0.3">
      <c r="A738" s="1">
        <f>ROW(CantoralDB[[#This Row],[Título]])-1</f>
        <v>737</v>
      </c>
      <c r="B738" s="1" t="s">
        <v>1211</v>
      </c>
      <c r="C738" s="1"/>
      <c r="E738" s="1">
        <v>89</v>
      </c>
      <c r="H738" s="1" t="s">
        <v>1028</v>
      </c>
      <c r="J738" s="1" t="s">
        <v>608</v>
      </c>
      <c r="M738" s="15" t="s">
        <v>483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738" s="1"/>
      <c r="T738" s="1"/>
      <c r="U738" s="15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738" s="15" t="str">
        <f>_xlfn.TEXTBEFORE(_xlfn.TEXTAFTER(CantoralDB[[#This Row],[index.html]],"&gt;"),"&gt;")&amp;"&gt;"</f>
        <v>&lt;a href="canciones/cesareo_gabarain/en_el_trabajo_de_cada_dia.html"&gt;</v>
      </c>
    </row>
    <row r="739" spans="1:23" x14ac:dyDescent="0.3">
      <c r="A739" s="1">
        <f>ROW(CantoralDB[[#This Row],[Título]])-1</f>
        <v>738</v>
      </c>
      <c r="B739" s="1" t="s">
        <v>1245</v>
      </c>
      <c r="C739" s="1"/>
      <c r="E739" s="1">
        <v>105</v>
      </c>
      <c r="J739" s="1"/>
      <c r="M739" s="15" t="s">
        <v>483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739" s="1"/>
      <c r="T739" s="1"/>
      <c r="U739" s="15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739" s="15" t="str">
        <f>_xlfn.TEXTBEFORE(_xlfn.TEXTAFTER(CantoralDB[[#This Row],[index.html]],"&gt;"),"&gt;")&amp;"&gt;"</f>
        <v>&lt;a href="canciones/cesareo_gabarain/enseñame_señor_tus_caminos.html"&gt;</v>
      </c>
    </row>
    <row r="740" spans="1:23" x14ac:dyDescent="0.3">
      <c r="A740" s="1">
        <f>ROW(CantoralDB[[#This Row],[Título]])-1</f>
        <v>739</v>
      </c>
      <c r="B740" s="1" t="s">
        <v>62</v>
      </c>
      <c r="C740" s="1" t="s">
        <v>993</v>
      </c>
      <c r="D740" s="1" t="s">
        <v>705</v>
      </c>
      <c r="E740" s="1">
        <v>106</v>
      </c>
      <c r="G740" s="1" t="s">
        <v>209</v>
      </c>
      <c r="H740" s="1" t="s">
        <v>473</v>
      </c>
      <c r="I740" s="1" t="s">
        <v>2961</v>
      </c>
      <c r="J740" s="1" t="s">
        <v>608</v>
      </c>
      <c r="M740" s="15" t="s">
        <v>483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740" s="1" t="s">
        <v>833</v>
      </c>
      <c r="T740" s="1"/>
      <c r="U740" s="15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740" s="15" t="str">
        <f>_xlfn.TEXTBEFORE(_xlfn.TEXTAFTER(CantoralDB[[#This Row],[index.html]],"&gt;"),"&gt;")&amp;"&gt;"</f>
        <v>&lt;a href="canciones/cesareo_gabarain/eres_mi_riqueza.html"&gt;</v>
      </c>
    </row>
    <row r="741" spans="1:23" x14ac:dyDescent="0.3">
      <c r="A741" s="1">
        <f>ROW(CantoralDB[[#This Row],[Título]])-1</f>
        <v>740</v>
      </c>
      <c r="B741" s="1" t="s">
        <v>1248</v>
      </c>
      <c r="C741" s="1"/>
      <c r="E741" s="1">
        <v>115</v>
      </c>
      <c r="H741" s="1" t="s">
        <v>531</v>
      </c>
      <c r="J741" s="1" t="s">
        <v>608</v>
      </c>
      <c r="M741" s="15" t="s">
        <v>483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741" s="1"/>
      <c r="T741" s="1"/>
      <c r="U741" s="15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741" s="15" t="str">
        <f>_xlfn.TEXTBEFORE(_xlfn.TEXTAFTER(CantoralDB[[#This Row],[index.html]],"&gt;"),"&gt;")&amp;"&gt;"</f>
        <v>&lt;a href="canciones/cesareo_gabarain/esperando_esperando.html"&gt;</v>
      </c>
    </row>
    <row r="742" spans="1:23" x14ac:dyDescent="0.3">
      <c r="A742" s="1">
        <f>ROW(CantoralDB[[#This Row],[Título]])-1</f>
        <v>741</v>
      </c>
      <c r="B742" s="1" t="s">
        <v>1262</v>
      </c>
      <c r="C742" s="1"/>
      <c r="E742" s="1">
        <v>133</v>
      </c>
      <c r="J742" s="1"/>
      <c r="M742" s="15" t="s">
        <v>483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742" s="1"/>
      <c r="T742" s="1"/>
      <c r="U742" s="15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742" s="15" t="str">
        <f>_xlfn.TEXTBEFORE(_xlfn.TEXTAFTER(CantoralDB[[#This Row],[index.html]],"&gt;"),"&gt;")&amp;"&gt;"</f>
        <v>&lt;a href="canciones/cesareo_gabarain/haz_señor.html"&gt;</v>
      </c>
    </row>
    <row r="743" spans="1:23" x14ac:dyDescent="0.3">
      <c r="A743" s="1">
        <f>ROW(CantoralDB[[#This Row],[Título]])-1</f>
        <v>742</v>
      </c>
      <c r="B743" s="1" t="s">
        <v>79</v>
      </c>
      <c r="C743" s="1" t="s">
        <v>993</v>
      </c>
      <c r="D743" s="1" t="s">
        <v>713</v>
      </c>
      <c r="E743" s="1">
        <v>142</v>
      </c>
      <c r="G743" s="1" t="s">
        <v>209</v>
      </c>
      <c r="H743" s="1" t="s">
        <v>531</v>
      </c>
      <c r="I743" s="1" t="s">
        <v>2958</v>
      </c>
      <c r="J743" s="1" t="s">
        <v>608</v>
      </c>
      <c r="M743" s="15" t="s">
        <v>483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743" s="1"/>
      <c r="T743" s="1"/>
      <c r="U743" s="15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743" s="15" t="str">
        <f>_xlfn.TEXTBEFORE(_xlfn.TEXTAFTER(CantoralDB[[#This Row],[index.html]],"&gt;"),"&gt;")&amp;"&gt;"</f>
        <v>&lt;a href="canciones/cesareo_gabarain/iglesia_soy.html"&gt;</v>
      </c>
    </row>
    <row r="744" spans="1:23" x14ac:dyDescent="0.3">
      <c r="A744" s="1">
        <f>ROW(CantoralDB[[#This Row],[Título]])-1</f>
        <v>743</v>
      </c>
      <c r="B744" s="1" t="s">
        <v>83</v>
      </c>
      <c r="C744" s="1" t="s">
        <v>191</v>
      </c>
      <c r="D744" s="1" t="s">
        <v>743</v>
      </c>
      <c r="E744" s="1">
        <v>145</v>
      </c>
      <c r="G744" s="1" t="s">
        <v>209</v>
      </c>
      <c r="H744" s="1" t="s">
        <v>531</v>
      </c>
      <c r="J744" s="1" t="s">
        <v>608</v>
      </c>
      <c r="M744" s="15" t="s">
        <v>483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744" s="1"/>
      <c r="T744" s="1"/>
      <c r="U744" s="15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744" s="15" t="str">
        <f>_xlfn.TEXTBEFORE(_xlfn.TEXTAFTER(CantoralDB[[#This Row],[index.html]],"&gt;"),"&gt;")&amp;"&gt;"</f>
        <v>&lt;a href="canciones/cesareo_gabarain/juntos_como_hermanos.html"&gt;</v>
      </c>
    </row>
    <row r="745" spans="1:23" x14ac:dyDescent="0.3">
      <c r="A745" s="1">
        <f>ROW(CantoralDB[[#This Row],[Título]])-1</f>
        <v>744</v>
      </c>
      <c r="B745" s="1" t="s">
        <v>1277</v>
      </c>
      <c r="C745" s="1"/>
      <c r="E745" s="1">
        <v>160</v>
      </c>
      <c r="J745" s="1"/>
      <c r="M745" s="15" t="s">
        <v>483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745" s="1"/>
      <c r="T745" s="1"/>
      <c r="U745" s="15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745" s="15" t="str">
        <f>_xlfn.TEXTBEFORE(_xlfn.TEXTAFTER(CantoralDB[[#This Row],[index.html]],"&gt;"),"&gt;")&amp;"&gt;"</f>
        <v>&lt;a href="canciones/cesareo_gabarain/los_que_a_la_pobreza.html"&gt;</v>
      </c>
    </row>
    <row r="746" spans="1:23" x14ac:dyDescent="0.3">
      <c r="A746" s="1">
        <f>ROW(CantoralDB[[#This Row],[Título]])-1</f>
        <v>745</v>
      </c>
      <c r="B746" s="1" t="s">
        <v>102</v>
      </c>
      <c r="C746" s="1" t="s">
        <v>201</v>
      </c>
      <c r="D746" s="1" t="s">
        <v>669</v>
      </c>
      <c r="E746" s="1">
        <v>193</v>
      </c>
      <c r="G746" s="1" t="s">
        <v>209</v>
      </c>
      <c r="H746" s="1" t="s">
        <v>1030</v>
      </c>
      <c r="J746" s="1" t="s">
        <v>608</v>
      </c>
      <c r="M746" s="15" t="s">
        <v>483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746" s="1"/>
      <c r="T746" s="1"/>
      <c r="U746" s="15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746" s="15" t="str">
        <f>_xlfn.TEXTBEFORE(_xlfn.TEXTAFTER(CantoralDB[[#This Row],[index.html]],"&gt;"),"&gt;")&amp;"&gt;"</f>
        <v>&lt;a href="canciones/cesareo_gabarain/ojala_escuchemos_hoy_su_voz.html"&gt;</v>
      </c>
    </row>
    <row r="747" spans="1:23" x14ac:dyDescent="0.3">
      <c r="A747" s="1">
        <f>ROW(CantoralDB[[#This Row],[Título]])-1</f>
        <v>746</v>
      </c>
      <c r="B747" s="1" t="s">
        <v>137</v>
      </c>
      <c r="C747" s="1" t="s">
        <v>993</v>
      </c>
      <c r="D747" s="1" t="s">
        <v>1005</v>
      </c>
      <c r="E747" s="1">
        <v>241</v>
      </c>
      <c r="G747" s="1" t="s">
        <v>209</v>
      </c>
      <c r="H747" s="1" t="s">
        <v>531</v>
      </c>
      <c r="J747" s="1" t="s">
        <v>608</v>
      </c>
      <c r="M747" s="15" t="s">
        <v>483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747" s="1" t="s">
        <v>860</v>
      </c>
      <c r="T747" s="1"/>
      <c r="U747" s="15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747" s="15" t="str">
        <f>_xlfn.TEXTBEFORE(_xlfn.TEXTAFTER(CantoralDB[[#This Row],[index.html]],"&gt;"),"&gt;")&amp;"&gt;"</f>
        <v>&lt;a href="canciones/cesareo_gabarain/sois_la_semilla.html"&gt;</v>
      </c>
    </row>
    <row r="748" spans="1:23" x14ac:dyDescent="0.3">
      <c r="A748" s="1">
        <f>ROW(CantoralDB[[#This Row],[Título]])-1</f>
        <v>747</v>
      </c>
      <c r="B748" s="1" t="s">
        <v>597</v>
      </c>
      <c r="C748" s="1" t="s">
        <v>993</v>
      </c>
      <c r="D748" s="1" t="s">
        <v>1015</v>
      </c>
      <c r="E748" s="1">
        <v>251</v>
      </c>
      <c r="G748" s="1" t="s">
        <v>209</v>
      </c>
      <c r="H748" s="1" t="s">
        <v>1030</v>
      </c>
      <c r="J748" s="1" t="s">
        <v>608</v>
      </c>
      <c r="M748" s="15" t="s">
        <v>483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748" s="1"/>
      <c r="T748" s="1"/>
      <c r="U748" s="15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748" s="15" t="str">
        <f>_xlfn.TEXTBEFORE(_xlfn.TEXTAFTER(CantoralDB[[#This Row],[index.html]],"&gt;"),"&gt;")&amp;"&gt;"</f>
        <v>&lt;a href="canciones/cesareo_gabarain/tu_nos_dijiste_que_la_muerte.html"&gt;</v>
      </c>
    </row>
    <row r="749" spans="1:23" x14ac:dyDescent="0.3">
      <c r="A749" s="1">
        <f>ROW(CantoralDB[[#This Row],[Título]])-1</f>
        <v>748</v>
      </c>
      <c r="B749" s="1" t="s">
        <v>143</v>
      </c>
      <c r="C749" s="1" t="s">
        <v>993</v>
      </c>
      <c r="D749" s="1" t="s">
        <v>1011</v>
      </c>
      <c r="E749" s="1">
        <v>266</v>
      </c>
      <c r="G749" s="1" t="s">
        <v>209</v>
      </c>
      <c r="H749" s="1" t="s">
        <v>531</v>
      </c>
      <c r="I749" s="1" t="s">
        <v>2961</v>
      </c>
      <c r="J749" s="1" t="s">
        <v>608</v>
      </c>
      <c r="M749" s="15" t="s">
        <v>483</v>
      </c>
      <c r="N749" s="15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749" s="1"/>
      <c r="T749" s="1"/>
      <c r="U749" s="15"/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749" s="15" t="str">
        <f>_xlfn.TEXTBEFORE(_xlfn.TEXTAFTER(CantoralDB[[#This Row],[index.html]],"&gt;"),"&gt;")&amp;"&gt;"</f>
        <v>&lt;a href="canciones/cesareo_gabarain/todos_unidos.html"&gt;</v>
      </c>
    </row>
    <row r="750" spans="1:23" x14ac:dyDescent="0.3">
      <c r="A750" s="1">
        <f>ROW(CantoralDB[[#This Row],[Título]])-1</f>
        <v>749</v>
      </c>
      <c r="B750" s="1" t="s">
        <v>153</v>
      </c>
      <c r="C750" s="1" t="s">
        <v>195</v>
      </c>
      <c r="D750" s="1" t="s">
        <v>774</v>
      </c>
      <c r="E750" s="1">
        <v>271</v>
      </c>
      <c r="G750" s="1" t="s">
        <v>209</v>
      </c>
      <c r="H750" s="1" t="s">
        <v>1030</v>
      </c>
      <c r="J750" s="1" t="s">
        <v>608</v>
      </c>
      <c r="M750" s="15" t="s">
        <v>483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750" s="1"/>
      <c r="T750" s="1"/>
      <c r="U750" s="15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750" s="15" t="str">
        <f>_xlfn.TEXTBEFORE(_xlfn.TEXTAFTER(CantoralDB[[#This Row],[index.html]],"&gt;"),"&gt;")&amp;"&gt;"</f>
        <v>&lt;a href="canciones/cesareo_gabarain/una_espiga_dorada.html"&gt;</v>
      </c>
    </row>
    <row r="751" spans="1:23" x14ac:dyDescent="0.3">
      <c r="A751" s="1">
        <f>ROW(CantoralDB[[#This Row],[Título]])-1</f>
        <v>750</v>
      </c>
      <c r="B751" s="1" t="s">
        <v>154</v>
      </c>
      <c r="C751" s="1" t="s">
        <v>192</v>
      </c>
      <c r="D751" s="1" t="s">
        <v>1473</v>
      </c>
      <c r="E751" s="1">
        <v>274</v>
      </c>
      <c r="G751" s="1" t="s">
        <v>209</v>
      </c>
      <c r="H751" s="1" t="s">
        <v>531</v>
      </c>
      <c r="J751" s="1" t="s">
        <v>608</v>
      </c>
      <c r="M751" s="15" t="s">
        <v>483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751" s="1"/>
      <c r="T751" s="1"/>
      <c r="U751" s="15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751" s="15" t="str">
        <f>_xlfn.TEXTBEFORE(_xlfn.TEXTAFTER(CantoralDB[[#This Row],[index.html]],"&gt;"),"&gt;")&amp;"&gt;"</f>
        <v>&lt;a href="canciones/cesareo_gabarain/una_nueva_vida.html"&gt;</v>
      </c>
    </row>
    <row r="752" spans="1:23" x14ac:dyDescent="0.3">
      <c r="A752" s="1">
        <f>ROW(CantoralDB[[#This Row],[Título]])-1</f>
        <v>751</v>
      </c>
      <c r="B752" s="1" t="s">
        <v>163</v>
      </c>
      <c r="C752" s="1" t="s">
        <v>191</v>
      </c>
      <c r="D752" s="1" t="s">
        <v>763</v>
      </c>
      <c r="E752" s="1">
        <v>278</v>
      </c>
      <c r="G752" s="1" t="s">
        <v>209</v>
      </c>
      <c r="H752" s="1" t="s">
        <v>531</v>
      </c>
      <c r="J752" s="1" t="s">
        <v>608</v>
      </c>
      <c r="M752" s="15" t="s">
        <v>483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752" s="1"/>
      <c r="T752" s="1"/>
      <c r="U752" s="15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752" s="15" t="str">
        <f>_xlfn.TEXTBEFORE(_xlfn.TEXTAFTER(CantoralDB[[#This Row],[index.html]],"&gt;"),"&gt;")&amp;"&gt;"</f>
        <v>&lt;a href="canciones/cesareo_gabarain/vienen_con_alegria.html"&gt;</v>
      </c>
    </row>
    <row r="753" spans="1:23" x14ac:dyDescent="0.3">
      <c r="A753" s="1">
        <f>ROW(CantoralDB[[#This Row],[Título]])-1</f>
        <v>752</v>
      </c>
      <c r="B753" s="1" t="s">
        <v>1349</v>
      </c>
      <c r="C753" s="1"/>
      <c r="E753" s="1">
        <v>292</v>
      </c>
      <c r="H753" s="1" t="s">
        <v>1030</v>
      </c>
      <c r="J753" s="1" t="s">
        <v>608</v>
      </c>
      <c r="M753" s="15" t="s">
        <v>483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753" s="1"/>
      <c r="T753" s="1"/>
      <c r="U753" s="15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753" s="15" t="str">
        <f>_xlfn.TEXTBEFORE(_xlfn.TEXTAFTER(CantoralDB[[#This Row],[index.html]],"&gt;"),"&gt;")&amp;"&gt;"</f>
        <v>&lt;a href="canciones/cesareo_gabarain/yo_confio_en_ti_señor.html"&gt;</v>
      </c>
    </row>
    <row r="754" spans="1:23" x14ac:dyDescent="0.3">
      <c r="A754" s="1">
        <f>ROW(CantoralDB[[#This Row],[Título]])-1</f>
        <v>753</v>
      </c>
      <c r="B754" s="1" t="s">
        <v>1224</v>
      </c>
      <c r="C754" s="1"/>
      <c r="E754" s="1">
        <v>302</v>
      </c>
      <c r="H754" s="1" t="s">
        <v>1028</v>
      </c>
      <c r="J754" s="1" t="s">
        <v>608</v>
      </c>
      <c r="M754" s="15" t="s">
        <v>483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754" s="15" t="str">
        <f>_xlfn.TEXTBEFORE(_xlfn.TEXTAFTER(CantoralDB[[#This Row],[index.html]],"&gt;"),"&gt;")&amp;"&gt;"</f>
        <v>&lt;a href="canciones/cesareo_gabarain/cristo_te_necesita_para_amar.html"&gt;</v>
      </c>
    </row>
    <row r="755" spans="1:23" x14ac:dyDescent="0.3">
      <c r="A755" s="1">
        <f>ROW(CantoralDB[[#This Row],[Título]])-1</f>
        <v>754</v>
      </c>
      <c r="B755" s="1" t="s">
        <v>2900</v>
      </c>
      <c r="C755" s="1"/>
      <c r="E755" s="1">
        <v>306</v>
      </c>
      <c r="H755" s="1" t="s">
        <v>1027</v>
      </c>
      <c r="J755" s="1" t="s">
        <v>608</v>
      </c>
      <c r="M755" s="15" t="s">
        <v>483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755" s="1"/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755" s="15" t="str">
        <f>_xlfn.TEXTBEFORE(_xlfn.TEXTAFTER(CantoralDB[[#This Row],[index.html]],"&gt;"),"&gt;")&amp;"&gt;"</f>
        <v>&lt;a href="canciones/cesareo_gabarain/la_misa_es_una_fiesta_muy_alegre.html"&gt;</v>
      </c>
    </row>
    <row r="756" spans="1:23" x14ac:dyDescent="0.3">
      <c r="A756" s="1">
        <f>ROW(CantoralDB[[#This Row],[Título]])-1</f>
        <v>755</v>
      </c>
      <c r="B756" s="1" t="s">
        <v>2901</v>
      </c>
      <c r="C756" s="1"/>
      <c r="E756" s="1">
        <v>307</v>
      </c>
      <c r="H756" s="1" t="s">
        <v>1027</v>
      </c>
      <c r="J756" s="1" t="s">
        <v>608</v>
      </c>
      <c r="M756" s="15" t="s">
        <v>483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756" s="15" t="str">
        <f>_xlfn.TEXTBEFORE(_xlfn.TEXTAFTER(CantoralDB[[#This Row],[index.html]],"&gt;"),"&gt;")&amp;"&gt;"</f>
        <v>&lt;a href="canciones/cesareo_gabarain/la_misa_no_termina_aqui_en_la_iglesia.html"&gt;</v>
      </c>
    </row>
    <row r="757" spans="1:23" x14ac:dyDescent="0.3">
      <c r="A757" s="1">
        <f>ROW(CantoralDB[[#This Row],[Título]])-1</f>
        <v>756</v>
      </c>
      <c r="B757" s="1" t="s">
        <v>1356</v>
      </c>
      <c r="C757" s="1"/>
      <c r="E757" s="1">
        <v>311</v>
      </c>
      <c r="H757" s="1" t="s">
        <v>1027</v>
      </c>
      <c r="J757" s="1" t="s">
        <v>608</v>
      </c>
      <c r="M757" s="15" t="s">
        <v>483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757" s="1"/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757" s="15" t="str">
        <f>_xlfn.TEXTBEFORE(_xlfn.TEXTAFTER(CantoralDB[[#This Row],[index.html]],"&gt;"),"&gt;")&amp;"&gt;"</f>
        <v>&lt;a href="canciones/cesareo_gabarain/yo_tengo_un_amigo_que_me_ama.html"&gt;</v>
      </c>
    </row>
    <row r="758" spans="1:23" x14ac:dyDescent="0.3">
      <c r="A758" s="1">
        <f>ROW(CantoralDB[[#This Row],[Título]])-1</f>
        <v>757</v>
      </c>
      <c r="B758" s="1" t="s">
        <v>2902</v>
      </c>
      <c r="C758" s="1"/>
      <c r="E758" s="1">
        <v>312</v>
      </c>
      <c r="H758" s="1" t="s">
        <v>1027</v>
      </c>
      <c r="J758" s="1" t="s">
        <v>608</v>
      </c>
      <c r="M758" s="15" t="s">
        <v>483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758" s="15" t="str">
        <f>_xlfn.TEXTBEFORE(_xlfn.TEXTAFTER(CantoralDB[[#This Row],[index.html]],"&gt;"),"&gt;")&amp;"&gt;"</f>
        <v>&lt;a href="canciones/cesareo_gabarain/tu_que_siempre_nos_perdonas.html"&gt;</v>
      </c>
    </row>
    <row r="759" spans="1:23" x14ac:dyDescent="0.3">
      <c r="A759" s="1">
        <f>ROW(CantoralDB[[#This Row],[Título]])-1</f>
        <v>758</v>
      </c>
      <c r="B759" s="1" t="s">
        <v>1357</v>
      </c>
      <c r="C759" s="1"/>
      <c r="E759" s="1">
        <v>315</v>
      </c>
      <c r="H759" s="1" t="s">
        <v>1027</v>
      </c>
      <c r="J759" s="1" t="s">
        <v>608</v>
      </c>
      <c r="M759" s="15" t="s">
        <v>483</v>
      </c>
      <c r="N759" s="15"/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759" s="15" t="str">
        <f>_xlfn.TEXTBEFORE(_xlfn.TEXTAFTER(CantoralDB[[#This Row],[index.html]],"&gt;"),"&gt;")&amp;"&gt;"</f>
        <v>&lt;a href="canciones/cesareo_gabarain/yo_pensaba_que_el_hombre_era_grande.html"&gt;</v>
      </c>
    </row>
    <row r="760" spans="1:23" x14ac:dyDescent="0.3">
      <c r="A760" s="1">
        <f>ROW(CantoralDB[[#This Row],[Título]])-1</f>
        <v>759</v>
      </c>
      <c r="B760" s="1" t="s">
        <v>151</v>
      </c>
      <c r="C760" s="1" t="s">
        <v>195</v>
      </c>
      <c r="D760" s="1" t="s">
        <v>773</v>
      </c>
      <c r="E760" s="1">
        <v>468</v>
      </c>
      <c r="G760" s="1" t="s">
        <v>209</v>
      </c>
      <c r="H760" s="1" t="s">
        <v>473</v>
      </c>
      <c r="I760" s="1" t="s">
        <v>2961</v>
      </c>
      <c r="J760" s="1" t="s">
        <v>608</v>
      </c>
      <c r="M760" s="15" t="s">
        <v>483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760" s="1" t="s">
        <v>866</v>
      </c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760" s="15" t="str">
        <f>_xlfn.TEXTBEFORE(_xlfn.TEXTAFTER(CantoralDB[[#This Row],[index.html]],"&gt;"),"&gt;")&amp;"&gt;"</f>
        <v>&lt;a href="canciones/cesareo_gabarain/un_niño_se_te_acerco.html"&gt;</v>
      </c>
    </row>
    <row r="761" spans="1:23" x14ac:dyDescent="0.3">
      <c r="A761" s="1">
        <f>ROW(CantoralDB[[#This Row],[Título]])-1</f>
        <v>760</v>
      </c>
      <c r="B761" s="1" t="s">
        <v>177</v>
      </c>
      <c r="C761" s="1" t="s">
        <v>191</v>
      </c>
      <c r="D761" s="1" t="s">
        <v>732</v>
      </c>
      <c r="G761" s="1" t="s">
        <v>209</v>
      </c>
      <c r="H761" s="1" t="s">
        <v>531</v>
      </c>
      <c r="J761" s="1" t="s">
        <v>608</v>
      </c>
      <c r="M761" s="15" t="s">
        <v>483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761" s="1" t="s">
        <v>820</v>
      </c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761" s="15" t="str">
        <f>_xlfn.TEXTBEFORE(_xlfn.TEXTAFTER(CantoralDB[[#This Row],[index.html]],"&gt;"),"&gt;")&amp;"&gt;"</f>
        <v>&lt;a href="canciones/cesareo_gabarain/dios_es_amor.html"&gt;</v>
      </c>
    </row>
    <row r="762" spans="1:23" x14ac:dyDescent="0.3">
      <c r="A762" s="1">
        <f>ROW(CantoralDB[[#This Row],[Título]])-1</f>
        <v>761</v>
      </c>
      <c r="B762" s="1" t="s">
        <v>2861</v>
      </c>
      <c r="C762" s="1"/>
      <c r="H762" s="1" t="s">
        <v>473</v>
      </c>
      <c r="J762" s="1" t="s">
        <v>608</v>
      </c>
      <c r="M762" s="15" t="s">
        <v>483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762" s="1"/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762" s="15" t="str">
        <f>_xlfn.TEXTBEFORE(_xlfn.TEXTAFTER(CantoralDB[[#This Row],[index.html]],"&gt;"),"&gt;")&amp;"&gt;"</f>
        <v>&lt;a href="canciones/cesareo_gabarain/a_quien_temere.html"&gt;</v>
      </c>
    </row>
    <row r="763" spans="1:23" x14ac:dyDescent="0.3">
      <c r="A763" s="1">
        <f>ROW(CantoralDB[[#This Row],[Título]])-1</f>
        <v>762</v>
      </c>
      <c r="B763" s="1" t="s">
        <v>17</v>
      </c>
      <c r="C763" s="1" t="s">
        <v>194</v>
      </c>
      <c r="D763" s="1" t="s">
        <v>1377</v>
      </c>
      <c r="G763" s="1" t="s">
        <v>209</v>
      </c>
      <c r="H763" s="1" t="s">
        <v>1030</v>
      </c>
      <c r="I763" s="1" t="s">
        <v>2961</v>
      </c>
      <c r="J763" s="1" t="s">
        <v>608</v>
      </c>
      <c r="M763" s="15" t="s">
        <v>483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763" s="1"/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763" s="15" t="str">
        <f>_xlfn.TEXTBEFORE(_xlfn.TEXTAFTER(CantoralDB[[#This Row],[index.html]],"&gt;"),"&gt;")&amp;"&gt;"</f>
        <v>&lt;a href="canciones/cesareo_gabarain/aleluya_creo_en_ti_señor.html"&gt;</v>
      </c>
    </row>
    <row r="764" spans="1:23" x14ac:dyDescent="0.3">
      <c r="A764" s="1">
        <f>ROW(CantoralDB[[#This Row],[Título]])-1</f>
        <v>763</v>
      </c>
      <c r="B764" s="1" t="s">
        <v>179</v>
      </c>
      <c r="C764" s="1" t="s">
        <v>476</v>
      </c>
      <c r="D764" s="1" t="s">
        <v>1413</v>
      </c>
      <c r="G764" s="1" t="s">
        <v>209</v>
      </c>
      <c r="H764" s="1" t="s">
        <v>1030</v>
      </c>
      <c r="J764" s="1" t="s">
        <v>608</v>
      </c>
      <c r="M764" s="15" t="s">
        <v>483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764" s="15" t="str">
        <f>_xlfn.TEXTBEFORE(_xlfn.TEXTAFTER(CantoralDB[[#This Row],[index.html]],"&gt;"),"&gt;")&amp;"&gt;"</f>
        <v>&lt;a href="canciones/cesareo_gabarain/el_niño_dios_ha_nacido_en_belen.html"&gt;</v>
      </c>
    </row>
    <row r="765" spans="1:23" x14ac:dyDescent="0.3">
      <c r="A765" s="1">
        <f>ROW(CantoralDB[[#This Row],[Título]])-1</f>
        <v>764</v>
      </c>
      <c r="B765" s="1" t="s">
        <v>489</v>
      </c>
      <c r="C765" s="1" t="s">
        <v>191</v>
      </c>
      <c r="D765" s="1" t="s">
        <v>745</v>
      </c>
      <c r="G765" s="1" t="s">
        <v>216</v>
      </c>
      <c r="H765" s="1" t="s">
        <v>1030</v>
      </c>
      <c r="J765" s="1" t="s">
        <v>608</v>
      </c>
      <c r="M765" s="15" t="s">
        <v>483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765" s="1"/>
      <c r="T765" s="1"/>
      <c r="U765" s="15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765" s="15" t="str">
        <f>_xlfn.TEXTBEFORE(_xlfn.TEXTAFTER(CantoralDB[[#This Row],[index.html]],"&gt;"),"&gt;")&amp;"&gt;"</f>
        <v>&lt;a href="canciones/cesareo_gabarain/peregrino_(exodo_y_liberacion).html"&gt;</v>
      </c>
    </row>
    <row r="766" spans="1:23" x14ac:dyDescent="0.3">
      <c r="A766" s="1">
        <f>ROW(CantoralDB[[#This Row],[Título]])-1</f>
        <v>765</v>
      </c>
      <c r="B766" s="1" t="s">
        <v>204</v>
      </c>
      <c r="C766" s="1" t="s">
        <v>993</v>
      </c>
      <c r="D766" s="1" t="s">
        <v>1038</v>
      </c>
      <c r="E766" s="1">
        <v>23</v>
      </c>
      <c r="G766" s="1" t="s">
        <v>209</v>
      </c>
      <c r="H766" s="1" t="s">
        <v>1027</v>
      </c>
      <c r="I766" s="1" t="s">
        <v>2961</v>
      </c>
      <c r="J766" s="1" t="s">
        <v>608</v>
      </c>
      <c r="M766" s="15" t="s">
        <v>541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766" s="1"/>
      <c r="T766" s="1"/>
      <c r="U766" s="15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766" s="15" t="str">
        <f>_xlfn.TEXTBEFORE(_xlfn.TEXTAFTER(CantoralDB[[#This Row],[index.html]],"&gt;"),"&gt;")&amp;"&gt;"</f>
        <v>&lt;a href="canciones/nsb/alza_tu_mano_(comunidad).html"&gt;</v>
      </c>
    </row>
    <row r="767" spans="1:23" x14ac:dyDescent="0.3">
      <c r="A767" s="1">
        <f>ROW(CantoralDB[[#This Row],[Título]])-1</f>
        <v>766</v>
      </c>
      <c r="B767" s="1" t="s">
        <v>551</v>
      </c>
      <c r="C767" s="1" t="s">
        <v>476</v>
      </c>
      <c r="D767" s="1" t="s">
        <v>1068</v>
      </c>
      <c r="E767" s="1">
        <v>171</v>
      </c>
      <c r="H767" s="1" t="s">
        <v>1029</v>
      </c>
      <c r="J767" s="1" t="s">
        <v>608</v>
      </c>
      <c r="M767" s="15" t="s">
        <v>541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767" s="1"/>
      <c r="T767" s="1"/>
      <c r="U767" s="15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767" s="15" t="str">
        <f>_xlfn.TEXTBEFORE(_xlfn.TEXTAFTER(CantoralDB[[#This Row],[index.html]],"&gt;"),"&gt;")&amp;"&gt;"</f>
        <v>&lt;a href="canciones/nsb/vivid_la_navidad.html"&gt;</v>
      </c>
    </row>
    <row r="768" spans="1:23" x14ac:dyDescent="0.3">
      <c r="A768" s="1">
        <f>ROW(CantoralDB[[#This Row],[Título]])-1</f>
        <v>767</v>
      </c>
      <c r="B768" s="1" t="s">
        <v>133</v>
      </c>
      <c r="C768" s="1" t="s">
        <v>192</v>
      </c>
      <c r="D768" s="1" t="s">
        <v>1468</v>
      </c>
      <c r="E768" s="1">
        <v>460</v>
      </c>
      <c r="G768" s="1" t="s">
        <v>209</v>
      </c>
      <c r="H768" s="1" t="s">
        <v>531</v>
      </c>
      <c r="I768" s="1" t="s">
        <v>2962</v>
      </c>
      <c r="J768" s="1" t="s">
        <v>608</v>
      </c>
      <c r="M768" s="15" t="s">
        <v>792</v>
      </c>
      <c r="N768" s="15"/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768" s="1"/>
      <c r="T768" s="1"/>
      <c r="U768" s="15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768" s="15" t="str">
        <f>_xlfn.TEXTBEFORE(_xlfn.TEXTAFTER(CantoralDB[[#This Row],[index.html]],"&gt;"),"&gt;")&amp;"&gt;"</f>
        <v>&lt;a href="canciones/nsb/señor_ten_piedad.html"&gt;</v>
      </c>
    </row>
    <row r="769" spans="1:23" x14ac:dyDescent="0.3">
      <c r="A769" s="1">
        <f>ROW(CantoralDB[[#This Row],[Título]])-1</f>
        <v>768</v>
      </c>
      <c r="B769" s="1" t="s">
        <v>150</v>
      </c>
      <c r="C769" s="1" t="s">
        <v>195</v>
      </c>
      <c r="D769" s="1" t="s">
        <v>772</v>
      </c>
      <c r="E769" s="1">
        <v>467</v>
      </c>
      <c r="G769" s="1" t="s">
        <v>209</v>
      </c>
      <c r="H769" s="1" t="s">
        <v>531</v>
      </c>
      <c r="I769" s="1" t="s">
        <v>2961</v>
      </c>
      <c r="J769" s="1" t="s">
        <v>608</v>
      </c>
      <c r="M769" s="15" t="s">
        <v>793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769" s="1"/>
      <c r="T769" s="1"/>
      <c r="U769" s="15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769" s="15" t="str">
        <f>_xlfn.TEXTBEFORE(_xlfn.TEXTAFTER(CantoralDB[[#This Row],[index.html]],"&gt;"),"&gt;")&amp;"&gt;"</f>
        <v>&lt;a href="canciones/nsb/un_dia_abri_los_ojos.html"&gt;</v>
      </c>
    </row>
    <row r="770" spans="1:23" x14ac:dyDescent="0.3">
      <c r="A770" s="1">
        <f>ROW(CantoralDB[[#This Row],[Título]])-1</f>
        <v>769</v>
      </c>
      <c r="B770" s="1" t="s">
        <v>162</v>
      </c>
      <c r="C770" s="1" t="s">
        <v>993</v>
      </c>
      <c r="D770" s="1" t="s">
        <v>1017</v>
      </c>
      <c r="E770" s="1">
        <v>286</v>
      </c>
      <c r="G770" s="1" t="s">
        <v>209</v>
      </c>
      <c r="H770" s="1" t="s">
        <v>473</v>
      </c>
      <c r="I770" s="1" t="s">
        <v>2960</v>
      </c>
      <c r="J770" s="1" t="s">
        <v>608</v>
      </c>
      <c r="M770" s="15" t="s">
        <v>2880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770" s="1"/>
      <c r="T770" s="1"/>
      <c r="U770" s="15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770" s="15" t="str">
        <f>_xlfn.TEXTBEFORE(_xlfn.TEXTAFTER(CantoralDB[[#This Row],[index.html]],"&gt;"),"&gt;")&amp;"&gt;"</f>
        <v>&lt;a href="canciones/nsb/victoria_tu_reinaras.html"&gt;</v>
      </c>
    </row>
    <row r="771" spans="1:23" x14ac:dyDescent="0.3">
      <c r="A771" s="1">
        <f>ROW(CantoralDB[[#This Row],[Título]])-1</f>
        <v>770</v>
      </c>
      <c r="B771" s="1" t="s">
        <v>1342</v>
      </c>
      <c r="C771" s="1"/>
      <c r="E771" s="1">
        <v>280</v>
      </c>
      <c r="J771" s="1"/>
      <c r="M771" s="15" t="s">
        <v>2108</v>
      </c>
      <c r="N771" s="15"/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771" s="1"/>
      <c r="T771" s="1"/>
      <c r="U771" s="15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771" s="15" t="str">
        <f>_xlfn.TEXTBEFORE(_xlfn.TEXTAFTER(CantoralDB[[#This Row],[index.html]],"&gt;"),"&gt;")&amp;"&gt;"</f>
        <v>&lt;a href="canciones/nsb/ven_a_nuestro_mundo.html"&gt;</v>
      </c>
    </row>
    <row r="772" spans="1:23" x14ac:dyDescent="0.3">
      <c r="A772" s="1">
        <f>ROW(CantoralDB[[#This Row],[Título]])-1</f>
        <v>771</v>
      </c>
      <c r="B772" s="1" t="s">
        <v>60</v>
      </c>
      <c r="C772" s="1" t="s">
        <v>993</v>
      </c>
      <c r="D772" s="1" t="s">
        <v>703</v>
      </c>
      <c r="E772" s="1">
        <v>424</v>
      </c>
      <c r="G772" s="1" t="s">
        <v>209</v>
      </c>
      <c r="H772" s="1" t="s">
        <v>1027</v>
      </c>
      <c r="J772" s="1" t="s">
        <v>608</v>
      </c>
      <c r="M772" s="15" t="s">
        <v>628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772" s="1" t="s">
        <v>831</v>
      </c>
      <c r="T772" s="1"/>
      <c r="U772" s="15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772" s="15" t="str">
        <f>_xlfn.TEXTBEFORE(_xlfn.TEXTAFTER(CantoralDB[[#This Row],[index.html]],"&gt;"),"&gt;")&amp;"&gt;"</f>
        <v>&lt;a href="canciones/nsb/en_mi_getsemani.html"&gt;</v>
      </c>
    </row>
    <row r="773" spans="1:23" x14ac:dyDescent="0.3">
      <c r="A773" s="1">
        <f>ROW(CantoralDB[[#This Row],[Título]])-1</f>
        <v>772</v>
      </c>
      <c r="B773" s="1" t="s">
        <v>594</v>
      </c>
      <c r="C773" s="1" t="s">
        <v>993</v>
      </c>
      <c r="D773" s="1" t="s">
        <v>1000</v>
      </c>
      <c r="G773" s="1" t="s">
        <v>595</v>
      </c>
      <c r="H773" s="1" t="s">
        <v>1027</v>
      </c>
      <c r="J773" s="1" t="s">
        <v>608</v>
      </c>
      <c r="M773" s="15" t="s">
        <v>628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773" s="1"/>
      <c r="T773" s="1"/>
      <c r="U773" s="15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773" s="15" t="str">
        <f>_xlfn.TEXTBEFORE(_xlfn.TEXTAFTER(CantoralDB[[#This Row],[index.html]],"&gt;"),"&gt;")&amp;"&gt;"</f>
        <v>&lt;a href="canciones/nsb/quiero_ser_pan.html"&gt;</v>
      </c>
    </row>
    <row r="774" spans="1:23" x14ac:dyDescent="0.3">
      <c r="A774" s="1">
        <f>ROW(CantoralDB[[#This Row],[Título]])-1</f>
        <v>773</v>
      </c>
      <c r="B774" s="1" t="s">
        <v>532</v>
      </c>
      <c r="C774" s="1" t="s">
        <v>195</v>
      </c>
      <c r="D774" s="1" t="s">
        <v>1419</v>
      </c>
      <c r="G774" s="1" t="s">
        <v>533</v>
      </c>
      <c r="H774" s="1" t="s">
        <v>473</v>
      </c>
      <c r="I774" s="1" t="s">
        <v>2961</v>
      </c>
      <c r="J774" s="1" t="s">
        <v>608</v>
      </c>
      <c r="M774" s="15" t="s">
        <v>616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774" s="1"/>
      <c r="T774" s="1"/>
      <c r="U774" s="33" t="s">
        <v>2991</v>
      </c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774" s="15" t="str">
        <f>_xlfn.TEXTBEFORE(_xlfn.TEXTAFTER(CantoralDB[[#This Row],[index.html]],"&gt;"),"&gt;")&amp;"&gt;"</f>
        <v>&lt;a href="canciones/nsb/esto_que_te_doy.html"&gt;</v>
      </c>
    </row>
    <row r="775" spans="1:23" x14ac:dyDescent="0.3">
      <c r="A775" s="1">
        <f>ROW(CantoralDB[[#This Row],[Título]])-1</f>
        <v>774</v>
      </c>
      <c r="B775" s="1" t="s">
        <v>37</v>
      </c>
      <c r="C775" s="1" t="s">
        <v>993</v>
      </c>
      <c r="D775" s="1" t="s">
        <v>691</v>
      </c>
      <c r="E775" s="1">
        <v>414</v>
      </c>
      <c r="G775" s="1" t="s">
        <v>209</v>
      </c>
      <c r="H775" s="1" t="s">
        <v>531</v>
      </c>
      <c r="J775" s="1" t="s">
        <v>608</v>
      </c>
      <c r="M775" s="15" t="s">
        <v>619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775" s="1" t="s">
        <v>817</v>
      </c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775" s="15" t="str">
        <f>_xlfn.TEXTBEFORE(_xlfn.TEXTAFTER(CantoralDB[[#This Row],[index.html]],"&gt;"),"&gt;")&amp;"&gt;"</f>
        <v>&lt;a href="canciones/nsb/corazon_inquieto.html"&gt;</v>
      </c>
    </row>
    <row r="776" spans="1:23" x14ac:dyDescent="0.3">
      <c r="A776" s="1">
        <f>ROW(CantoralDB[[#This Row],[Título]])-1</f>
        <v>775</v>
      </c>
      <c r="B776" s="1" t="s">
        <v>27</v>
      </c>
      <c r="C776" s="1" t="s">
        <v>993</v>
      </c>
      <c r="D776" s="1" t="s">
        <v>686</v>
      </c>
      <c r="E776" s="1">
        <v>34</v>
      </c>
      <c r="G776" s="1" t="s">
        <v>209</v>
      </c>
      <c r="H776" s="1" t="s">
        <v>1030</v>
      </c>
      <c r="I776" s="1" t="s">
        <v>2960</v>
      </c>
      <c r="J776" s="1" t="s">
        <v>608</v>
      </c>
      <c r="M776" s="15" t="s">
        <v>543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776" s="1" t="s">
        <v>809</v>
      </c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776" s="15" t="str">
        <f>_xlfn.TEXTBEFORE(_xlfn.TEXTAFTER(CantoralDB[[#This Row],[index.html]],"&gt;"),"&gt;")&amp;"&gt;"</f>
        <v>&lt;a href="canciones/emilio_vicente_mateu/bienaventurados_seremos_señor.html"&gt;</v>
      </c>
    </row>
    <row r="777" spans="1:23" x14ac:dyDescent="0.3">
      <c r="A777" s="1">
        <f>ROW(CantoralDB[[#This Row],[Título]])-1</f>
        <v>776</v>
      </c>
      <c r="B777" s="1" t="s">
        <v>32</v>
      </c>
      <c r="C777" s="1" t="s">
        <v>476</v>
      </c>
      <c r="D777" s="1" t="s">
        <v>1398</v>
      </c>
      <c r="E777" s="1">
        <v>50</v>
      </c>
      <c r="G777" s="1" t="s">
        <v>209</v>
      </c>
      <c r="H777" s="1" t="s">
        <v>1027</v>
      </c>
      <c r="J777" s="1" t="s">
        <v>608</v>
      </c>
      <c r="M777" s="15" t="s">
        <v>543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777" s="15" t="str">
        <f>_xlfn.TEXTBEFORE(_xlfn.TEXTAFTER(CantoralDB[[#This Row],[index.html]],"&gt;"),"&gt;")&amp;"&gt;"</f>
        <v>&lt;a href="canciones/emilio_vicente_mateu/cantemos_todos_la_navidad.html"&gt;</v>
      </c>
    </row>
    <row r="778" spans="1:23" x14ac:dyDescent="0.3">
      <c r="A778" s="1">
        <f>ROW(CantoralDB[[#This Row],[Título]])-1</f>
        <v>777</v>
      </c>
      <c r="B778" s="1" t="s">
        <v>1208</v>
      </c>
      <c r="C778" s="1"/>
      <c r="E778" s="1">
        <v>85</v>
      </c>
      <c r="J778" s="1"/>
      <c r="M778" s="15" t="s">
        <v>543</v>
      </c>
      <c r="N778" s="15"/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778" s="15" t="str">
        <f>_xlfn.TEXTBEFORE(_xlfn.TEXTAFTER(CantoralDB[[#This Row],[index.html]],"&gt;"),"&gt;")&amp;"&gt;"</f>
        <v>&lt;a href="canciones/emilio_vicente_mateu/dios_te_salve_mi_señora.html"&gt;</v>
      </c>
    </row>
    <row r="779" spans="1:23" x14ac:dyDescent="0.3">
      <c r="A779" s="1">
        <f>ROW(CantoralDB[[#This Row],[Título]])-1</f>
        <v>778</v>
      </c>
      <c r="B779" s="1" t="s">
        <v>54</v>
      </c>
      <c r="C779" s="1" t="s">
        <v>476</v>
      </c>
      <c r="D779" s="1" t="s">
        <v>1414</v>
      </c>
      <c r="E779" s="1">
        <v>92</v>
      </c>
      <c r="G779" s="1" t="s">
        <v>209</v>
      </c>
      <c r="H779" s="1" t="s">
        <v>1030</v>
      </c>
      <c r="J779" s="1" t="s">
        <v>608</v>
      </c>
      <c r="M779" s="15" t="s">
        <v>543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779" s="15" t="str">
        <f>_xlfn.TEXTBEFORE(_xlfn.TEXTAFTER(CantoralDB[[#This Row],[index.html]],"&gt;"),"&gt;")&amp;"&gt;"</f>
        <v>&lt;a href="canciones/emilio_vicente_mateu/el_señor_nos_ha_nacido_en_belen.html"&gt;</v>
      </c>
    </row>
    <row r="780" spans="1:23" x14ac:dyDescent="0.3">
      <c r="A780" s="1">
        <f>ROW(CantoralDB[[#This Row],[Título]])-1</f>
        <v>779</v>
      </c>
      <c r="B780" s="1" t="s">
        <v>87</v>
      </c>
      <c r="C780" s="1" t="s">
        <v>476</v>
      </c>
      <c r="D780" s="1" t="s">
        <v>1060</v>
      </c>
      <c r="E780" s="1">
        <v>158</v>
      </c>
      <c r="G780" s="1" t="s">
        <v>209</v>
      </c>
      <c r="H780" s="1" t="s">
        <v>531</v>
      </c>
      <c r="J780" s="1" t="s">
        <v>608</v>
      </c>
      <c r="M780" s="15" t="s">
        <v>543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780" s="15" t="str">
        <f>_xlfn.TEXTBEFORE(_xlfn.TEXTAFTER(CantoralDB[[#This Row],[index.html]],"&gt;"),"&gt;")&amp;"&gt;"</f>
        <v>&lt;a href="canciones/emilio_vicente_mateu/los_magos_vienen_de_oriente.html"&gt;</v>
      </c>
    </row>
    <row r="781" spans="1:23" x14ac:dyDescent="0.3">
      <c r="A781" s="1">
        <f>ROW(CantoralDB[[#This Row],[Título]])-1</f>
        <v>780</v>
      </c>
      <c r="B781" s="1" t="s">
        <v>138</v>
      </c>
      <c r="C781" s="1" t="s">
        <v>993</v>
      </c>
      <c r="D781" s="1" t="s">
        <v>1006</v>
      </c>
      <c r="E781" s="1">
        <v>237</v>
      </c>
      <c r="G781" s="1" t="s">
        <v>209</v>
      </c>
      <c r="H781" s="1" t="s">
        <v>1030</v>
      </c>
      <c r="I781" s="1" t="s">
        <v>2962</v>
      </c>
      <c r="J781" s="1" t="s">
        <v>608</v>
      </c>
      <c r="M781" s="15" t="s">
        <v>543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781" s="15" t="str">
        <f>_xlfn.TEXTBEFORE(_xlfn.TEXTAFTER(CantoralDB[[#This Row],[index.html]],"&gt;"),"&gt;")&amp;"&gt;"</f>
        <v>&lt;a href="canciones/emilio_vicente_mateu/somos_un_pueblo_que_camina.html"&gt;</v>
      </c>
    </row>
    <row r="782" spans="1:23" x14ac:dyDescent="0.3">
      <c r="A782" s="1">
        <f>ROW(CantoralDB[[#This Row],[Título]])-1</f>
        <v>781</v>
      </c>
      <c r="B782" s="1" t="s">
        <v>1319</v>
      </c>
      <c r="C782" s="1"/>
      <c r="E782" s="1">
        <v>239</v>
      </c>
      <c r="H782" s="1" t="s">
        <v>531</v>
      </c>
      <c r="J782" s="1" t="s">
        <v>608</v>
      </c>
      <c r="M782" s="15" t="s">
        <v>543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782" s="15" t="str">
        <f>_xlfn.TEXTBEFORE(_xlfn.TEXTAFTER(CantoralDB[[#This Row],[index.html]],"&gt;"),"&gt;")&amp;"&gt;"</f>
        <v>&lt;a href="canciones/emilio_vicente_mateu/siempre_unidos_mano_a_mano.html"&gt;</v>
      </c>
    </row>
    <row r="783" spans="1:23" x14ac:dyDescent="0.3">
      <c r="A783" s="1">
        <f>ROW(CantoralDB[[#This Row],[Título]])-1</f>
        <v>782</v>
      </c>
      <c r="B783" s="1" t="s">
        <v>1324</v>
      </c>
      <c r="C783" s="1"/>
      <c r="E783" s="1">
        <v>246</v>
      </c>
      <c r="J783" s="1"/>
      <c r="M783" s="15" t="s">
        <v>543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783" s="1"/>
      <c r="T783" s="1"/>
      <c r="U783" s="15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783" s="15" t="str">
        <f>_xlfn.TEXTBEFORE(_xlfn.TEXTAFTER(CantoralDB[[#This Row],[index.html]],"&gt;"),"&gt;")&amp;"&gt;"</f>
        <v>&lt;a href="canciones/emilio_vicente_mateu/somos_un_solo_cuerpo.html"&gt;</v>
      </c>
    </row>
    <row r="784" spans="1:23" x14ac:dyDescent="0.3">
      <c r="A784" s="1">
        <f>ROW(CantoralDB[[#This Row],[Título]])-1</f>
        <v>783</v>
      </c>
      <c r="B784" s="1" t="s">
        <v>1331</v>
      </c>
      <c r="C784" s="1"/>
      <c r="E784" s="1">
        <v>256</v>
      </c>
      <c r="J784" s="1"/>
      <c r="M784" s="15" t="s">
        <v>543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784" s="1"/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784" s="15" t="str">
        <f>_xlfn.TEXTBEFORE(_xlfn.TEXTAFTER(CantoralDB[[#This Row],[index.html]],"&gt;"),"&gt;")&amp;"&gt;"</f>
        <v>&lt;a href="canciones/emilio_vicente_mateu/te_buscamos_señor.html"&gt;</v>
      </c>
    </row>
    <row r="785" spans="1:23" x14ac:dyDescent="0.3">
      <c r="A785" s="1">
        <f>ROW(CantoralDB[[#This Row],[Título]])-1</f>
        <v>784</v>
      </c>
      <c r="B785" s="1" t="s">
        <v>1333</v>
      </c>
      <c r="C785" s="1"/>
      <c r="E785" s="1">
        <v>260</v>
      </c>
      <c r="H785" s="1" t="s">
        <v>1030</v>
      </c>
      <c r="J785" s="1" t="s">
        <v>608</v>
      </c>
      <c r="M785" s="15" t="s">
        <v>543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785" s="1"/>
      <c r="T785" s="1"/>
      <c r="U785" s="33" t="s">
        <v>2979</v>
      </c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785" s="15" t="str">
        <f>_xlfn.TEXTBEFORE(_xlfn.TEXTAFTER(CantoralDB[[#This Row],[index.html]],"&gt;"),"&gt;")&amp;"&gt;"</f>
        <v>&lt;a href="canciones/emilio_vicente_mateu/tiempo_de_espera.html"&gt;</v>
      </c>
    </row>
    <row r="786" spans="1:23" x14ac:dyDescent="0.3">
      <c r="A786" s="1">
        <f>ROW(CantoralDB[[#This Row],[Título]])-1</f>
        <v>785</v>
      </c>
      <c r="B786" s="1" t="s">
        <v>1241</v>
      </c>
      <c r="C786" s="1"/>
      <c r="E786" s="1">
        <v>282</v>
      </c>
      <c r="H786" s="1" t="s">
        <v>473</v>
      </c>
      <c r="J786" s="1" t="s">
        <v>608</v>
      </c>
      <c r="M786" s="15" t="s">
        <v>543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786" s="1"/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786" s="15" t="str">
        <f>_xlfn.TEXTBEFORE(_xlfn.TEXTAFTER(CantoralDB[[#This Row],[index.html]],"&gt;"),"&gt;")&amp;"&gt;"</f>
        <v>&lt;a href="canciones/emilio_vicente_mateu/vendra_la_libertad.html"&gt;</v>
      </c>
    </row>
    <row r="787" spans="1:23" x14ac:dyDescent="0.3">
      <c r="A787" s="1">
        <f>ROW(CantoralDB[[#This Row],[Título]])-1</f>
        <v>786</v>
      </c>
      <c r="B787" s="1" t="s">
        <v>24</v>
      </c>
      <c r="C787" s="1" t="s">
        <v>993</v>
      </c>
      <c r="D787" s="1" t="s">
        <v>1039</v>
      </c>
      <c r="E787" s="1">
        <v>410</v>
      </c>
      <c r="G787" s="1" t="s">
        <v>209</v>
      </c>
      <c r="H787" s="1" t="s">
        <v>1027</v>
      </c>
      <c r="J787" s="1" t="s">
        <v>608</v>
      </c>
      <c r="M787" s="15" t="s">
        <v>543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787" s="15" t="str">
        <f>_xlfn.TEXTBEFORE(_xlfn.TEXTAFTER(CantoralDB[[#This Row],[index.html]],"&gt;"),"&gt;")&amp;"&gt;"</f>
        <v>&lt;a href="canciones/emilio_vicente_mateu/amar_es_darse.html"&gt;</v>
      </c>
    </row>
    <row r="788" spans="1:23" x14ac:dyDescent="0.3">
      <c r="A788" s="1">
        <f>ROW(CantoralDB[[#This Row],[Título]])-1</f>
        <v>787</v>
      </c>
      <c r="B788" s="1" t="s">
        <v>20</v>
      </c>
      <c r="C788" s="1" t="s">
        <v>993</v>
      </c>
      <c r="D788" s="1" t="s">
        <v>1037</v>
      </c>
      <c r="E788" s="1">
        <v>407</v>
      </c>
      <c r="G788" s="1" t="s">
        <v>209</v>
      </c>
      <c r="H788" s="1" t="s">
        <v>1030</v>
      </c>
      <c r="J788" s="1" t="s">
        <v>608</v>
      </c>
      <c r="M788" s="15" t="s">
        <v>540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788" s="1"/>
      <c r="T788" s="1"/>
      <c r="U788" s="15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788" s="15" t="str">
        <f>_xlfn.TEXTBEFORE(_xlfn.TEXTAFTER(CantoralDB[[#This Row],[index.html]],"&gt;"),"&gt;")&amp;"&gt;"</f>
        <v>&lt;a href="canciones/nsb/alma_misionera.html"&gt;</v>
      </c>
    </row>
    <row r="789" spans="1:23" x14ac:dyDescent="0.3">
      <c r="A789" s="1">
        <f>ROW(CantoralDB[[#This Row],[Título]])-1</f>
        <v>788</v>
      </c>
      <c r="B789" s="1" t="s">
        <v>1191</v>
      </c>
      <c r="C789" s="1"/>
      <c r="E789" s="1">
        <v>64</v>
      </c>
      <c r="H789" s="1" t="s">
        <v>1027</v>
      </c>
      <c r="J789" s="1" t="s">
        <v>608</v>
      </c>
      <c r="M789" s="15" t="s">
        <v>2144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789" s="1"/>
      <c r="T789" s="1"/>
      <c r="U789" s="15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789" s="15" t="str">
        <f>_xlfn.TEXTBEFORE(_xlfn.TEXTAFTER(CantoralDB[[#This Row],[index.html]],"&gt;"),"&gt;")&amp;"&gt;"</f>
        <v>&lt;a href="canciones/fernando_viejo/creo_en_dios_y_en_su_palabra.html"&gt;</v>
      </c>
    </row>
    <row r="790" spans="1:23" x14ac:dyDescent="0.3">
      <c r="A790" s="1">
        <f>ROW(CantoralDB[[#This Row],[Título]])-1</f>
        <v>789</v>
      </c>
      <c r="B790" s="1" t="s">
        <v>1261</v>
      </c>
      <c r="C790" s="1"/>
      <c r="E790" s="1">
        <v>132</v>
      </c>
      <c r="H790" s="1" t="s">
        <v>1030</v>
      </c>
      <c r="J790" s="1" t="s">
        <v>608</v>
      </c>
      <c r="M790" s="15" t="s">
        <v>2144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790" s="1"/>
      <c r="T790" s="1"/>
      <c r="U790" s="15"/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790" s="15" t="str">
        <f>_xlfn.TEXTBEFORE(_xlfn.TEXTAFTER(CantoralDB[[#This Row],[index.html]],"&gt;"),"&gt;")&amp;"&gt;"</f>
        <v>&lt;a href="canciones/fernando_viejo/hasta_cuando_señor.html"&gt;</v>
      </c>
    </row>
    <row r="791" spans="1:23" x14ac:dyDescent="0.3">
      <c r="A791" s="1">
        <f>ROW(CantoralDB[[#This Row],[Título]])-1</f>
        <v>790</v>
      </c>
      <c r="B791" s="1" t="s">
        <v>1300</v>
      </c>
      <c r="C791" s="1"/>
      <c r="E791" s="1">
        <v>199</v>
      </c>
      <c r="H791" s="1" t="s">
        <v>1030</v>
      </c>
      <c r="J791" s="1" t="s">
        <v>608</v>
      </c>
      <c r="M791" s="15" t="s">
        <v>2144</v>
      </c>
      <c r="N791" s="15"/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791" s="15" t="str">
        <f>_xlfn.TEXTBEFORE(_xlfn.TEXTAFTER(CantoralDB[[#This Row],[index.html]],"&gt;"),"&gt;")&amp;"&gt;"</f>
        <v>&lt;a href="canciones/fernando_viejo/padre_nuestro_que_estas_en_la_tierra.html"&gt;</v>
      </c>
    </row>
    <row r="792" spans="1:23" x14ac:dyDescent="0.3">
      <c r="A792" s="1">
        <f>ROW(CantoralDB[[#This Row],[Título]])-1</f>
        <v>791</v>
      </c>
      <c r="B792" s="1" t="s">
        <v>1301</v>
      </c>
      <c r="C792" s="1"/>
      <c r="E792" s="1">
        <v>204</v>
      </c>
      <c r="H792" s="1" t="s">
        <v>1029</v>
      </c>
      <c r="J792" s="1" t="s">
        <v>608</v>
      </c>
      <c r="M792" s="15" t="s">
        <v>2144</v>
      </c>
      <c r="N792" s="15"/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792" s="15" t="str">
        <f>_xlfn.TEXTBEFORE(_xlfn.TEXTAFTER(CantoralDB[[#This Row],[index.html]],"&gt;"),"&gt;")&amp;"&gt;"</f>
        <v>&lt;a href="canciones/fernando_viejo/piedad_señor_piedad.html"&gt;</v>
      </c>
    </row>
    <row r="793" spans="1:23" x14ac:dyDescent="0.3">
      <c r="A793" s="1">
        <f>ROW(CantoralDB[[#This Row],[Título]])-1</f>
        <v>792</v>
      </c>
      <c r="B793" s="1" t="s">
        <v>1310</v>
      </c>
      <c r="C793" s="1"/>
      <c r="E793" s="1">
        <v>223</v>
      </c>
      <c r="H793" s="1" t="s">
        <v>473</v>
      </c>
      <c r="J793" s="1" t="s">
        <v>608</v>
      </c>
      <c r="M793" s="15" t="s">
        <v>2144</v>
      </c>
      <c r="N793" s="15"/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793" s="1"/>
      <c r="T793" s="1"/>
      <c r="U793" s="33" t="s">
        <v>2980</v>
      </c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793" s="15" t="str">
        <f>_xlfn.TEXTBEFORE(_xlfn.TEXTAFTER(CantoralDB[[#This Row],[index.html]],"&gt;"),"&gt;")&amp;"&gt;"</f>
        <v>&lt;a href="canciones/fernando_viejo/que_detalle_señor.html"&gt;</v>
      </c>
    </row>
    <row r="794" spans="1:23" x14ac:dyDescent="0.3">
      <c r="A794" s="1">
        <f>ROW(CantoralDB[[#This Row],[Título]])-1</f>
        <v>793</v>
      </c>
      <c r="B794" s="1" t="s">
        <v>2119</v>
      </c>
      <c r="C794" s="1"/>
      <c r="E794" s="1">
        <v>293</v>
      </c>
      <c r="H794" s="1" t="s">
        <v>473</v>
      </c>
      <c r="J794" s="1" t="s">
        <v>608</v>
      </c>
      <c r="M794" s="15" t="s">
        <v>2144</v>
      </c>
      <c r="N794" s="15"/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794" s="15" t="str">
        <f>_xlfn.TEXTBEFORE(_xlfn.TEXTAFTER(CantoralDB[[#This Row],[index.html]],"&gt;"),"&gt;")&amp;"&gt;"</f>
        <v>&lt;a href="canciones/fernando_viejo/como_era_pedro.html"&gt;</v>
      </c>
    </row>
    <row r="795" spans="1:23" x14ac:dyDescent="0.3">
      <c r="A795" s="1">
        <f>ROW(CantoralDB[[#This Row],[Título]])-1</f>
        <v>794</v>
      </c>
      <c r="B795" s="1" t="s">
        <v>50</v>
      </c>
      <c r="C795" s="1" t="s">
        <v>993</v>
      </c>
      <c r="D795" s="1" t="s">
        <v>701</v>
      </c>
      <c r="E795" s="1">
        <v>420</v>
      </c>
      <c r="G795" s="1" t="s">
        <v>209</v>
      </c>
      <c r="H795" s="1" t="s">
        <v>531</v>
      </c>
      <c r="I795" s="1" t="s">
        <v>2958</v>
      </c>
      <c r="J795" s="1" t="s">
        <v>608</v>
      </c>
      <c r="M795" s="15" t="s">
        <v>630</v>
      </c>
      <c r="N795" s="15"/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795" s="1" t="s">
        <v>824</v>
      </c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795" s="15" t="str">
        <f>_xlfn.TEXTBEFORE(_xlfn.TEXTAFTER(CantoralDB[[#This Row],[index.html]],"&gt;"),"&gt;")&amp;"&gt;"</f>
        <v>&lt;a href="canciones/nsb/el_que_muere_por_mi.html"&gt;</v>
      </c>
    </row>
    <row r="796" spans="1:23" x14ac:dyDescent="0.3">
      <c r="A796" s="1">
        <f>ROW(CantoralDB[[#This Row],[Título]])-1</f>
        <v>795</v>
      </c>
      <c r="B796" s="1" t="s">
        <v>1309</v>
      </c>
      <c r="C796" s="1"/>
      <c r="E796" s="1">
        <v>219</v>
      </c>
      <c r="H796" s="1" t="s">
        <v>473</v>
      </c>
      <c r="J796" s="1" t="s">
        <v>608</v>
      </c>
      <c r="M796" s="15" t="s">
        <v>2102</v>
      </c>
      <c r="N796" s="15"/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796" s="15" t="str">
        <f>_xlfn.TEXTBEFORE(_xlfn.TEXTAFTER(CantoralDB[[#This Row],[index.html]],"&gt;"),"&gt;")&amp;"&gt;"</f>
        <v>&lt;a href="canciones/nsb/quiero_ser_oh_señor.html"&gt;</v>
      </c>
    </row>
    <row r="797" spans="1:23" x14ac:dyDescent="0.3">
      <c r="A797" s="1">
        <f>ROW(CantoralDB[[#This Row],[Título]])-1</f>
        <v>796</v>
      </c>
      <c r="B797" s="1" t="s">
        <v>21</v>
      </c>
      <c r="C797" s="1" t="s">
        <v>191</v>
      </c>
      <c r="D797" s="1" t="s">
        <v>1382</v>
      </c>
      <c r="E797" s="1">
        <v>21</v>
      </c>
      <c r="G797" s="1" t="s">
        <v>209</v>
      </c>
      <c r="H797" s="1" t="s">
        <v>1027</v>
      </c>
      <c r="I797" s="1" t="s">
        <v>2961</v>
      </c>
      <c r="J797" s="1" t="s">
        <v>608</v>
      </c>
      <c r="M797" s="15" t="s">
        <v>481</v>
      </c>
      <c r="N797" s="15" t="s">
        <v>21</v>
      </c>
      <c r="O797" s="15">
        <v>1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797" s="15" t="str">
        <f>_xlfn.TEXTBEFORE(_xlfn.TEXTAFTER(CantoralDB[[#This Row],[index.html]],"&gt;"),"&gt;")&amp;"&gt;"</f>
        <v>&lt;a href="canciones/francisco_palazon/alrededor_de_tu_mesa.html"&gt;</v>
      </c>
    </row>
    <row r="798" spans="1:23" x14ac:dyDescent="0.3">
      <c r="A798" s="1">
        <f>ROW(CantoralDB[[#This Row],[Título]])-1</f>
        <v>797</v>
      </c>
      <c r="B798" s="1" t="s">
        <v>2198</v>
      </c>
      <c r="C798" s="1"/>
      <c r="H798" s="1" t="s">
        <v>1028</v>
      </c>
      <c r="J798" s="1" t="s">
        <v>608</v>
      </c>
      <c r="M798" s="15" t="s">
        <v>481</v>
      </c>
      <c r="N798" s="15" t="s">
        <v>21</v>
      </c>
      <c r="O798" s="15">
        <v>2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798" s="15" t="str">
        <f>_xlfn.TEXTBEFORE(_xlfn.TEXTAFTER(CantoralDB[[#This Row],[index.html]],"&gt;"),"&gt;")&amp;"&gt;"</f>
        <v>&lt;a href="canciones/francisco_palazon/señor_ten_piedad_(alrededor_de_tu_mesa).html"&gt;</v>
      </c>
    </row>
    <row r="799" spans="1:23" x14ac:dyDescent="0.3">
      <c r="A799" s="1">
        <f>ROW(CantoralDB[[#This Row],[Título]])-1</f>
        <v>798</v>
      </c>
      <c r="B799" s="1" t="s">
        <v>67</v>
      </c>
      <c r="C799" s="1" t="s">
        <v>193</v>
      </c>
      <c r="D799" s="1" t="s">
        <v>1422</v>
      </c>
      <c r="E799" s="1">
        <v>128</v>
      </c>
      <c r="G799" s="1" t="s">
        <v>209</v>
      </c>
      <c r="H799" s="1" t="s">
        <v>531</v>
      </c>
      <c r="J799" s="1" t="s">
        <v>608</v>
      </c>
      <c r="M799" s="15" t="s">
        <v>481</v>
      </c>
      <c r="N799" s="15" t="s">
        <v>21</v>
      </c>
      <c r="O799" s="15">
        <v>3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799" s="15" t="str">
        <f>_xlfn.TEXTBEFORE(_xlfn.TEXTAFTER(CantoralDB[[#This Row],[index.html]],"&gt;"),"&gt;")&amp;"&gt;"</f>
        <v>&lt;a href="canciones/francisco_palazon/gloria_a_dios_en_el_cielo.html"&gt;</v>
      </c>
    </row>
    <row r="800" spans="1:23" x14ac:dyDescent="0.3">
      <c r="A800" s="1">
        <f>ROW(CantoralDB[[#This Row],[Título]])-1</f>
        <v>799</v>
      </c>
      <c r="B800" s="1" t="s">
        <v>1919</v>
      </c>
      <c r="C800" s="1"/>
      <c r="H800" s="1" t="s">
        <v>1028</v>
      </c>
      <c r="J800" s="1" t="s">
        <v>608</v>
      </c>
      <c r="M800" s="15" t="s">
        <v>481</v>
      </c>
      <c r="N800" s="15" t="s">
        <v>21</v>
      </c>
      <c r="O800" s="15">
        <v>4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800" s="15" t="str">
        <f>_xlfn.TEXTBEFORE(_xlfn.TEXTAFTER(CantoralDB[[#This Row],[index.html]],"&gt;"),"&gt;")&amp;"&gt;"</f>
        <v>&lt;a href="canciones/francisco_palazon/acabamos_de_oir_tu_palabra.html"&gt;</v>
      </c>
    </row>
    <row r="801" spans="1:23" x14ac:dyDescent="0.3">
      <c r="A801" s="1">
        <f>ROW(CantoralDB[[#This Row],[Título]])-1</f>
        <v>800</v>
      </c>
      <c r="B801" s="1" t="s">
        <v>1920</v>
      </c>
      <c r="C801" s="1"/>
      <c r="H801" s="1" t="s">
        <v>1028</v>
      </c>
      <c r="J801" s="1" t="s">
        <v>608</v>
      </c>
      <c r="M801" s="15" t="s">
        <v>481</v>
      </c>
      <c r="N801" s="15" t="s">
        <v>21</v>
      </c>
      <c r="O801" s="15">
        <v>5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801" s="1"/>
      <c r="T801" s="1"/>
      <c r="U801" s="15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801" s="15" t="str">
        <f>_xlfn.TEXTBEFORE(_xlfn.TEXTAFTER(CantoralDB[[#This Row],[index.html]],"&gt;"),"&gt;")&amp;"&gt;"</f>
        <v>&lt;a href="canciones/francisco_palazon/bendito_seas_señor.html"&gt;</v>
      </c>
    </row>
    <row r="802" spans="1:23" x14ac:dyDescent="0.3">
      <c r="A802" s="1">
        <f>ROW(CantoralDB[[#This Row],[Título]])-1</f>
        <v>801</v>
      </c>
      <c r="B802" s="1" t="s">
        <v>1235</v>
      </c>
      <c r="C802" s="1" t="s">
        <v>196</v>
      </c>
      <c r="D802" s="1" t="s">
        <v>1464</v>
      </c>
      <c r="E802" s="1">
        <v>245</v>
      </c>
      <c r="G802" s="1" t="s">
        <v>209</v>
      </c>
      <c r="H802" s="1" t="s">
        <v>531</v>
      </c>
      <c r="I802" s="1" t="s">
        <v>2958</v>
      </c>
      <c r="J802" s="1" t="s">
        <v>608</v>
      </c>
      <c r="M802" s="15" t="s">
        <v>481</v>
      </c>
      <c r="N802" s="15" t="s">
        <v>21</v>
      </c>
      <c r="O802" s="15">
        <v>6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802" s="15" t="str">
        <f>_xlfn.TEXTBEFORE(_xlfn.TEXTAFTER(CantoralDB[[#This Row],[index.html]],"&gt;"),"&gt;")&amp;"&gt;"</f>
        <v>&lt;a href="canciones/francisco_palazon/santo_(palazon).html"&gt;</v>
      </c>
    </row>
    <row r="803" spans="1:23" x14ac:dyDescent="0.3">
      <c r="A803" s="1">
        <f>ROW(CantoralDB[[#This Row],[Título]])-1</f>
        <v>802</v>
      </c>
      <c r="B803" s="1" t="s">
        <v>1921</v>
      </c>
      <c r="C803" s="1"/>
      <c r="H803" s="1" t="s">
        <v>1028</v>
      </c>
      <c r="J803" s="1" t="s">
        <v>608</v>
      </c>
      <c r="M803" s="15" t="s">
        <v>481</v>
      </c>
      <c r="N803" s="15" t="s">
        <v>21</v>
      </c>
      <c r="O803" s="15">
        <v>7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803" s="1"/>
      <c r="T803" s="1"/>
      <c r="U803" s="15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803" s="15" t="str">
        <f>_xlfn.TEXTBEFORE(_xlfn.TEXTAFTER(CantoralDB[[#This Row],[index.html]],"&gt;"),"&gt;")&amp;"&gt;"</f>
        <v>&lt;a href="canciones/francisco_palazon/anunciamos_tu_muerte.html"&gt;</v>
      </c>
    </row>
    <row r="804" spans="1:23" x14ac:dyDescent="0.3">
      <c r="A804" s="1">
        <f>ROW(CantoralDB[[#This Row],[Título]])-1</f>
        <v>803</v>
      </c>
      <c r="B804" s="1" t="s">
        <v>1556</v>
      </c>
      <c r="C804" s="1"/>
      <c r="H804" s="1" t="s">
        <v>1028</v>
      </c>
      <c r="J804" s="1" t="s">
        <v>608</v>
      </c>
      <c r="M804" s="15" t="s">
        <v>481</v>
      </c>
      <c r="N804" s="15" t="s">
        <v>21</v>
      </c>
      <c r="O804" s="15">
        <v>8</v>
      </c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804" s="15" t="str">
        <f>_xlfn.TEXTBEFORE(_xlfn.TEXTAFTER(CantoralDB[[#This Row],[index.html]],"&gt;"),"&gt;")&amp;"&gt;"</f>
        <v>&lt;a href="canciones/francisco_palazon/padre_nuestro.html"&gt;</v>
      </c>
    </row>
    <row r="805" spans="1:23" x14ac:dyDescent="0.3">
      <c r="A805" s="1">
        <f>ROW(CantoralDB[[#This Row],[Título]])-1</f>
        <v>804</v>
      </c>
      <c r="B805" s="1" t="s">
        <v>202</v>
      </c>
      <c r="C805" s="1"/>
      <c r="H805" s="1" t="s">
        <v>1028</v>
      </c>
      <c r="J805" s="1" t="s">
        <v>608</v>
      </c>
      <c r="M805" s="15" t="s">
        <v>481</v>
      </c>
      <c r="N805" s="15" t="s">
        <v>21</v>
      </c>
      <c r="O805" s="15">
        <v>10</v>
      </c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805" s="1"/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805" s="15" t="str">
        <f>_xlfn.TEXTBEFORE(_xlfn.TEXTAFTER(CantoralDB[[#This Row],[index.html]],"&gt;"),"&gt;")&amp;"&gt;"</f>
        <v>&lt;a href="canciones/francisco_palazon/cordero_de_dios.html"&gt;</v>
      </c>
    </row>
    <row r="806" spans="1:23" x14ac:dyDescent="0.3">
      <c r="A806" s="1">
        <f>ROW(CantoralDB[[#This Row],[Título]])-1</f>
        <v>805</v>
      </c>
      <c r="B806" s="1" t="s">
        <v>8</v>
      </c>
      <c r="C806" s="1" t="s">
        <v>191</v>
      </c>
      <c r="D806" s="1" t="s">
        <v>1366</v>
      </c>
      <c r="E806" s="1">
        <v>9</v>
      </c>
      <c r="G806" s="1" t="s">
        <v>209</v>
      </c>
      <c r="H806" s="1" t="s">
        <v>473</v>
      </c>
      <c r="I806" s="1" t="s">
        <v>2960</v>
      </c>
      <c r="J806" s="1" t="s">
        <v>608</v>
      </c>
      <c r="M806" s="15" t="s">
        <v>481</v>
      </c>
      <c r="N806" s="15" t="s">
        <v>21</v>
      </c>
      <c r="O806" s="15">
        <v>11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806" s="1"/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806" s="15" t="str">
        <f>_xlfn.TEXTBEFORE(_xlfn.TEXTAFTER(CantoralDB[[#This Row],[index.html]],"&gt;"),"&gt;")&amp;"&gt;"</f>
        <v>&lt;a href="canciones/francisco_palazon/acerquemonos_todos_al_altar.html"&gt;</v>
      </c>
    </row>
    <row r="807" spans="1:23" x14ac:dyDescent="0.3">
      <c r="A807" s="1">
        <f>ROW(CantoralDB[[#This Row],[Título]])-1</f>
        <v>806</v>
      </c>
      <c r="B807" s="1" t="s">
        <v>1923</v>
      </c>
      <c r="C807" s="1"/>
      <c r="H807" s="1" t="s">
        <v>1028</v>
      </c>
      <c r="J807" s="1" t="s">
        <v>608</v>
      </c>
      <c r="M807" s="15" t="s">
        <v>481</v>
      </c>
      <c r="N807" s="15" t="s">
        <v>21</v>
      </c>
      <c r="O807" s="15">
        <v>12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807" s="15" t="str">
        <f>_xlfn.TEXTBEFORE(_xlfn.TEXTAFTER(CantoralDB[[#This Row],[index.html]],"&gt;"),"&gt;")&amp;"&gt;"</f>
        <v>&lt;a href="canciones/francisco_palazon/anunciando_tu_venida.html"&gt;</v>
      </c>
    </row>
    <row r="808" spans="1:23" x14ac:dyDescent="0.3">
      <c r="A808" s="1">
        <f>ROW(CantoralDB[[#This Row],[Título]])-1</f>
        <v>807</v>
      </c>
      <c r="B808" s="1" t="s">
        <v>2211</v>
      </c>
      <c r="C808" s="1"/>
      <c r="H808" s="1" t="s">
        <v>1028</v>
      </c>
      <c r="J808" s="1" t="s">
        <v>608</v>
      </c>
      <c r="M808" s="15" t="s">
        <v>481</v>
      </c>
      <c r="N808" s="15" t="s">
        <v>1924</v>
      </c>
      <c r="O808" s="15">
        <v>1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808" s="1" t="s">
        <v>2199</v>
      </c>
      <c r="T808" s="1"/>
      <c r="U808" s="15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808" s="15" t="str">
        <f>_xlfn.TEXTBEFORE(_xlfn.TEXTAFTER(CantoralDB[[#This Row],[index.html]],"&gt;"),"&gt;")&amp;"&gt;"</f>
        <v>&lt;a href="canciones/francisco_palazon/junto_a_los_canales_de_babilonia.html"&gt;</v>
      </c>
    </row>
    <row r="809" spans="1:23" x14ac:dyDescent="0.3">
      <c r="A809" s="1">
        <f>ROW(CantoralDB[[#This Row],[Título]])-1</f>
        <v>808</v>
      </c>
      <c r="B809" s="1" t="s">
        <v>2212</v>
      </c>
      <c r="C809" s="1"/>
      <c r="H809" s="1" t="s">
        <v>1030</v>
      </c>
      <c r="J809" s="1" t="s">
        <v>608</v>
      </c>
      <c r="M809" s="15" t="s">
        <v>481</v>
      </c>
      <c r="N809" s="15" t="s">
        <v>1924</v>
      </c>
      <c r="O809" s="15">
        <v>2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809" s="1" t="s">
        <v>2200</v>
      </c>
      <c r="T809" s="1"/>
      <c r="U809" s="15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809" s="15" t="str">
        <f>_xlfn.TEXTBEFORE(_xlfn.TEXTAFTER(CantoralDB[[#This Row],[index.html]],"&gt;"),"&gt;")&amp;"&gt;"</f>
        <v>&lt;a href="canciones/francisco_palazon/dichoso_quien_se_acuerda_del_hermano.html"&gt;</v>
      </c>
    </row>
    <row r="810" spans="1:23" x14ac:dyDescent="0.3">
      <c r="A810" s="1">
        <f>ROW(CantoralDB[[#This Row],[Título]])-1</f>
        <v>809</v>
      </c>
      <c r="B810" s="1" t="s">
        <v>2213</v>
      </c>
      <c r="C810" s="1"/>
      <c r="H810" s="1" t="s">
        <v>1027</v>
      </c>
      <c r="J810" s="1" t="s">
        <v>608</v>
      </c>
      <c r="M810" s="15" t="s">
        <v>481</v>
      </c>
      <c r="N810" s="15" t="s">
        <v>1924</v>
      </c>
      <c r="O810" s="15">
        <v>3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810" s="1" t="s">
        <v>2201</v>
      </c>
      <c r="T810" s="1"/>
      <c r="U810" s="15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810" s="15" t="str">
        <f>_xlfn.TEXTBEFORE(_xlfn.TEXTAFTER(CantoralDB[[#This Row],[index.html]],"&gt;"),"&gt;")&amp;"&gt;"</f>
        <v>&lt;a href="canciones/francisco_palazon/señor_escucha_mi_oracion.html"&gt;</v>
      </c>
    </row>
    <row r="811" spans="1:23" x14ac:dyDescent="0.3">
      <c r="A811" s="1">
        <f>ROW(CantoralDB[[#This Row],[Título]])-1</f>
        <v>810</v>
      </c>
      <c r="B811" s="1" t="s">
        <v>2214</v>
      </c>
      <c r="C811" s="1"/>
      <c r="H811" s="1" t="s">
        <v>1027</v>
      </c>
      <c r="J811" s="1" t="s">
        <v>608</v>
      </c>
      <c r="M811" s="15" t="s">
        <v>481</v>
      </c>
      <c r="N811" s="15" t="s">
        <v>1924</v>
      </c>
      <c r="O811" s="15">
        <v>4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811" s="1" t="s">
        <v>2202</v>
      </c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811" s="15" t="str">
        <f>_xlfn.TEXTBEFORE(_xlfn.TEXTAFTER(CantoralDB[[#This Row],[index.html]],"&gt;"),"&gt;")&amp;"&gt;"</f>
        <v>&lt;a href="canciones/francisco_palazon/es_bueno_dar_gracias_al_señor.html"&gt;</v>
      </c>
    </row>
    <row r="812" spans="1:23" x14ac:dyDescent="0.3">
      <c r="A812" s="1">
        <f>ROW(CantoralDB[[#This Row],[Título]])-1</f>
        <v>811</v>
      </c>
      <c r="B812" s="1" t="s">
        <v>2215</v>
      </c>
      <c r="C812" s="1"/>
      <c r="H812" s="1" t="s">
        <v>1029</v>
      </c>
      <c r="J812" s="1" t="s">
        <v>608</v>
      </c>
      <c r="M812" s="15" t="s">
        <v>481</v>
      </c>
      <c r="N812" s="15" t="s">
        <v>1924</v>
      </c>
      <c r="O812" s="15">
        <v>5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812" s="1" t="s">
        <v>2203</v>
      </c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812" s="15" t="str">
        <f>_xlfn.TEXTBEFORE(_xlfn.TEXTAFTER(CantoralDB[[#This Row],[index.html]],"&gt;"),"&gt;")&amp;"&gt;"</f>
        <v>&lt;a href="canciones/francisco_palazon/el_cielo_proclama_la_gloria_de_dios.html"&gt;</v>
      </c>
    </row>
    <row r="813" spans="1:23" x14ac:dyDescent="0.3">
      <c r="A813" s="1">
        <f>ROW(CantoralDB[[#This Row],[Título]])-1</f>
        <v>812</v>
      </c>
      <c r="B813" s="1" t="s">
        <v>2216</v>
      </c>
      <c r="C813" s="1"/>
      <c r="E813" s="1">
        <v>71</v>
      </c>
      <c r="H813" s="1" t="s">
        <v>1027</v>
      </c>
      <c r="J813" s="1" t="s">
        <v>608</v>
      </c>
      <c r="M813" s="15" t="s">
        <v>481</v>
      </c>
      <c r="N813" s="15" t="s">
        <v>1924</v>
      </c>
      <c r="O813" s="15">
        <v>6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813" s="1" t="s">
        <v>2204</v>
      </c>
      <c r="T813" s="1"/>
      <c r="U813" s="15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813" s="15" t="str">
        <f>_xlfn.TEXTBEFORE(_xlfn.TEXTAFTER(CantoralDB[[#This Row],[index.html]],"&gt;"),"&gt;")&amp;"&gt;"</f>
        <v>&lt;a href="canciones/francisco_palazon/dad_gracias_al_señor.html"&gt;</v>
      </c>
    </row>
    <row r="814" spans="1:23" x14ac:dyDescent="0.3">
      <c r="A814" s="1">
        <f>ROW(CantoralDB[[#This Row],[Título]])-1</f>
        <v>813</v>
      </c>
      <c r="B814" s="1" t="s">
        <v>2217</v>
      </c>
      <c r="C814" s="1"/>
      <c r="H814" s="1" t="s">
        <v>1030</v>
      </c>
      <c r="J814" s="1" t="s">
        <v>608</v>
      </c>
      <c r="M814" s="15" t="s">
        <v>481</v>
      </c>
      <c r="N814" s="15" t="s">
        <v>1924</v>
      </c>
      <c r="O814" s="15">
        <v>7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814" s="1" t="s">
        <v>2205</v>
      </c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814" s="15" t="str">
        <f>_xlfn.TEXTBEFORE(_xlfn.TEXTAFTER(CantoralDB[[#This Row],[index.html]],"&gt;"),"&gt;")&amp;"&gt;"</f>
        <v>&lt;a href="canciones/francisco_palazon/llena_esta_la_tierra_de_tus_criaturas.html"&gt;</v>
      </c>
    </row>
    <row r="815" spans="1:23" x14ac:dyDescent="0.3">
      <c r="A815" s="1">
        <f>ROW(CantoralDB[[#This Row],[Título]])-1</f>
        <v>814</v>
      </c>
      <c r="B815" s="1" t="s">
        <v>1214</v>
      </c>
      <c r="C815" s="1"/>
      <c r="E815" s="1">
        <v>93</v>
      </c>
      <c r="H815" s="1" t="s">
        <v>1030</v>
      </c>
      <c r="J815" s="1" t="s">
        <v>608</v>
      </c>
      <c r="M815" s="15" t="s">
        <v>481</v>
      </c>
      <c r="N815" s="15" t="s">
        <v>1924</v>
      </c>
      <c r="O815" s="15">
        <v>8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815" s="1" t="s">
        <v>2206</v>
      </c>
      <c r="T815" s="1"/>
      <c r="U815" s="15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815" s="15" t="str">
        <f>_xlfn.TEXTBEFORE(_xlfn.TEXTAFTER(CantoralDB[[#This Row],[index.html]],"&gt;"),"&gt;")&amp;"&gt;"</f>
        <v>&lt;a href="canciones/francisco_palazon/el_auxilio_me_viene_del_señor.html"&gt;</v>
      </c>
    </row>
    <row r="816" spans="1:23" x14ac:dyDescent="0.3">
      <c r="A816" s="1">
        <f>ROW(CantoralDB[[#This Row],[Título]])-1</f>
        <v>815</v>
      </c>
      <c r="B816" s="1" t="s">
        <v>2218</v>
      </c>
      <c r="C816" s="1"/>
      <c r="H816" s="1" t="s">
        <v>2967</v>
      </c>
      <c r="J816" s="1" t="s">
        <v>608</v>
      </c>
      <c r="M816" s="15" t="s">
        <v>481</v>
      </c>
      <c r="N816" s="15" t="s">
        <v>1924</v>
      </c>
      <c r="O816" s="15">
        <v>9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816" s="1" t="s">
        <v>2207</v>
      </c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816" s="15" t="str">
        <f>_xlfn.TEXTBEFORE(_xlfn.TEXTAFTER(CantoralDB[[#This Row],[index.html]],"&gt;"),"&gt;")&amp;"&gt;"</f>
        <v>&lt;a href="canciones/francisco_palazon/quien_puede_entrar_en_tu_templo.html"&gt;</v>
      </c>
    </row>
    <row r="817" spans="1:23" x14ac:dyDescent="0.3">
      <c r="A817" s="1">
        <f>ROW(CantoralDB[[#This Row],[Título]])-1</f>
        <v>816</v>
      </c>
      <c r="B817" s="1" t="s">
        <v>2219</v>
      </c>
      <c r="C817" s="1"/>
      <c r="H817" s="1" t="s">
        <v>531</v>
      </c>
      <c r="J817" s="1" t="s">
        <v>608</v>
      </c>
      <c r="M817" s="15" t="s">
        <v>481</v>
      </c>
      <c r="N817" s="15" t="s">
        <v>1924</v>
      </c>
      <c r="O817" s="15">
        <v>10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817" s="1" t="s">
        <v>2208</v>
      </c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817" s="15" t="str">
        <f>_xlfn.TEXTBEFORE(_xlfn.TEXTAFTER(CantoralDB[[#This Row],[index.html]],"&gt;"),"&gt;")&amp;"&gt;"</f>
        <v>&lt;a href="canciones/francisco_palazon/alabad_siervos_de_dios.html"&gt;</v>
      </c>
    </row>
    <row r="818" spans="1:23" x14ac:dyDescent="0.3">
      <c r="A818" s="1">
        <f>ROW(CantoralDB[[#This Row],[Título]])-1</f>
        <v>817</v>
      </c>
      <c r="B818" s="1" t="s">
        <v>2220</v>
      </c>
      <c r="C818" s="1"/>
      <c r="H818" s="1" t="s">
        <v>531</v>
      </c>
      <c r="J818" s="1" t="s">
        <v>608</v>
      </c>
      <c r="M818" s="15" t="s">
        <v>481</v>
      </c>
      <c r="N818" s="15" t="s">
        <v>1924</v>
      </c>
      <c r="O818" s="15">
        <v>11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818" s="1" t="s">
        <v>2209</v>
      </c>
      <c r="T818" s="1"/>
      <c r="U818" s="15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818" s="15" t="str">
        <f>_xlfn.TEXTBEFORE(_xlfn.TEXTAFTER(CantoralDB[[#This Row],[index.html]],"&gt;"),"&gt;")&amp;"&gt;"</f>
        <v>&lt;a href="canciones/francisco_palazon/que_en_nuestros_dias_reine_la_paz.html"&gt;</v>
      </c>
    </row>
    <row r="819" spans="1:23" x14ac:dyDescent="0.3">
      <c r="A819" s="1">
        <f>ROW(CantoralDB[[#This Row],[Título]])-1</f>
        <v>818</v>
      </c>
      <c r="B819" s="1" t="s">
        <v>2210</v>
      </c>
      <c r="C819" s="1"/>
      <c r="H819" s="1" t="s">
        <v>1030</v>
      </c>
      <c r="J819" s="1" t="s">
        <v>608</v>
      </c>
      <c r="M819" s="15" t="s">
        <v>481</v>
      </c>
      <c r="N819" s="15" t="s">
        <v>1924</v>
      </c>
      <c r="O819" s="15">
        <v>12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819" s="1" t="s">
        <v>850</v>
      </c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819" s="15" t="str">
        <f>_xlfn.TEXTBEFORE(_xlfn.TEXTAFTER(CantoralDB[[#This Row],[index.html]],"&gt;"),"&gt;")&amp;"&gt;"</f>
        <v>&lt;a href="canciones/francisco_palazon/contra_ti_solo_peque.html"&gt;</v>
      </c>
    </row>
    <row r="820" spans="1:23" x14ac:dyDescent="0.3">
      <c r="A820" s="1">
        <f>ROW(CantoralDB[[#This Row],[Título]])-1</f>
        <v>819</v>
      </c>
      <c r="B820" s="1" t="s">
        <v>2069</v>
      </c>
      <c r="C820" s="1"/>
      <c r="H820" s="1" t="s">
        <v>1028</v>
      </c>
      <c r="J820" s="1" t="s">
        <v>608</v>
      </c>
      <c r="M820" s="15" t="s">
        <v>481</v>
      </c>
      <c r="N820" s="15" t="s">
        <v>1928</v>
      </c>
      <c r="O820" s="15">
        <v>1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820" s="15" t="str">
        <f>_xlfn.TEXTBEFORE(_xlfn.TEXTAFTER(CantoralDB[[#This Row],[index.html]],"&gt;"),"&gt;")&amp;"&gt;"</f>
        <v>&lt;a href="canciones/francisco_palazon/cantare_eternamente_(ii).html"&gt;</v>
      </c>
    </row>
    <row r="821" spans="1:23" x14ac:dyDescent="0.3">
      <c r="A821" s="1">
        <f>ROW(CantoralDB[[#This Row],[Título]])-1</f>
        <v>820</v>
      </c>
      <c r="B821" s="1" t="s">
        <v>2070</v>
      </c>
      <c r="C821" s="1"/>
      <c r="H821" s="1" t="s">
        <v>1043</v>
      </c>
      <c r="J821" s="1" t="s">
        <v>608</v>
      </c>
      <c r="M821" s="15" t="s">
        <v>481</v>
      </c>
      <c r="N821" s="15" t="s">
        <v>1928</v>
      </c>
      <c r="O821" s="15">
        <v>2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821" s="1"/>
      <c r="T821" s="1"/>
      <c r="U821" s="15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821" s="15" t="str">
        <f>_xlfn.TEXTBEFORE(_xlfn.TEXTAFTER(CantoralDB[[#This Row],[index.html]],"&gt;"),"&gt;")&amp;"&gt;"</f>
        <v>&lt;a href="canciones/francisco_palazon/acuerdate_señor.html"&gt;</v>
      </c>
    </row>
    <row r="822" spans="1:23" x14ac:dyDescent="0.3">
      <c r="A822" s="1">
        <f>ROW(CantoralDB[[#This Row],[Título]])-1</f>
        <v>821</v>
      </c>
      <c r="B822" s="1" t="s">
        <v>2071</v>
      </c>
      <c r="C822" s="1"/>
      <c r="H822" s="1" t="s">
        <v>531</v>
      </c>
      <c r="J822" s="1" t="s">
        <v>608</v>
      </c>
      <c r="M822" s="15" t="s">
        <v>481</v>
      </c>
      <c r="N822" s="15" t="s">
        <v>1928</v>
      </c>
      <c r="O822" s="15">
        <v>3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822" s="15" t="str">
        <f>_xlfn.TEXTBEFORE(_xlfn.TEXTAFTER(CantoralDB[[#This Row],[index.html]],"&gt;"),"&gt;")&amp;"&gt;"</f>
        <v>&lt;a href="canciones/francisco_palazon/pidamos_al_señor.html"&gt;</v>
      </c>
    </row>
    <row r="823" spans="1:23" x14ac:dyDescent="0.3">
      <c r="A823" s="1">
        <f>ROW(CantoralDB[[#This Row],[Título]])-1</f>
        <v>822</v>
      </c>
      <c r="B823" s="1" t="s">
        <v>2072</v>
      </c>
      <c r="C823" s="1"/>
      <c r="H823" s="1" t="s">
        <v>473</v>
      </c>
      <c r="J823" s="1" t="s">
        <v>608</v>
      </c>
      <c r="M823" s="15" t="s">
        <v>481</v>
      </c>
      <c r="N823" s="15" t="s">
        <v>1928</v>
      </c>
      <c r="O823" s="15">
        <v>4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823" s="1"/>
      <c r="T823" s="1"/>
      <c r="U823" s="15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823" s="15" t="str">
        <f>_xlfn.TEXTBEFORE(_xlfn.TEXTAFTER(CantoralDB[[#This Row],[index.html]],"&gt;"),"&gt;")&amp;"&gt;"</f>
        <v>&lt;a href="canciones/francisco_palazon/tu_palabra_señor_es_gozo.html"&gt;</v>
      </c>
    </row>
    <row r="824" spans="1:23" x14ac:dyDescent="0.3">
      <c r="A824" s="1">
        <f>ROW(CantoralDB[[#This Row],[Título]])-1</f>
        <v>823</v>
      </c>
      <c r="B824" s="1" t="s">
        <v>2894</v>
      </c>
      <c r="C824" s="1"/>
      <c r="H824" s="1" t="s">
        <v>1028</v>
      </c>
      <c r="J824" s="1" t="s">
        <v>608</v>
      </c>
      <c r="M824" s="15" t="s">
        <v>481</v>
      </c>
      <c r="N824" s="15" t="s">
        <v>1928</v>
      </c>
      <c r="O824" s="15">
        <v>5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824" s="1"/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824" s="15" t="str">
        <f>_xlfn.TEXTBEFORE(_xlfn.TEXTAFTER(CantoralDB[[#This Row],[index.html]],"&gt;"),"&gt;")&amp;"&gt;"</f>
        <v>&lt;a href="canciones/francisco_palazon/vuelve_hacia_nosotros.html"&gt;</v>
      </c>
    </row>
    <row r="825" spans="1:23" x14ac:dyDescent="0.3">
      <c r="A825" s="1">
        <f>ROW(CantoralDB[[#This Row],[Título]])-1</f>
        <v>824</v>
      </c>
      <c r="B825" s="1" t="s">
        <v>2073</v>
      </c>
      <c r="C825" s="1"/>
      <c r="J825" s="1"/>
      <c r="M825" s="15" t="s">
        <v>481</v>
      </c>
      <c r="N825" s="15" t="s">
        <v>1928</v>
      </c>
      <c r="O825" s="15">
        <v>6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825" s="1"/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825" s="15" t="str">
        <f>_xlfn.TEXTBEFORE(_xlfn.TEXTAFTER(CantoralDB[[#This Row],[index.html]],"&gt;"),"&gt;")&amp;"&gt;"</f>
        <v>&lt;a href="canciones/francisco_palazon/de_la_gloria_del_señor_llena_esta_la_tierra.html"&gt;</v>
      </c>
    </row>
    <row r="826" spans="1:23" x14ac:dyDescent="0.3">
      <c r="A826" s="1">
        <f>ROW(CantoralDB[[#This Row],[Título]])-1</f>
        <v>825</v>
      </c>
      <c r="B826" s="1" t="s">
        <v>140</v>
      </c>
      <c r="C826" s="1"/>
      <c r="J826" s="1"/>
      <c r="M826" s="15" t="s">
        <v>481</v>
      </c>
      <c r="N826" s="15" t="s">
        <v>1928</v>
      </c>
      <c r="O826" s="15">
        <v>7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826" s="1"/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826" s="15" t="str">
        <f>_xlfn.TEXTBEFORE(_xlfn.TEXTAFTER(CantoralDB[[#This Row],[index.html]],"&gt;"),"&gt;")&amp;"&gt;"</f>
        <v>&lt;a href="canciones/francisco_palazon/te_damos_gracias_señor.html"&gt;</v>
      </c>
    </row>
    <row r="827" spans="1:23" x14ac:dyDescent="0.3">
      <c r="A827" s="1">
        <f>ROW(CantoralDB[[#This Row],[Título]])-1</f>
        <v>826</v>
      </c>
      <c r="B827" s="1" t="s">
        <v>2074</v>
      </c>
      <c r="C827" s="1"/>
      <c r="J827" s="1"/>
      <c r="M827" s="15" t="s">
        <v>481</v>
      </c>
      <c r="N827" s="15" t="s">
        <v>1928</v>
      </c>
      <c r="O827" s="15">
        <v>8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827" s="1"/>
      <c r="T827" s="1"/>
      <c r="U827" s="15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827" s="15" t="str">
        <f>_xlfn.TEXTBEFORE(_xlfn.TEXTAFTER(CantoralDB[[#This Row],[index.html]],"&gt;"),"&gt;")&amp;"&gt;"</f>
        <v>&lt;a href="canciones/francisco_palazon/escucha_señor_nuestra_humilde_oracion.html"&gt;</v>
      </c>
    </row>
    <row r="828" spans="1:23" x14ac:dyDescent="0.3">
      <c r="A828" s="1">
        <f>ROW(CantoralDB[[#This Row],[Título]])-1</f>
        <v>827</v>
      </c>
      <c r="B828" s="1" t="s">
        <v>2075</v>
      </c>
      <c r="C828" s="1"/>
      <c r="J828" s="1"/>
      <c r="M828" s="15" t="s">
        <v>481</v>
      </c>
      <c r="N828" s="15" t="s">
        <v>1928</v>
      </c>
      <c r="O828" s="15">
        <v>9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828" s="1"/>
      <c r="T828" s="1"/>
      <c r="U828" s="15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828" s="15" t="str">
        <f>_xlfn.TEXTBEFORE(_xlfn.TEXTAFTER(CantoralDB[[#This Row],[index.html]],"&gt;"),"&gt;")&amp;"&gt;"</f>
        <v>&lt;a href="canciones/francisco_palazon/cuando_bajas_señor.html"&gt;</v>
      </c>
    </row>
    <row r="829" spans="1:23" x14ac:dyDescent="0.3">
      <c r="A829" s="1">
        <f>ROW(CantoralDB[[#This Row],[Título]])-1</f>
        <v>828</v>
      </c>
      <c r="B829" s="1" t="s">
        <v>26</v>
      </c>
      <c r="C829" s="1"/>
      <c r="J829" s="1"/>
      <c r="M829" s="15" t="s">
        <v>481</v>
      </c>
      <c r="N829" s="15" t="s">
        <v>1928</v>
      </c>
      <c r="O829" s="15">
        <v>10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829" s="1"/>
      <c r="T829" s="1"/>
      <c r="U829" s="15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829" s="15" t="str">
        <f>_xlfn.TEXTBEFORE(_xlfn.TEXTAFTER(CantoralDB[[#This Row],[index.html]],"&gt;"),"&gt;")&amp;"&gt;"</f>
        <v>&lt;a href="canciones/francisco_palazon/bendigamos_al_señor.html"&gt;</v>
      </c>
    </row>
    <row r="830" spans="1:23" x14ac:dyDescent="0.3">
      <c r="A830" s="1">
        <f>ROW(CantoralDB[[#This Row],[Título]])-1</f>
        <v>829</v>
      </c>
      <c r="B830" s="1" t="s">
        <v>2111</v>
      </c>
      <c r="C830" s="1"/>
      <c r="J830" s="1"/>
      <c r="M830" s="15" t="s">
        <v>481</v>
      </c>
      <c r="N830" s="15" t="s">
        <v>1925</v>
      </c>
      <c r="O830" s="15">
        <v>1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830" s="1"/>
      <c r="T830" s="1"/>
      <c r="U830" s="15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830" s="15" t="str">
        <f>_xlfn.TEXTBEFORE(_xlfn.TEXTAFTER(CantoralDB[[#This Row],[index.html]],"&gt;"),"&gt;")&amp;"&gt;"</f>
        <v>&lt;a href="canciones/francisco_palazon/hosanna_al_hijo_de_david.html"&gt;</v>
      </c>
    </row>
    <row r="831" spans="1:23" x14ac:dyDescent="0.3">
      <c r="A831" s="1">
        <f>ROW(CantoralDB[[#This Row],[Título]])-1</f>
        <v>830</v>
      </c>
      <c r="B831" s="1" t="s">
        <v>2112</v>
      </c>
      <c r="C831" s="1"/>
      <c r="J831" s="1"/>
      <c r="M831" s="15" t="s">
        <v>481</v>
      </c>
      <c r="N831" s="15" t="s">
        <v>1925</v>
      </c>
      <c r="O831" s="15">
        <v>2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831" s="1"/>
      <c r="T831" s="1"/>
      <c r="U831" s="15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831" s="15" t="str">
        <f>_xlfn.TEXTBEFORE(_xlfn.TEXTAFTER(CantoralDB[[#This Row],[index.html]],"&gt;"),"&gt;")&amp;"&gt;"</f>
        <v>&lt;a href="canciones/francisco_palazon/gloria_alabanza_y_honor.html"&gt;</v>
      </c>
    </row>
    <row r="832" spans="1:23" x14ac:dyDescent="0.3">
      <c r="A832" s="1">
        <f>ROW(CantoralDB[[#This Row],[Título]])-1</f>
        <v>831</v>
      </c>
      <c r="B832" s="1" t="s">
        <v>2113</v>
      </c>
      <c r="C832" s="1"/>
      <c r="J832" s="1"/>
      <c r="M832" s="15" t="s">
        <v>481</v>
      </c>
      <c r="N832" s="15" t="s">
        <v>1925</v>
      </c>
      <c r="O832" s="15">
        <v>3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832" s="1"/>
      <c r="T832" s="1"/>
      <c r="U832" s="15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832" s="15" t="str">
        <f>_xlfn.TEXTBEFORE(_xlfn.TEXTAFTER(CantoralDB[[#This Row],[index.html]],"&gt;"),"&gt;")&amp;"&gt;"</f>
        <v>&lt;a href="canciones/francisco_palazon/los_niños_hebreos.html"&gt;</v>
      </c>
    </row>
    <row r="833" spans="1:23" x14ac:dyDescent="0.3">
      <c r="A833" s="1">
        <f>ROW(CantoralDB[[#This Row],[Título]])-1</f>
        <v>832</v>
      </c>
      <c r="B833" s="1" t="s">
        <v>2114</v>
      </c>
      <c r="C833" s="1"/>
      <c r="J833" s="1"/>
      <c r="M833" s="15" t="s">
        <v>481</v>
      </c>
      <c r="N833" s="15" t="s">
        <v>1925</v>
      </c>
      <c r="O833" s="15">
        <v>4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833" s="1"/>
      <c r="T833" s="1"/>
      <c r="U833" s="15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833" s="15" t="str">
        <f>_xlfn.TEXTBEFORE(_xlfn.TEXTAFTER(CantoralDB[[#This Row],[index.html]],"&gt;"),"&gt;")&amp;"&gt;"</f>
        <v>&lt;a href="canciones/francisco_palazon/nosotros_hemos_de_gloriarnos.html"&gt;</v>
      </c>
    </row>
    <row r="834" spans="1:23" x14ac:dyDescent="0.3">
      <c r="A834" s="1">
        <f>ROW(CantoralDB[[#This Row],[Título]])-1</f>
        <v>833</v>
      </c>
      <c r="B834" s="1" t="s">
        <v>104</v>
      </c>
      <c r="C834" s="1"/>
      <c r="E834" s="1">
        <v>185</v>
      </c>
      <c r="J834" s="1"/>
      <c r="M834" s="15" t="s">
        <v>481</v>
      </c>
      <c r="N834" s="15" t="s">
        <v>1925</v>
      </c>
      <c r="O834" s="15">
        <v>5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834" s="1"/>
      <c r="T834" s="1"/>
      <c r="U834" s="15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834" s="15" t="str">
        <f>_xlfn.TEXTBEFORE(_xlfn.TEXTAFTER(CantoralDB[[#This Row],[index.html]],"&gt;"),"&gt;")&amp;"&gt;"</f>
        <v>&lt;a href="canciones/francisco_palazon/os_doy_un_mandato_nuevo.html"&gt;</v>
      </c>
    </row>
    <row r="835" spans="1:23" x14ac:dyDescent="0.3">
      <c r="A835" s="1">
        <f>ROW(CantoralDB[[#This Row],[Título]])-1</f>
        <v>834</v>
      </c>
      <c r="B835" s="1" t="s">
        <v>2115</v>
      </c>
      <c r="C835" s="1"/>
      <c r="J835" s="1"/>
      <c r="M835" s="15" t="s">
        <v>481</v>
      </c>
      <c r="N835" s="15" t="s">
        <v>1925</v>
      </c>
      <c r="O835" s="15">
        <v>6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835" s="1"/>
      <c r="T835" s="1"/>
      <c r="U835" s="15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835" s="15" t="str">
        <f>_xlfn.TEXTBEFORE(_xlfn.TEXTAFTER(CantoralDB[[#This Row],[index.html]],"&gt;"),"&gt;")&amp;"&gt;"</f>
        <v>&lt;a href="canciones/francisco_palazon/que_la_lengua_humana.html"&gt;</v>
      </c>
    </row>
    <row r="836" spans="1:23" x14ac:dyDescent="0.3">
      <c r="A836" s="1">
        <f>ROW(CantoralDB[[#This Row],[Título]])-1</f>
        <v>835</v>
      </c>
      <c r="B836" s="1" t="s">
        <v>117</v>
      </c>
      <c r="C836" s="1"/>
      <c r="J836" s="1"/>
      <c r="M836" s="15" t="s">
        <v>481</v>
      </c>
      <c r="N836" s="15" t="s">
        <v>1925</v>
      </c>
      <c r="O836" s="15">
        <v>7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836" s="1"/>
      <c r="T836" s="1"/>
      <c r="U836" s="15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836" s="15" t="str">
        <f>_xlfn.TEXTBEFORE(_xlfn.TEXTAFTER(CantoralDB[[#This Row],[index.html]],"&gt;"),"&gt;")&amp;"&gt;"</f>
        <v>&lt;a href="canciones/francisco_palazon/pueblo_mio.html"&gt;</v>
      </c>
    </row>
    <row r="837" spans="1:23" x14ac:dyDescent="0.3">
      <c r="A837" s="1">
        <f>ROW(CantoralDB[[#This Row],[Título]])-1</f>
        <v>836</v>
      </c>
      <c r="B837" s="1" t="s">
        <v>41</v>
      </c>
      <c r="C837" s="1"/>
      <c r="J837" s="1"/>
      <c r="M837" s="15" t="s">
        <v>481</v>
      </c>
      <c r="N837" s="15" t="s">
        <v>1925</v>
      </c>
      <c r="O837" s="15">
        <v>8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837" s="1"/>
      <c r="T837" s="1"/>
      <c r="U837" s="15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837" s="15" t="str">
        <f>_xlfn.TEXTBEFORE(_xlfn.TEXTAFTER(CantoralDB[[#This Row],[index.html]],"&gt;"),"&gt;")&amp;"&gt;"</f>
        <v>&lt;a href="canciones/francisco_palazon/cristo_por_nosotros.html"&gt;</v>
      </c>
    </row>
    <row r="838" spans="1:23" x14ac:dyDescent="0.3">
      <c r="A838" s="1">
        <f>ROW(CantoralDB[[#This Row],[Título]])-1</f>
        <v>837</v>
      </c>
      <c r="B838" s="1" t="s">
        <v>2116</v>
      </c>
      <c r="C838" s="1"/>
      <c r="J838" s="1"/>
      <c r="M838" s="15" t="s">
        <v>481</v>
      </c>
      <c r="N838" s="15" t="s">
        <v>1925</v>
      </c>
      <c r="O838" s="15">
        <v>9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838" s="1"/>
      <c r="T838" s="1"/>
      <c r="U838" s="15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838" s="15" t="str">
        <f>_xlfn.TEXTBEFORE(_xlfn.TEXTAFTER(CantoralDB[[#This Row],[index.html]],"&gt;"),"&gt;")&amp;"&gt;"</f>
        <v>&lt;a href="canciones/francisco_palazon/tu_cruz_adoramos_señor.html"&gt;</v>
      </c>
    </row>
    <row r="839" spans="1:23" x14ac:dyDescent="0.3">
      <c r="A839" s="1">
        <f>ROW(CantoralDB[[#This Row],[Título]])-1</f>
        <v>838</v>
      </c>
      <c r="B839" s="1" t="s">
        <v>2117</v>
      </c>
      <c r="C839" s="1"/>
      <c r="J839" s="1"/>
      <c r="M839" s="15" t="s">
        <v>481</v>
      </c>
      <c r="N839" s="15" t="s">
        <v>1925</v>
      </c>
      <c r="O839" s="15">
        <v>10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839" s="1"/>
      <c r="T839" s="1"/>
      <c r="U839" s="15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839" s="15" t="str">
        <f>_xlfn.TEXTBEFORE(_xlfn.TEXTAFTER(CantoralDB[[#This Row],[index.html]],"&gt;"),"&gt;")&amp;"&gt;"</f>
        <v>&lt;a href="canciones/francisco_palazon/como_busca_la_cierva.html"&gt;</v>
      </c>
    </row>
    <row r="840" spans="1:23" x14ac:dyDescent="0.3">
      <c r="A840" s="1">
        <f>ROW(CantoralDB[[#This Row],[Título]])-1</f>
        <v>839</v>
      </c>
      <c r="B840" s="1" t="s">
        <v>2118</v>
      </c>
      <c r="C840" s="1"/>
      <c r="J840" s="1"/>
      <c r="M840" s="15" t="s">
        <v>481</v>
      </c>
      <c r="N840" s="15" t="s">
        <v>1925</v>
      </c>
      <c r="O840" s="15">
        <v>11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840" s="1"/>
      <c r="T840" s="1"/>
      <c r="U840" s="15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840" s="15" t="str">
        <f>_xlfn.TEXTBEFORE(_xlfn.TEXTAFTER(CantoralDB[[#This Row],[index.html]],"&gt;"),"&gt;")&amp;"&gt;"</f>
        <v>&lt;a href="canciones/francisco_palazon/cantemos_el_gozo_de_la_resurreccion.html"&gt;</v>
      </c>
    </row>
    <row r="841" spans="1:23" x14ac:dyDescent="0.3">
      <c r="A841" s="1">
        <f>ROW(CantoralDB[[#This Row],[Título]])-1</f>
        <v>840</v>
      </c>
      <c r="B841" s="1" t="s">
        <v>1215</v>
      </c>
      <c r="C841" s="1"/>
      <c r="E841" s="1">
        <v>99</v>
      </c>
      <c r="J841" s="1"/>
      <c r="M841" s="15" t="s">
        <v>481</v>
      </c>
      <c r="N841" s="15" t="s">
        <v>2225</v>
      </c>
      <c r="O841" s="15"/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841" s="1"/>
      <c r="T841" s="1"/>
      <c r="U841" s="15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841" s="15" t="str">
        <f>_xlfn.TEXTBEFORE(_xlfn.TEXTAFTER(CantoralDB[[#This Row],[index.html]],"&gt;"),"&gt;")&amp;"&gt;"</f>
        <v>&lt;a href="canciones/francisco_palazon/el_señor_es_mi_luz_y_mi_salvacion.html"&gt;</v>
      </c>
    </row>
    <row r="842" spans="1:23" x14ac:dyDescent="0.3">
      <c r="A842" s="1">
        <f>ROW(CantoralDB[[#This Row],[Título]])-1</f>
        <v>841</v>
      </c>
      <c r="B842" s="1" t="s">
        <v>1926</v>
      </c>
      <c r="C842" s="1"/>
      <c r="H842" s="1" t="s">
        <v>531</v>
      </c>
      <c r="J842" s="1" t="s">
        <v>608</v>
      </c>
      <c r="M842" s="15" t="s">
        <v>481</v>
      </c>
      <c r="N842" s="15" t="s">
        <v>1926</v>
      </c>
      <c r="O842" s="15">
        <v>1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842" s="1" t="s">
        <v>2221</v>
      </c>
      <c r="T842" s="1"/>
      <c r="U842" s="15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842" s="15" t="str">
        <f>_xlfn.TEXTBEFORE(_xlfn.TEXTAFTER(CantoralDB[[#This Row],[index.html]],"&gt;"),"&gt;")&amp;"&gt;"</f>
        <v>&lt;a href="canciones/francisco_palazon/el_alzar_de_mis_manos.html"&gt;</v>
      </c>
    </row>
    <row r="843" spans="1:23" x14ac:dyDescent="0.3">
      <c r="A843" s="1">
        <f>ROW(CantoralDB[[#This Row],[Título]])-1</f>
        <v>842</v>
      </c>
      <c r="B843" s="1" t="s">
        <v>1932</v>
      </c>
      <c r="C843" s="1"/>
      <c r="E843" s="1">
        <v>62</v>
      </c>
      <c r="H843" s="1" t="s">
        <v>1030</v>
      </c>
      <c r="J843" s="1" t="s">
        <v>608</v>
      </c>
      <c r="M843" s="15" t="s">
        <v>481</v>
      </c>
      <c r="N843" s="15" t="s">
        <v>1926</v>
      </c>
      <c r="O843" s="15">
        <v>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843" s="1"/>
      <c r="T843" s="1"/>
      <c r="U843" s="15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843" s="15" t="str">
        <f>_xlfn.TEXTBEFORE(_xlfn.TEXTAFTER(CantoralDB[[#This Row],[index.html]],"&gt;"),"&gt;")&amp;"&gt;"</f>
        <v>&lt;a href="canciones/francisco_palazon/cantico_de_daniel.html"&gt;</v>
      </c>
    </row>
    <row r="844" spans="1:23" x14ac:dyDescent="0.3">
      <c r="A844" s="1">
        <f>ROW(CantoralDB[[#This Row],[Título]])-1</f>
        <v>843</v>
      </c>
      <c r="B844" s="1" t="s">
        <v>1167</v>
      </c>
      <c r="C844" s="1"/>
      <c r="E844" s="1">
        <v>27</v>
      </c>
      <c r="H844" s="1" t="s">
        <v>1030</v>
      </c>
      <c r="J844" s="1" t="s">
        <v>608</v>
      </c>
      <c r="M844" s="15" t="s">
        <v>481</v>
      </c>
      <c r="N844" s="15" t="s">
        <v>1926</v>
      </c>
      <c r="O844" s="15">
        <v>3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844" s="1"/>
      <c r="T844" s="1"/>
      <c r="U844" s="15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844" s="15" t="str">
        <f>_xlfn.TEXTBEFORE(_xlfn.TEXTAFTER(CantoralDB[[#This Row],[index.html]],"&gt;"),"&gt;")&amp;"&gt;"</f>
        <v>&lt;a href="canciones/francisco_palazon/a_ti_levanto_mi_alma.html"&gt;</v>
      </c>
    </row>
    <row r="845" spans="1:23" x14ac:dyDescent="0.3">
      <c r="A845" s="1">
        <f>ROW(CantoralDB[[#This Row],[Título]])-1</f>
        <v>844</v>
      </c>
      <c r="B845" s="1" t="s">
        <v>2224</v>
      </c>
      <c r="C845" s="1"/>
      <c r="H845" s="1" t="s">
        <v>531</v>
      </c>
      <c r="J845" s="1" t="s">
        <v>608</v>
      </c>
      <c r="M845" s="15" t="s">
        <v>481</v>
      </c>
      <c r="N845" s="15" t="s">
        <v>1926</v>
      </c>
      <c r="O845" s="15">
        <v>4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845" s="1" t="s">
        <v>2222</v>
      </c>
      <c r="T845" s="1"/>
      <c r="U845" s="15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845" s="15" t="str">
        <f>_xlfn.TEXTBEFORE(_xlfn.TEXTAFTER(CantoralDB[[#This Row],[index.html]],"&gt;"),"&gt;")&amp;"&gt;"</f>
        <v>&lt;a href="canciones/francisco_palazon/el_señor_de_los_ejercitos.html"&gt;</v>
      </c>
    </row>
    <row r="846" spans="1:23" x14ac:dyDescent="0.3">
      <c r="A846" s="1">
        <f>ROW(CantoralDB[[#This Row],[Título]])-1</f>
        <v>845</v>
      </c>
      <c r="B846" s="1" t="s">
        <v>515</v>
      </c>
      <c r="C846" s="1" t="s">
        <v>201</v>
      </c>
      <c r="D846" s="1" t="s">
        <v>650</v>
      </c>
      <c r="G846" s="1" t="s">
        <v>209</v>
      </c>
      <c r="H846" s="1" t="s">
        <v>1030</v>
      </c>
      <c r="J846" s="1" t="s">
        <v>608</v>
      </c>
      <c r="M846" s="15" t="s">
        <v>481</v>
      </c>
      <c r="N846" s="15" t="s">
        <v>1926</v>
      </c>
      <c r="O846" s="15">
        <v>5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846" s="1" t="s">
        <v>822</v>
      </c>
      <c r="T846" s="1"/>
      <c r="U846" s="15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846" s="15" t="str">
        <f>_xlfn.TEXTBEFORE(_xlfn.TEXTAFTER(CantoralDB[[#This Row],[index.html]],"&gt;"),"&gt;")&amp;"&gt;"</f>
        <v>&lt;a href="canciones/francisco_palazon/el_caliz_que_bendecimos.html"&gt;</v>
      </c>
    </row>
    <row r="847" spans="1:23" x14ac:dyDescent="0.3">
      <c r="A847" s="1">
        <f>ROW(CantoralDB[[#This Row],[Título]])-1</f>
        <v>846</v>
      </c>
      <c r="B847" s="1" t="s">
        <v>53</v>
      </c>
      <c r="C847" s="1" t="s">
        <v>201</v>
      </c>
      <c r="D847" s="1" t="s">
        <v>652</v>
      </c>
      <c r="E847" s="1">
        <v>98</v>
      </c>
      <c r="G847" s="1" t="s">
        <v>209</v>
      </c>
      <c r="H847" s="1" t="s">
        <v>1030</v>
      </c>
      <c r="J847" s="1" t="s">
        <v>608</v>
      </c>
      <c r="M847" s="15" t="s">
        <v>481</v>
      </c>
      <c r="N847" s="15" t="s">
        <v>1926</v>
      </c>
      <c r="O847" s="15">
        <v>6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847" s="1" t="s">
        <v>827</v>
      </c>
      <c r="T847" s="1"/>
      <c r="U847" s="15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847" s="15" t="str">
        <f>_xlfn.TEXTBEFORE(_xlfn.TEXTAFTER(CantoralDB[[#This Row],[index.html]],"&gt;"),"&gt;")&amp;"&gt;"</f>
        <v>&lt;a href="canciones/francisco_palazon/el_señor_es_mi_pastor.html"&gt;</v>
      </c>
    </row>
    <row r="848" spans="1:23" x14ac:dyDescent="0.3">
      <c r="A848" s="1">
        <f>ROW(CantoralDB[[#This Row],[Título]])-1</f>
        <v>847</v>
      </c>
      <c r="B848" s="1" t="s">
        <v>1933</v>
      </c>
      <c r="C848" s="1"/>
      <c r="E848" s="1">
        <v>18</v>
      </c>
      <c r="H848" s="1" t="s">
        <v>1030</v>
      </c>
      <c r="J848" s="1" t="s">
        <v>608</v>
      </c>
      <c r="M848" s="15" t="s">
        <v>481</v>
      </c>
      <c r="N848" s="15" t="s">
        <v>1926</v>
      </c>
      <c r="O848" s="15">
        <v>7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848" s="1"/>
      <c r="T848" s="1"/>
      <c r="U848" s="15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848" s="15" t="str">
        <f>_xlfn.TEXTBEFORE(_xlfn.TEXTAFTER(CantoralDB[[#This Row],[index.html]],"&gt;"),"&gt;")&amp;"&gt;"</f>
        <v>&lt;a href="canciones/francisco_palazon/el_señor_tenga_piedad.html"&gt;</v>
      </c>
    </row>
    <row r="849" spans="1:23" x14ac:dyDescent="0.3">
      <c r="A849" s="1">
        <f>ROW(CantoralDB[[#This Row],[Título]])-1</f>
        <v>848</v>
      </c>
      <c r="B849" s="1" t="s">
        <v>1172</v>
      </c>
      <c r="C849" s="1"/>
      <c r="E849" s="1">
        <v>36</v>
      </c>
      <c r="H849" s="1" t="s">
        <v>1027</v>
      </c>
      <c r="J849" s="1" t="s">
        <v>608</v>
      </c>
      <c r="M849" s="15" t="s">
        <v>481</v>
      </c>
      <c r="N849" s="15" t="s">
        <v>1926</v>
      </c>
      <c r="O849" s="15">
        <v>8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849" s="1"/>
      <c r="T849" s="1"/>
      <c r="U849" s="15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849" s="15" t="str">
        <f>_xlfn.TEXTBEFORE(_xlfn.TEXTAFTER(CantoralDB[[#This Row],[index.html]],"&gt;"),"&gt;")&amp;"&gt;"</f>
        <v>&lt;a href="canciones/francisco_palazon/caminare_en_presencia_del_señor.html"&gt;</v>
      </c>
    </row>
    <row r="850" spans="1:23" x14ac:dyDescent="0.3">
      <c r="A850" s="1">
        <f>ROW(CantoralDB[[#This Row],[Título]])-1</f>
        <v>849</v>
      </c>
      <c r="B850" s="1" t="s">
        <v>1219</v>
      </c>
      <c r="C850" s="1"/>
      <c r="E850" s="1">
        <v>103</v>
      </c>
      <c r="H850" s="1" t="s">
        <v>531</v>
      </c>
      <c r="J850" s="1" t="s">
        <v>608</v>
      </c>
      <c r="M850" s="15" t="s">
        <v>481</v>
      </c>
      <c r="N850" s="15" t="s">
        <v>1926</v>
      </c>
      <c r="O850" s="15">
        <v>9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850" s="1" t="s">
        <v>2223</v>
      </c>
      <c r="T850" s="1"/>
      <c r="U850" s="15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850" s="15" t="str">
        <f>_xlfn.TEXTBEFORE(_xlfn.TEXTAFTER(CantoralDB[[#This Row],[index.html]],"&gt;"),"&gt;")&amp;"&gt;"</f>
        <v>&lt;a href="canciones/francisco_palazon/el_señor_es_bueno.html"&gt;</v>
      </c>
    </row>
    <row r="851" spans="1:23" x14ac:dyDescent="0.3">
      <c r="A851" s="1">
        <f>ROW(CantoralDB[[#This Row],[Título]])-1</f>
        <v>850</v>
      </c>
      <c r="B851" s="1" t="s">
        <v>116</v>
      </c>
      <c r="C851" s="1"/>
      <c r="E851" s="1">
        <v>207</v>
      </c>
      <c r="H851" s="1" t="s">
        <v>1030</v>
      </c>
      <c r="J851" s="1" t="s">
        <v>608</v>
      </c>
      <c r="M851" s="15" t="s">
        <v>481</v>
      </c>
      <c r="N851" s="15" t="s">
        <v>1926</v>
      </c>
      <c r="O851" s="15">
        <v>10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851" s="1"/>
      <c r="T851" s="1"/>
      <c r="U851" s="15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851" s="15" t="str">
        <f>_xlfn.TEXTBEFORE(_xlfn.TEXTAFTER(CantoralDB[[#This Row],[index.html]],"&gt;"),"&gt;")&amp;"&gt;"</f>
        <v>&lt;a href="canciones/francisco_palazon/protegeme_dios_mio.html"&gt;</v>
      </c>
    </row>
    <row r="852" spans="1:23" x14ac:dyDescent="0.3">
      <c r="A852" s="1">
        <f>ROW(CantoralDB[[#This Row],[Título]])-1</f>
        <v>851</v>
      </c>
      <c r="B852" s="1" t="s">
        <v>74</v>
      </c>
      <c r="C852" s="1" t="s">
        <v>200</v>
      </c>
      <c r="D852" s="1" t="s">
        <v>1429</v>
      </c>
      <c r="E852" s="1">
        <v>430</v>
      </c>
      <c r="G852" s="1" t="s">
        <v>209</v>
      </c>
      <c r="H852" s="1" t="s">
        <v>1027</v>
      </c>
      <c r="J852" s="1" t="s">
        <v>608</v>
      </c>
      <c r="M852" s="15" t="s">
        <v>481</v>
      </c>
      <c r="N852" s="15" t="s">
        <v>2227</v>
      </c>
      <c r="O852" s="15"/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852" s="1"/>
      <c r="T852" s="1"/>
      <c r="U852" s="15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852" s="15" t="str">
        <f>_xlfn.TEXTBEFORE(_xlfn.TEXTAFTER(CantoralDB[[#This Row],[index.html]],"&gt;"),"&gt;")&amp;"&gt;"</f>
        <v>&lt;a href="canciones/francisco_palazon/himno_a_nuestra_señora_de_la_almudena.html"&gt;</v>
      </c>
    </row>
    <row r="853" spans="1:23" x14ac:dyDescent="0.3">
      <c r="A853" s="1">
        <f>ROW(CantoralDB[[#This Row],[Título]])-1</f>
        <v>852</v>
      </c>
      <c r="B853" s="1" t="s">
        <v>238</v>
      </c>
      <c r="C853" s="1" t="s">
        <v>200</v>
      </c>
      <c r="D853" s="1" t="s">
        <v>1050</v>
      </c>
      <c r="E853" s="1">
        <v>42</v>
      </c>
      <c r="G853" s="1" t="s">
        <v>209</v>
      </c>
      <c r="H853" s="1" t="s">
        <v>1027</v>
      </c>
      <c r="I853" s="1" t="s">
        <v>2961</v>
      </c>
      <c r="J853" s="1" t="s">
        <v>608</v>
      </c>
      <c r="M853" s="15" t="s">
        <v>481</v>
      </c>
      <c r="N853" s="15" t="s">
        <v>1278</v>
      </c>
      <c r="O853" s="15">
        <v>1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853" s="1"/>
      <c r="T853" s="1"/>
      <c r="U853" s="15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853" s="15" t="str">
        <f>_xlfn.TEXTBEFORE(_xlfn.TEXTAFTER(CantoralDB[[#This Row],[index.html]],"&gt;"),"&gt;")&amp;"&gt;"</f>
        <v>&lt;a href="canciones/francisco_palazon/mujer_fuerte.html"&gt;</v>
      </c>
    </row>
    <row r="854" spans="1:23" x14ac:dyDescent="0.3">
      <c r="A854" s="1">
        <f>ROW(CantoralDB[[#This Row],[Título]])-1</f>
        <v>853</v>
      </c>
      <c r="B854" s="1" t="s">
        <v>1278</v>
      </c>
      <c r="C854" s="1"/>
      <c r="E854" s="1">
        <v>161</v>
      </c>
      <c r="H854" s="1" t="s">
        <v>531</v>
      </c>
      <c r="J854" s="1" t="s">
        <v>608</v>
      </c>
      <c r="M854" s="15" t="s">
        <v>481</v>
      </c>
      <c r="N854" s="15" t="s">
        <v>1278</v>
      </c>
      <c r="O854" s="15">
        <v>2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854" s="1"/>
      <c r="T854" s="1"/>
      <c r="U854" s="33" t="s">
        <v>2982</v>
      </c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854" s="15" t="str">
        <f>_xlfn.TEXTBEFORE(_xlfn.TEXTAFTER(CantoralDB[[#This Row],[index.html]],"&gt;"),"&gt;")&amp;"&gt;"</f>
        <v>&lt;a href="canciones/francisco_palazon/madre_de_los_creyentes.html"&gt;</v>
      </c>
    </row>
    <row r="855" spans="1:23" x14ac:dyDescent="0.3">
      <c r="A855" s="1">
        <f>ROW(CantoralDB[[#This Row],[Título]])-1</f>
        <v>854</v>
      </c>
      <c r="B855" s="1" t="s">
        <v>1934</v>
      </c>
      <c r="C855" s="1"/>
      <c r="H855" s="1" t="s">
        <v>531</v>
      </c>
      <c r="J855" s="1" t="s">
        <v>608</v>
      </c>
      <c r="M855" s="15" t="s">
        <v>481</v>
      </c>
      <c r="N855" s="15" t="s">
        <v>1278</v>
      </c>
      <c r="O855" s="15">
        <v>3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855" s="1"/>
      <c r="T855" s="1"/>
      <c r="U855" s="15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855" s="15" t="str">
        <f>_xlfn.TEXTBEFORE(_xlfn.TEXTAFTER(CantoralDB[[#This Row],[index.html]],"&gt;"),"&gt;")&amp;"&gt;"</f>
        <v>&lt;a href="canciones/francisco_palazon/a_ti_suspiramos.html"&gt;</v>
      </c>
    </row>
    <row r="856" spans="1:23" x14ac:dyDescent="0.3">
      <c r="A856" s="1">
        <f>ROW(CantoralDB[[#This Row],[Título]])-1</f>
        <v>855</v>
      </c>
      <c r="B856" s="1" t="s">
        <v>125</v>
      </c>
      <c r="C856" s="1" t="s">
        <v>200</v>
      </c>
      <c r="D856" s="1" t="s">
        <v>1052</v>
      </c>
      <c r="E856" s="1" t="s">
        <v>2903</v>
      </c>
      <c r="G856" s="1" t="s">
        <v>209</v>
      </c>
      <c r="H856" s="1" t="s">
        <v>473</v>
      </c>
      <c r="J856" s="1" t="s">
        <v>608</v>
      </c>
      <c r="M856" s="15" t="s">
        <v>481</v>
      </c>
      <c r="N856" s="15" t="s">
        <v>1278</v>
      </c>
      <c r="O856" s="15">
        <v>4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856" s="1"/>
      <c r="T856" s="1"/>
      <c r="U856" s="15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856" s="15" t="str">
        <f>_xlfn.TEXTBEFORE(_xlfn.TEXTAFTER(CantoralDB[[#This Row],[index.html]],"&gt;"),"&gt;")&amp;"&gt;"</f>
        <v>&lt;a href="canciones/francisco_palazon/reina_del_cielo.html"&gt;</v>
      </c>
    </row>
    <row r="857" spans="1:23" x14ac:dyDescent="0.3">
      <c r="A857" s="1">
        <f>ROW(CantoralDB[[#This Row],[Título]])-1</f>
        <v>856</v>
      </c>
      <c r="B857" s="1" t="s">
        <v>1544</v>
      </c>
      <c r="C857" s="1"/>
      <c r="H857" s="1" t="s">
        <v>473</v>
      </c>
      <c r="J857" s="1" t="s">
        <v>608</v>
      </c>
      <c r="M857" s="15" t="s">
        <v>481</v>
      </c>
      <c r="N857" s="15" t="s">
        <v>1278</v>
      </c>
      <c r="O857" s="15">
        <v>5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857" s="1"/>
      <c r="T857" s="1"/>
      <c r="U857" s="15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857" s="15" t="str">
        <f>_xlfn.TEXTBEFORE(_xlfn.TEXTAFTER(CantoralDB[[#This Row],[index.html]],"&gt;"),"&gt;")&amp;"&gt;"</f>
        <v>&lt;a href="canciones/francisco_palazon/magnificat.html"&gt;</v>
      </c>
    </row>
    <row r="858" spans="1:23" x14ac:dyDescent="0.3">
      <c r="A858" s="1">
        <f>ROW(CantoralDB[[#This Row],[Título]])-1</f>
        <v>857</v>
      </c>
      <c r="B858" s="1" t="s">
        <v>1935</v>
      </c>
      <c r="C858" s="1"/>
      <c r="H858" s="1" t="s">
        <v>531</v>
      </c>
      <c r="J858" s="1" t="s">
        <v>608</v>
      </c>
      <c r="M858" s="15" t="s">
        <v>481</v>
      </c>
      <c r="N858" s="15" t="s">
        <v>1278</v>
      </c>
      <c r="O858" s="15">
        <v>6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858" s="1"/>
      <c r="T858" s="1"/>
      <c r="U858" s="15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858" s="15" t="str">
        <f>_xlfn.TEXTBEFORE(_xlfn.TEXTAFTER(CantoralDB[[#This Row],[index.html]],"&gt;"),"&gt;")&amp;"&gt;"</f>
        <v>&lt;a href="canciones/francisco_palazon/morada_de_la_luz.html"&gt;</v>
      </c>
    </row>
    <row r="859" spans="1:23" x14ac:dyDescent="0.3">
      <c r="A859" s="1">
        <f>ROW(CantoralDB[[#This Row],[Título]])-1</f>
        <v>858</v>
      </c>
      <c r="B859" s="1" t="s">
        <v>1936</v>
      </c>
      <c r="C859" s="1"/>
      <c r="H859" s="1" t="s">
        <v>531</v>
      </c>
      <c r="J859" s="1" t="s">
        <v>608</v>
      </c>
      <c r="M859" s="15" t="s">
        <v>481</v>
      </c>
      <c r="N859" s="15" t="s">
        <v>1278</v>
      </c>
      <c r="O859" s="15">
        <v>7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859" s="1"/>
      <c r="T859" s="1"/>
      <c r="U859" s="15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859" s="15" t="str">
        <f>_xlfn.TEXTBEFORE(_xlfn.TEXTAFTER(CantoralDB[[#This Row],[index.html]],"&gt;"),"&gt;")&amp;"&gt;"</f>
        <v>&lt;a href="canciones/francisco_palazon/madre_del_redentor.html"&gt;</v>
      </c>
    </row>
    <row r="860" spans="1:23" x14ac:dyDescent="0.3">
      <c r="A860" s="1">
        <f>ROW(CantoralDB[[#This Row],[Título]])-1</f>
        <v>859</v>
      </c>
      <c r="B860" s="1" t="s">
        <v>1937</v>
      </c>
      <c r="C860" s="1"/>
      <c r="H860" s="1" t="s">
        <v>1030</v>
      </c>
      <c r="J860" s="1" t="s">
        <v>608</v>
      </c>
      <c r="M860" s="15" t="s">
        <v>481</v>
      </c>
      <c r="N860" s="15" t="s">
        <v>1278</v>
      </c>
      <c r="O860" s="15">
        <v>8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860" s="1"/>
      <c r="T860" s="1"/>
      <c r="U860" s="15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860" s="15" t="str">
        <f>_xlfn.TEXTBEFORE(_xlfn.TEXTAFTER(CantoralDB[[#This Row],[index.html]],"&gt;"),"&gt;")&amp;"&gt;"</f>
        <v>&lt;a href="canciones/francisco_palazon/angelus.html"&gt;</v>
      </c>
    </row>
    <row r="861" spans="1:23" x14ac:dyDescent="0.3">
      <c r="A861" s="1">
        <f>ROW(CantoralDB[[#This Row],[Título]])-1</f>
        <v>860</v>
      </c>
      <c r="B861" s="1" t="s">
        <v>1938</v>
      </c>
      <c r="C861" s="1"/>
      <c r="H861" s="1" t="s">
        <v>1030</v>
      </c>
      <c r="J861" s="1" t="s">
        <v>608</v>
      </c>
      <c r="M861" s="15" t="s">
        <v>481</v>
      </c>
      <c r="N861" s="15" t="s">
        <v>1278</v>
      </c>
      <c r="O861" s="15">
        <v>9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861" s="1"/>
      <c r="T861" s="1"/>
      <c r="U861" s="15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861" s="15" t="str">
        <f>_xlfn.TEXTBEFORE(_xlfn.TEXTAFTER(CantoralDB[[#This Row],[index.html]],"&gt;"),"&gt;")&amp;"&gt;"</f>
        <v>&lt;a href="canciones/francisco_palazon/madre_nuestra.html"&gt;</v>
      </c>
    </row>
    <row r="862" spans="1:23" x14ac:dyDescent="0.3">
      <c r="A862" s="1">
        <f>ROW(CantoralDB[[#This Row],[Título]])-1</f>
        <v>861</v>
      </c>
      <c r="B862" s="1" t="s">
        <v>497</v>
      </c>
      <c r="C862" s="1"/>
      <c r="H862" s="1" t="s">
        <v>531</v>
      </c>
      <c r="J862" s="1" t="s">
        <v>608</v>
      </c>
      <c r="M862" s="15" t="s">
        <v>481</v>
      </c>
      <c r="N862" s="15" t="s">
        <v>1278</v>
      </c>
      <c r="O862" s="15">
        <v>10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862" s="1"/>
      <c r="T862" s="1"/>
      <c r="U862" s="15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862" s="15" t="str">
        <f>_xlfn.TEXTBEFORE(_xlfn.TEXTAFTER(CantoralDB[[#This Row],[index.html]],"&gt;"),"&gt;")&amp;"&gt;"</f>
        <v>&lt;a href="canciones/francisco_palazon/ave_maria.html"&gt;</v>
      </c>
    </row>
    <row r="863" spans="1:23" x14ac:dyDescent="0.3">
      <c r="A863" s="1">
        <f>ROW(CantoralDB[[#This Row],[Título]])-1</f>
        <v>862</v>
      </c>
      <c r="B863" s="1" t="s">
        <v>2046</v>
      </c>
      <c r="C863" s="1"/>
      <c r="H863" s="1" t="s">
        <v>1028</v>
      </c>
      <c r="J863" s="1" t="s">
        <v>608</v>
      </c>
      <c r="M863" s="15" t="s">
        <v>481</v>
      </c>
      <c r="N863" s="15" t="s">
        <v>2917</v>
      </c>
      <c r="O863" s="15">
        <v>1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863" s="1"/>
      <c r="T863" s="1"/>
      <c r="U863" s="15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863" s="15" t="str">
        <f>_xlfn.TEXTBEFORE(_xlfn.TEXTAFTER(CantoralDB[[#This Row],[index.html]],"&gt;"),"&gt;")&amp;"&gt;"</f>
        <v>&lt;a href="canciones/francisco_palazon/unidos_por_la_fe_y_el_amor.html"&gt;</v>
      </c>
    </row>
    <row r="864" spans="1:23" x14ac:dyDescent="0.3">
      <c r="A864" s="1">
        <f>ROW(CantoralDB[[#This Row],[Título]])-1</f>
        <v>863</v>
      </c>
      <c r="B864" s="1" t="s">
        <v>1582</v>
      </c>
      <c r="C864" s="1"/>
      <c r="H864" s="1" t="s">
        <v>1027</v>
      </c>
      <c r="J864" s="1" t="s">
        <v>608</v>
      </c>
      <c r="M864" s="15" t="s">
        <v>481</v>
      </c>
      <c r="N864" s="15" t="s">
        <v>2917</v>
      </c>
      <c r="O864" s="15">
        <v>2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864" s="1"/>
      <c r="T864" s="1"/>
      <c r="U864" s="15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864" s="15" t="str">
        <f>_xlfn.TEXTBEFORE(_xlfn.TEXTAFTER(CantoralDB[[#This Row],[index.html]],"&gt;"),"&gt;")&amp;"&gt;"</f>
        <v>&lt;a href="canciones/francisco_palazon/ten_piedad.html"&gt;</v>
      </c>
    </row>
    <row r="865" spans="1:23" x14ac:dyDescent="0.3">
      <c r="A865" s="1">
        <f>ROW(CantoralDB[[#This Row],[Título]])-1</f>
        <v>864</v>
      </c>
      <c r="B865" s="1" t="s">
        <v>2918</v>
      </c>
      <c r="C865" s="1"/>
      <c r="H865" s="1" t="s">
        <v>1027</v>
      </c>
      <c r="J865" s="1" t="s">
        <v>608</v>
      </c>
      <c r="M865" s="15" t="s">
        <v>481</v>
      </c>
      <c r="N865" s="15" t="s">
        <v>2917</v>
      </c>
      <c r="O865" s="15">
        <v>3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865" s="1"/>
      <c r="T865" s="1"/>
      <c r="U865" s="15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865" s="15" t="str">
        <f>_xlfn.TEXTBEFORE(_xlfn.TEXTAFTER(CantoralDB[[#This Row],[index.html]],"&gt;"),"&gt;")&amp;"&gt;"</f>
        <v>&lt;a href="canciones/francisco_palazon/gloria_(misa_coral_en_re).html"&gt;</v>
      </c>
    </row>
    <row r="866" spans="1:23" x14ac:dyDescent="0.3">
      <c r="A866" s="1">
        <f>ROW(CantoralDB[[#This Row],[Título]])-1</f>
        <v>865</v>
      </c>
      <c r="B866" s="1" t="s">
        <v>2919</v>
      </c>
      <c r="C866" s="1"/>
      <c r="H866" s="1" t="s">
        <v>1030</v>
      </c>
      <c r="J866" s="1" t="s">
        <v>608</v>
      </c>
      <c r="M866" s="15" t="s">
        <v>481</v>
      </c>
      <c r="N866" s="15" t="s">
        <v>2917</v>
      </c>
      <c r="O866" s="15">
        <v>4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866" s="1"/>
      <c r="T866" s="1"/>
      <c r="U866" s="15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866" s="15" t="str">
        <f>_xlfn.TEXTBEFORE(_xlfn.TEXTAFTER(CantoralDB[[#This Row],[index.html]],"&gt;"),"&gt;")&amp;"&gt;"</f>
        <v>&lt;a href="canciones/francisco_palazon/aleluya_(misa_coral_en_re).html"&gt;</v>
      </c>
    </row>
    <row r="867" spans="1:23" x14ac:dyDescent="0.3">
      <c r="A867" s="1">
        <f>ROW(CantoralDB[[#This Row],[Título]])-1</f>
        <v>866</v>
      </c>
      <c r="B867" s="1" t="s">
        <v>2920</v>
      </c>
      <c r="C867" s="1"/>
      <c r="H867" s="1" t="s">
        <v>1027</v>
      </c>
      <c r="J867" s="1" t="s">
        <v>608</v>
      </c>
      <c r="M867" s="15" t="s">
        <v>481</v>
      </c>
      <c r="N867" s="15" t="s">
        <v>2917</v>
      </c>
      <c r="O867" s="15">
        <v>5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867" s="1"/>
      <c r="T867" s="1"/>
      <c r="U867" s="15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867" s="15" t="str">
        <f>_xlfn.TEXTBEFORE(_xlfn.TEXTAFTER(CantoralDB[[#This Row],[index.html]],"&gt;"),"&gt;")&amp;"&gt;"</f>
        <v>&lt;a href="canciones/francisco_palazon/santo_(misa_coral_en_re).html"&gt;</v>
      </c>
    </row>
    <row r="868" spans="1:23" x14ac:dyDescent="0.3">
      <c r="A868" s="1">
        <f>ROW(CantoralDB[[#This Row],[Título]])-1</f>
        <v>867</v>
      </c>
      <c r="B868" s="1" t="s">
        <v>2921</v>
      </c>
      <c r="C868" s="1"/>
      <c r="H868" s="1" t="s">
        <v>1027</v>
      </c>
      <c r="J868" s="1" t="s">
        <v>608</v>
      </c>
      <c r="M868" s="15" t="s">
        <v>481</v>
      </c>
      <c r="N868" s="15" t="s">
        <v>2917</v>
      </c>
      <c r="O868" s="15">
        <v>6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868" s="1"/>
      <c r="T868" s="1"/>
      <c r="U868" s="15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868" s="15" t="str">
        <f>_xlfn.TEXTBEFORE(_xlfn.TEXTAFTER(CantoralDB[[#This Row],[index.html]],"&gt;"),"&gt;")&amp;"&gt;"</f>
        <v>&lt;a href="canciones/francisco_palazon/padre_nuestro_(misa_coral_en_re).html"&gt;</v>
      </c>
    </row>
    <row r="869" spans="1:23" x14ac:dyDescent="0.3">
      <c r="A869" s="1">
        <f>ROW(CantoralDB[[#This Row],[Título]])-1</f>
        <v>868</v>
      </c>
      <c r="B869" s="1" t="s">
        <v>2922</v>
      </c>
      <c r="C869" s="1"/>
      <c r="H869" s="1" t="s">
        <v>1027</v>
      </c>
      <c r="J869" s="1" t="s">
        <v>608</v>
      </c>
      <c r="M869" s="15" t="s">
        <v>481</v>
      </c>
      <c r="N869" s="15" t="s">
        <v>2917</v>
      </c>
      <c r="O869" s="15">
        <v>7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869" s="1"/>
      <c r="T869" s="1"/>
      <c r="U869" s="15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869" s="15" t="str">
        <f>_xlfn.TEXTBEFORE(_xlfn.TEXTAFTER(CantoralDB[[#This Row],[index.html]],"&gt;"),"&gt;")&amp;"&gt;"</f>
        <v>&lt;a href="canciones/francisco_palazon/cordero_de_dios_(misa_coral_en_re).html"&gt;</v>
      </c>
    </row>
    <row r="870" spans="1:23" x14ac:dyDescent="0.3">
      <c r="A870" s="1">
        <f>ROW(CantoralDB[[#This Row],[Título]])-1</f>
        <v>869</v>
      </c>
      <c r="B870" s="1" t="s">
        <v>2076</v>
      </c>
      <c r="C870" s="1"/>
      <c r="H870" s="1" t="s">
        <v>531</v>
      </c>
      <c r="J870" s="1" t="s">
        <v>608</v>
      </c>
      <c r="M870" s="15" t="s">
        <v>481</v>
      </c>
      <c r="N870" s="15" t="s">
        <v>2045</v>
      </c>
      <c r="O870" s="15">
        <v>1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870" s="1"/>
      <c r="T870" s="1"/>
      <c r="U870" s="33" t="s">
        <v>3018</v>
      </c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870" s="15" t="str">
        <f>_xlfn.TEXTBEFORE(_xlfn.TEXTAFTER(CantoralDB[[#This Row],[index.html]],"&gt;"),"&gt;")&amp;"&gt;"</f>
        <v>&lt;a href="canciones/francisco_palazon/dales_señor_el_descanso_eterno.html"&gt;</v>
      </c>
    </row>
    <row r="871" spans="1:23" x14ac:dyDescent="0.3">
      <c r="A871" s="1">
        <f>ROW(CantoralDB[[#This Row],[Título]])-1</f>
        <v>870</v>
      </c>
      <c r="B871" s="1" t="s">
        <v>2036</v>
      </c>
      <c r="C871" s="1"/>
      <c r="J871" s="1"/>
      <c r="M871" s="15" t="s">
        <v>481</v>
      </c>
      <c r="N871" s="15" t="s">
        <v>2045</v>
      </c>
      <c r="O871" s="15">
        <v>2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871" s="1"/>
      <c r="T871" s="1"/>
      <c r="U871" s="33" t="s">
        <v>3017</v>
      </c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871" s="15" t="str">
        <f>_xlfn.TEXTBEFORE(_xlfn.TEXTAFTER(CantoralDB[[#This Row],[index.html]],"&gt;"),"&gt;")&amp;"&gt;"</f>
        <v>&lt;a href="canciones/francisco_palazon/dale_señor.html"&gt;</v>
      </c>
    </row>
    <row r="872" spans="1:23" x14ac:dyDescent="0.3">
      <c r="A872" s="1">
        <f>ROW(CantoralDB[[#This Row],[Título]])-1</f>
        <v>871</v>
      </c>
      <c r="B872" s="1" t="s">
        <v>2037</v>
      </c>
      <c r="C872" s="1"/>
      <c r="J872" s="1"/>
      <c r="M872" s="15" t="s">
        <v>481</v>
      </c>
      <c r="N872" s="15" t="s">
        <v>2045</v>
      </c>
      <c r="O872" s="15">
        <v>3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872" s="1"/>
      <c r="T872" s="1"/>
      <c r="U872" s="15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872" s="15" t="str">
        <f>_xlfn.TEXTBEFORE(_xlfn.TEXTAFTER(CantoralDB[[#This Row],[index.html]],"&gt;"),"&gt;")&amp;"&gt;"</f>
        <v>&lt;a href="canciones/francisco_palazon/dichosos_los_que_mueren_en_el_señor.html"&gt;</v>
      </c>
    </row>
    <row r="873" spans="1:23" x14ac:dyDescent="0.3">
      <c r="A873" s="1">
        <f>ROW(CantoralDB[[#This Row],[Título]])-1</f>
        <v>872</v>
      </c>
      <c r="B873" s="1" t="s">
        <v>2038</v>
      </c>
      <c r="C873" s="1"/>
      <c r="J873" s="1"/>
      <c r="M873" s="15" t="s">
        <v>481</v>
      </c>
      <c r="N873" s="15" t="s">
        <v>2045</v>
      </c>
      <c r="O873" s="15">
        <v>4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873" s="1"/>
      <c r="T873" s="1"/>
      <c r="U873" s="15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873" s="15" t="str">
        <f>_xlfn.TEXTBEFORE(_xlfn.TEXTAFTER(CantoralDB[[#This Row],[index.html]],"&gt;"),"&gt;")&amp;"&gt;"</f>
        <v>&lt;a href="canciones/francisco_palazon/kyrie_eleison.html"&gt;</v>
      </c>
    </row>
    <row r="874" spans="1:23" x14ac:dyDescent="0.3">
      <c r="A874" s="1">
        <f>ROW(CantoralDB[[#This Row],[Título]])-1</f>
        <v>873</v>
      </c>
      <c r="B874" s="1" t="s">
        <v>2039</v>
      </c>
      <c r="C874" s="1"/>
      <c r="J874" s="1"/>
      <c r="M874" s="15" t="s">
        <v>481</v>
      </c>
      <c r="N874" s="15" t="s">
        <v>2045</v>
      </c>
      <c r="O874" s="15">
        <v>5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874" s="1"/>
      <c r="T874" s="1"/>
      <c r="U874" s="15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874" s="15" t="str">
        <f>_xlfn.TEXTBEFORE(_xlfn.TEXTAFTER(CantoralDB[[#This Row],[index.html]],"&gt;"),"&gt;")&amp;"&gt;"</f>
        <v>&lt;a href="canciones/francisco_palazon/te_ofrecemos_señor_sacrificios_y_oblaciones.html"&gt;</v>
      </c>
    </row>
    <row r="875" spans="1:23" x14ac:dyDescent="0.3">
      <c r="A875" s="1">
        <f>ROW(CantoralDB[[#This Row],[Título]])-1</f>
        <v>874</v>
      </c>
      <c r="B875" s="1" t="s">
        <v>2043</v>
      </c>
      <c r="C875" s="1"/>
      <c r="J875" s="1"/>
      <c r="M875" s="15" t="s">
        <v>481</v>
      </c>
      <c r="N875" s="15" t="s">
        <v>2045</v>
      </c>
      <c r="O875" s="15">
        <v>6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875" s="1"/>
      <c r="T875" s="1"/>
      <c r="U875" s="15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875" s="15" t="str">
        <f>_xlfn.TEXTBEFORE(_xlfn.TEXTAFTER(CantoralDB[[#This Row],[index.html]],"&gt;"),"&gt;")&amp;"&gt;"</f>
        <v>&lt;a href="canciones/francisco_palazon/santo_(requiem).html"&gt;</v>
      </c>
    </row>
    <row r="876" spans="1:23" x14ac:dyDescent="0.3">
      <c r="A876" s="1">
        <f>ROW(CantoralDB[[#This Row],[Título]])-1</f>
        <v>875</v>
      </c>
      <c r="B876" s="1" t="s">
        <v>2044</v>
      </c>
      <c r="C876" s="1"/>
      <c r="J876" s="1"/>
      <c r="M876" s="15" t="s">
        <v>481</v>
      </c>
      <c r="N876" s="15" t="s">
        <v>2045</v>
      </c>
      <c r="O876" s="15">
        <v>7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876" s="1"/>
      <c r="T876" s="1"/>
      <c r="U876" s="15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876" s="15" t="str">
        <f>_xlfn.TEXTBEFORE(_xlfn.TEXTAFTER(CantoralDB[[#This Row],[index.html]],"&gt;"),"&gt;")&amp;"&gt;"</f>
        <v>&lt;a href="canciones/francisco_palazon/cordero_de_dios_(requiem).html"&gt;</v>
      </c>
    </row>
    <row r="877" spans="1:23" x14ac:dyDescent="0.3">
      <c r="A877" s="1">
        <f>ROW(CantoralDB[[#This Row],[Título]])-1</f>
        <v>876</v>
      </c>
      <c r="B877" s="1" t="s">
        <v>2040</v>
      </c>
      <c r="C877" s="1"/>
      <c r="J877" s="1"/>
      <c r="M877" s="15" t="s">
        <v>481</v>
      </c>
      <c r="N877" s="15" t="s">
        <v>2045</v>
      </c>
      <c r="O877" s="15">
        <v>8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S877" s="1"/>
      <c r="T877" s="1"/>
      <c r="U877" s="15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W877" s="15" t="str">
        <f>_xlfn.TEXTBEFORE(_xlfn.TEXTAFTER(CantoralDB[[#This Row],[index.html]],"&gt;"),"&gt;")&amp;"&gt;"</f>
        <v>&lt;a href="canciones/francisco_palazon/este_es_el_pan_que_nos_lleva_a_jesus.html"&gt;</v>
      </c>
    </row>
    <row r="878" spans="1:23" x14ac:dyDescent="0.3">
      <c r="A878" s="1">
        <f>ROW(CantoralDB[[#This Row],[Título]])-1</f>
        <v>877</v>
      </c>
      <c r="B878" s="1" t="s">
        <v>2041</v>
      </c>
      <c r="C878" s="1"/>
      <c r="J878" s="1"/>
      <c r="M878" s="15" t="s">
        <v>481</v>
      </c>
      <c r="N878" s="15" t="s">
        <v>2045</v>
      </c>
      <c r="O878" s="15">
        <v>9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878" s="1"/>
      <c r="T878" s="1"/>
      <c r="U878" s="15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878" s="15" t="str">
        <f>_xlfn.TEXTBEFORE(_xlfn.TEXTAFTER(CantoralDB[[#This Row],[index.html]],"&gt;"),"&gt;")&amp;"&gt;"</f>
        <v>&lt;a href="canciones/francisco_palazon/al_paraiso_te_lleven_los_angeles.html"&gt;</v>
      </c>
    </row>
    <row r="879" spans="1:23" x14ac:dyDescent="0.3">
      <c r="A879" s="1">
        <f>ROW(CantoralDB[[#This Row],[Título]])-1</f>
        <v>878</v>
      </c>
      <c r="B879" s="1" t="s">
        <v>2042</v>
      </c>
      <c r="C879" s="1"/>
      <c r="J879" s="1"/>
      <c r="M879" s="15" t="s">
        <v>481</v>
      </c>
      <c r="N879" s="15" t="s">
        <v>2045</v>
      </c>
      <c r="O879" s="15">
        <v>10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879" s="1"/>
      <c r="T879" s="1"/>
      <c r="U879" s="15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879" s="15" t="str">
        <f>_xlfn.TEXTBEFORE(_xlfn.TEXTAFTER(CantoralDB[[#This Row],[index.html]],"&gt;"),"&gt;")&amp;"&gt;"</f>
        <v>&lt;a href="canciones/francisco_palazon/eres_madre_dolorosa.html"&gt;</v>
      </c>
    </row>
    <row r="880" spans="1:23" x14ac:dyDescent="0.3">
      <c r="A880" s="1">
        <f>ROW(CantoralDB[[#This Row],[Título]])-1</f>
        <v>879</v>
      </c>
      <c r="B880" s="1" t="s">
        <v>2049</v>
      </c>
      <c r="C880" s="1"/>
      <c r="J880" s="1"/>
      <c r="M880" s="15" t="s">
        <v>481</v>
      </c>
      <c r="N880" s="15" t="s">
        <v>2047</v>
      </c>
      <c r="O880" s="15">
        <v>1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880" s="1"/>
      <c r="T880" s="1"/>
      <c r="U880" s="15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880" s="15" t="str">
        <f>_xlfn.TEXTBEFORE(_xlfn.TEXTAFTER(CantoralDB[[#This Row],[index.html]],"&gt;"),"&gt;")&amp;"&gt;"</f>
        <v>&lt;a href="canciones/francisco_palazon/para_que_escuchase_el_viento.html"&gt;</v>
      </c>
    </row>
    <row r="881" spans="1:23" x14ac:dyDescent="0.3">
      <c r="A881" s="1">
        <f>ROW(CantoralDB[[#This Row],[Título]])-1</f>
        <v>880</v>
      </c>
      <c r="B881" s="1" t="s">
        <v>2050</v>
      </c>
      <c r="C881" s="1"/>
      <c r="J881" s="1"/>
      <c r="M881" s="15" t="s">
        <v>481</v>
      </c>
      <c r="N881" s="15" t="s">
        <v>2047</v>
      </c>
      <c r="O881" s="15">
        <v>2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881" s="1"/>
      <c r="T881" s="1"/>
      <c r="U881" s="15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881" s="15" t="str">
        <f>_xlfn.TEXTBEFORE(_xlfn.TEXTAFTER(CantoralDB[[#This Row],[index.html]],"&gt;"),"&gt;")&amp;"&gt;"</f>
        <v>&lt;a href="canciones/francisco_palazon/camino_a_jerico.html"&gt;</v>
      </c>
    </row>
    <row r="882" spans="1:23" x14ac:dyDescent="0.3">
      <c r="A882" s="1">
        <f>ROW(CantoralDB[[#This Row],[Título]])-1</f>
        <v>881</v>
      </c>
      <c r="B882" s="1" t="s">
        <v>2051</v>
      </c>
      <c r="C882" s="1"/>
      <c r="J882" s="1"/>
      <c r="M882" s="15" t="s">
        <v>481</v>
      </c>
      <c r="N882" s="15" t="s">
        <v>2047</v>
      </c>
      <c r="O882" s="15">
        <v>3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882" s="1"/>
      <c r="T882" s="1"/>
      <c r="U882" s="15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882" s="15" t="str">
        <f>_xlfn.TEXTBEFORE(_xlfn.TEXTAFTER(CantoralDB[[#This Row],[index.html]],"&gt;"),"&gt;")&amp;"&gt;"</f>
        <v>&lt;a href="canciones/francisco_palazon/trigo_y_cizaña.html"&gt;</v>
      </c>
    </row>
    <row r="883" spans="1:23" x14ac:dyDescent="0.3">
      <c r="A883" s="1">
        <f>ROW(CantoralDB[[#This Row],[Título]])-1</f>
        <v>882</v>
      </c>
      <c r="B883" s="1" t="s">
        <v>2052</v>
      </c>
      <c r="C883" s="1"/>
      <c r="J883" s="1"/>
      <c r="M883" s="15" t="s">
        <v>481</v>
      </c>
      <c r="N883" s="15" t="s">
        <v>2047</v>
      </c>
      <c r="O883" s="15">
        <v>4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883" s="1"/>
      <c r="T883" s="1"/>
      <c r="U883" s="15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883" s="15" t="str">
        <f>_xlfn.TEXTBEFORE(_xlfn.TEXTAFTER(CantoralDB[[#This Row],[index.html]],"&gt;"),"&gt;")&amp;"&gt;"</f>
        <v>&lt;a href="canciones/francisco_palazon/administradores_del_amor.html"&gt;</v>
      </c>
    </row>
    <row r="884" spans="1:23" x14ac:dyDescent="0.3">
      <c r="A884" s="1">
        <f>ROW(CantoralDB[[#This Row],[Título]])-1</f>
        <v>883</v>
      </c>
      <c r="B884" s="1" t="s">
        <v>2053</v>
      </c>
      <c r="C884" s="1"/>
      <c r="J884" s="1"/>
      <c r="M884" s="15" t="s">
        <v>481</v>
      </c>
      <c r="N884" s="15" t="s">
        <v>2047</v>
      </c>
      <c r="O884" s="15">
        <v>5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884" s="1"/>
      <c r="T884" s="1"/>
      <c r="U884" s="15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884" s="15" t="str">
        <f>_xlfn.TEXTBEFORE(_xlfn.TEXTAFTER(CantoralDB[[#This Row],[index.html]],"&gt;"),"&gt;")&amp;"&gt;"</f>
        <v>&lt;a href="canciones/francisco_palazon/la_oveja_negra.html"&gt;</v>
      </c>
    </row>
    <row r="885" spans="1:23" x14ac:dyDescent="0.3">
      <c r="A885" s="1">
        <f>ROW(CantoralDB[[#This Row],[Título]])-1</f>
        <v>884</v>
      </c>
      <c r="B885" s="1" t="s">
        <v>2054</v>
      </c>
      <c r="C885" s="1"/>
      <c r="J885" s="1"/>
      <c r="M885" s="15" t="s">
        <v>481</v>
      </c>
      <c r="N885" s="15" t="s">
        <v>2047</v>
      </c>
      <c r="O885" s="15">
        <v>6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885" s="1"/>
      <c r="T885" s="1"/>
      <c r="U885" s="15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885" s="15" t="str">
        <f>_xlfn.TEXTBEFORE(_xlfn.TEXTAFTER(CantoralDB[[#This Row],[index.html]],"&gt;"),"&gt;")&amp;"&gt;"</f>
        <v>&lt;a href="canciones/francisco_palazon/noche_y_dia_en_altamar.html"&gt;</v>
      </c>
    </row>
    <row r="886" spans="1:23" x14ac:dyDescent="0.3">
      <c r="A886" s="1">
        <f>ROW(CantoralDB[[#This Row],[Título]])-1</f>
        <v>885</v>
      </c>
      <c r="B886" s="1" t="s">
        <v>2055</v>
      </c>
      <c r="C886" s="1"/>
      <c r="E886" s="1">
        <v>91</v>
      </c>
      <c r="J886" s="1"/>
      <c r="M886" s="15" t="s">
        <v>481</v>
      </c>
      <c r="N886" s="15" t="s">
        <v>2047</v>
      </c>
      <c r="O886" s="15">
        <v>7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886" s="1"/>
      <c r="T886" s="1"/>
      <c r="U886" s="15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886" s="15" t="str">
        <f>_xlfn.TEXTBEFORE(_xlfn.TEXTAFTER(CantoralDB[[#This Row],[index.html]],"&gt;"),"&gt;")&amp;"&gt;"</f>
        <v>&lt;a href="canciones/francisco_palazon/a_quien_se_parece.html"&gt;</v>
      </c>
    </row>
    <row r="887" spans="1:23" x14ac:dyDescent="0.3">
      <c r="A887" s="1">
        <f>ROW(CantoralDB[[#This Row],[Título]])-1</f>
        <v>886</v>
      </c>
      <c r="B887" s="1" t="s">
        <v>2056</v>
      </c>
      <c r="C887" s="1"/>
      <c r="J887" s="1"/>
      <c r="M887" s="15" t="s">
        <v>481</v>
      </c>
      <c r="N887" s="15" t="s">
        <v>2047</v>
      </c>
      <c r="O887" s="15">
        <v>8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887" s="1"/>
      <c r="T887" s="1"/>
      <c r="U887" s="15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887" s="15" t="str">
        <f>_xlfn.TEXTBEFORE(_xlfn.TEXTAFTER(CantoralDB[[#This Row],[index.html]],"&gt;"),"&gt;")&amp;"&gt;"</f>
        <v>&lt;a href="canciones/francisco_palazon/un_hombre_una_tierra.html"&gt;</v>
      </c>
    </row>
    <row r="888" spans="1:23" x14ac:dyDescent="0.3">
      <c r="A888" s="1">
        <f>ROW(CantoralDB[[#This Row],[Título]])-1</f>
        <v>887</v>
      </c>
      <c r="B888" s="1" t="s">
        <v>2057</v>
      </c>
      <c r="C888" s="1"/>
      <c r="J888" s="1"/>
      <c r="M888" s="15" t="s">
        <v>481</v>
      </c>
      <c r="N888" s="15" t="s">
        <v>2047</v>
      </c>
      <c r="O888" s="15">
        <v>9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888" s="1"/>
      <c r="T888" s="1"/>
      <c r="U888" s="15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888" s="15" t="str">
        <f>_xlfn.TEXTBEFORE(_xlfn.TEXTAFTER(CantoralDB[[#This Row],[index.html]],"&gt;"),"&gt;")&amp;"&gt;"</f>
        <v>&lt;a href="canciones/francisco_palazon/de_par_en_par.html"&gt;</v>
      </c>
    </row>
    <row r="889" spans="1:23" x14ac:dyDescent="0.3">
      <c r="A889" s="1">
        <f>ROW(CantoralDB[[#This Row],[Título]])-1</f>
        <v>888</v>
      </c>
      <c r="B889" s="1" t="s">
        <v>2058</v>
      </c>
      <c r="C889" s="1"/>
      <c r="J889" s="1"/>
      <c r="M889" s="15" t="s">
        <v>481</v>
      </c>
      <c r="N889" s="15" t="s">
        <v>2047</v>
      </c>
      <c r="O889" s="15">
        <v>10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889" s="1"/>
      <c r="T889" s="1"/>
      <c r="U889" s="15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889" s="15" t="str">
        <f>_xlfn.TEXTBEFORE(_xlfn.TEXTAFTER(CantoralDB[[#This Row],[index.html]],"&gt;"),"&gt;")&amp;"&gt;"</f>
        <v>&lt;a href="canciones/francisco_palazon/el_hijo_prodigo.html"&gt;</v>
      </c>
    </row>
    <row r="890" spans="1:23" x14ac:dyDescent="0.3">
      <c r="A890" s="1">
        <f>ROW(CantoralDB[[#This Row],[Título]])-1</f>
        <v>889</v>
      </c>
      <c r="B890" s="1" t="s">
        <v>2059</v>
      </c>
      <c r="C890" s="1"/>
      <c r="H890" s="1" t="s">
        <v>531</v>
      </c>
      <c r="J890" s="1" t="s">
        <v>608</v>
      </c>
      <c r="M890" s="15" t="s">
        <v>481</v>
      </c>
      <c r="N890" s="15" t="s">
        <v>2048</v>
      </c>
      <c r="O890" s="15">
        <v>1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890" s="15" t="str">
        <f>_xlfn.TEXTBEFORE(_xlfn.TEXTAFTER(CantoralDB[[#This Row],[index.html]],"&gt;"),"&gt;")&amp;"&gt;"</f>
        <v>&lt;a href="canciones/francisco_palazon/en_la_plaza_de_un_pueblo.html"&gt;</v>
      </c>
    </row>
    <row r="891" spans="1:23" x14ac:dyDescent="0.3">
      <c r="A891" s="1">
        <f>ROW(CantoralDB[[#This Row],[Título]])-1</f>
        <v>890</v>
      </c>
      <c r="B891" s="1" t="s">
        <v>2060</v>
      </c>
      <c r="C891" s="1"/>
      <c r="H891" s="1" t="s">
        <v>1027</v>
      </c>
      <c r="J891" s="1" t="s">
        <v>608</v>
      </c>
      <c r="M891" s="15" t="s">
        <v>481</v>
      </c>
      <c r="N891" s="15" t="s">
        <v>2048</v>
      </c>
      <c r="O891" s="15">
        <v>2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891" s="1"/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891" s="15" t="str">
        <f>_xlfn.TEXTBEFORE(_xlfn.TEXTAFTER(CantoralDB[[#This Row],[index.html]],"&gt;"),"&gt;")&amp;"&gt;"</f>
        <v>&lt;a href="canciones/francisco_palazon/fariseo_y_publicano.html"&gt;</v>
      </c>
    </row>
    <row r="892" spans="1:23" x14ac:dyDescent="0.3">
      <c r="A892" s="1">
        <f>ROW(CantoralDB[[#This Row],[Título]])-1</f>
        <v>891</v>
      </c>
      <c r="B892" s="1" t="s">
        <v>2061</v>
      </c>
      <c r="C892" s="1"/>
      <c r="H892" s="1" t="s">
        <v>531</v>
      </c>
      <c r="J892" s="1" t="s">
        <v>608</v>
      </c>
      <c r="M892" s="15" t="s">
        <v>481</v>
      </c>
      <c r="N892" s="15" t="s">
        <v>2048</v>
      </c>
      <c r="O892" s="15">
        <v>3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892" s="15" t="str">
        <f>_xlfn.TEXTBEFORE(_xlfn.TEXTAFTER(CantoralDB[[#This Row],[index.html]],"&gt;"),"&gt;")&amp;"&gt;"</f>
        <v>&lt;a href="canciones/francisco_palazon/de_cosas_sencillas.html"&gt;</v>
      </c>
    </row>
    <row r="893" spans="1:23" x14ac:dyDescent="0.3">
      <c r="A893" s="1">
        <f>ROW(CantoralDB[[#This Row],[Título]])-1</f>
        <v>892</v>
      </c>
      <c r="B893" s="1" t="s">
        <v>2062</v>
      </c>
      <c r="C893" s="1"/>
      <c r="H893" s="1" t="s">
        <v>1030</v>
      </c>
      <c r="J893" s="1" t="s">
        <v>608</v>
      </c>
      <c r="M893" s="15" t="s">
        <v>481</v>
      </c>
      <c r="N893" s="15" t="s">
        <v>2048</v>
      </c>
      <c r="O893" s="15">
        <v>4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893" s="15" t="str">
        <f>_xlfn.TEXTBEFORE(_xlfn.TEXTAFTER(CantoralDB[[#This Row],[index.html]],"&gt;"),"&gt;")&amp;"&gt;"</f>
        <v>&lt;a href="canciones/francisco_palazon/y_ciegos_son_los_hombres.html"&gt;</v>
      </c>
    </row>
    <row r="894" spans="1:23" x14ac:dyDescent="0.3">
      <c r="A894" s="1">
        <f>ROW(CantoralDB[[#This Row],[Título]])-1</f>
        <v>893</v>
      </c>
      <c r="B894" s="1" t="s">
        <v>2063</v>
      </c>
      <c r="C894" s="1"/>
      <c r="H894" s="1" t="s">
        <v>1027</v>
      </c>
      <c r="J894" s="1" t="s">
        <v>608</v>
      </c>
      <c r="M894" s="15" t="s">
        <v>481</v>
      </c>
      <c r="N894" s="15" t="s">
        <v>2048</v>
      </c>
      <c r="O894" s="15">
        <v>5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894" s="15" t="str">
        <f>_xlfn.TEXTBEFORE(_xlfn.TEXTAFTER(CantoralDB[[#This Row],[index.html]],"&gt;"),"&gt;")&amp;"&gt;"</f>
        <v>&lt;a href="canciones/francisco_palazon/en_la_viña_del_señor.html"&gt;</v>
      </c>
    </row>
    <row r="895" spans="1:23" x14ac:dyDescent="0.3">
      <c r="A895" s="1">
        <f>ROW(CantoralDB[[#This Row],[Título]])-1</f>
        <v>894</v>
      </c>
      <c r="B895" s="1" t="s">
        <v>2064</v>
      </c>
      <c r="C895" s="1"/>
      <c r="H895" s="1" t="s">
        <v>1030</v>
      </c>
      <c r="J895" s="1" t="s">
        <v>608</v>
      </c>
      <c r="M895" s="15" t="s">
        <v>481</v>
      </c>
      <c r="N895" s="15" t="s">
        <v>2048</v>
      </c>
      <c r="O895" s="15">
        <v>6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895" s="15" t="str">
        <f>_xlfn.TEXTBEFORE(_xlfn.TEXTAFTER(CantoralDB[[#This Row],[index.html]],"&gt;"),"&gt;")&amp;"&gt;"</f>
        <v>&lt;a href="canciones/francisco_palazon/invitacion.html"&gt;</v>
      </c>
    </row>
    <row r="896" spans="1:23" x14ac:dyDescent="0.3">
      <c r="A896" s="1">
        <f>ROW(CantoralDB[[#This Row],[Título]])-1</f>
        <v>895</v>
      </c>
      <c r="B896" s="1" t="s">
        <v>2065</v>
      </c>
      <c r="C896" s="1"/>
      <c r="H896" s="1" t="s">
        <v>2967</v>
      </c>
      <c r="J896" s="1" t="s">
        <v>608</v>
      </c>
      <c r="M896" s="15" t="s">
        <v>481</v>
      </c>
      <c r="N896" s="15" t="s">
        <v>2048</v>
      </c>
      <c r="O896" s="15">
        <v>7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896" s="15" t="str">
        <f>_xlfn.TEXTBEFORE(_xlfn.TEXTAFTER(CantoralDB[[#This Row],[index.html]],"&gt;"),"&gt;")&amp;"&gt;"</f>
        <v>&lt;a href="canciones/francisco_palazon/dos_señores.html"&gt;</v>
      </c>
    </row>
    <row r="897" spans="1:23" x14ac:dyDescent="0.3">
      <c r="A897" s="1">
        <f>ROW(CantoralDB[[#This Row],[Título]])-1</f>
        <v>896</v>
      </c>
      <c r="B897" s="1" t="s">
        <v>2066</v>
      </c>
      <c r="C897" s="1"/>
      <c r="H897" s="1" t="s">
        <v>2967</v>
      </c>
      <c r="J897" s="1" t="s">
        <v>608</v>
      </c>
      <c r="M897" s="15" t="s">
        <v>481</v>
      </c>
      <c r="N897" s="15" t="s">
        <v>2048</v>
      </c>
      <c r="O897" s="15">
        <v>8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897" s="15" t="str">
        <f>_xlfn.TEXTBEFORE(_xlfn.TEXTAFTER(CantoralDB[[#This Row],[index.html]],"&gt;"),"&gt;")&amp;"&gt;"</f>
        <v>&lt;a href="canciones/francisco_palazon/buen_pastor.html"&gt;</v>
      </c>
    </row>
    <row r="898" spans="1:23" x14ac:dyDescent="0.3">
      <c r="A898" s="1">
        <f>ROW(CantoralDB[[#This Row],[Título]])-1</f>
        <v>897</v>
      </c>
      <c r="B898" s="1" t="s">
        <v>2067</v>
      </c>
      <c r="C898" s="1"/>
      <c r="H898" s="1" t="s">
        <v>1030</v>
      </c>
      <c r="J898" s="1" t="s">
        <v>608</v>
      </c>
      <c r="M898" s="15" t="s">
        <v>481</v>
      </c>
      <c r="N898" s="15" t="s">
        <v>2048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898" s="15" t="str">
        <f>_xlfn.TEXTBEFORE(_xlfn.TEXTAFTER(CantoralDB[[#This Row],[index.html]],"&gt;"),"&gt;")&amp;"&gt;"</f>
        <v>&lt;a href="canciones/francisco_palazon/el_pobre_lazaro.html"&gt;</v>
      </c>
    </row>
    <row r="899" spans="1:23" x14ac:dyDescent="0.3">
      <c r="A899" s="1">
        <f>ROW(CantoralDB[[#This Row],[Título]])-1</f>
        <v>898</v>
      </c>
      <c r="B899" s="1" t="s">
        <v>2362</v>
      </c>
      <c r="C899" s="1"/>
      <c r="H899" s="1" t="s">
        <v>1043</v>
      </c>
      <c r="J899" s="1" t="s">
        <v>608</v>
      </c>
      <c r="M899" s="15" t="s">
        <v>481</v>
      </c>
      <c r="N899" s="15" t="s">
        <v>2048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899" s="1"/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899" s="15" t="str">
        <f>_xlfn.TEXTBEFORE(_xlfn.TEXTAFTER(CantoralDB[[#This Row],[index.html]],"&gt;"),"&gt;")&amp;"&gt;"</f>
        <v>&lt;a href="canciones/francisco_palazon/despues_de_la_medianoche.html"&gt;</v>
      </c>
    </row>
    <row r="900" spans="1:23" x14ac:dyDescent="0.3">
      <c r="A900" s="1">
        <f>ROW(CantoralDB[[#This Row],[Título]])-1</f>
        <v>899</v>
      </c>
      <c r="B900" s="1" t="s">
        <v>1247</v>
      </c>
      <c r="C900" s="1"/>
      <c r="E900" s="1">
        <v>110</v>
      </c>
      <c r="H900" s="1" t="s">
        <v>1030</v>
      </c>
      <c r="J900" s="1" t="s">
        <v>608</v>
      </c>
      <c r="M900" s="15" t="s">
        <v>481</v>
      </c>
      <c r="N900" s="15" t="s">
        <v>2226</v>
      </c>
      <c r="O900" s="15"/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900" s="15" t="str">
        <f>_xlfn.TEXTBEFORE(_xlfn.TEXTAFTER(CantoralDB[[#This Row],[index.html]],"&gt;"),"&gt;")&amp;"&gt;"</f>
        <v>&lt;a href="canciones/francisco_palazon/el_señor_ha_estado_grande_con_nosotros.html"&gt;</v>
      </c>
    </row>
    <row r="901" spans="1:23" x14ac:dyDescent="0.3">
      <c r="A901" s="1">
        <f>ROW(CantoralDB[[#This Row],[Título]])-1</f>
        <v>900</v>
      </c>
      <c r="B901" s="1" t="s">
        <v>127</v>
      </c>
      <c r="C901" s="1" t="s">
        <v>191</v>
      </c>
      <c r="D901" s="1" t="s">
        <v>751</v>
      </c>
      <c r="E901" s="1">
        <v>453</v>
      </c>
      <c r="G901" s="1" t="s">
        <v>209</v>
      </c>
      <c r="H901" s="1" t="s">
        <v>1030</v>
      </c>
      <c r="J901" s="1" t="s">
        <v>608</v>
      </c>
      <c r="M901" s="15" t="s">
        <v>481</v>
      </c>
      <c r="N901" s="15" t="s">
        <v>1927</v>
      </c>
      <c r="O901" s="15">
        <v>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901" s="15" t="str">
        <f>_xlfn.TEXTBEFORE(_xlfn.TEXTAFTER(CantoralDB[[#This Row],[index.html]],"&gt;"),"&gt;")&amp;"&gt;"</f>
        <v>&lt;a href="canciones/francisco_palazon/reunidos_en_el_nombre_del_señor.html"&gt;</v>
      </c>
    </row>
    <row r="902" spans="1:23" x14ac:dyDescent="0.3">
      <c r="A902" s="1">
        <f>ROW(CantoralDB[[#This Row],[Título]])-1</f>
        <v>901</v>
      </c>
      <c r="B902" s="1" t="s">
        <v>2190</v>
      </c>
      <c r="C902" s="1"/>
      <c r="J902" s="1"/>
      <c r="M902" s="15" t="s">
        <v>481</v>
      </c>
      <c r="N902" s="15" t="s">
        <v>1927</v>
      </c>
      <c r="O902" s="15">
        <v>2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902" s="15" t="str">
        <f>_xlfn.TEXTBEFORE(_xlfn.TEXTAFTER(CantoralDB[[#This Row],[index.html]],"&gt;"),"&gt;")&amp;"&gt;"</f>
        <v>&lt;a href="canciones/francisco_palazon/señor_ten_piedad_(reunidos_en_su_nombre).html"&gt;</v>
      </c>
    </row>
    <row r="903" spans="1:23" x14ac:dyDescent="0.3">
      <c r="A903" s="1">
        <f>ROW(CantoralDB[[#This Row],[Título]])-1</f>
        <v>902</v>
      </c>
      <c r="B903" s="1" t="s">
        <v>2191</v>
      </c>
      <c r="C903" s="1"/>
      <c r="J903" s="1"/>
      <c r="M903" s="15" t="s">
        <v>481</v>
      </c>
      <c r="N903" s="15" t="s">
        <v>1927</v>
      </c>
      <c r="O903" s="15">
        <v>3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903" s="1"/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903" s="15" t="str">
        <f>_xlfn.TEXTBEFORE(_xlfn.TEXTAFTER(CantoralDB[[#This Row],[index.html]],"&gt;"),"&gt;")&amp;"&gt;"</f>
        <v>&lt;a href="canciones/francisco_palazon/gloria_(reunidos_en_su_nombre).html"&gt;</v>
      </c>
    </row>
    <row r="904" spans="1:23" x14ac:dyDescent="0.3">
      <c r="A904" s="1">
        <f>ROW(CantoralDB[[#This Row],[Título]])-1</f>
        <v>903</v>
      </c>
      <c r="B904" s="1" t="s">
        <v>2192</v>
      </c>
      <c r="C904" s="1"/>
      <c r="J904" s="1"/>
      <c r="M904" s="15" t="s">
        <v>481</v>
      </c>
      <c r="N904" s="15" t="s">
        <v>1927</v>
      </c>
      <c r="O904" s="15">
        <v>4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904" s="1"/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904" s="15" t="str">
        <f>_xlfn.TEXTBEFORE(_xlfn.TEXTAFTER(CantoralDB[[#This Row],[index.html]],"&gt;"),"&gt;")&amp;"&gt;"</f>
        <v>&lt;a href="canciones/francisco_palazon/santo_(reunidos_en_su_nombre).html"&gt;</v>
      </c>
    </row>
    <row r="905" spans="1:23" x14ac:dyDescent="0.3">
      <c r="A905" s="1">
        <f>ROW(CantoralDB[[#This Row],[Título]])-1</f>
        <v>904</v>
      </c>
      <c r="B905" s="1" t="s">
        <v>2193</v>
      </c>
      <c r="C905" s="1"/>
      <c r="J905" s="1"/>
      <c r="M905" s="15" t="s">
        <v>481</v>
      </c>
      <c r="N905" s="15" t="s">
        <v>1927</v>
      </c>
      <c r="O905" s="15">
        <v>5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905" s="1"/>
      <c r="T905" s="1"/>
      <c r="U905" s="15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905" s="15" t="str">
        <f>_xlfn.TEXTBEFORE(_xlfn.TEXTAFTER(CantoralDB[[#This Row],[index.html]],"&gt;"),"&gt;")&amp;"&gt;"</f>
        <v>&lt;a href="canciones/francisco_palazon/gustad_y_ved.html"&gt;</v>
      </c>
    </row>
    <row r="906" spans="1:23" x14ac:dyDescent="0.3">
      <c r="A906" s="1">
        <f>ROW(CantoralDB[[#This Row],[Título]])-1</f>
        <v>905</v>
      </c>
      <c r="B906" s="1" t="s">
        <v>2194</v>
      </c>
      <c r="C906" s="1"/>
      <c r="J906" s="1"/>
      <c r="M906" s="15" t="s">
        <v>481</v>
      </c>
      <c r="N906" s="15" t="s">
        <v>1927</v>
      </c>
      <c r="O906" s="15">
        <v>6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906" s="15" t="str">
        <f>_xlfn.TEXTBEFORE(_xlfn.TEXTAFTER(CantoralDB[[#This Row],[index.html]],"&gt;"),"&gt;")&amp;"&gt;"</f>
        <v>&lt;a href="canciones/francisco_palazon/te_ofrecemos_señor.html"&gt;</v>
      </c>
    </row>
    <row r="907" spans="1:23" x14ac:dyDescent="0.3">
      <c r="A907" s="1">
        <f>ROW(CantoralDB[[#This Row],[Título]])-1</f>
        <v>906</v>
      </c>
      <c r="B907" s="1" t="s">
        <v>2195</v>
      </c>
      <c r="C907" s="1"/>
      <c r="J907" s="1"/>
      <c r="M907" s="15" t="s">
        <v>481</v>
      </c>
      <c r="N907" s="15" t="s">
        <v>1927</v>
      </c>
      <c r="O907" s="15">
        <v>7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907" s="1"/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907" s="15" t="str">
        <f>_xlfn.TEXTBEFORE(_xlfn.TEXTAFTER(CantoralDB[[#This Row],[index.html]],"&gt;"),"&gt;")&amp;"&gt;"</f>
        <v>&lt;a href="canciones/francisco_palazon/padre_nuestro_(reunidos_en_su_nombre).html"&gt;</v>
      </c>
    </row>
    <row r="908" spans="1:23" x14ac:dyDescent="0.3">
      <c r="A908" s="1">
        <f>ROW(CantoralDB[[#This Row],[Título]])-1</f>
        <v>907</v>
      </c>
      <c r="B908" s="1" t="s">
        <v>2196</v>
      </c>
      <c r="C908" s="1"/>
      <c r="J908" s="1"/>
      <c r="M908" s="15" t="s">
        <v>481</v>
      </c>
      <c r="N908" s="15" t="s">
        <v>1927</v>
      </c>
      <c r="O908" s="15">
        <v>8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908" s="15" t="str">
        <f>_xlfn.TEXTBEFORE(_xlfn.TEXTAFTER(CantoralDB[[#This Row],[index.html]],"&gt;"),"&gt;")&amp;"&gt;"</f>
        <v>&lt;a href="canciones/francisco_palazon/cordero_de_dios_(reunidos_en_su_nombre).html"&gt;</v>
      </c>
    </row>
    <row r="909" spans="1:23" x14ac:dyDescent="0.3">
      <c r="A909" s="1">
        <f>ROW(CantoralDB[[#This Row],[Título]])-1</f>
        <v>908</v>
      </c>
      <c r="B909" s="1" t="s">
        <v>1922</v>
      </c>
      <c r="C909" s="1"/>
      <c r="H909" s="1" t="s">
        <v>1030</v>
      </c>
      <c r="J909" s="1" t="s">
        <v>608</v>
      </c>
      <c r="M909" s="15" t="s">
        <v>481</v>
      </c>
      <c r="N909" s="15" t="s">
        <v>1927</v>
      </c>
      <c r="O909" s="15">
        <v>9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909" s="15" t="str">
        <f>_xlfn.TEXTBEFORE(_xlfn.TEXTAFTER(CantoralDB[[#This Row],[index.html]],"&gt;"),"&gt;")&amp;"&gt;"</f>
        <v>&lt;a href="canciones/francisco_palazon/tuyo_es_el_reino.html"&gt;</v>
      </c>
    </row>
    <row r="910" spans="1:23" x14ac:dyDescent="0.3">
      <c r="A910" s="1">
        <f>ROW(CantoralDB[[#This Row],[Título]])-1</f>
        <v>909</v>
      </c>
      <c r="B910" s="1" t="s">
        <v>2197</v>
      </c>
      <c r="C910" s="1"/>
      <c r="J910" s="1"/>
      <c r="M910" s="15" t="s">
        <v>481</v>
      </c>
      <c r="N910" s="15" t="s">
        <v>1927</v>
      </c>
      <c r="O910" s="15">
        <v>10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910" s="15" t="str">
        <f>_xlfn.TEXTBEFORE(_xlfn.TEXTAFTER(CantoralDB[[#This Row],[index.html]],"&gt;"),"&gt;")&amp;"&gt;"</f>
        <v>&lt;a href="canciones/francisco_palazon/el_pan_que_compartimos.html"&gt;</v>
      </c>
    </row>
    <row r="911" spans="1:23" x14ac:dyDescent="0.3">
      <c r="A911" s="1">
        <f>ROW(CantoralDB[[#This Row],[Título]])-1</f>
        <v>910</v>
      </c>
      <c r="B911" s="1" t="s">
        <v>2029</v>
      </c>
      <c r="C911" s="1"/>
      <c r="H911" s="1" t="s">
        <v>1043</v>
      </c>
      <c r="J911" s="1" t="s">
        <v>608</v>
      </c>
      <c r="M911" s="15" t="s">
        <v>481</v>
      </c>
      <c r="N911" s="15" t="s">
        <v>1929</v>
      </c>
      <c r="O911" s="15">
        <v>1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911" s="15" t="str">
        <f>_xlfn.TEXTBEFORE(_xlfn.TEXTAFTER(CantoralDB[[#This Row],[index.html]],"&gt;"),"&gt;")&amp;"&gt;"</f>
        <v>&lt;a href="canciones/francisco_palazon/bendice_alma_mia_al_señor.html"&gt;</v>
      </c>
    </row>
    <row r="912" spans="1:23" x14ac:dyDescent="0.3">
      <c r="A912" s="1">
        <f>ROW(CantoralDB[[#This Row],[Título]])-1</f>
        <v>911</v>
      </c>
      <c r="B912" s="1" t="s">
        <v>2030</v>
      </c>
      <c r="C912" s="1"/>
      <c r="H912" s="1" t="s">
        <v>1028</v>
      </c>
      <c r="J912" s="1" t="s">
        <v>608</v>
      </c>
      <c r="M912" s="15" t="s">
        <v>481</v>
      </c>
      <c r="N912" s="15" t="s">
        <v>1929</v>
      </c>
      <c r="O912" s="15">
        <v>2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912" s="15" t="str">
        <f>_xlfn.TEXTBEFORE(_xlfn.TEXTAFTER(CantoralDB[[#This Row],[index.html]],"&gt;"),"&gt;")&amp;"&gt;"</f>
        <v>&lt;a href="canciones/francisco_palazon/alegrate_y_goza_jerusalen.html"&gt;</v>
      </c>
    </row>
    <row r="913" spans="1:23" x14ac:dyDescent="0.3">
      <c r="A913" s="1">
        <f>ROW(CantoralDB[[#This Row],[Título]])-1</f>
        <v>912</v>
      </c>
      <c r="B913" s="1" t="s">
        <v>2031</v>
      </c>
      <c r="C913" s="1"/>
      <c r="H913" s="1" t="s">
        <v>531</v>
      </c>
      <c r="J913" s="1" t="s">
        <v>608</v>
      </c>
      <c r="M913" s="15" t="s">
        <v>481</v>
      </c>
      <c r="N913" s="15" t="s">
        <v>1929</v>
      </c>
      <c r="O913" s="15">
        <v>3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913" s="1"/>
      <c r="T913" s="1"/>
      <c r="U913" s="15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913" s="15" t="str">
        <f>_xlfn.TEXTBEFORE(_xlfn.TEXTAFTER(CantoralDB[[#This Row],[index.html]],"&gt;"),"&gt;")&amp;"&gt;"</f>
        <v>&lt;a href="canciones/francisco_palazon/te_doy_gracias_señor.html"&gt;</v>
      </c>
    </row>
    <row r="914" spans="1:23" x14ac:dyDescent="0.3">
      <c r="A914" s="1">
        <f>ROW(CantoralDB[[#This Row],[Título]])-1</f>
        <v>913</v>
      </c>
      <c r="B914" s="1" t="s">
        <v>2032</v>
      </c>
      <c r="C914" s="1"/>
      <c r="H914" s="1" t="s">
        <v>1030</v>
      </c>
      <c r="J914" s="1" t="s">
        <v>608</v>
      </c>
      <c r="M914" s="15" t="s">
        <v>481</v>
      </c>
      <c r="N914" s="15" t="s">
        <v>1929</v>
      </c>
      <c r="O914" s="15">
        <v>4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914" s="15" t="str">
        <f>_xlfn.TEXTBEFORE(_xlfn.TEXTAFTER(CantoralDB[[#This Row],[index.html]],"&gt;"),"&gt;")&amp;"&gt;"</f>
        <v>&lt;a href="canciones/francisco_palazon/aleluya_aleluya_aleluya.html"&gt;</v>
      </c>
    </row>
    <row r="915" spans="1:23" x14ac:dyDescent="0.3">
      <c r="A915" s="1">
        <f>ROW(CantoralDB[[#This Row],[Título]])-1</f>
        <v>914</v>
      </c>
      <c r="B915" s="1" t="s">
        <v>2033</v>
      </c>
      <c r="C915" s="1"/>
      <c r="H915" s="1" t="s">
        <v>2966</v>
      </c>
      <c r="J915" s="1" t="s">
        <v>608</v>
      </c>
      <c r="M915" s="15" t="s">
        <v>481</v>
      </c>
      <c r="N915" s="15" t="s">
        <v>1929</v>
      </c>
      <c r="O915" s="15">
        <v>5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915" s="1"/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915" s="15" t="str">
        <f>_xlfn.TEXTBEFORE(_xlfn.TEXTAFTER(CantoralDB[[#This Row],[index.html]],"&gt;"),"&gt;")&amp;"&gt;"</f>
        <v>&lt;a href="canciones/francisco_palazon/alabad_al_señor_por_su_inmensa_grandeza.html"&gt;</v>
      </c>
    </row>
    <row r="916" spans="1:23" x14ac:dyDescent="0.3">
      <c r="A916" s="1">
        <f>ROW(CantoralDB[[#This Row],[Título]])-1</f>
        <v>915</v>
      </c>
      <c r="B916" s="1" t="s">
        <v>1320</v>
      </c>
      <c r="C916" s="1"/>
      <c r="E916" s="1">
        <v>240</v>
      </c>
      <c r="H916" s="1" t="s">
        <v>1027</v>
      </c>
      <c r="J916" s="1" t="s">
        <v>608</v>
      </c>
      <c r="M916" s="15" t="s">
        <v>481</v>
      </c>
      <c r="N916" s="15" t="s">
        <v>1929</v>
      </c>
      <c r="O916" s="15">
        <v>7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916" s="15" t="str">
        <f>_xlfn.TEXTBEFORE(_xlfn.TEXTAFTER(CantoralDB[[#This Row],[index.html]],"&gt;"),"&gt;")&amp;"&gt;"</f>
        <v>&lt;a href="canciones/francisco_palazon/señor_tu_has_sido_nuestro_refugio.html"&gt;</v>
      </c>
    </row>
    <row r="917" spans="1:23" x14ac:dyDescent="0.3">
      <c r="A917" s="1">
        <f>ROW(CantoralDB[[#This Row],[Título]])-1</f>
        <v>916</v>
      </c>
      <c r="B917" s="1" t="s">
        <v>31</v>
      </c>
      <c r="C917" s="1" t="s">
        <v>201</v>
      </c>
      <c r="D917" s="1" t="s">
        <v>1396</v>
      </c>
      <c r="E917" s="1">
        <v>41</v>
      </c>
      <c r="G917" s="1" t="s">
        <v>209</v>
      </c>
      <c r="H917" s="1" t="s">
        <v>1028</v>
      </c>
      <c r="J917" s="1" t="s">
        <v>608</v>
      </c>
      <c r="M917" s="15" t="s">
        <v>481</v>
      </c>
      <c r="N917" s="15" t="s">
        <v>1929</v>
      </c>
      <c r="O917" s="15">
        <v>8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917" s="1" t="s">
        <v>813</v>
      </c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917" s="15" t="str">
        <f>_xlfn.TEXTBEFORE(_xlfn.TEXTAFTER(CantoralDB[[#This Row],[index.html]],"&gt;"),"&gt;")&amp;"&gt;"</f>
        <v>&lt;a href="canciones/francisco_palazon/cantare_eternamente.html"&gt;</v>
      </c>
    </row>
    <row r="918" spans="1:23" x14ac:dyDescent="0.3">
      <c r="A918" s="1">
        <f>ROW(CantoralDB[[#This Row],[Título]])-1</f>
        <v>917</v>
      </c>
      <c r="B918" s="1" t="s">
        <v>1154</v>
      </c>
      <c r="C918" s="1"/>
      <c r="E918" s="1">
        <v>2</v>
      </c>
      <c r="H918" s="1" t="s">
        <v>531</v>
      </c>
      <c r="J918" s="1" t="s">
        <v>608</v>
      </c>
      <c r="M918" s="15" t="s">
        <v>481</v>
      </c>
      <c r="N918" s="15" t="s">
        <v>1929</v>
      </c>
      <c r="O918" s="15">
        <v>10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918" s="1"/>
      <c r="T918" s="1"/>
      <c r="U918" s="33" t="s">
        <v>2981</v>
      </c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918" s="15" t="str">
        <f>_xlfn.TEXTBEFORE(_xlfn.TEXTAFTER(CantoralDB[[#This Row],[index.html]],"&gt;"),"&gt;")&amp;"&gt;"</f>
        <v>&lt;a href="canciones/francisco_palazon/aclamad_justos_al_señor.html"&gt;</v>
      </c>
    </row>
    <row r="919" spans="1:23" x14ac:dyDescent="0.3">
      <c r="A919" s="1">
        <f>ROW(CantoralDB[[#This Row],[Título]])-1</f>
        <v>918</v>
      </c>
      <c r="C919" s="1"/>
      <c r="J919" s="1"/>
      <c r="M919" s="15" t="s">
        <v>481</v>
      </c>
      <c r="N919" s="15" t="s">
        <v>2068</v>
      </c>
      <c r="O919" s="15"/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919" s="1"/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919" s="15" t="str">
        <f>_xlfn.TEXTBEFORE(_xlfn.TEXTAFTER(CantoralDB[[#This Row],[index.html]],"&gt;"),"&gt;")&amp;"&gt;"</f>
        <v>&lt;a href="canciones/francisco_palazon/.html"&gt;</v>
      </c>
    </row>
    <row r="920" spans="1:23" x14ac:dyDescent="0.3">
      <c r="A920" s="1">
        <f>ROW(CantoralDB[[#This Row],[Título]])-1</f>
        <v>919</v>
      </c>
      <c r="B920" s="1" t="s">
        <v>1217</v>
      </c>
      <c r="C920" s="1"/>
      <c r="E920" s="1">
        <v>100</v>
      </c>
      <c r="J920" s="1"/>
      <c r="M920" s="15" t="s">
        <v>481</v>
      </c>
      <c r="N920" s="15"/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920" s="1"/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920" s="15" t="str">
        <f>_xlfn.TEXTBEFORE(_xlfn.TEXTAFTER(CantoralDB[[#This Row],[index.html]],"&gt;"),"&gt;")&amp;"&gt;"</f>
        <v>&lt;a href="canciones/francisco_palazon/el_señor_es_compasivo_y_misericordioso.html"&gt;</v>
      </c>
    </row>
    <row r="921" spans="1:23" x14ac:dyDescent="0.3">
      <c r="A921" s="1">
        <f>ROW(CantoralDB[[#This Row],[Título]])-1</f>
        <v>920</v>
      </c>
      <c r="B921" s="1" t="s">
        <v>2916</v>
      </c>
      <c r="C921" s="1"/>
      <c r="E921" s="1">
        <v>281</v>
      </c>
      <c r="H921" s="1" t="s">
        <v>1028</v>
      </c>
      <c r="J921" s="1" t="s">
        <v>608</v>
      </c>
      <c r="M921" s="15" t="s">
        <v>481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921" s="15" t="str">
        <f>_xlfn.TEXTBEFORE(_xlfn.TEXTAFTER(CantoralDB[[#This Row],[index.html]],"&gt;"),"&gt;")&amp;"&gt;"</f>
        <v>&lt;a href="canciones/francisco_palazon/ven_a_salvar_a_tu_pueblo.html"&gt;</v>
      </c>
    </row>
    <row r="922" spans="1:23" x14ac:dyDescent="0.3">
      <c r="A922" s="1">
        <f>ROW(CantoralDB[[#This Row],[Título]])-1</f>
        <v>921</v>
      </c>
      <c r="B922" s="1" t="s">
        <v>251</v>
      </c>
      <c r="C922" s="1" t="s">
        <v>993</v>
      </c>
      <c r="D922" s="1" t="s">
        <v>1004</v>
      </c>
      <c r="G922" s="1" t="s">
        <v>248</v>
      </c>
      <c r="H922" s="1" t="s">
        <v>473</v>
      </c>
      <c r="J922" s="1" t="s">
        <v>608</v>
      </c>
      <c r="M922" s="15" t="s">
        <v>481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922" s="1"/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922" s="15" t="str">
        <f>_xlfn.TEXTBEFORE(_xlfn.TEXTAFTER(CantoralDB[[#This Row],[index.html]],"&gt;"),"&gt;")&amp;"&gt;"</f>
        <v>&lt;a href="canciones/francisco_palazon/si_me_falta_el_amor.html"&gt;</v>
      </c>
    </row>
    <row r="923" spans="1:23" x14ac:dyDescent="0.3">
      <c r="A923" s="1">
        <f>ROW(CantoralDB[[#This Row],[Título]])-1</f>
        <v>922</v>
      </c>
      <c r="B923" s="1" t="s">
        <v>783</v>
      </c>
      <c r="C923" s="1" t="s">
        <v>993</v>
      </c>
      <c r="D923" s="1" t="s">
        <v>699</v>
      </c>
      <c r="G923" s="1" t="s">
        <v>209</v>
      </c>
      <c r="H923" s="1" t="s">
        <v>1030</v>
      </c>
      <c r="J923" s="1" t="s">
        <v>608</v>
      </c>
      <c r="M923" s="15" t="s">
        <v>626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923" s="15" t="str">
        <f>_xlfn.TEXTBEFORE(_xlfn.TEXTAFTER(CantoralDB[[#This Row],[index.html]],"&gt;"),"&gt;")&amp;"&gt;"</f>
        <v>&lt;a href="canciones/nsb/el_camino_no_lo_haremos_solos.html"&gt;</v>
      </c>
    </row>
    <row r="924" spans="1:23" x14ac:dyDescent="0.3">
      <c r="A924" s="1">
        <f>ROW(CantoralDB[[#This Row],[Título]])-1</f>
        <v>923</v>
      </c>
      <c r="B924" s="1" t="s">
        <v>1243</v>
      </c>
      <c r="C924" s="1"/>
      <c r="E924" s="1">
        <v>210</v>
      </c>
      <c r="H924" s="1" t="s">
        <v>1028</v>
      </c>
      <c r="J924" s="1" t="s">
        <v>608</v>
      </c>
      <c r="M924" s="15" t="s">
        <v>2904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924" s="15" t="str">
        <f>_xlfn.TEXTBEFORE(_xlfn.TEXTAFTER(CantoralDB[[#This Row],[index.html]],"&gt;"),"&gt;")&amp;"&gt;"</f>
        <v>&lt;a href="canciones/nsb/yo_te_nombro_libertad.html"&gt;</v>
      </c>
    </row>
    <row r="925" spans="1:23" x14ac:dyDescent="0.3">
      <c r="A925" s="1">
        <f>ROW(CantoralDB[[#This Row],[Título]])-1</f>
        <v>924</v>
      </c>
      <c r="B925" s="1" t="s">
        <v>146</v>
      </c>
      <c r="C925" s="1" t="s">
        <v>993</v>
      </c>
      <c r="D925" s="1" t="s">
        <v>1013</v>
      </c>
      <c r="E925" s="1">
        <v>465</v>
      </c>
      <c r="G925" s="1" t="s">
        <v>209</v>
      </c>
      <c r="H925" s="1" t="s">
        <v>1030</v>
      </c>
      <c r="I925" s="1" t="s">
        <v>2960</v>
      </c>
      <c r="J925" s="1" t="s">
        <v>608</v>
      </c>
      <c r="M925" s="15" t="s">
        <v>629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925" s="1"/>
      <c r="T925" s="1"/>
      <c r="U925" s="15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925" s="15" t="str">
        <f>_xlfn.TEXTBEFORE(_xlfn.TEXTAFTER(CantoralDB[[#This Row],[index.html]],"&gt;"),"&gt;")&amp;"&gt;"</f>
        <v>&lt;a href="canciones/nsb/tu_eres_capaz.html"&gt;</v>
      </c>
    </row>
    <row r="926" spans="1:23" x14ac:dyDescent="0.3">
      <c r="A926" s="1">
        <f>ROW(CantoralDB[[#This Row],[Título]])-1</f>
        <v>925</v>
      </c>
      <c r="B926" s="1" t="s">
        <v>1200</v>
      </c>
      <c r="C926" s="1"/>
      <c r="E926" s="1">
        <v>74</v>
      </c>
      <c r="H926" s="1" t="s">
        <v>473</v>
      </c>
      <c r="J926" s="1" t="s">
        <v>608</v>
      </c>
      <c r="M926" s="15" t="s">
        <v>2899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926" s="15" t="str">
        <f>_xlfn.TEXTBEFORE(_xlfn.TEXTAFTER(CantoralDB[[#This Row],[index.html]],"&gt;"),"&gt;")&amp;"&gt;"</f>
        <v>&lt;a href="canciones/nsb/dame_señor_un_corazon_feliz.html"&gt;</v>
      </c>
    </row>
    <row r="927" spans="1:23" x14ac:dyDescent="0.3">
      <c r="A927" s="1">
        <f>ROW(CantoralDB[[#This Row],[Título]])-1</f>
        <v>926</v>
      </c>
      <c r="B927" s="1" t="s">
        <v>1175</v>
      </c>
      <c r="C927" s="1"/>
      <c r="E927" s="1">
        <v>43</v>
      </c>
      <c r="H927" s="1" t="s">
        <v>473</v>
      </c>
      <c r="J927" s="1" t="s">
        <v>608</v>
      </c>
      <c r="M927" s="15" t="s">
        <v>516</v>
      </c>
      <c r="N927" s="15"/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927" s="15" t="str">
        <f>_xlfn.TEXTBEFORE(_xlfn.TEXTAFTER(CantoralDB[[#This Row],[index.html]],"&gt;"),"&gt;")&amp;"&gt;"</f>
        <v>&lt;a href="canciones/nsb/como_habian_dicho_los_profetas.html"&gt;</v>
      </c>
    </row>
    <row r="928" spans="1:23" x14ac:dyDescent="0.3">
      <c r="A928" s="1">
        <f>ROW(CantoralDB[[#This Row],[Título]])-1</f>
        <v>927</v>
      </c>
      <c r="B928" s="1" t="s">
        <v>1177</v>
      </c>
      <c r="C928" s="1"/>
      <c r="E928" s="1">
        <v>46</v>
      </c>
      <c r="H928" s="1" t="s">
        <v>1030</v>
      </c>
      <c r="J928" s="1" t="s">
        <v>608</v>
      </c>
      <c r="M928" s="15" t="s">
        <v>516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928" s="15" t="str">
        <f>_xlfn.TEXTBEFORE(_xlfn.TEXTAFTER(CantoralDB[[#This Row],[index.html]],"&gt;"),"&gt;")&amp;"&gt;"</f>
        <v>&lt;a href="canciones/nsb/cantan_los_angeles_en_belen.html"&gt;</v>
      </c>
    </row>
    <row r="929" spans="1:23" x14ac:dyDescent="0.3">
      <c r="A929" s="1">
        <f>ROW(CantoralDB[[#This Row],[Título]])-1</f>
        <v>928</v>
      </c>
      <c r="B929" s="1" t="s">
        <v>1263</v>
      </c>
      <c r="C929" s="1"/>
      <c r="E929" s="1">
        <v>134</v>
      </c>
      <c r="J929" s="1"/>
      <c r="M929" s="15" t="s">
        <v>516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929" s="15" t="str">
        <f>_xlfn.TEXTBEFORE(_xlfn.TEXTAFTER(CantoralDB[[#This Row],[index.html]],"&gt;"),"&gt;")&amp;"&gt;"</f>
        <v>&lt;a href="canciones/nsb/hoy_en_belen_es_la_fiesta.html"&gt;</v>
      </c>
    </row>
    <row r="930" spans="1:23" x14ac:dyDescent="0.3">
      <c r="A930" s="1">
        <f>ROW(CantoralDB[[#This Row],[Título]])-1</f>
        <v>929</v>
      </c>
      <c r="B930" s="1" t="s">
        <v>2923</v>
      </c>
      <c r="C930" s="1"/>
      <c r="E930" s="1">
        <v>249</v>
      </c>
      <c r="H930" s="1" t="s">
        <v>1030</v>
      </c>
      <c r="J930" s="1" t="s">
        <v>608</v>
      </c>
      <c r="M930" s="15" t="s">
        <v>516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930" s="1"/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930" s="15" t="str">
        <f>_xlfn.TEXTBEFORE(_xlfn.TEXTAFTER(CantoralDB[[#This Row],[index.html]],"&gt;"),"&gt;")&amp;"&gt;"</f>
        <v>&lt;a href="canciones/nsb/si_cada_noche_fuera_nochebuena.html"&gt;</v>
      </c>
    </row>
    <row r="931" spans="1:23" x14ac:dyDescent="0.3">
      <c r="A931" s="1">
        <f>ROW(CantoralDB[[#This Row],[Título]])-1</f>
        <v>930</v>
      </c>
      <c r="B931" s="1" t="s">
        <v>2924</v>
      </c>
      <c r="C931" s="1"/>
      <c r="E931" s="1">
        <v>250</v>
      </c>
      <c r="H931" s="1" t="s">
        <v>1030</v>
      </c>
      <c r="J931" s="1" t="s">
        <v>608</v>
      </c>
      <c r="M931" s="15" t="s">
        <v>516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931" s="15" t="str">
        <f>_xlfn.TEXTBEFORE(_xlfn.TEXTAFTER(CantoralDB[[#This Row],[index.html]],"&gt;"),"&gt;")&amp;"&gt;"</f>
        <v>&lt;a href="canciones/nsb/esto_es_navidad.html"&gt;</v>
      </c>
    </row>
    <row r="932" spans="1:23" x14ac:dyDescent="0.3">
      <c r="A932" s="1">
        <f>ROW(CantoralDB[[#This Row],[Título]])-1</f>
        <v>931</v>
      </c>
      <c r="B932" s="1" t="s">
        <v>91</v>
      </c>
      <c r="C932" s="1" t="s">
        <v>200</v>
      </c>
      <c r="D932" s="1" t="s">
        <v>1048</v>
      </c>
      <c r="E932" s="1">
        <v>435</v>
      </c>
      <c r="G932" s="1" t="s">
        <v>209</v>
      </c>
      <c r="H932" s="1" t="s">
        <v>1030</v>
      </c>
      <c r="J932" s="1" t="s">
        <v>608</v>
      </c>
      <c r="M932" s="15" t="s">
        <v>2228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932" s="15" t="str">
        <f>_xlfn.TEXTBEFORE(_xlfn.TEXTAFTER(CantoralDB[[#This Row],[index.html]],"&gt;"),"&gt;")&amp;"&gt;"</f>
        <v>&lt;a href="canciones/nsb/maria_mirame.html"&gt;</v>
      </c>
    </row>
    <row r="933" spans="1:23" x14ac:dyDescent="0.3">
      <c r="A933" s="1">
        <f>ROW(CantoralDB[[#This Row],[Título]])-1</f>
        <v>932</v>
      </c>
      <c r="B933" s="1" t="s">
        <v>172</v>
      </c>
      <c r="C933" s="1" t="s">
        <v>195</v>
      </c>
      <c r="D933" s="1" t="s">
        <v>1381</v>
      </c>
      <c r="G933" s="1" t="s">
        <v>209</v>
      </c>
      <c r="H933" s="1" t="s">
        <v>531</v>
      </c>
      <c r="J933" s="1" t="s">
        <v>608</v>
      </c>
      <c r="M933" s="15" t="s">
        <v>519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933" s="15" t="str">
        <f>_xlfn.TEXTBEFORE(_xlfn.TEXTAFTER(CantoralDB[[#This Row],[index.html]],"&gt;"),"&gt;")&amp;"&gt;"</f>
        <v>&lt;a href="canciones/nsb/alimento_de_amor_(el_loco).html"&gt;</v>
      </c>
    </row>
    <row r="934" spans="1:23" x14ac:dyDescent="0.3">
      <c r="A934" s="1">
        <f>ROW(CantoralDB[[#This Row],[Título]])-1</f>
        <v>933</v>
      </c>
      <c r="B934" s="1" t="s">
        <v>614</v>
      </c>
      <c r="C934" s="1" t="s">
        <v>201</v>
      </c>
      <c r="D934" s="1" t="s">
        <v>679</v>
      </c>
      <c r="G934" s="1" t="s">
        <v>553</v>
      </c>
      <c r="H934" s="1" t="s">
        <v>1030</v>
      </c>
      <c r="J934" s="1" t="s">
        <v>608</v>
      </c>
      <c r="M934" s="15" t="s">
        <v>615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934" s="15" t="str">
        <f>_xlfn.TEXTBEFORE(_xlfn.TEXTAFTER(CantoralDB[[#This Row],[index.html]],"&gt;"),"&gt;")&amp;"&gt;"</f>
        <v>&lt;a href="canciones/nsb/ven_si_te_has_caido_levantate.html"&gt;</v>
      </c>
    </row>
    <row r="935" spans="1:23" x14ac:dyDescent="0.3">
      <c r="A935" s="1">
        <f>ROW(CantoralDB[[#This Row],[Título]])-1</f>
        <v>934</v>
      </c>
      <c r="B935" s="1" t="s">
        <v>535</v>
      </c>
      <c r="C935" s="1" t="s">
        <v>211</v>
      </c>
      <c r="D935" s="1" t="s">
        <v>1477</v>
      </c>
      <c r="G935" s="1" t="s">
        <v>209</v>
      </c>
      <c r="H935" s="1" t="s">
        <v>531</v>
      </c>
      <c r="J935" s="1" t="s">
        <v>608</v>
      </c>
      <c r="M935" s="15" t="s">
        <v>510</v>
      </c>
      <c r="N935" s="15"/>
      <c r="O935" s="15"/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935" s="15" t="str">
        <f>_xlfn.TEXTBEFORE(_xlfn.TEXTAFTER(CantoralDB[[#This Row],[index.html]],"&gt;"),"&gt;")&amp;"&gt;"</f>
        <v>&lt;a href="canciones/nsb/ven_espiritu_divino_(secuencia_de_pentecostes).html"&gt;</v>
      </c>
    </row>
    <row r="936" spans="1:23" x14ac:dyDescent="0.3">
      <c r="A936" s="1">
        <f>ROW(CantoralDB[[#This Row],[Título]])-1</f>
        <v>935</v>
      </c>
      <c r="B936" s="1" t="s">
        <v>1989</v>
      </c>
      <c r="C936" s="1"/>
      <c r="H936" s="1" t="s">
        <v>1029</v>
      </c>
      <c r="I936" s="1" t="s">
        <v>2961</v>
      </c>
      <c r="J936" s="1" t="s">
        <v>608</v>
      </c>
      <c r="M936" s="15" t="s">
        <v>261</v>
      </c>
      <c r="N936" s="1" t="s">
        <v>1942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936" s="15" t="str">
        <f>_xlfn.TEXTBEFORE(_xlfn.TEXTAFTER(CantoralDB[[#This Row],[index.html]],"&gt;"),"&gt;")&amp;"&gt;"</f>
        <v>&lt;a href="canciones/hakuna/olor_a_tostadas.html"&gt;</v>
      </c>
    </row>
    <row r="937" spans="1:23" x14ac:dyDescent="0.3">
      <c r="A937" s="1">
        <f>ROW(CantoralDB[[#This Row],[Título]])-1</f>
        <v>936</v>
      </c>
      <c r="B937" s="1" t="s">
        <v>1960</v>
      </c>
      <c r="C937" s="1"/>
      <c r="H937" s="1" t="s">
        <v>1030</v>
      </c>
      <c r="J937" s="1" t="s">
        <v>608</v>
      </c>
      <c r="M937" s="15" t="s">
        <v>261</v>
      </c>
      <c r="N937" s="1" t="s">
        <v>1942</v>
      </c>
      <c r="O937" s="15">
        <v>2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937" s="15" t="str">
        <f>_xlfn.TEXTBEFORE(_xlfn.TEXTAFTER(CantoralDB[[#This Row],[index.html]],"&gt;"),"&gt;")&amp;"&gt;"</f>
        <v>&lt;a href="canciones/hakuna/baila_y_dejate_de_historias.html"&gt;</v>
      </c>
    </row>
    <row r="938" spans="1:23" x14ac:dyDescent="0.3">
      <c r="A938" s="1">
        <f>ROW(CantoralDB[[#This Row],[Título]])-1</f>
        <v>937</v>
      </c>
      <c r="B938" s="1" t="s">
        <v>1952</v>
      </c>
      <c r="C938" s="1"/>
      <c r="H938" s="1" t="s">
        <v>531</v>
      </c>
      <c r="I938" s="1" t="s">
        <v>2961</v>
      </c>
      <c r="J938" s="1" t="s">
        <v>608</v>
      </c>
      <c r="M938" s="15" t="s">
        <v>261</v>
      </c>
      <c r="N938" s="1" t="s">
        <v>1942</v>
      </c>
      <c r="O938" s="15">
        <v>3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938" s="1"/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938" s="15" t="str">
        <f>_xlfn.TEXTBEFORE(_xlfn.TEXTAFTER(CantoralDB[[#This Row],[index.html]],"&gt;"),"&gt;")&amp;"&gt;"</f>
        <v>&lt;a href="canciones/hakuna/ojala.html"&gt;</v>
      </c>
    </row>
    <row r="939" spans="1:23" x14ac:dyDescent="0.3">
      <c r="A939" s="1">
        <f>ROW(CantoralDB[[#This Row],[Título]])-1</f>
        <v>938</v>
      </c>
      <c r="B939" s="1" t="s">
        <v>1995</v>
      </c>
      <c r="C939" s="1"/>
      <c r="H939" s="1" t="s">
        <v>1029</v>
      </c>
      <c r="J939" s="1" t="s">
        <v>608</v>
      </c>
      <c r="M939" s="15" t="s">
        <v>261</v>
      </c>
      <c r="N939" s="1" t="s">
        <v>1942</v>
      </c>
      <c r="O939" s="15">
        <v>4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939" s="15" t="str">
        <f>_xlfn.TEXTBEFORE(_xlfn.TEXTAFTER(CantoralDB[[#This Row],[index.html]],"&gt;"),"&gt;")&amp;"&gt;"</f>
        <v>&lt;a href="canciones/hakuna/cuarto_lugar.html"&gt;</v>
      </c>
    </row>
    <row r="940" spans="1:23" x14ac:dyDescent="0.3">
      <c r="A940" s="1">
        <f>ROW(CantoralDB[[#This Row],[Título]])-1</f>
        <v>939</v>
      </c>
      <c r="B940" s="1" t="s">
        <v>1942</v>
      </c>
      <c r="C940" s="1"/>
      <c r="H940" s="1" t="s">
        <v>531</v>
      </c>
      <c r="I940" s="1" t="s">
        <v>2961</v>
      </c>
      <c r="J940" s="1" t="s">
        <v>608</v>
      </c>
      <c r="M940" s="15" t="s">
        <v>261</v>
      </c>
      <c r="N940" s="1" t="s">
        <v>1942</v>
      </c>
      <c r="O940" s="15">
        <v>5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940" s="1"/>
      <c r="T940" s="1"/>
      <c r="U940" s="15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940" s="15" t="str">
        <f>_xlfn.TEXTBEFORE(_xlfn.TEXTAFTER(CantoralDB[[#This Row],[index.html]],"&gt;"),"&gt;")&amp;"&gt;"</f>
        <v>&lt;a href="canciones/hakuna/capricho.html"&gt;</v>
      </c>
    </row>
    <row r="941" spans="1:23" x14ac:dyDescent="0.3">
      <c r="A941" s="1">
        <f>ROW(CantoralDB[[#This Row],[Título]])-1</f>
        <v>940</v>
      </c>
      <c r="B941" s="1" t="s">
        <v>1988</v>
      </c>
      <c r="C941" s="1"/>
      <c r="H941" s="1" t="s">
        <v>1027</v>
      </c>
      <c r="I941" s="1" t="s">
        <v>2959</v>
      </c>
      <c r="J941" s="1" t="s">
        <v>608</v>
      </c>
      <c r="M941" s="15" t="s">
        <v>261</v>
      </c>
      <c r="N941" s="1" t="s">
        <v>1942</v>
      </c>
      <c r="O941" s="15">
        <v>6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941" s="1"/>
      <c r="T941" s="1"/>
      <c r="U941" s="15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941" s="15" t="str">
        <f>_xlfn.TEXTBEFORE(_xlfn.TEXTAFTER(CantoralDB[[#This Row],[index.html]],"&gt;"),"&gt;")&amp;"&gt;"</f>
        <v>&lt;a href="canciones/hakuna/pluma_de_escribano.html"&gt;</v>
      </c>
    </row>
    <row r="942" spans="1:23" x14ac:dyDescent="0.3">
      <c r="A942" s="1">
        <f>ROW(CantoralDB[[#This Row],[Título]])-1</f>
        <v>941</v>
      </c>
      <c r="B942" s="1" t="s">
        <v>1987</v>
      </c>
      <c r="C942" s="1"/>
      <c r="H942" s="1" t="s">
        <v>1030</v>
      </c>
      <c r="I942" s="1" t="s">
        <v>2961</v>
      </c>
      <c r="J942" s="1" t="s">
        <v>608</v>
      </c>
      <c r="M942" s="15" t="s">
        <v>261</v>
      </c>
      <c r="N942" s="1" t="s">
        <v>1942</v>
      </c>
      <c r="O942" s="15">
        <v>7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942" s="15" t="str">
        <f>_xlfn.TEXTBEFORE(_xlfn.TEXTAFTER(CantoralDB[[#This Row],[index.html]],"&gt;"),"&gt;")&amp;"&gt;"</f>
        <v>&lt;a href="canciones/hakuna/nacidos_de_lo_alto.html"&gt;</v>
      </c>
    </row>
    <row r="943" spans="1:23" x14ac:dyDescent="0.3">
      <c r="A943" s="1">
        <f>ROW(CantoralDB[[#This Row],[Título]])-1</f>
        <v>942</v>
      </c>
      <c r="B943" s="1" t="s">
        <v>1994</v>
      </c>
      <c r="C943" s="1"/>
      <c r="H943" s="1" t="s">
        <v>531</v>
      </c>
      <c r="I943" s="1" t="s">
        <v>2961</v>
      </c>
      <c r="J943" s="1" t="s">
        <v>608</v>
      </c>
      <c r="M943" s="15" t="s">
        <v>261</v>
      </c>
      <c r="N943" s="1" t="s">
        <v>1942</v>
      </c>
      <c r="O943" s="15">
        <v>8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943" s="15" t="str">
        <f>_xlfn.TEXTBEFORE(_xlfn.TEXTAFTER(CantoralDB[[#This Row],[index.html]],"&gt;"),"&gt;")&amp;"&gt;"</f>
        <v>&lt;a href="canciones/hakuna/por_que_lloras.html"&gt;</v>
      </c>
    </row>
    <row r="944" spans="1:23" x14ac:dyDescent="0.3">
      <c r="A944" s="1">
        <f>ROW(CantoralDB[[#This Row],[Título]])-1</f>
        <v>943</v>
      </c>
      <c r="B944" s="1" t="s">
        <v>1992</v>
      </c>
      <c r="C944" s="1"/>
      <c r="H944" s="1" t="s">
        <v>531</v>
      </c>
      <c r="I944" s="1" t="s">
        <v>2960</v>
      </c>
      <c r="J944" s="1" t="s">
        <v>608</v>
      </c>
      <c r="M944" s="15" t="s">
        <v>261</v>
      </c>
      <c r="N944" s="1" t="s">
        <v>1942</v>
      </c>
      <c r="O944" s="15">
        <v>9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944" s="15" t="str">
        <f>_xlfn.TEXTBEFORE(_xlfn.TEXTAFTER(CantoralDB[[#This Row],[index.html]],"&gt;"),"&gt;")&amp;"&gt;"</f>
        <v>&lt;a href="canciones/hakuna/entre_anestesias.html"&gt;</v>
      </c>
    </row>
    <row r="945" spans="1:23" x14ac:dyDescent="0.3">
      <c r="A945" s="1">
        <f>ROW(CantoralDB[[#This Row],[Título]])-1</f>
        <v>944</v>
      </c>
      <c r="B945" s="1" t="s">
        <v>1990</v>
      </c>
      <c r="C945" s="1"/>
      <c r="H945" s="1" t="s">
        <v>531</v>
      </c>
      <c r="I945" s="1" t="s">
        <v>2961</v>
      </c>
      <c r="J945" s="1" t="s">
        <v>608</v>
      </c>
      <c r="M945" s="15" t="s">
        <v>261</v>
      </c>
      <c r="N945" s="1" t="s">
        <v>1942</v>
      </c>
      <c r="O945" s="15">
        <v>10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945" s="15" t="str">
        <f>_xlfn.TEXTBEFORE(_xlfn.TEXTAFTER(CantoralDB[[#This Row],[index.html]],"&gt;"),"&gt;")&amp;"&gt;"</f>
        <v>&lt;a href="canciones/hakuna/dime_padre.html"&gt;</v>
      </c>
    </row>
    <row r="946" spans="1:23" x14ac:dyDescent="0.3">
      <c r="A946" s="1">
        <f>ROW(CantoralDB[[#This Row],[Título]])-1</f>
        <v>945</v>
      </c>
      <c r="B946" s="1" t="s">
        <v>1993</v>
      </c>
      <c r="C946" s="1"/>
      <c r="H946" s="1" t="s">
        <v>1029</v>
      </c>
      <c r="I946" s="1" t="s">
        <v>2961</v>
      </c>
      <c r="J946" s="1" t="s">
        <v>608</v>
      </c>
      <c r="M946" s="15" t="s">
        <v>261</v>
      </c>
      <c r="N946" s="1" t="s">
        <v>1942</v>
      </c>
      <c r="O946" s="15">
        <v>11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946" s="1"/>
      <c r="T946" s="1"/>
      <c r="U946" s="15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946" s="15" t="str">
        <f>_xlfn.TEXTBEFORE(_xlfn.TEXTAFTER(CantoralDB[[#This Row],[index.html]],"&gt;"),"&gt;")&amp;"&gt;"</f>
        <v>&lt;a href="canciones/hakuna/exulte_mi_alma.html"&gt;</v>
      </c>
    </row>
    <row r="947" spans="1:23" x14ac:dyDescent="0.3">
      <c r="A947" s="1">
        <f>ROW(CantoralDB[[#This Row],[Título]])-1</f>
        <v>946</v>
      </c>
      <c r="B947" s="1" t="s">
        <v>2003</v>
      </c>
      <c r="C947" s="1"/>
      <c r="H947" s="1" t="s">
        <v>1030</v>
      </c>
      <c r="J947" s="1" t="s">
        <v>608</v>
      </c>
      <c r="M947" s="15" t="s">
        <v>261</v>
      </c>
      <c r="N947" s="1" t="s">
        <v>1996</v>
      </c>
      <c r="O947" s="15">
        <v>1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947" s="15" t="str">
        <f>_xlfn.TEXTBEFORE(_xlfn.TEXTAFTER(CantoralDB[[#This Row],[index.html]],"&gt;"),"&gt;")&amp;"&gt;"</f>
        <v>&lt;a href="canciones/hakuna/un_sitio.html"&gt;</v>
      </c>
    </row>
    <row r="948" spans="1:23" x14ac:dyDescent="0.3">
      <c r="A948" s="1">
        <f>ROW(CantoralDB[[#This Row],[Título]])-1</f>
        <v>947</v>
      </c>
      <c r="B948" s="1" t="s">
        <v>1996</v>
      </c>
      <c r="C948" s="1"/>
      <c r="H948" s="1" t="s">
        <v>1030</v>
      </c>
      <c r="J948" s="1" t="s">
        <v>608</v>
      </c>
      <c r="M948" s="15" t="s">
        <v>261</v>
      </c>
      <c r="N948" s="1" t="s">
        <v>1996</v>
      </c>
      <c r="O948" s="15">
        <v>2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948" s="1"/>
      <c r="T948" s="1"/>
      <c r="U948" s="15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948" s="15" t="str">
        <f>_xlfn.TEXTBEFORE(_xlfn.TEXTAFTER(CantoralDB[[#This Row],[index.html]],"&gt;"),"&gt;")&amp;"&gt;"</f>
        <v>&lt;a href="canciones/hakuna/el_arte_de_vivir.html"&gt;</v>
      </c>
    </row>
    <row r="949" spans="1:23" x14ac:dyDescent="0.3">
      <c r="A949" s="1">
        <f>ROW(CantoralDB[[#This Row],[Título]])-1</f>
        <v>948</v>
      </c>
      <c r="B949" s="1" t="s">
        <v>1997</v>
      </c>
      <c r="C949" s="1"/>
      <c r="H949" s="1" t="s">
        <v>531</v>
      </c>
      <c r="I949" s="1" t="s">
        <v>2960</v>
      </c>
      <c r="J949" s="1" t="s">
        <v>608</v>
      </c>
      <c r="M949" s="15" t="s">
        <v>261</v>
      </c>
      <c r="N949" s="1" t="s">
        <v>1996</v>
      </c>
      <c r="O949" s="15">
        <v>3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949" s="15" t="str">
        <f>_xlfn.TEXTBEFORE(_xlfn.TEXTAFTER(CantoralDB[[#This Row],[index.html]],"&gt;"),"&gt;")&amp;"&gt;"</f>
        <v>&lt;a href="canciones/hakuna/mi_amado.html"&gt;</v>
      </c>
    </row>
    <row r="950" spans="1:23" x14ac:dyDescent="0.3">
      <c r="A950" s="1">
        <f>ROW(CantoralDB[[#This Row],[Título]])-1</f>
        <v>949</v>
      </c>
      <c r="B950" s="1" t="s">
        <v>1999</v>
      </c>
      <c r="C950" s="1"/>
      <c r="H950" s="1" t="s">
        <v>531</v>
      </c>
      <c r="I950" s="1" t="s">
        <v>2962</v>
      </c>
      <c r="J950" s="1" t="s">
        <v>608</v>
      </c>
      <c r="M950" s="15" t="s">
        <v>261</v>
      </c>
      <c r="N950" s="1" t="s">
        <v>1996</v>
      </c>
      <c r="O950" s="15">
        <v>4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950" s="15" t="str">
        <f>_xlfn.TEXTBEFORE(_xlfn.TEXTAFTER(CantoralDB[[#This Row],[index.html]],"&gt;"),"&gt;")&amp;"&gt;"</f>
        <v>&lt;a href="canciones/hakuna/la_fila.html"&gt;</v>
      </c>
    </row>
    <row r="951" spans="1:23" x14ac:dyDescent="0.3">
      <c r="A951" s="1">
        <f>ROW(CantoralDB[[#This Row],[Título]])-1</f>
        <v>950</v>
      </c>
      <c r="B951" s="1" t="s">
        <v>2868</v>
      </c>
      <c r="C951" s="1"/>
      <c r="H951" s="1" t="s">
        <v>1030</v>
      </c>
      <c r="I951" s="1" t="s">
        <v>2963</v>
      </c>
      <c r="J951" s="1" t="s">
        <v>608</v>
      </c>
      <c r="M951" s="15" t="s">
        <v>261</v>
      </c>
      <c r="N951" s="1" t="s">
        <v>1996</v>
      </c>
      <c r="O951" s="15">
        <v>5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951" s="15" t="str">
        <f>_xlfn.TEXTBEFORE(_xlfn.TEXTAFTER(CantoralDB[[#This Row],[index.html]],"&gt;"),"&gt;")&amp;"&gt;"</f>
        <v>&lt;a href="canciones/hakuna/loco.html"&gt;</v>
      </c>
    </row>
    <row r="952" spans="1:23" x14ac:dyDescent="0.3">
      <c r="A952" s="1">
        <f>ROW(CantoralDB[[#This Row],[Título]])-1</f>
        <v>951</v>
      </c>
      <c r="B952" s="1" t="s">
        <v>2001</v>
      </c>
      <c r="C952" s="1"/>
      <c r="H952" s="1" t="s">
        <v>531</v>
      </c>
      <c r="I952" s="1" t="s">
        <v>2960</v>
      </c>
      <c r="J952" s="1" t="s">
        <v>608</v>
      </c>
      <c r="M952" s="15" t="s">
        <v>261</v>
      </c>
      <c r="N952" s="1" t="s">
        <v>1996</v>
      </c>
      <c r="O952" s="15">
        <v>6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952" s="15" t="str">
        <f>_xlfn.TEXTBEFORE(_xlfn.TEXTAFTER(CantoralDB[[#This Row],[index.html]],"&gt;"),"&gt;")&amp;"&gt;"</f>
        <v>&lt;a href="canciones/hakuna/no_te_vas.html"&gt;</v>
      </c>
    </row>
    <row r="953" spans="1:23" x14ac:dyDescent="0.3">
      <c r="A953" s="1">
        <f>ROW(CantoralDB[[#This Row],[Título]])-1</f>
        <v>952</v>
      </c>
      <c r="B953" s="1" t="s">
        <v>2004</v>
      </c>
      <c r="C953" s="1"/>
      <c r="H953" s="1" t="s">
        <v>531</v>
      </c>
      <c r="J953" s="1" t="s">
        <v>608</v>
      </c>
      <c r="M953" s="15" t="s">
        <v>261</v>
      </c>
      <c r="N953" s="1" t="s">
        <v>1996</v>
      </c>
      <c r="O953" s="15">
        <v>7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953" s="15" t="str">
        <f>_xlfn.TEXTBEFORE(_xlfn.TEXTAFTER(CantoralDB[[#This Row],[index.html]],"&gt;"),"&gt;")&amp;"&gt;"</f>
        <v>&lt;a href="canciones/hakuna/nada.html"&gt;</v>
      </c>
    </row>
    <row r="954" spans="1:23" x14ac:dyDescent="0.3">
      <c r="A954" s="1">
        <f>ROW(CantoralDB[[#This Row],[Título]])-1</f>
        <v>953</v>
      </c>
      <c r="B954" s="1" t="s">
        <v>2000</v>
      </c>
      <c r="C954" s="1"/>
      <c r="H954" s="1" t="s">
        <v>531</v>
      </c>
      <c r="I954" s="1" t="s">
        <v>2960</v>
      </c>
      <c r="J954" s="1" t="s">
        <v>608</v>
      </c>
      <c r="M954" s="15" t="s">
        <v>261</v>
      </c>
      <c r="N954" s="1" t="s">
        <v>1996</v>
      </c>
      <c r="O954" s="15">
        <v>8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954" s="15" t="str">
        <f>_xlfn.TEXTBEFORE(_xlfn.TEXTAFTER(CantoralDB[[#This Row],[index.html]],"&gt;"),"&gt;")&amp;"&gt;"</f>
        <v>&lt;a href="canciones/hakuna/trueno.html"&gt;</v>
      </c>
    </row>
    <row r="955" spans="1:23" x14ac:dyDescent="0.3">
      <c r="A955" s="1">
        <f>ROW(CantoralDB[[#This Row],[Título]])-1</f>
        <v>954</v>
      </c>
      <c r="B955" s="1" t="s">
        <v>1998</v>
      </c>
      <c r="C955" s="1"/>
      <c r="H955" s="1" t="s">
        <v>1029</v>
      </c>
      <c r="J955" s="1" t="s">
        <v>608</v>
      </c>
      <c r="M955" s="15" t="s">
        <v>261</v>
      </c>
      <c r="N955" s="1" t="s">
        <v>1996</v>
      </c>
      <c r="O955" s="15">
        <v>9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955" s="15" t="str">
        <f>_xlfn.TEXTBEFORE(_xlfn.TEXTAFTER(CantoralDB[[#This Row],[index.html]],"&gt;"),"&gt;")&amp;"&gt;"</f>
        <v>&lt;a href="canciones/hakuna/el_rey_de_la_gloria.html"&gt;</v>
      </c>
    </row>
    <row r="956" spans="1:23" x14ac:dyDescent="0.3">
      <c r="A956" s="1">
        <f>ROW(CantoralDB[[#This Row],[Título]])-1</f>
        <v>955</v>
      </c>
      <c r="B956" s="1" t="s">
        <v>1959</v>
      </c>
      <c r="C956" s="1"/>
      <c r="H956" s="1" t="s">
        <v>473</v>
      </c>
      <c r="J956" s="1" t="s">
        <v>608</v>
      </c>
      <c r="M956" s="15" t="s">
        <v>261</v>
      </c>
      <c r="N956" s="1" t="s">
        <v>261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956" s="15" t="str">
        <f>_xlfn.TEXTBEFORE(_xlfn.TEXTAFTER(CantoralDB[[#This Row],[index.html]],"&gt;"),"&gt;")&amp;"&gt;"</f>
        <v>&lt;a href="canciones/hakuna/al_estar_en_la_presencia.html"&gt;</v>
      </c>
    </row>
    <row r="957" spans="1:23" x14ac:dyDescent="0.3">
      <c r="A957" s="1">
        <f>ROW(CantoralDB[[#This Row],[Título]])-1</f>
        <v>956</v>
      </c>
      <c r="B957" s="1" t="s">
        <v>264</v>
      </c>
      <c r="C957" s="1" t="s">
        <v>191</v>
      </c>
      <c r="D957" s="1" t="s">
        <v>738</v>
      </c>
      <c r="G957" s="1" t="s">
        <v>261</v>
      </c>
      <c r="H957" s="1" t="s">
        <v>1029</v>
      </c>
      <c r="J957" s="1" t="s">
        <v>608</v>
      </c>
      <c r="M957" s="15" t="s">
        <v>261</v>
      </c>
      <c r="N957" s="1" t="s">
        <v>261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957" s="15" t="str">
        <f>_xlfn.TEXTBEFORE(_xlfn.TEXTAFTER(CantoralDB[[#This Row],[index.html]],"&gt;"),"&gt;")&amp;"&gt;"</f>
        <v>&lt;a href="canciones/hakuna/enciendeme.html"&gt;</v>
      </c>
    </row>
    <row r="958" spans="1:23" x14ac:dyDescent="0.3">
      <c r="A958" s="1">
        <f>ROW(CantoralDB[[#This Row],[Título]])-1</f>
        <v>957</v>
      </c>
      <c r="B958" s="1" t="s">
        <v>260</v>
      </c>
      <c r="C958" s="1" t="s">
        <v>993</v>
      </c>
      <c r="D958" s="1" t="s">
        <v>1009</v>
      </c>
      <c r="G958" s="1" t="s">
        <v>261</v>
      </c>
      <c r="H958" s="1" t="s">
        <v>1027</v>
      </c>
      <c r="I958" s="1" t="s">
        <v>2958</v>
      </c>
      <c r="J958" s="1" t="s">
        <v>608</v>
      </c>
      <c r="M958" s="15" t="s">
        <v>261</v>
      </c>
      <c r="N958" s="1" t="s">
        <v>261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958" s="1" t="s">
        <v>864</v>
      </c>
      <c r="T958" s="1"/>
      <c r="U958" s="15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958" s="15" t="str">
        <f>_xlfn.TEXTBEFORE(_xlfn.TEXTAFTER(CantoralDB[[#This Row],[index.html]],"&gt;"),"&gt;")&amp;"&gt;"</f>
        <v>&lt;a href="canciones/hakuna/tomad_comed.html"&gt;</v>
      </c>
    </row>
    <row r="959" spans="1:23" x14ac:dyDescent="0.3">
      <c r="A959" s="1">
        <f>ROW(CantoralDB[[#This Row],[Título]])-1</f>
        <v>958</v>
      </c>
      <c r="B959" s="1" t="s">
        <v>1946</v>
      </c>
      <c r="C959" s="1"/>
      <c r="H959" s="1" t="s">
        <v>473</v>
      </c>
      <c r="I959" s="1" t="s">
        <v>2961</v>
      </c>
      <c r="J959" s="1" t="s">
        <v>608</v>
      </c>
      <c r="M959" s="15" t="s">
        <v>261</v>
      </c>
      <c r="N959" s="1" t="s">
        <v>261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959" s="15" t="str">
        <f>_xlfn.TEXTBEFORE(_xlfn.TEXTAFTER(CantoralDB[[#This Row],[index.html]],"&gt;"),"&gt;")&amp;"&gt;"</f>
        <v>&lt;a href="canciones/hakuna/deseo.html"&gt;</v>
      </c>
    </row>
    <row r="960" spans="1:23" x14ac:dyDescent="0.3">
      <c r="A960" s="1">
        <f>ROW(CantoralDB[[#This Row],[Título]])-1</f>
        <v>959</v>
      </c>
      <c r="B960" s="1" t="s">
        <v>1961</v>
      </c>
      <c r="C960" s="1"/>
      <c r="H960" s="1" t="s">
        <v>1029</v>
      </c>
      <c r="J960" s="1" t="s">
        <v>608</v>
      </c>
      <c r="M960" s="15" t="s">
        <v>261</v>
      </c>
      <c r="N960" s="1" t="s">
        <v>261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960" s="1"/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960" s="15" t="str">
        <f>_xlfn.TEXTBEFORE(_xlfn.TEXTAFTER(CantoralDB[[#This Row],[index.html]],"&gt;"),"&gt;")&amp;"&gt;"</f>
        <v>&lt;a href="canciones/hakuna/bien_amado_señor.html"&gt;</v>
      </c>
    </row>
    <row r="961" spans="1:23" x14ac:dyDescent="0.3">
      <c r="A961" s="1">
        <f>ROW(CantoralDB[[#This Row],[Título]])-1</f>
        <v>960</v>
      </c>
      <c r="B961" s="1" t="s">
        <v>1962</v>
      </c>
      <c r="C961" s="1"/>
      <c r="H961" s="1" t="s">
        <v>531</v>
      </c>
      <c r="I961" s="1" t="s">
        <v>2958</v>
      </c>
      <c r="J961" s="1" t="s">
        <v>608</v>
      </c>
      <c r="M961" s="15" t="s">
        <v>261</v>
      </c>
      <c r="N961" s="1" t="s">
        <v>261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961" s="15" t="str">
        <f>_xlfn.TEXTBEFORE(_xlfn.TEXTAFTER(CantoralDB[[#This Row],[index.html]],"&gt;"),"&gt;")&amp;"&gt;"</f>
        <v>&lt;a href="canciones/hakuna/que_bien_se_esta_cuando_se_esta_bien.html"&gt;</v>
      </c>
    </row>
    <row r="962" spans="1:23" x14ac:dyDescent="0.3">
      <c r="A962" s="1">
        <f>ROW(CantoralDB[[#This Row],[Título]])-1</f>
        <v>961</v>
      </c>
      <c r="B962" s="1" t="s">
        <v>1949</v>
      </c>
      <c r="C962" s="1"/>
      <c r="H962" s="1" t="s">
        <v>1029</v>
      </c>
      <c r="J962" s="1" t="s">
        <v>608</v>
      </c>
      <c r="M962" s="15" t="s">
        <v>261</v>
      </c>
      <c r="N962" s="1" t="s">
        <v>261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962" s="15" t="str">
        <f>_xlfn.TEXTBEFORE(_xlfn.TEXTAFTER(CantoralDB[[#This Row],[index.html]],"&gt;"),"&gt;")&amp;"&gt;"</f>
        <v>&lt;a href="canciones/hakuna/libertad.html"&gt;</v>
      </c>
    </row>
    <row r="963" spans="1:23" x14ac:dyDescent="0.3">
      <c r="A963" s="1">
        <f>ROW(CantoralDB[[#This Row],[Título]])-1</f>
        <v>962</v>
      </c>
      <c r="B963" s="1" t="s">
        <v>1963</v>
      </c>
      <c r="C963" s="1"/>
      <c r="H963" s="1" t="s">
        <v>1030</v>
      </c>
      <c r="I963" s="1" t="s">
        <v>2961</v>
      </c>
      <c r="J963" s="1" t="s">
        <v>608</v>
      </c>
      <c r="M963" s="15" t="s">
        <v>261</v>
      </c>
      <c r="N963" s="1" t="s">
        <v>261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963" s="1"/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963" s="15" t="str">
        <f>_xlfn.TEXTBEFORE(_xlfn.TEXTAFTER(CantoralDB[[#This Row],[index.html]],"&gt;"),"&gt;")&amp;"&gt;"</f>
        <v>&lt;a href="canciones/hakuna/tan_cerca.html"&gt;</v>
      </c>
    </row>
    <row r="964" spans="1:23" x14ac:dyDescent="0.3">
      <c r="A964" s="1">
        <f>ROW(CantoralDB[[#This Row],[Título]])-1</f>
        <v>963</v>
      </c>
      <c r="B964" s="1" t="s">
        <v>1964</v>
      </c>
      <c r="C964" s="1"/>
      <c r="H964" s="1" t="s">
        <v>473</v>
      </c>
      <c r="J964" s="1" t="s">
        <v>608</v>
      </c>
      <c r="M964" s="15" t="s">
        <v>261</v>
      </c>
      <c r="N964" s="1" t="s">
        <v>261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964" s="15" t="str">
        <f>_xlfn.TEXTBEFORE(_xlfn.TEXTAFTER(CantoralDB[[#This Row],[index.html]],"&gt;"),"&gt;")&amp;"&gt;"</f>
        <v>&lt;a href="canciones/hakuna/hoy_te_dejo.html"&gt;</v>
      </c>
    </row>
    <row r="965" spans="1:23" x14ac:dyDescent="0.3">
      <c r="A965" s="1">
        <f>ROW(CantoralDB[[#This Row],[Título]])-1</f>
        <v>964</v>
      </c>
      <c r="B965" s="1" t="s">
        <v>1965</v>
      </c>
      <c r="C965" s="1"/>
      <c r="H965" s="1" t="s">
        <v>1030</v>
      </c>
      <c r="J965" s="1" t="s">
        <v>608</v>
      </c>
      <c r="M965" s="15" t="s">
        <v>261</v>
      </c>
      <c r="N965" s="1" t="s">
        <v>261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965" s="15" t="str">
        <f>_xlfn.TEXTBEFORE(_xlfn.TEXTAFTER(CantoralDB[[#This Row],[index.html]],"&gt;"),"&gt;")&amp;"&gt;"</f>
        <v>&lt;a href="canciones/hakuna/pasion_de_dios.html"&gt;</v>
      </c>
    </row>
    <row r="966" spans="1:23" x14ac:dyDescent="0.3">
      <c r="A966" s="1">
        <f>ROW(CantoralDB[[#This Row],[Título]])-1</f>
        <v>965</v>
      </c>
      <c r="B966" s="1" t="s">
        <v>1221</v>
      </c>
      <c r="C966" s="1"/>
      <c r="H966" s="1" t="s">
        <v>531</v>
      </c>
      <c r="J966" s="1" t="s">
        <v>608</v>
      </c>
      <c r="M966" s="15" t="s">
        <v>261</v>
      </c>
      <c r="N966" s="1" t="s">
        <v>261</v>
      </c>
      <c r="O966" s="15">
        <v>12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966" s="15" t="str">
        <f>_xlfn.TEXTBEFORE(_xlfn.TEXTAFTER(CantoralDB[[#This Row],[index.html]],"&gt;"),"&gt;")&amp;"&gt;"</f>
        <v>&lt;a href="canciones/hakuna/bendita_sea_tu_pureza.html"&gt;</v>
      </c>
    </row>
    <row r="967" spans="1:23" x14ac:dyDescent="0.3">
      <c r="A967" s="1">
        <f>ROW(CantoralDB[[#This Row],[Título]])-1</f>
        <v>966</v>
      </c>
      <c r="B967" s="1" t="s">
        <v>1966</v>
      </c>
      <c r="C967" s="1"/>
      <c r="H967" s="1" t="s">
        <v>531</v>
      </c>
      <c r="J967" s="1" t="s">
        <v>608</v>
      </c>
      <c r="M967" s="15" t="s">
        <v>261</v>
      </c>
      <c r="N967" s="1" t="s">
        <v>1973</v>
      </c>
      <c r="O967" s="15">
        <v>1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967" s="15" t="str">
        <f>_xlfn.TEXTBEFORE(_xlfn.TEXTAFTER(CantoralDB[[#This Row],[index.html]],"&gt;"),"&gt;")&amp;"&gt;"</f>
        <v>&lt;a href="canciones/hakuna/tu_misericordia.html"&gt;</v>
      </c>
    </row>
    <row r="968" spans="1:23" x14ac:dyDescent="0.3">
      <c r="A968" s="1">
        <f>ROW(CantoralDB[[#This Row],[Título]])-1</f>
        <v>967</v>
      </c>
      <c r="B968" s="1" t="s">
        <v>1968</v>
      </c>
      <c r="C968" s="1"/>
      <c r="H968" s="1" t="s">
        <v>1029</v>
      </c>
      <c r="I968" s="1" t="s">
        <v>2961</v>
      </c>
      <c r="J968" s="1" t="s">
        <v>608</v>
      </c>
      <c r="M968" s="15" t="s">
        <v>261</v>
      </c>
      <c r="N968" s="1" t="s">
        <v>1973</v>
      </c>
      <c r="O968" s="15">
        <v>2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968" s="1"/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968" s="15" t="str">
        <f>_xlfn.TEXTBEFORE(_xlfn.TEXTAFTER(CantoralDB[[#This Row],[index.html]],"&gt;"),"&gt;")&amp;"&gt;"</f>
        <v>&lt;a href="canciones/hakuna/quiero_cenar_contigo.html"&gt;</v>
      </c>
    </row>
    <row r="969" spans="1:23" x14ac:dyDescent="0.3">
      <c r="A969" s="1">
        <f>ROW(CantoralDB[[#This Row],[Título]])-1</f>
        <v>968</v>
      </c>
      <c r="B969" s="1" t="s">
        <v>1969</v>
      </c>
      <c r="C969" s="1"/>
      <c r="H969" s="1" t="s">
        <v>1030</v>
      </c>
      <c r="I969" s="1" t="s">
        <v>2960</v>
      </c>
      <c r="J969" s="1" t="s">
        <v>608</v>
      </c>
      <c r="M969" s="15" t="s">
        <v>261</v>
      </c>
      <c r="N969" s="1" t="s">
        <v>1973</v>
      </c>
      <c r="O969" s="15">
        <v>3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969" s="15" t="str">
        <f>_xlfn.TEXTBEFORE(_xlfn.TEXTAFTER(CantoralDB[[#This Row],[index.html]],"&gt;"),"&gt;")&amp;"&gt;"</f>
        <v>&lt;a href="canciones/hakuna/un_paso_mas.html"&gt;</v>
      </c>
    </row>
    <row r="970" spans="1:23" x14ac:dyDescent="0.3">
      <c r="A970" s="1">
        <f>ROW(CantoralDB[[#This Row],[Título]])-1</f>
        <v>969</v>
      </c>
      <c r="B970" s="1" t="s">
        <v>2007</v>
      </c>
      <c r="C970" s="1"/>
      <c r="H970" s="1" t="s">
        <v>1029</v>
      </c>
      <c r="I970" s="1" t="s">
        <v>2961</v>
      </c>
      <c r="J970" s="1" t="s">
        <v>608</v>
      </c>
      <c r="M970" s="15" t="s">
        <v>261</v>
      </c>
      <c r="N970" s="1" t="s">
        <v>1973</v>
      </c>
      <c r="O970" s="15">
        <v>4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970" s="15" t="str">
        <f>_xlfn.TEXTBEFORE(_xlfn.TEXTAFTER(CantoralDB[[#This Row],[index.html]],"&gt;"),"&gt;")&amp;"&gt;"</f>
        <v>&lt;a href="canciones/hakuna/cuatro_vientos.html"&gt;</v>
      </c>
    </row>
    <row r="971" spans="1:23" x14ac:dyDescent="0.3">
      <c r="A971" s="1">
        <f>ROW(CantoralDB[[#This Row],[Título]])-1</f>
        <v>970</v>
      </c>
      <c r="B971" s="1" t="s">
        <v>1970</v>
      </c>
      <c r="C971" s="1"/>
      <c r="H971" s="1" t="s">
        <v>531</v>
      </c>
      <c r="I971" s="1" t="s">
        <v>2958</v>
      </c>
      <c r="J971" s="1" t="s">
        <v>608</v>
      </c>
      <c r="M971" s="15" t="s">
        <v>261</v>
      </c>
      <c r="N971" s="1" t="s">
        <v>1973</v>
      </c>
      <c r="O971" s="15">
        <v>5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971" s="1"/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971" s="15" t="str">
        <f>_xlfn.TEXTBEFORE(_xlfn.TEXTAFTER(CantoralDB[[#This Row],[index.html]],"&gt;"),"&gt;")&amp;"&gt;"</f>
        <v>&lt;a href="canciones/hakuna/siempre_imagine.html"&gt;</v>
      </c>
    </row>
    <row r="972" spans="1:23" x14ac:dyDescent="0.3">
      <c r="A972" s="1">
        <f>ROW(CantoralDB[[#This Row],[Título]])-1</f>
        <v>971</v>
      </c>
      <c r="B972" s="1" t="s">
        <v>1967</v>
      </c>
      <c r="C972" s="1"/>
      <c r="H972" s="1" t="s">
        <v>531</v>
      </c>
      <c r="I972" s="1" t="s">
        <v>2962</v>
      </c>
      <c r="J972" s="1" t="s">
        <v>608</v>
      </c>
      <c r="M972" s="15" t="s">
        <v>261</v>
      </c>
      <c r="N972" s="1" t="s">
        <v>1973</v>
      </c>
      <c r="O972" s="15">
        <v>6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972" s="15" t="str">
        <f>_xlfn.TEXTBEFORE(_xlfn.TEXTAFTER(CantoralDB[[#This Row],[index.html]],"&gt;"),"&gt;")&amp;"&gt;"</f>
        <v>&lt;a href="canciones/hakuna/que_no_se_pierda_ninguno.html"&gt;</v>
      </c>
    </row>
    <row r="973" spans="1:23" x14ac:dyDescent="0.3">
      <c r="A973" s="1">
        <f>ROW(CantoralDB[[#This Row],[Título]])-1</f>
        <v>972</v>
      </c>
      <c r="B973" s="1" t="s">
        <v>1971</v>
      </c>
      <c r="C973" s="1"/>
      <c r="H973" s="1" t="s">
        <v>531</v>
      </c>
      <c r="I973" s="1" t="s">
        <v>2960</v>
      </c>
      <c r="J973" s="1" t="s">
        <v>608</v>
      </c>
      <c r="M973" s="15" t="s">
        <v>261</v>
      </c>
      <c r="N973" s="1" t="s">
        <v>1973</v>
      </c>
      <c r="O973" s="15">
        <v>7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973" s="1"/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973" s="15" t="str">
        <f>_xlfn.TEXTBEFORE(_xlfn.TEXTAFTER(CantoralDB[[#This Row],[index.html]],"&gt;"),"&gt;")&amp;"&gt;"</f>
        <v>&lt;a href="canciones/hakuna/nombre_sobre_todo_nombre.html"&gt;</v>
      </c>
    </row>
    <row r="974" spans="1:23" x14ac:dyDescent="0.3">
      <c r="A974" s="1">
        <f>ROW(CantoralDB[[#This Row],[Título]])-1</f>
        <v>973</v>
      </c>
      <c r="B974" s="1" t="s">
        <v>1972</v>
      </c>
      <c r="C974" s="1"/>
      <c r="H974" s="1" t="s">
        <v>1030</v>
      </c>
      <c r="I974" s="1" t="s">
        <v>2961</v>
      </c>
      <c r="J974" s="1" t="s">
        <v>608</v>
      </c>
      <c r="M974" s="15" t="s">
        <v>261</v>
      </c>
      <c r="N974" s="1" t="s">
        <v>1973</v>
      </c>
      <c r="O974" s="15">
        <v>8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974" s="15" t="str">
        <f>_xlfn.TEXTBEFORE(_xlfn.TEXTAFTER(CantoralDB[[#This Row],[index.html]],"&gt;"),"&gt;")&amp;"&gt;"</f>
        <v>&lt;a href="canciones/hakuna/tu_rostro.html"&gt;</v>
      </c>
    </row>
    <row r="975" spans="1:23" x14ac:dyDescent="0.3">
      <c r="A975" s="1">
        <f>ROW(CantoralDB[[#This Row],[Título]])-1</f>
        <v>974</v>
      </c>
      <c r="B975" s="1" t="s">
        <v>1957</v>
      </c>
      <c r="C975" s="1"/>
      <c r="H975" s="1" t="s">
        <v>1029</v>
      </c>
      <c r="J975" s="1" t="s">
        <v>608</v>
      </c>
      <c r="M975" s="15" t="s">
        <v>261</v>
      </c>
      <c r="N975" s="1" t="s">
        <v>1973</v>
      </c>
      <c r="O975" s="15">
        <v>9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975" s="15" t="str">
        <f>_xlfn.TEXTBEFORE(_xlfn.TEXTAFTER(CantoralDB[[#This Row],[index.html]],"&gt;"),"&gt;")&amp;"&gt;"</f>
        <v>&lt;a href="canciones/hakuna/tonto.html"&gt;</v>
      </c>
    </row>
    <row r="976" spans="1:23" x14ac:dyDescent="0.3">
      <c r="A976" s="1">
        <f>ROW(CantoralDB[[#This Row],[Título]])-1</f>
        <v>975</v>
      </c>
      <c r="B976" s="1" t="s">
        <v>1973</v>
      </c>
      <c r="C976" s="1"/>
      <c r="H976" s="1" t="s">
        <v>531</v>
      </c>
      <c r="I976" s="1" t="s">
        <v>2959</v>
      </c>
      <c r="J976" s="1" t="s">
        <v>608</v>
      </c>
      <c r="M976" s="15" t="s">
        <v>261</v>
      </c>
      <c r="N976" s="1" t="s">
        <v>1973</v>
      </c>
      <c r="O976" s="15">
        <v>10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976" s="15" t="str">
        <f>_xlfn.TEXTBEFORE(_xlfn.TEXTAFTER(CantoralDB[[#This Row],[index.html]],"&gt;"),"&gt;")&amp;"&gt;"</f>
        <v>&lt;a href="canciones/hakuna/mi_pobre_loco.html"&gt;</v>
      </c>
    </row>
    <row r="977" spans="1:23" x14ac:dyDescent="0.3">
      <c r="A977" s="1">
        <f>ROW(CantoralDB[[#This Row],[Título]])-1</f>
        <v>976</v>
      </c>
      <c r="B977" s="1" t="s">
        <v>1954</v>
      </c>
      <c r="C977" s="1"/>
      <c r="H977" s="1" t="s">
        <v>473</v>
      </c>
      <c r="J977" s="1" t="s">
        <v>608</v>
      </c>
      <c r="M977" s="15" t="s">
        <v>261</v>
      </c>
      <c r="N977" s="1" t="s">
        <v>1973</v>
      </c>
      <c r="O977" s="15">
        <v>11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977" s="1"/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977" s="15" t="str">
        <f>_xlfn.TEXTBEFORE(_xlfn.TEXTAFTER(CantoralDB[[#This Row],[index.html]],"&gt;"),"&gt;")&amp;"&gt;"</f>
        <v>&lt;a href="canciones/hakuna/revolucion.html"&gt;</v>
      </c>
    </row>
    <row r="978" spans="1:23" x14ac:dyDescent="0.3">
      <c r="A978" s="1">
        <f>ROW(CantoralDB[[#This Row],[Título]])-1</f>
        <v>977</v>
      </c>
      <c r="B978" s="1" t="s">
        <v>1948</v>
      </c>
      <c r="C978" s="1"/>
      <c r="H978" s="1" t="s">
        <v>1029</v>
      </c>
      <c r="J978" s="1" t="s">
        <v>608</v>
      </c>
      <c r="M978" s="15" t="s">
        <v>261</v>
      </c>
      <c r="N978" s="1" t="s">
        <v>1973</v>
      </c>
      <c r="O978" s="15">
        <v>12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978" s="1"/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978" s="15" t="str">
        <f>_xlfn.TEXTBEFORE(_xlfn.TEXTAFTER(CantoralDB[[#This Row],[index.html]],"&gt;"),"&gt;")&amp;"&gt;"</f>
        <v>&lt;a href="canciones/hakuna/imprescindible.html"&gt;</v>
      </c>
    </row>
    <row r="979" spans="1:23" x14ac:dyDescent="0.3">
      <c r="A979" s="1">
        <f>ROW(CantoralDB[[#This Row],[Título]])-1</f>
        <v>978</v>
      </c>
      <c r="B979" s="1" t="s">
        <v>2008</v>
      </c>
      <c r="C979" s="1"/>
      <c r="H979" s="1" t="s">
        <v>531</v>
      </c>
      <c r="I979" s="1" t="s">
        <v>2959</v>
      </c>
      <c r="J979" s="1" t="s">
        <v>608</v>
      </c>
      <c r="M979" s="15" t="s">
        <v>261</v>
      </c>
      <c r="N979" s="1" t="s">
        <v>2865</v>
      </c>
      <c r="O979" s="15">
        <v>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979" s="1"/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979" s="15" t="str">
        <f>_xlfn.TEXTBEFORE(_xlfn.TEXTAFTER(CantoralDB[[#This Row],[index.html]],"&gt;"),"&gt;")&amp;"&gt;"</f>
        <v>&lt;a href="canciones/hakuna/pasion_i_no_se_que_viste_en_mi.html"&gt;</v>
      </c>
    </row>
    <row r="980" spans="1:23" x14ac:dyDescent="0.3">
      <c r="A980" s="1">
        <f>ROW(CantoralDB[[#This Row],[Título]])-1</f>
        <v>979</v>
      </c>
      <c r="B980" s="1" t="s">
        <v>2009</v>
      </c>
      <c r="C980" s="1"/>
      <c r="H980" s="1" t="s">
        <v>1030</v>
      </c>
      <c r="I980" s="1" t="s">
        <v>2958</v>
      </c>
      <c r="J980" s="1" t="s">
        <v>608</v>
      </c>
      <c r="M980" s="15" t="s">
        <v>261</v>
      </c>
      <c r="N980" s="1" t="s">
        <v>2865</v>
      </c>
      <c r="O980" s="15">
        <v>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980" s="15" t="str">
        <f>_xlfn.TEXTBEFORE(_xlfn.TEXTAFTER(CantoralDB[[#This Row],[index.html]],"&gt;"),"&gt;")&amp;"&gt;"</f>
        <v>&lt;a href="canciones/hakuna/pasion_ii_mi_peso_en_tus_hombros.html"&gt;</v>
      </c>
    </row>
    <row r="981" spans="1:23" x14ac:dyDescent="0.3">
      <c r="A981" s="1">
        <f>ROW(CantoralDB[[#This Row],[Título]])-1</f>
        <v>980</v>
      </c>
      <c r="B981" s="1" t="s">
        <v>2010</v>
      </c>
      <c r="C981" s="1"/>
      <c r="H981" s="1" t="s">
        <v>1027</v>
      </c>
      <c r="J981" s="1" t="s">
        <v>608</v>
      </c>
      <c r="M981" s="15" t="s">
        <v>261</v>
      </c>
      <c r="N981" s="1" t="s">
        <v>2865</v>
      </c>
      <c r="O981" s="15">
        <v>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981" s="15" t="str">
        <f>_xlfn.TEXTBEFORE(_xlfn.TEXTAFTER(CantoralDB[[#This Row],[index.html]],"&gt;"),"&gt;")&amp;"&gt;"</f>
        <v>&lt;a href="canciones/hakuna/pasion_iii_paraisos_sin_tu_rostro.html"&gt;</v>
      </c>
    </row>
    <row r="982" spans="1:23" x14ac:dyDescent="0.3">
      <c r="A982" s="1">
        <f>ROW(CantoralDB[[#This Row],[Título]])-1</f>
        <v>981</v>
      </c>
      <c r="B982" s="1" t="s">
        <v>2011</v>
      </c>
      <c r="C982" s="1"/>
      <c r="H982" s="1" t="s">
        <v>531</v>
      </c>
      <c r="J982" s="1" t="s">
        <v>608</v>
      </c>
      <c r="M982" s="15" t="s">
        <v>261</v>
      </c>
      <c r="N982" s="1" t="s">
        <v>2865</v>
      </c>
      <c r="O982" s="15">
        <v>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982" s="1"/>
      <c r="T982" s="1"/>
      <c r="U982" s="15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982" s="15" t="str">
        <f>_xlfn.TEXTBEFORE(_xlfn.TEXTAFTER(CantoralDB[[#This Row],[index.html]],"&gt;"),"&gt;")&amp;"&gt;"</f>
        <v>&lt;a href="canciones/hakuna/pasion_iv_un_dios_debil.html"&gt;</v>
      </c>
    </row>
    <row r="983" spans="1:23" x14ac:dyDescent="0.3">
      <c r="A983" s="1">
        <f>ROW(CantoralDB[[#This Row],[Título]])-1</f>
        <v>982</v>
      </c>
      <c r="B983" s="1" t="s">
        <v>2023</v>
      </c>
      <c r="C983" s="1"/>
      <c r="H983" s="1" t="s">
        <v>1030</v>
      </c>
      <c r="I983" s="1" t="s">
        <v>2962</v>
      </c>
      <c r="J983" s="1" t="s">
        <v>608</v>
      </c>
      <c r="M983" s="15" t="s">
        <v>261</v>
      </c>
      <c r="N983" s="1" t="s">
        <v>2865</v>
      </c>
      <c r="O983" s="15">
        <v>5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983" s="15" t="str">
        <f>_xlfn.TEXTBEFORE(_xlfn.TEXTAFTER(CantoralDB[[#This Row],[index.html]],"&gt;"),"&gt;")&amp;"&gt;"</f>
        <v>&lt;a href="canciones/hakuna/pasion_v_cirineo.html"&gt;</v>
      </c>
    </row>
    <row r="984" spans="1:23" x14ac:dyDescent="0.3">
      <c r="A984" s="1">
        <f>ROW(CantoralDB[[#This Row],[Título]])-1</f>
        <v>983</v>
      </c>
      <c r="B984" s="1" t="s">
        <v>2013</v>
      </c>
      <c r="C984" s="1"/>
      <c r="H984" s="1" t="s">
        <v>1029</v>
      </c>
      <c r="I984" s="1" t="s">
        <v>2958</v>
      </c>
      <c r="J984" s="1" t="s">
        <v>608</v>
      </c>
      <c r="M984" s="15" t="s">
        <v>261</v>
      </c>
      <c r="N984" s="1" t="s">
        <v>2865</v>
      </c>
      <c r="O984" s="15">
        <v>6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984" s="1"/>
      <c r="T984" s="1"/>
      <c r="U984" s="15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984" s="15" t="str">
        <f>_xlfn.TEXTBEFORE(_xlfn.TEXTAFTER(CantoralDB[[#This Row],[index.html]],"&gt;"),"&gt;")&amp;"&gt;"</f>
        <v>&lt;a href="canciones/hakuna/pasion_vi_veronica.html"&gt;</v>
      </c>
    </row>
    <row r="985" spans="1:23" x14ac:dyDescent="0.3">
      <c r="A985" s="1">
        <f>ROW(CantoralDB[[#This Row],[Título]])-1</f>
        <v>984</v>
      </c>
      <c r="B985" s="1" t="s">
        <v>2014</v>
      </c>
      <c r="C985" s="1"/>
      <c r="H985" s="1" t="s">
        <v>1027</v>
      </c>
      <c r="I985" s="1" t="s">
        <v>2961</v>
      </c>
      <c r="J985" s="1" t="s">
        <v>608</v>
      </c>
      <c r="M985" s="15" t="s">
        <v>261</v>
      </c>
      <c r="N985" s="1" t="s">
        <v>2865</v>
      </c>
      <c r="O985" s="15">
        <v>7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985" s="1"/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985" s="15" t="str">
        <f>_xlfn.TEXTBEFORE(_xlfn.TEXTAFTER(CantoralDB[[#This Row],[index.html]],"&gt;"),"&gt;")&amp;"&gt;"</f>
        <v>&lt;a href="canciones/hakuna/pasion_vii_y_te_caes.html"&gt;</v>
      </c>
    </row>
    <row r="986" spans="1:23" x14ac:dyDescent="0.3">
      <c r="A986" s="1">
        <f>ROW(CantoralDB[[#This Row],[Título]])-1</f>
        <v>985</v>
      </c>
      <c r="B986" s="1" t="s">
        <v>2024</v>
      </c>
      <c r="C986" s="1"/>
      <c r="H986" s="1" t="s">
        <v>531</v>
      </c>
      <c r="I986" s="1" t="s">
        <v>2962</v>
      </c>
      <c r="J986" s="1" t="s">
        <v>608</v>
      </c>
      <c r="M986" s="15" t="s">
        <v>261</v>
      </c>
      <c r="N986" s="1" t="s">
        <v>2865</v>
      </c>
      <c r="O986" s="15">
        <v>8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986" s="15" t="str">
        <f>_xlfn.TEXTBEFORE(_xlfn.TEXTAFTER(CantoralDB[[#This Row],[index.html]],"&gt;"),"&gt;")&amp;"&gt;"</f>
        <v>&lt;a href="canciones/hakuna/pasion_viii_jerusalen.html"&gt;</v>
      </c>
    </row>
    <row r="987" spans="1:23" x14ac:dyDescent="0.3">
      <c r="A987" s="1">
        <f>ROW(CantoralDB[[#This Row],[Título]])-1</f>
        <v>986</v>
      </c>
      <c r="B987" s="1" t="s">
        <v>2012</v>
      </c>
      <c r="C987" s="1"/>
      <c r="H987" s="1" t="s">
        <v>531</v>
      </c>
      <c r="I987" s="1" t="s">
        <v>2965</v>
      </c>
      <c r="J987" s="1" t="s">
        <v>608</v>
      </c>
      <c r="M987" s="15" t="s">
        <v>261</v>
      </c>
      <c r="N987" s="1" t="s">
        <v>2865</v>
      </c>
      <c r="O987" s="15">
        <v>9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987" s="15" t="str">
        <f>_xlfn.TEXTBEFORE(_xlfn.TEXTAFTER(CantoralDB[[#This Row],[index.html]],"&gt;"),"&gt;")&amp;"&gt;"</f>
        <v>&lt;a href="canciones/hakuna/pasion_ix_por_que.html"&gt;</v>
      </c>
    </row>
    <row r="988" spans="1:23" x14ac:dyDescent="0.3">
      <c r="A988" s="1">
        <f>ROW(CantoralDB[[#This Row],[Título]])-1</f>
        <v>987</v>
      </c>
      <c r="B988" s="1" t="s">
        <v>2015</v>
      </c>
      <c r="C988" s="1"/>
      <c r="H988" s="1" t="s">
        <v>1027</v>
      </c>
      <c r="J988" s="1" t="s">
        <v>608</v>
      </c>
      <c r="M988" s="15" t="s">
        <v>261</v>
      </c>
      <c r="N988" s="1" t="s">
        <v>2865</v>
      </c>
      <c r="O988" s="15">
        <v>10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988" s="15" t="str">
        <f>_xlfn.TEXTBEFORE(_xlfn.TEXTAFTER(CantoralDB[[#This Row],[index.html]],"&gt;"),"&gt;")&amp;"&gt;"</f>
        <v>&lt;a href="canciones/hakuna/pasion_x_despojado.html"&gt;</v>
      </c>
    </row>
    <row r="989" spans="1:23" x14ac:dyDescent="0.3">
      <c r="A989" s="1">
        <f>ROW(CantoralDB[[#This Row],[Título]])-1</f>
        <v>988</v>
      </c>
      <c r="B989" s="1" t="s">
        <v>2016</v>
      </c>
      <c r="C989" s="1"/>
      <c r="H989" s="1" t="s">
        <v>1028</v>
      </c>
      <c r="J989" s="1" t="s">
        <v>608</v>
      </c>
      <c r="M989" s="15" t="s">
        <v>261</v>
      </c>
      <c r="N989" s="1" t="s">
        <v>2865</v>
      </c>
      <c r="O989" s="15">
        <v>11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989" s="15" t="str">
        <f>_xlfn.TEXTBEFORE(_xlfn.TEXTAFTER(CantoralDB[[#This Row],[index.html]],"&gt;"),"&gt;")&amp;"&gt;"</f>
        <v>&lt;a href="canciones/hakuna/pasion_xi_la_medida_del_amor.html"&gt;</v>
      </c>
    </row>
    <row r="990" spans="1:23" x14ac:dyDescent="0.3">
      <c r="A990" s="1">
        <f>ROW(CantoralDB[[#This Row],[Título]])-1</f>
        <v>989</v>
      </c>
      <c r="B990" s="1" t="s">
        <v>2017</v>
      </c>
      <c r="C990" s="1"/>
      <c r="H990" s="1" t="s">
        <v>531</v>
      </c>
      <c r="J990" s="1" t="s">
        <v>608</v>
      </c>
      <c r="M990" s="15" t="s">
        <v>261</v>
      </c>
      <c r="N990" s="1" t="s">
        <v>2865</v>
      </c>
      <c r="O990" s="15">
        <v>13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990" s="15" t="str">
        <f>_xlfn.TEXTBEFORE(_xlfn.TEXTAFTER(CantoralDB[[#This Row],[index.html]],"&gt;"),"&gt;")&amp;"&gt;"</f>
        <v>&lt;a href="canciones/hakuna/pasion_xiii_madre.html"&gt;</v>
      </c>
    </row>
    <row r="991" spans="1:23" x14ac:dyDescent="0.3">
      <c r="A991" s="1">
        <f>ROW(CantoralDB[[#This Row],[Título]])-1</f>
        <v>990</v>
      </c>
      <c r="B991" s="1" t="s">
        <v>2018</v>
      </c>
      <c r="C991" s="1"/>
      <c r="H991" s="1" t="s">
        <v>531</v>
      </c>
      <c r="J991" s="1" t="s">
        <v>608</v>
      </c>
      <c r="M991" s="15" t="s">
        <v>261</v>
      </c>
      <c r="N991" s="1" t="s">
        <v>2865</v>
      </c>
      <c r="O991" s="15">
        <v>14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991" s="1"/>
      <c r="T991" s="1"/>
      <c r="U991" s="15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991" s="15" t="str">
        <f>_xlfn.TEXTBEFORE(_xlfn.TEXTAFTER(CantoralDB[[#This Row],[index.html]],"&gt;"),"&gt;")&amp;"&gt;"</f>
        <v>&lt;a href="canciones/hakuna/pasion_xiv_donde_estas_tu.html"&gt;</v>
      </c>
    </row>
    <row r="992" spans="1:23" x14ac:dyDescent="0.3">
      <c r="A992" s="1">
        <f>ROW(CantoralDB[[#This Row],[Título]])-1</f>
        <v>991</v>
      </c>
      <c r="B992" s="1" t="s">
        <v>2019</v>
      </c>
      <c r="C992" s="1"/>
      <c r="H992" s="1" t="s">
        <v>473</v>
      </c>
      <c r="J992" s="1" t="s">
        <v>608</v>
      </c>
      <c r="M992" s="15" t="s">
        <v>261</v>
      </c>
      <c r="N992" s="1" t="s">
        <v>2865</v>
      </c>
      <c r="O992" s="15">
        <v>15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992" s="15" t="str">
        <f>_xlfn.TEXTBEFORE(_xlfn.TEXTAFTER(CantoralDB[[#This Row],[index.html]],"&gt;"),"&gt;")&amp;"&gt;"</f>
        <v>&lt;a href="canciones/hakuna/pasion_xv_soy_libre.html"&gt;</v>
      </c>
    </row>
    <row r="993" spans="1:23" x14ac:dyDescent="0.3">
      <c r="A993" s="1">
        <f>ROW(CantoralDB[[#This Row],[Título]])-1</f>
        <v>992</v>
      </c>
      <c r="B993" s="1" t="s">
        <v>2020</v>
      </c>
      <c r="C993" s="1"/>
      <c r="H993" s="1" t="s">
        <v>1030</v>
      </c>
      <c r="I993" s="1" t="s">
        <v>2961</v>
      </c>
      <c r="J993" s="1" t="s">
        <v>608</v>
      </c>
      <c r="M993" s="15" t="s">
        <v>261</v>
      </c>
      <c r="N993" s="1" t="s">
        <v>2865</v>
      </c>
      <c r="O993" s="15">
        <v>16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993" s="15" t="str">
        <f>_xlfn.TEXTBEFORE(_xlfn.TEXTAFTER(CantoralDB[[#This Row],[index.html]],"&gt;"),"&gt;")&amp;"&gt;"</f>
        <v>&lt;a href="canciones/hakuna/pasion_xvi_por_mi_por_ti.html"&gt;</v>
      </c>
    </row>
    <row r="994" spans="1:23" x14ac:dyDescent="0.3">
      <c r="A994" s="1">
        <f>ROW(CantoralDB[[#This Row],[Título]])-1</f>
        <v>993</v>
      </c>
      <c r="B994" s="1" t="s">
        <v>1983</v>
      </c>
      <c r="C994" s="1"/>
      <c r="H994" s="1" t="s">
        <v>1030</v>
      </c>
      <c r="I994" s="1" t="s">
        <v>2965</v>
      </c>
      <c r="J994" s="1" t="s">
        <v>608</v>
      </c>
      <c r="M994" s="15" t="s">
        <v>261</v>
      </c>
      <c r="N994" s="1" t="s">
        <v>2866</v>
      </c>
      <c r="O994" s="15">
        <v>1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994" s="15" t="str">
        <f>_xlfn.TEXTBEFORE(_xlfn.TEXTAFTER(CantoralDB[[#This Row],[index.html]],"&gt;"),"&gt;")&amp;"&gt;"</f>
        <v>&lt;a href="canciones/hakuna/me_sobrepasa.html"&gt;</v>
      </c>
    </row>
    <row r="995" spans="1:23" x14ac:dyDescent="0.3">
      <c r="A995" s="1">
        <f>ROW(CantoralDB[[#This Row],[Título]])-1</f>
        <v>994</v>
      </c>
      <c r="B995" s="1" t="s">
        <v>1945</v>
      </c>
      <c r="C995" s="1"/>
      <c r="H995" s="1" t="s">
        <v>473</v>
      </c>
      <c r="I995" s="1" t="s">
        <v>2961</v>
      </c>
      <c r="J995" s="1" t="s">
        <v>608</v>
      </c>
      <c r="M995" s="15" t="s">
        <v>261</v>
      </c>
      <c r="N995" s="1" t="s">
        <v>2866</v>
      </c>
      <c r="O995" s="15">
        <v>2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995" s="15" t="str">
        <f>_xlfn.TEXTBEFORE(_xlfn.TEXTAFTER(CantoralDB[[#This Row],[index.html]],"&gt;"),"&gt;")&amp;"&gt;"</f>
        <v>&lt;a href="canciones/hakuna/descalzos.html"&gt;</v>
      </c>
    </row>
    <row r="996" spans="1:23" x14ac:dyDescent="0.3">
      <c r="A996" s="1">
        <f>ROW(CantoralDB[[#This Row],[Título]])-1</f>
        <v>995</v>
      </c>
      <c r="B996" s="1" t="s">
        <v>1982</v>
      </c>
      <c r="C996" s="1"/>
      <c r="H996" s="1" t="s">
        <v>1030</v>
      </c>
      <c r="I996" s="1" t="s">
        <v>2960</v>
      </c>
      <c r="J996" s="1" t="s">
        <v>608</v>
      </c>
      <c r="M996" s="15" t="s">
        <v>261</v>
      </c>
      <c r="N996" s="1" t="s">
        <v>2866</v>
      </c>
      <c r="O996" s="15">
        <v>3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996" s="15" t="str">
        <f>_xlfn.TEXTBEFORE(_xlfn.TEXTAFTER(CantoralDB[[#This Row],[index.html]],"&gt;"),"&gt;")&amp;"&gt;"</f>
        <v>&lt;a href="canciones/hakuna/un_segundo.html"&gt;</v>
      </c>
    </row>
    <row r="997" spans="1:23" x14ac:dyDescent="0.3">
      <c r="A997" s="1">
        <f>ROW(CantoralDB[[#This Row],[Título]])-1</f>
        <v>996</v>
      </c>
      <c r="B997" s="1" t="s">
        <v>1956</v>
      </c>
      <c r="C997" s="1"/>
      <c r="H997" s="1" t="s">
        <v>1030</v>
      </c>
      <c r="I997" s="1" t="s">
        <v>2961</v>
      </c>
      <c r="J997" s="1" t="s">
        <v>608</v>
      </c>
      <c r="M997" s="15" t="s">
        <v>261</v>
      </c>
      <c r="N997" s="1" t="s">
        <v>2866</v>
      </c>
      <c r="O997" s="15">
        <v>4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997" s="15" t="str">
        <f>_xlfn.TEXTBEFORE(_xlfn.TEXTAFTER(CantoralDB[[#This Row],[index.html]],"&gt;"),"&gt;")&amp;"&gt;"</f>
        <v>&lt;a href="canciones/hakuna/todo.html"&gt;</v>
      </c>
    </row>
    <row r="998" spans="1:23" x14ac:dyDescent="0.3">
      <c r="A998" s="1">
        <f>ROW(CantoralDB[[#This Row],[Título]])-1</f>
        <v>997</v>
      </c>
      <c r="B998" s="1" t="s">
        <v>1985</v>
      </c>
      <c r="C998" s="1"/>
      <c r="H998" s="1" t="s">
        <v>473</v>
      </c>
      <c r="I998" s="1" t="s">
        <v>2958</v>
      </c>
      <c r="J998" s="1" t="s">
        <v>608</v>
      </c>
      <c r="M998" s="15" t="s">
        <v>261</v>
      </c>
      <c r="N998" s="1" t="s">
        <v>2866</v>
      </c>
      <c r="O998" s="15">
        <v>5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998" s="1"/>
      <c r="T998" s="1"/>
      <c r="U998" s="15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998" s="15" t="str">
        <f>_xlfn.TEXTBEFORE(_xlfn.TEXTAFTER(CantoralDB[[#This Row],[index.html]],"&gt;"),"&gt;")&amp;"&gt;"</f>
        <v>&lt;a href="canciones/hakuna/el_cielo_aguarda.html"&gt;</v>
      </c>
    </row>
    <row r="999" spans="1:23" x14ac:dyDescent="0.3">
      <c r="A999" s="1">
        <f>ROW(CantoralDB[[#This Row],[Título]])-1</f>
        <v>998</v>
      </c>
      <c r="B999" s="1" t="s">
        <v>645</v>
      </c>
      <c r="C999" s="1" t="s">
        <v>993</v>
      </c>
      <c r="D999" s="1" t="s">
        <v>712</v>
      </c>
      <c r="G999" s="1" t="s">
        <v>261</v>
      </c>
      <c r="H999" s="1" t="s">
        <v>531</v>
      </c>
      <c r="J999" s="1" t="s">
        <v>608</v>
      </c>
      <c r="M999" s="15" t="s">
        <v>261</v>
      </c>
      <c r="N999" s="1" t="s">
        <v>2866</v>
      </c>
      <c r="O999" s="15">
        <v>6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999" s="1"/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999" s="15" t="str">
        <f>_xlfn.TEXTBEFORE(_xlfn.TEXTAFTER(CantoralDB[[#This Row],[index.html]],"&gt;"),"&gt;")&amp;"&gt;"</f>
        <v>&lt;a href="canciones/hakuna/huracan.html"&gt;</v>
      </c>
    </row>
    <row r="1000" spans="1:23" x14ac:dyDescent="0.3">
      <c r="A1000" s="1">
        <f>ROW(CantoralDB[[#This Row],[Título]])-1</f>
        <v>999</v>
      </c>
      <c r="B1000" s="1" t="s">
        <v>1950</v>
      </c>
      <c r="C1000" s="1"/>
      <c r="H1000" s="1" t="s">
        <v>1030</v>
      </c>
      <c r="I1000" s="1" t="s">
        <v>2959</v>
      </c>
      <c r="J1000" s="1" t="s">
        <v>608</v>
      </c>
      <c r="M1000" s="15" t="s">
        <v>261</v>
      </c>
      <c r="N1000" s="1" t="s">
        <v>2866</v>
      </c>
      <c r="O1000" s="15">
        <v>7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1000" s="1"/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1000" s="15" t="str">
        <f>_xlfn.TEXTBEFORE(_xlfn.TEXTAFTER(CantoralDB[[#This Row],[index.html]],"&gt;"),"&gt;")&amp;"&gt;"</f>
        <v>&lt;a href="canciones/hakuna/mirada.html"&gt;</v>
      </c>
    </row>
    <row r="1001" spans="1:23" x14ac:dyDescent="0.3">
      <c r="A1001" s="1">
        <f>ROW(CantoralDB[[#This Row],[Título]])-1</f>
        <v>1000</v>
      </c>
      <c r="B1001" s="1" t="s">
        <v>1953</v>
      </c>
      <c r="C1001" s="1"/>
      <c r="H1001" s="1" t="s">
        <v>531</v>
      </c>
      <c r="I1001" s="1" t="s">
        <v>2963</v>
      </c>
      <c r="J1001" s="1" t="s">
        <v>608</v>
      </c>
      <c r="M1001" s="15" t="s">
        <v>261</v>
      </c>
      <c r="N1001" s="1" t="s">
        <v>2866</v>
      </c>
      <c r="O1001" s="15">
        <v>8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1001" s="1"/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1001" s="15" t="str">
        <f>_xlfn.TEXTBEFORE(_xlfn.TEXTAFTER(CantoralDB[[#This Row],[index.html]],"&gt;"),"&gt;")&amp;"&gt;"</f>
        <v>&lt;a href="canciones/hakuna/pringados.html"&gt;</v>
      </c>
    </row>
    <row r="1002" spans="1:23" x14ac:dyDescent="0.3">
      <c r="A1002" s="1">
        <f>ROW(CantoralDB[[#This Row],[Título]])-1</f>
        <v>1001</v>
      </c>
      <c r="B1002" s="1" t="s">
        <v>1951</v>
      </c>
      <c r="C1002" s="1"/>
      <c r="H1002" s="1" t="s">
        <v>1029</v>
      </c>
      <c r="I1002" s="1" t="s">
        <v>2958</v>
      </c>
      <c r="J1002" s="1" t="s">
        <v>608</v>
      </c>
      <c r="M1002" s="15" t="s">
        <v>261</v>
      </c>
      <c r="N1002" s="1" t="s">
        <v>2866</v>
      </c>
      <c r="O1002" s="15">
        <v>9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1002" s="1"/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1002" s="15" t="str">
        <f>_xlfn.TEXTBEFORE(_xlfn.TEXTAFTER(CantoralDB[[#This Row],[index.html]],"&gt;"),"&gt;")&amp;"&gt;"</f>
        <v>&lt;a href="canciones/hakuna/noche.html"&gt;</v>
      </c>
    </row>
    <row r="1003" spans="1:23" x14ac:dyDescent="0.3">
      <c r="A1003" s="1">
        <f>ROW(CantoralDB[[#This Row],[Título]])-1</f>
        <v>1002</v>
      </c>
      <c r="B1003" s="1" t="s">
        <v>1984</v>
      </c>
      <c r="C1003" s="1"/>
      <c r="H1003" s="1" t="s">
        <v>531</v>
      </c>
      <c r="I1003" s="1" t="s">
        <v>2965</v>
      </c>
      <c r="J1003" s="1" t="s">
        <v>608</v>
      </c>
      <c r="M1003" s="15" t="s">
        <v>261</v>
      </c>
      <c r="N1003" s="1" t="s">
        <v>2866</v>
      </c>
      <c r="O1003" s="15">
        <v>10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1003" s="1"/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1003" s="15" t="str">
        <f>_xlfn.TEXTBEFORE(_xlfn.TEXTAFTER(CantoralDB[[#This Row],[index.html]],"&gt;"),"&gt;")&amp;"&gt;"</f>
        <v>&lt;a href="canciones/hakuna/comunion_espiritual.html"&gt;</v>
      </c>
    </row>
    <row r="1004" spans="1:23" x14ac:dyDescent="0.3">
      <c r="A1004" s="1">
        <f>ROW(CantoralDB[[#This Row],[Título]])-1</f>
        <v>1003</v>
      </c>
      <c r="B1004" s="1" t="s">
        <v>1955</v>
      </c>
      <c r="C1004" s="1"/>
      <c r="H1004" s="1" t="s">
        <v>1030</v>
      </c>
      <c r="I1004" s="1" t="s">
        <v>2958</v>
      </c>
      <c r="J1004" s="1" t="s">
        <v>608</v>
      </c>
      <c r="M1004" s="15" t="s">
        <v>261</v>
      </c>
      <c r="N1004" s="1" t="s">
        <v>1955</v>
      </c>
      <c r="O1004" s="15">
        <v>1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1004" s="1"/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1004" s="15" t="str">
        <f>_xlfn.TEXTBEFORE(_xlfn.TEXTAFTER(CantoralDB[[#This Row],[index.html]],"&gt;"),"&gt;")&amp;"&gt;"</f>
        <v>&lt;a href="canciones/hakuna/sencillamente.html"&gt;</v>
      </c>
    </row>
    <row r="1005" spans="1:23" x14ac:dyDescent="0.3">
      <c r="A1005" s="1">
        <f>ROW(CantoralDB[[#This Row],[Título]])-1</f>
        <v>1004</v>
      </c>
      <c r="B1005" s="1" t="s">
        <v>1974</v>
      </c>
      <c r="C1005" s="1"/>
      <c r="H1005" s="1" t="s">
        <v>531</v>
      </c>
      <c r="I1005" s="1" t="s">
        <v>2958</v>
      </c>
      <c r="J1005" s="1" t="s">
        <v>608</v>
      </c>
      <c r="M1005" s="15" t="s">
        <v>261</v>
      </c>
      <c r="N1005" s="1" t="s">
        <v>1955</v>
      </c>
      <c r="O1005" s="15">
        <v>2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1005" s="1"/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1005" s="15" t="str">
        <f>_xlfn.TEXTBEFORE(_xlfn.TEXTAFTER(CantoralDB[[#This Row],[index.html]],"&gt;"),"&gt;")&amp;"&gt;"</f>
        <v>&lt;a href="canciones/hakuna/ocupate_tu_de_todo.html"&gt;</v>
      </c>
    </row>
    <row r="1006" spans="1:23" x14ac:dyDescent="0.3">
      <c r="A1006" s="1">
        <f>ROW(CantoralDB[[#This Row],[Título]])-1</f>
        <v>1005</v>
      </c>
      <c r="B1006" s="1" t="s">
        <v>1976</v>
      </c>
      <c r="C1006" s="1"/>
      <c r="H1006" s="1" t="s">
        <v>1027</v>
      </c>
      <c r="I1006" s="1" t="s">
        <v>2959</v>
      </c>
      <c r="J1006" s="1" t="s">
        <v>608</v>
      </c>
      <c r="M1006" s="15" t="s">
        <v>261</v>
      </c>
      <c r="N1006" s="1" t="s">
        <v>1955</v>
      </c>
      <c r="O1006" s="15">
        <v>3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1006" s="1"/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1006" s="15" t="str">
        <f>_xlfn.TEXTBEFORE(_xlfn.TEXTAFTER(CantoralDB[[#This Row],[index.html]],"&gt;"),"&gt;")&amp;"&gt;"</f>
        <v>&lt;a href="canciones/hakuna/la_piel_por_ti.html"&gt;</v>
      </c>
    </row>
    <row r="1007" spans="1:23" x14ac:dyDescent="0.3">
      <c r="A1007" s="1">
        <f>ROW(CantoralDB[[#This Row],[Título]])-1</f>
        <v>1006</v>
      </c>
      <c r="B1007" s="1" t="s">
        <v>1975</v>
      </c>
      <c r="C1007" s="1"/>
      <c r="H1007" s="1" t="s">
        <v>1029</v>
      </c>
      <c r="I1007" s="1" t="s">
        <v>2961</v>
      </c>
      <c r="J1007" s="1" t="s">
        <v>608</v>
      </c>
      <c r="M1007" s="15" t="s">
        <v>261</v>
      </c>
      <c r="N1007" s="1" t="s">
        <v>1955</v>
      </c>
      <c r="O1007" s="15">
        <v>4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1007" s="1"/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1007" s="15" t="str">
        <f>_xlfn.TEXTBEFORE(_xlfn.TEXTAFTER(CantoralDB[[#This Row],[index.html]],"&gt;"),"&gt;")&amp;"&gt;"</f>
        <v>&lt;a href="canciones/hakuna/el_abrazo.html"&gt;</v>
      </c>
    </row>
    <row r="1008" spans="1:23" x14ac:dyDescent="0.3">
      <c r="A1008" s="1">
        <f>ROW(CantoralDB[[#This Row],[Título]])-1</f>
        <v>1007</v>
      </c>
      <c r="B1008" s="1" t="s">
        <v>1978</v>
      </c>
      <c r="C1008" s="1"/>
      <c r="H1008" s="1" t="s">
        <v>1027</v>
      </c>
      <c r="I1008" s="1" t="s">
        <v>2960</v>
      </c>
      <c r="J1008" s="1" t="s">
        <v>608</v>
      </c>
      <c r="M1008" s="15" t="s">
        <v>261</v>
      </c>
      <c r="N1008" s="1" t="s">
        <v>1955</v>
      </c>
      <c r="O1008" s="15">
        <v>5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1008" s="1"/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1008" s="15" t="str">
        <f>_xlfn.TEXTBEFORE(_xlfn.TEXTAFTER(CantoralDB[[#This Row],[index.html]],"&gt;"),"&gt;")&amp;"&gt;"</f>
        <v>&lt;a href="canciones/hakuna/en_lo_hondo.html"&gt;</v>
      </c>
    </row>
    <row r="1009" spans="1:23" x14ac:dyDescent="0.3">
      <c r="A1009" s="1">
        <f>ROW(CantoralDB[[#This Row],[Título]])-1</f>
        <v>1008</v>
      </c>
      <c r="B1009" s="1" t="s">
        <v>1943</v>
      </c>
      <c r="C1009" s="1"/>
      <c r="H1009" s="1" t="s">
        <v>531</v>
      </c>
      <c r="I1009" s="1" t="s">
        <v>2960</v>
      </c>
      <c r="J1009" s="1" t="s">
        <v>608</v>
      </c>
      <c r="M1009" s="15" t="s">
        <v>261</v>
      </c>
      <c r="N1009" s="1" t="s">
        <v>1955</v>
      </c>
      <c r="O1009" s="15">
        <v>6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1009" s="15" t="str">
        <f>_xlfn.TEXTBEFORE(_xlfn.TEXTAFTER(CantoralDB[[#This Row],[index.html]],"&gt;"),"&gt;")&amp;"&gt;"</f>
        <v>&lt;a href="canciones/hakuna/colombia.html"&gt;</v>
      </c>
    </row>
    <row r="1010" spans="1:23" x14ac:dyDescent="0.3">
      <c r="A1010" s="1">
        <f>ROW(CantoralDB[[#This Row],[Título]])-1</f>
        <v>1009</v>
      </c>
      <c r="B1010" s="1" t="s">
        <v>1958</v>
      </c>
      <c r="C1010" s="1"/>
      <c r="H1010" s="1" t="s">
        <v>531</v>
      </c>
      <c r="I1010" s="1" t="s">
        <v>2961</v>
      </c>
      <c r="J1010" s="1" t="s">
        <v>608</v>
      </c>
      <c r="M1010" s="15" t="s">
        <v>261</v>
      </c>
      <c r="N1010" s="1" t="s">
        <v>1955</v>
      </c>
      <c r="O1010" s="15">
        <v>7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1010" s="15" t="str">
        <f>_xlfn.TEXTBEFORE(_xlfn.TEXTAFTER(CantoralDB[[#This Row],[index.html]],"&gt;"),"&gt;")&amp;"&gt;"</f>
        <v>&lt;a href="canciones/hakuna/vertigo.html"&gt;</v>
      </c>
    </row>
    <row r="1011" spans="1:23" x14ac:dyDescent="0.3">
      <c r="A1011" s="1">
        <f>ROW(CantoralDB[[#This Row],[Título]])-1</f>
        <v>1010</v>
      </c>
      <c r="B1011" s="1" t="s">
        <v>1944</v>
      </c>
      <c r="C1011" s="1"/>
      <c r="H1011" s="1" t="s">
        <v>1030</v>
      </c>
      <c r="I1011" s="1" t="s">
        <v>2965</v>
      </c>
      <c r="J1011" s="1" t="s">
        <v>608</v>
      </c>
      <c r="M1011" s="15" t="s">
        <v>261</v>
      </c>
      <c r="N1011" s="1" t="s">
        <v>1955</v>
      </c>
      <c r="O1011" s="15">
        <v>8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1011" s="15" t="str">
        <f>_xlfn.TEXTBEFORE(_xlfn.TEXTAFTER(CantoralDB[[#This Row],[index.html]],"&gt;"),"&gt;")&amp;"&gt;"</f>
        <v>&lt;a href="canciones/hakuna/concienciame.html"&gt;</v>
      </c>
    </row>
    <row r="1012" spans="1:23" x14ac:dyDescent="0.3">
      <c r="A1012" s="1">
        <f>ROW(CantoralDB[[#This Row],[Título]])-1</f>
        <v>1011</v>
      </c>
      <c r="B1012" s="1" t="s">
        <v>1941</v>
      </c>
      <c r="C1012" s="1"/>
      <c r="H1012" s="1" t="s">
        <v>1030</v>
      </c>
      <c r="I1012" s="1" t="s">
        <v>2965</v>
      </c>
      <c r="J1012" s="1" t="s">
        <v>608</v>
      </c>
      <c r="M1012" s="15" t="s">
        <v>261</v>
      </c>
      <c r="N1012" s="1" t="s">
        <v>1955</v>
      </c>
      <c r="O1012" s="15">
        <v>9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1012" s="15" t="str">
        <f>_xlfn.TEXTBEFORE(_xlfn.TEXTAFTER(CantoralDB[[#This Row],[index.html]],"&gt;"),"&gt;")&amp;"&gt;"</f>
        <v>&lt;a href="canciones/hakuna/bendito.html"&gt;</v>
      </c>
    </row>
    <row r="1013" spans="1:23" x14ac:dyDescent="0.3">
      <c r="A1013" s="1">
        <f>ROW(CantoralDB[[#This Row],[Título]])-1</f>
        <v>1012</v>
      </c>
      <c r="B1013" s="1" t="s">
        <v>1979</v>
      </c>
      <c r="C1013" s="1"/>
      <c r="H1013" s="1" t="s">
        <v>1030</v>
      </c>
      <c r="I1013" s="1" t="s">
        <v>2960</v>
      </c>
      <c r="J1013" s="1" t="s">
        <v>608</v>
      </c>
      <c r="M1013" s="15" t="s">
        <v>261</v>
      </c>
      <c r="N1013" s="1" t="s">
        <v>1955</v>
      </c>
      <c r="O1013" s="15">
        <v>10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1013" s="15" t="str">
        <f>_xlfn.TEXTBEFORE(_xlfn.TEXTAFTER(CantoralDB[[#This Row],[index.html]],"&gt;"),"&gt;")&amp;"&gt;"</f>
        <v>&lt;a href="canciones/hakuna/arde_(san_jose).html"&gt;</v>
      </c>
    </row>
    <row r="1014" spans="1:23" x14ac:dyDescent="0.3">
      <c r="A1014" s="1">
        <f>ROW(CantoralDB[[#This Row],[Título]])-1</f>
        <v>1013</v>
      </c>
      <c r="B1014" s="1" t="s">
        <v>1980</v>
      </c>
      <c r="C1014" s="1"/>
      <c r="H1014" s="1" t="s">
        <v>531</v>
      </c>
      <c r="I1014" s="1" t="s">
        <v>2960</v>
      </c>
      <c r="J1014" s="1" t="s">
        <v>608</v>
      </c>
      <c r="M1014" s="15" t="s">
        <v>261</v>
      </c>
      <c r="N1014" s="1" t="s">
        <v>1955</v>
      </c>
      <c r="O1014" s="15">
        <v>11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1014" s="1"/>
      <c r="T1014" s="1"/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1014" s="15" t="str">
        <f>_xlfn.TEXTBEFORE(_xlfn.TEXTAFTER(CantoralDB[[#This Row],[index.html]],"&gt;"),"&gt;")&amp;"&gt;"</f>
        <v>&lt;a href="canciones/hakuna/todos_por_todos.html"&gt;</v>
      </c>
    </row>
    <row r="1015" spans="1:23" x14ac:dyDescent="0.3">
      <c r="A1015" s="1">
        <f>ROW(CantoralDB[[#This Row],[Título]])-1</f>
        <v>1014</v>
      </c>
      <c r="B1015" s="1" t="s">
        <v>1947</v>
      </c>
      <c r="C1015" s="1"/>
      <c r="H1015" s="1" t="s">
        <v>1030</v>
      </c>
      <c r="I1015" s="1" t="s">
        <v>2965</v>
      </c>
      <c r="J1015" s="1" t="s">
        <v>608</v>
      </c>
      <c r="M1015" s="15" t="s">
        <v>261</v>
      </c>
      <c r="N1015" s="1" t="s">
        <v>1955</v>
      </c>
      <c r="O1015" s="15">
        <v>12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1015" s="15" t="str">
        <f>_xlfn.TEXTBEFORE(_xlfn.TEXTAFTER(CantoralDB[[#This Row],[index.html]],"&gt;"),"&gt;")&amp;"&gt;"</f>
        <v>&lt;a href="canciones/hakuna/forofos.html"&gt;</v>
      </c>
    </row>
    <row r="1016" spans="1:23" x14ac:dyDescent="0.3">
      <c r="A1016" s="1">
        <f>ROW(CantoralDB[[#This Row],[Título]])-1</f>
        <v>1015</v>
      </c>
      <c r="B1016" s="1" t="s">
        <v>1977</v>
      </c>
      <c r="C1016" s="1"/>
      <c r="J1016" s="1"/>
      <c r="M1016" s="15" t="s">
        <v>261</v>
      </c>
      <c r="N1016" s="1" t="s">
        <v>1955</v>
      </c>
      <c r="O1016" s="15"/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1016" s="15" t="str">
        <f>_xlfn.TEXTBEFORE(_xlfn.TEXTAFTER(CantoralDB[[#This Row],[index.html]],"&gt;"),"&gt;")&amp;"&gt;"</f>
        <v>&lt;a href="canciones/hakuna/madre_de_hakuna.html"&gt;</v>
      </c>
    </row>
    <row r="1017" spans="1:23" x14ac:dyDescent="0.3">
      <c r="A1017" s="1">
        <f>ROW(CantoralDB[[#This Row],[Título]])-1</f>
        <v>1016</v>
      </c>
      <c r="B1017" s="1" t="s">
        <v>2005</v>
      </c>
      <c r="C1017" s="1"/>
      <c r="H1017" s="1" t="s">
        <v>531</v>
      </c>
      <c r="I1017" s="1" t="s">
        <v>2960</v>
      </c>
      <c r="J1017" s="1" t="s">
        <v>608</v>
      </c>
      <c r="M1017" s="15" t="s">
        <v>261</v>
      </c>
      <c r="N1017" s="1" t="s">
        <v>2867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1017" s="15" t="str">
        <f>_xlfn.TEXTBEFORE(_xlfn.TEXTAFTER(CantoralDB[[#This Row],[index.html]],"&gt;"),"&gt;")&amp;"&gt;"</f>
        <v>&lt;a href="canciones/hakuna/a_ti_te_alabo.html"&gt;</v>
      </c>
    </row>
    <row r="1018" spans="1:23" x14ac:dyDescent="0.3">
      <c r="A1018" s="1">
        <f>ROW(CantoralDB[[#This Row],[Título]])-1</f>
        <v>1017</v>
      </c>
      <c r="B1018" s="1" t="s">
        <v>2869</v>
      </c>
      <c r="C1018" s="1"/>
      <c r="H1018" s="1" t="s">
        <v>531</v>
      </c>
      <c r="J1018" s="1" t="s">
        <v>608</v>
      </c>
      <c r="M1018" s="15" t="s">
        <v>261</v>
      </c>
      <c r="N1018" s="1" t="s">
        <v>2867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1018" s="15" t="str">
        <f>_xlfn.TEXTBEFORE(_xlfn.TEXTAFTER(CantoralDB[[#This Row],[index.html]],"&gt;"),"&gt;")&amp;"&gt;"</f>
        <v>&lt;a href="canciones/hakuna/los_coros_del_universo.html"&gt;</v>
      </c>
    </row>
    <row r="1019" spans="1:23" x14ac:dyDescent="0.3">
      <c r="A1019" s="1">
        <f>ROW(CantoralDB[[#This Row],[Título]])-1</f>
        <v>1018</v>
      </c>
      <c r="B1019" s="1" t="s">
        <v>2006</v>
      </c>
      <c r="C1019" s="1"/>
      <c r="H1019" s="1" t="s">
        <v>1030</v>
      </c>
      <c r="I1019" s="1" t="s">
        <v>2962</v>
      </c>
      <c r="J1019" s="1" t="s">
        <v>608</v>
      </c>
      <c r="M1019" s="15" t="s">
        <v>261</v>
      </c>
      <c r="N1019" s="1" t="s">
        <v>2867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1019" s="15" t="str">
        <f>_xlfn.TEXTBEFORE(_xlfn.TEXTAFTER(CantoralDB[[#This Row],[index.html]],"&gt;"),"&gt;")&amp;"&gt;"</f>
        <v>&lt;a href="canciones/hakuna/en_medio_del_fuego.html"&gt;</v>
      </c>
    </row>
    <row r="1020" spans="1:23" x14ac:dyDescent="0.3">
      <c r="A1020" s="1">
        <f>ROW(CantoralDB[[#This Row],[Título]])-1</f>
        <v>1019</v>
      </c>
      <c r="B1020" s="1" t="s">
        <v>194</v>
      </c>
      <c r="C1020" s="1"/>
      <c r="H1020" s="1" t="s">
        <v>1030</v>
      </c>
      <c r="J1020" s="1" t="s">
        <v>608</v>
      </c>
      <c r="M1020" s="15" t="s">
        <v>261</v>
      </c>
      <c r="N1020" s="1" t="s">
        <v>2867</v>
      </c>
      <c r="O1020" s="15">
        <v>4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1020" s="15" t="str">
        <f>_xlfn.TEXTBEFORE(_xlfn.TEXTAFTER(CantoralDB[[#This Row],[index.html]],"&gt;"),"&gt;")&amp;"&gt;"</f>
        <v>&lt;a href="canciones/hakuna/aleluya.html"&gt;</v>
      </c>
    </row>
    <row r="1021" spans="1:23" x14ac:dyDescent="0.3">
      <c r="A1021" s="1">
        <f>ROW(CantoralDB[[#This Row],[Título]])-1</f>
        <v>1020</v>
      </c>
      <c r="B1021" s="1" t="s">
        <v>1758</v>
      </c>
      <c r="C1021" s="1"/>
      <c r="H1021" s="1" t="s">
        <v>1030</v>
      </c>
      <c r="J1021" s="1" t="s">
        <v>608</v>
      </c>
      <c r="M1021" s="15" t="s">
        <v>261</v>
      </c>
      <c r="N1021" s="1" t="s">
        <v>2867</v>
      </c>
      <c r="O1021" s="15">
        <v>5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1021" s="15" t="str">
        <f>_xlfn.TEXTBEFORE(_xlfn.TEXTAFTER(CantoralDB[[#This Row],[index.html]],"&gt;"),"&gt;")&amp;"&gt;"</f>
        <v>&lt;a href="canciones/hakuna/ruah.html"&gt;</v>
      </c>
    </row>
    <row r="1022" spans="1:23" x14ac:dyDescent="0.3">
      <c r="A1022" s="1">
        <f>ROW(CantoralDB[[#This Row],[Título]])-1</f>
        <v>1021</v>
      </c>
      <c r="B1022" s="1" t="s">
        <v>1717</v>
      </c>
      <c r="C1022" s="1"/>
      <c r="H1022" s="1" t="s">
        <v>1027</v>
      </c>
      <c r="J1022" s="1" t="s">
        <v>608</v>
      </c>
      <c r="M1022" s="15" t="s">
        <v>261</v>
      </c>
      <c r="N1022" s="1" t="s">
        <v>2867</v>
      </c>
      <c r="O1022" s="15">
        <v>6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1022" s="15" t="str">
        <f>_xlfn.TEXTBEFORE(_xlfn.TEXTAFTER(CantoralDB[[#This Row],[index.html]],"&gt;"),"&gt;")&amp;"&gt;"</f>
        <v>&lt;a href="canciones/hakuna/padre.html"&gt;</v>
      </c>
    </row>
    <row r="1023" spans="1:23" x14ac:dyDescent="0.3">
      <c r="A1023" s="1">
        <f>ROW(CantoralDB[[#This Row],[Título]])-1</f>
        <v>1022</v>
      </c>
      <c r="B1023" s="1" t="s">
        <v>2870</v>
      </c>
      <c r="C1023" s="1"/>
      <c r="H1023" s="1" t="s">
        <v>1030</v>
      </c>
      <c r="I1023" s="1" t="s">
        <v>2961</v>
      </c>
      <c r="J1023" s="1" t="s">
        <v>608</v>
      </c>
      <c r="M1023" s="15" t="s">
        <v>261</v>
      </c>
      <c r="N1023" s="1" t="s">
        <v>2867</v>
      </c>
      <c r="O1023" s="15">
        <v>7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1023" s="1"/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1023" s="15" t="str">
        <f>_xlfn.TEXTBEFORE(_xlfn.TEXTAFTER(CantoralDB[[#This Row],[index.html]],"&gt;"),"&gt;")&amp;"&gt;"</f>
        <v>&lt;a href="canciones/hakuna/te_alabare.html"&gt;</v>
      </c>
    </row>
    <row r="1024" spans="1:23" x14ac:dyDescent="0.3">
      <c r="A1024" s="1">
        <f>ROW(CantoralDB[[#This Row],[Título]])-1</f>
        <v>1023</v>
      </c>
      <c r="B1024" s="1" t="s">
        <v>2871</v>
      </c>
      <c r="C1024" s="1"/>
      <c r="H1024" s="1" t="s">
        <v>1027</v>
      </c>
      <c r="J1024" s="1" t="s">
        <v>608</v>
      </c>
      <c r="M1024" s="15" t="s">
        <v>261</v>
      </c>
      <c r="N1024" s="1" t="s">
        <v>2867</v>
      </c>
      <c r="O1024" s="15">
        <v>8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1024" s="15" t="str">
        <f>_xlfn.TEXTBEFORE(_xlfn.TEXTAFTER(CantoralDB[[#This Row],[index.html]],"&gt;"),"&gt;")&amp;"&gt;"</f>
        <v>&lt;a href="canciones/hakuna/sanas.html"&gt;</v>
      </c>
    </row>
    <row r="1025" spans="1:23" x14ac:dyDescent="0.3">
      <c r="A1025" s="1">
        <f>ROW(CantoralDB[[#This Row],[Título]])-1</f>
        <v>1024</v>
      </c>
      <c r="B1025" s="1" t="s">
        <v>1802</v>
      </c>
      <c r="C1025" s="1"/>
      <c r="H1025" s="1" t="s">
        <v>1030</v>
      </c>
      <c r="J1025" s="1" t="s">
        <v>608</v>
      </c>
      <c r="M1025" s="15" t="s">
        <v>261</v>
      </c>
      <c r="N1025" s="1" t="s">
        <v>2867</v>
      </c>
      <c r="O1025" s="15">
        <v>9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1025" s="15" t="str">
        <f>_xlfn.TEXTBEFORE(_xlfn.TEXTAFTER(CantoralDB[[#This Row],[index.html]],"&gt;"),"&gt;")&amp;"&gt;"</f>
        <v>&lt;a href="canciones/hakuna/solo_tu.html"&gt;</v>
      </c>
    </row>
    <row r="1026" spans="1:23" x14ac:dyDescent="0.3">
      <c r="A1026" s="1">
        <f>ROW(CantoralDB[[#This Row],[Título]])-1</f>
        <v>1025</v>
      </c>
      <c r="B1026" s="1" t="s">
        <v>2021</v>
      </c>
      <c r="C1026" s="1"/>
      <c r="H1026" s="1" t="s">
        <v>1030</v>
      </c>
      <c r="I1026" s="1" t="s">
        <v>2960</v>
      </c>
      <c r="J1026" s="1" t="s">
        <v>608</v>
      </c>
      <c r="M1026" s="15" t="s">
        <v>261</v>
      </c>
      <c r="N1026" s="1" t="s">
        <v>2867</v>
      </c>
      <c r="O1026" s="15">
        <v>10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1026" s="15" t="str">
        <f>_xlfn.TEXTBEFORE(_xlfn.TEXTAFTER(CantoralDB[[#This Row],[index.html]],"&gt;"),"&gt;")&amp;"&gt;"</f>
        <v>&lt;a href="canciones/hakuna/el_unico_rey.html"&gt;</v>
      </c>
    </row>
    <row r="1027" spans="1:23" x14ac:dyDescent="0.3">
      <c r="A1027" s="1">
        <f>ROW(CantoralDB[[#This Row],[Título]])-1</f>
        <v>1026</v>
      </c>
      <c r="B1027" s="1" t="s">
        <v>1981</v>
      </c>
      <c r="C1027" s="1"/>
      <c r="H1027" s="1" t="s">
        <v>1027</v>
      </c>
      <c r="I1027" s="1" t="s">
        <v>2958</v>
      </c>
      <c r="J1027" s="1" t="s">
        <v>608</v>
      </c>
      <c r="M1027" s="15" t="s">
        <v>261</v>
      </c>
      <c r="N1027" s="1" t="s">
        <v>2139</v>
      </c>
      <c r="O1027" s="15">
        <v>1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1027" s="1"/>
      <c r="T1027" s="1"/>
      <c r="U1027" s="15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1027" s="15" t="str">
        <f>_xlfn.TEXTBEFORE(_xlfn.TEXTAFTER(CantoralDB[[#This Row],[index.html]],"&gt;"),"&gt;")&amp;"&gt;"</f>
        <v>&lt;a href="canciones/hakuna/hoy_en_belen.html"&gt;</v>
      </c>
    </row>
    <row r="1028" spans="1:23" x14ac:dyDescent="0.3">
      <c r="A1028" s="1">
        <f>ROW(CantoralDB[[#This Row],[Título]])-1</f>
        <v>1027</v>
      </c>
      <c r="B1028" s="1" t="s">
        <v>1986</v>
      </c>
      <c r="C1028" s="1"/>
      <c r="H1028" s="1" t="s">
        <v>1030</v>
      </c>
      <c r="I1028" s="1" t="s">
        <v>2960</v>
      </c>
      <c r="J1028" s="1" t="s">
        <v>608</v>
      </c>
      <c r="M1028" s="15" t="s">
        <v>261</v>
      </c>
      <c r="N1028" s="1" t="s">
        <v>2139</v>
      </c>
      <c r="O1028" s="15">
        <v>2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1028" s="15" t="str">
        <f>_xlfn.TEXTBEFORE(_xlfn.TEXTAFTER(CantoralDB[[#This Row],[index.html]],"&gt;"),"&gt;")&amp;"&gt;"</f>
        <v>&lt;a href="canciones/hakuna/lo_imposible.html"&gt;</v>
      </c>
    </row>
    <row r="1029" spans="1:23" x14ac:dyDescent="0.3">
      <c r="A1029" s="1">
        <f>ROW(CantoralDB[[#This Row],[Título]])-1</f>
        <v>1028</v>
      </c>
      <c r="B1029" s="1" t="s">
        <v>1991</v>
      </c>
      <c r="C1029" s="1"/>
      <c r="H1029" s="1" t="s">
        <v>531</v>
      </c>
      <c r="I1029" s="1" t="s">
        <v>2960</v>
      </c>
      <c r="J1029" s="1" t="s">
        <v>608</v>
      </c>
      <c r="M1029" s="15" t="s">
        <v>261</v>
      </c>
      <c r="N1029" s="1" t="s">
        <v>2139</v>
      </c>
      <c r="O1029" s="15">
        <v>3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1029" s="1"/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1029" s="15" t="str">
        <f>_xlfn.TEXTBEFORE(_xlfn.TEXTAFTER(CantoralDB[[#This Row],[index.html]],"&gt;"),"&gt;")&amp;"&gt;"</f>
        <v>&lt;a href="canciones/hakuna/del_cielo.html"&gt;</v>
      </c>
    </row>
    <row r="1030" spans="1:23" x14ac:dyDescent="0.3">
      <c r="A1030" s="1">
        <f>ROW(CantoralDB[[#This Row],[Título]])-1</f>
        <v>1029</v>
      </c>
      <c r="B1030" s="1" t="s">
        <v>2002</v>
      </c>
      <c r="C1030" s="1"/>
      <c r="H1030" s="1" t="s">
        <v>531</v>
      </c>
      <c r="I1030" s="1" t="s">
        <v>2960</v>
      </c>
      <c r="J1030" s="1" t="s">
        <v>608</v>
      </c>
      <c r="M1030" s="15" t="s">
        <v>261</v>
      </c>
      <c r="N1030" s="1" t="s">
        <v>2139</v>
      </c>
      <c r="O1030" s="15">
        <v>4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1030" s="1"/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1030" s="15" t="str">
        <f>_xlfn.TEXTBEFORE(_xlfn.TEXTAFTER(CantoralDB[[#This Row],[index.html]],"&gt;"),"&gt;")&amp;"&gt;"</f>
        <v>&lt;a href="canciones/hakuna/juntos.html"&gt;</v>
      </c>
    </row>
    <row r="1031" spans="1:23" x14ac:dyDescent="0.3">
      <c r="A1031" s="1">
        <f>ROW(CantoralDB[[#This Row],[Título]])-1</f>
        <v>1030</v>
      </c>
      <c r="B1031" s="1" t="s">
        <v>53</v>
      </c>
      <c r="C1031" s="1"/>
      <c r="H1031" s="1" t="s">
        <v>1027</v>
      </c>
      <c r="J1031" s="1" t="s">
        <v>608</v>
      </c>
      <c r="M1031" s="15" t="s">
        <v>2229</v>
      </c>
      <c r="N1031" s="15" t="s">
        <v>53</v>
      </c>
      <c r="O1031" s="15">
        <v>1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1031" s="1" t="s">
        <v>2306</v>
      </c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1031" s="15" t="str">
        <f>_xlfn.TEXTBEFORE(_xlfn.TEXTAFTER(CantoralDB[[#This Row],[index.html]],"&gt;"),"&gt;")&amp;"&gt;"</f>
        <v>&lt;a href="canciones/hermana_glenda/el_señor_es_mi_pastor.html"&gt;</v>
      </c>
    </row>
    <row r="1032" spans="1:23" x14ac:dyDescent="0.3">
      <c r="A1032" s="1">
        <f>ROW(CantoralDB[[#This Row],[Título]])-1</f>
        <v>1031</v>
      </c>
      <c r="B1032" s="1" t="s">
        <v>2275</v>
      </c>
      <c r="C1032" s="1"/>
      <c r="H1032" s="1" t="s">
        <v>531</v>
      </c>
      <c r="J1032" s="1" t="s">
        <v>608</v>
      </c>
      <c r="M1032" s="15" t="s">
        <v>2229</v>
      </c>
      <c r="N1032" s="15" t="s">
        <v>2259</v>
      </c>
      <c r="O1032" s="15">
        <v>1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1032" s="1" t="s">
        <v>2361</v>
      </c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1032" s="15" t="str">
        <f>_xlfn.TEXTBEFORE(_xlfn.TEXTAFTER(CantoralDB[[#This Row],[index.html]],"&gt;"),"&gt;")&amp;"&gt;"</f>
        <v>&lt;a href="canciones/hermana_glenda/ahi_tienes_a_tu_madre.html"&gt;</v>
      </c>
    </row>
    <row r="1033" spans="1:23" x14ac:dyDescent="0.3">
      <c r="A1033" s="1">
        <f>ROW(CantoralDB[[#This Row],[Título]])-1</f>
        <v>1032</v>
      </c>
      <c r="B1033" s="1" t="s">
        <v>1336</v>
      </c>
      <c r="C1033" s="1"/>
      <c r="E1033" s="1">
        <v>267</v>
      </c>
      <c r="J1033" s="1"/>
      <c r="M1033" s="15" t="s">
        <v>2081</v>
      </c>
      <c r="N1033" s="15"/>
      <c r="O1033" s="15"/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033" s="1"/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033" s="15" t="str">
        <f>_xlfn.TEXTBEFORE(_xlfn.TEXTAFTER(CantoralDB[[#This Row],[index.html]],"&gt;"),"&gt;")&amp;"&gt;"</f>
        <v>&lt;a href="canciones/nsb/todos_esperamos.html"&gt;</v>
      </c>
    </row>
    <row r="1034" spans="1:23" x14ac:dyDescent="0.3">
      <c r="A1034" s="1">
        <f>ROW(CantoralDB[[#This Row],[Título]])-1</f>
        <v>1033</v>
      </c>
      <c r="B1034" s="1" t="s">
        <v>564</v>
      </c>
      <c r="C1034" s="1" t="s">
        <v>195</v>
      </c>
      <c r="D1034" s="1" t="s">
        <v>769</v>
      </c>
      <c r="G1034" s="1" t="s">
        <v>553</v>
      </c>
      <c r="H1034" s="1" t="s">
        <v>531</v>
      </c>
      <c r="J1034" s="1" t="s">
        <v>608</v>
      </c>
      <c r="M1034" s="15" t="s">
        <v>521</v>
      </c>
      <c r="N1034" s="15"/>
      <c r="O1034" s="15"/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034" s="1" t="s">
        <v>859</v>
      </c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W1034" s="15" t="str">
        <f>_xlfn.TEXTBEFORE(_xlfn.TEXTAFTER(CantoralDB[[#This Row],[index.html]],"&gt;"),"&gt;")&amp;"&gt;"</f>
        <v>&lt;a href="canciones/nsb/sigue_habiendo.html"&gt;</v>
      </c>
    </row>
    <row r="1035" spans="1:23" x14ac:dyDescent="0.3">
      <c r="A1035" s="1">
        <f>ROW(CantoralDB[[#This Row],[Título]])-1</f>
        <v>1034</v>
      </c>
      <c r="B1035" s="1" t="s">
        <v>611</v>
      </c>
      <c r="C1035" s="1" t="s">
        <v>201</v>
      </c>
      <c r="D1035" s="1" t="s">
        <v>1393</v>
      </c>
      <c r="G1035" s="1" t="s">
        <v>553</v>
      </c>
      <c r="H1035" s="1" t="s">
        <v>1030</v>
      </c>
      <c r="J1035" s="1" t="s">
        <v>608</v>
      </c>
      <c r="M1035" s="15" t="s">
        <v>521</v>
      </c>
      <c r="N1035" s="15"/>
      <c r="O1035" s="15"/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1035" s="1" t="s">
        <v>811</v>
      </c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W1035" s="15" t="str">
        <f>_xlfn.TEXTBEFORE(_xlfn.TEXTAFTER(CantoralDB[[#This Row],[index.html]],"&gt;"),"&gt;")&amp;"&gt;"</f>
        <v>&lt;a href="canciones/nsb/caminare_hoy_en_tu_presencia.html"&gt;</v>
      </c>
    </row>
    <row r="1036" spans="1:23" x14ac:dyDescent="0.3">
      <c r="A1036" s="1">
        <f>ROW(CantoralDB[[#This Row],[Título]])-1</f>
        <v>1035</v>
      </c>
      <c r="B1036" s="1" t="s">
        <v>636</v>
      </c>
      <c r="C1036" s="1" t="s">
        <v>201</v>
      </c>
      <c r="D1036" s="1" t="s">
        <v>1399</v>
      </c>
      <c r="G1036" s="1" t="s">
        <v>637</v>
      </c>
      <c r="H1036" s="1" t="s">
        <v>1030</v>
      </c>
      <c r="J1036" s="1" t="s">
        <v>608</v>
      </c>
      <c r="M1036" s="15" t="s">
        <v>521</v>
      </c>
      <c r="N1036" s="15"/>
      <c r="O1036" s="15"/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1036" s="1" t="s">
        <v>815</v>
      </c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W1036" s="15" t="str">
        <f>_xlfn.TEXTBEFORE(_xlfn.TEXTAFTER(CantoralDB[[#This Row],[index.html]],"&gt;"),"&gt;")&amp;"&gt;"</f>
        <v>&lt;a href="canciones/nsb/como_sal_como_luz.html"&gt;</v>
      </c>
    </row>
    <row r="1037" spans="1:23" x14ac:dyDescent="0.3">
      <c r="A1037" s="1">
        <f>ROW(CantoralDB[[#This Row],[Título]])-1</f>
        <v>1036</v>
      </c>
      <c r="B1037" s="1" t="s">
        <v>184</v>
      </c>
      <c r="C1037" s="1" t="s">
        <v>201</v>
      </c>
      <c r="D1037" s="1" t="s">
        <v>662</v>
      </c>
      <c r="G1037" s="1" t="s">
        <v>209</v>
      </c>
      <c r="H1037" s="1" t="s">
        <v>1030</v>
      </c>
      <c r="J1037" s="1" t="s">
        <v>608</v>
      </c>
      <c r="M1037" s="15" t="s">
        <v>521</v>
      </c>
      <c r="N1037" s="15"/>
      <c r="O1037" s="15"/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W1037" s="15" t="str">
        <f>_xlfn.TEXTBEFORE(_xlfn.TEXTAFTER(CantoralDB[[#This Row],[index.html]],"&gt;"),"&gt;")&amp;"&gt;"</f>
        <v>&lt;a href="canciones/nsb/mueveme_mi_dios.html"&gt;</v>
      </c>
    </row>
    <row r="1038" spans="1:23" x14ac:dyDescent="0.3">
      <c r="A1038" s="1">
        <f>ROW(CantoralDB[[#This Row],[Título]])-1</f>
        <v>1037</v>
      </c>
      <c r="B1038" s="1" t="s">
        <v>16</v>
      </c>
      <c r="C1038" s="1" t="s">
        <v>194</v>
      </c>
      <c r="D1038" s="1" t="s">
        <v>1376</v>
      </c>
      <c r="E1038" s="1">
        <v>406</v>
      </c>
      <c r="G1038" s="1" t="s">
        <v>209</v>
      </c>
      <c r="H1038" s="1" t="s">
        <v>531</v>
      </c>
      <c r="J1038" s="1" t="s">
        <v>608</v>
      </c>
      <c r="M1038" s="15" t="s">
        <v>514</v>
      </c>
      <c r="N1038" s="15"/>
      <c r="O1038" s="15"/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038" s="15" t="str">
        <f>_xlfn.TEXTBEFORE(_xlfn.TEXTAFTER(CantoralDB[[#This Row],[index.html]],"&gt;"),"&gt;")&amp;"&gt;"</f>
        <v>&lt;a href="canciones/nsb/aleluya_por_esa_gente.html"&gt;</v>
      </c>
    </row>
    <row r="1039" spans="1:23" x14ac:dyDescent="0.3">
      <c r="A1039" s="1">
        <f>ROW(CantoralDB[[#This Row],[Título]])-1</f>
        <v>1038</v>
      </c>
      <c r="B1039" s="1" t="s">
        <v>530</v>
      </c>
      <c r="C1039" s="1" t="s">
        <v>196</v>
      </c>
      <c r="D1039" s="1" t="s">
        <v>1463</v>
      </c>
      <c r="G1039" s="1" t="s">
        <v>254</v>
      </c>
      <c r="H1039" s="1" t="s">
        <v>473</v>
      </c>
      <c r="J1039" s="1" t="s">
        <v>608</v>
      </c>
      <c r="M1039" s="15" t="s">
        <v>523</v>
      </c>
      <c r="N1039" s="15"/>
      <c r="O1039" s="15"/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039" s="15" t="str">
        <f>_xlfn.TEXTBEFORE(_xlfn.TEXTAFTER(CantoralDB[[#This Row],[index.html]],"&gt;"),"&gt;")&amp;"&gt;"</f>
        <v>&lt;a href="canciones/nsb/santo_(olguin).html"&gt;</v>
      </c>
    </row>
    <row r="1040" spans="1:23" x14ac:dyDescent="0.3">
      <c r="A1040" s="1">
        <f>ROW(CantoralDB[[#This Row],[Título]])-1</f>
        <v>1039</v>
      </c>
      <c r="B1040" s="1" t="s">
        <v>215</v>
      </c>
      <c r="C1040" s="1" t="s">
        <v>993</v>
      </c>
      <c r="D1040" s="1" t="s">
        <v>724</v>
      </c>
      <c r="G1040" s="1" t="s">
        <v>216</v>
      </c>
      <c r="H1040" s="1" t="s">
        <v>1029</v>
      </c>
      <c r="I1040" s="1" t="s">
        <v>2958</v>
      </c>
      <c r="J1040" s="1" t="s">
        <v>608</v>
      </c>
      <c r="M1040" s="15" t="s">
        <v>523</v>
      </c>
      <c r="N1040" s="15"/>
      <c r="O1040" s="15"/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040" s="15" t="str">
        <f>_xlfn.TEXTBEFORE(_xlfn.TEXTAFTER(CantoralDB[[#This Row],[index.html]],"&gt;"),"&gt;")&amp;"&gt;"</f>
        <v>&lt;a href="canciones/nsb/no_temas.html"&gt;</v>
      </c>
    </row>
    <row r="1041" spans="1:23" x14ac:dyDescent="0.3">
      <c r="A1041" s="1">
        <f>ROW(CantoralDB[[#This Row],[Título]])-1</f>
        <v>1040</v>
      </c>
      <c r="B1041" s="1" t="s">
        <v>1195</v>
      </c>
      <c r="C1041" s="1"/>
      <c r="E1041" s="1">
        <v>69</v>
      </c>
      <c r="J1041" s="1"/>
      <c r="M1041" s="15" t="s">
        <v>2088</v>
      </c>
      <c r="N1041" s="15"/>
      <c r="O1041" s="15"/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041" s="15" t="str">
        <f>_xlfn.TEXTBEFORE(_xlfn.TEXTAFTER(CantoralDB[[#This Row],[index.html]],"&gt;"),"&gt;")&amp;"&gt;"</f>
        <v>&lt;a href="canciones/nsb/cuando_el_pan_que_esta_en_mi_vida.html"&gt;</v>
      </c>
    </row>
    <row r="1042" spans="1:23" x14ac:dyDescent="0.3">
      <c r="A1042" s="1">
        <f>ROW(CantoralDB[[#This Row],[Título]])-1</f>
        <v>1041</v>
      </c>
      <c r="B1042" s="1" t="s">
        <v>84</v>
      </c>
      <c r="C1042" s="1" t="s">
        <v>195</v>
      </c>
      <c r="D1042" s="1" t="s">
        <v>766</v>
      </c>
      <c r="E1042" s="1">
        <v>431</v>
      </c>
      <c r="G1042" s="1" t="s">
        <v>209</v>
      </c>
      <c r="H1042" s="1" t="s">
        <v>531</v>
      </c>
      <c r="J1042" s="1" t="s">
        <v>608</v>
      </c>
      <c r="M1042" s="15" t="s">
        <v>520</v>
      </c>
      <c r="N1042" s="15"/>
      <c r="O1042" s="15"/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042" s="1"/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042" s="15" t="str">
        <f>_xlfn.TEXTBEFORE(_xlfn.TEXTAFTER(CantoralDB[[#This Row],[index.html]],"&gt;"),"&gt;")&amp;"&gt;"</f>
        <v>&lt;a href="canciones/nsb/la_cena_del_señor.html"&gt;</v>
      </c>
    </row>
    <row r="1043" spans="1:23" x14ac:dyDescent="0.3">
      <c r="A1043" s="1">
        <f>ROW(CantoralDB[[#This Row],[Título]])-1</f>
        <v>1042</v>
      </c>
      <c r="B1043" s="1" t="s">
        <v>2163</v>
      </c>
      <c r="C1043" s="15"/>
      <c r="H1043" s="1" t="s">
        <v>1027</v>
      </c>
      <c r="J1043" s="1" t="s">
        <v>608</v>
      </c>
      <c r="M1043" s="15" t="s">
        <v>2179</v>
      </c>
      <c r="N1043" s="15"/>
      <c r="O1043" s="15"/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043" s="1"/>
      <c r="T1043" s="1"/>
      <c r="U1043" s="33" t="s">
        <v>3006</v>
      </c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043" s="15" t="str">
        <f>_xlfn.TEXTBEFORE(_xlfn.TEXTAFTER(CantoralDB[[#This Row],[index.html]],"&gt;"),"&gt;")&amp;"&gt;"</f>
        <v>&lt;a href="canciones/nuevas/enamorame_de_ti.html"&gt;</v>
      </c>
    </row>
    <row r="1044" spans="1:23" x14ac:dyDescent="0.3">
      <c r="A1044" s="1">
        <f>ROW(CantoralDB[[#This Row],[Título]])-1</f>
        <v>1043</v>
      </c>
      <c r="B1044" s="1" t="s">
        <v>10</v>
      </c>
      <c r="C1044" s="1" t="s">
        <v>993</v>
      </c>
      <c r="D1044" s="1" t="s">
        <v>1036</v>
      </c>
      <c r="E1044" s="1">
        <v>12</v>
      </c>
      <c r="G1044" s="1" t="s">
        <v>209</v>
      </c>
      <c r="H1044" s="1" t="s">
        <v>531</v>
      </c>
      <c r="J1044" s="1" t="s">
        <v>608</v>
      </c>
      <c r="M1044" s="15" t="s">
        <v>485</v>
      </c>
      <c r="N1044" s="15"/>
      <c r="O1044" s="15"/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1044" s="1" t="s">
        <v>800</v>
      </c>
      <c r="T1044" s="1"/>
      <c r="U1044" s="15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1044" s="15" t="str">
        <f>_xlfn.TEXTBEFORE(_xlfn.TEXTAFTER(CantoralDB[[#This Row],[index.html]],"&gt;"),"&gt;")&amp;"&gt;"</f>
        <v>&lt;a href="canciones/joaquin_madurga/al_ver_jesus.html"&gt;</v>
      </c>
    </row>
    <row r="1045" spans="1:23" x14ac:dyDescent="0.3">
      <c r="A1045" s="1">
        <f>ROW(CantoralDB[[#This Row],[Título]])-1</f>
        <v>1044</v>
      </c>
      <c r="B1045" s="1" t="s">
        <v>25</v>
      </c>
      <c r="C1045" s="1" t="s">
        <v>195</v>
      </c>
      <c r="D1045" s="1" t="s">
        <v>1383</v>
      </c>
      <c r="E1045" s="1">
        <v>26</v>
      </c>
      <c r="G1045" s="1" t="s">
        <v>209</v>
      </c>
      <c r="H1045" s="1" t="s">
        <v>531</v>
      </c>
      <c r="I1045" s="1" t="s">
        <v>2961</v>
      </c>
      <c r="J1045" s="1" t="s">
        <v>608</v>
      </c>
      <c r="M1045" s="15" t="s">
        <v>485</v>
      </c>
      <c r="N1045" s="15"/>
      <c r="O1045" s="15"/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1045" s="1" t="s">
        <v>805</v>
      </c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1045" s="15" t="str">
        <f>_xlfn.TEXTBEFORE(_xlfn.TEXTAFTER(CantoralDB[[#This Row],[index.html]],"&gt;"),"&gt;")&amp;"&gt;"</f>
        <v>&lt;a href="canciones/joaquin_madurga/andando_por_el_camino.html"&gt;</v>
      </c>
    </row>
    <row r="1046" spans="1:23" x14ac:dyDescent="0.3">
      <c r="A1046" s="1">
        <f>ROW(CantoralDB[[#This Row],[Título]])-1</f>
        <v>1045</v>
      </c>
      <c r="B1046" s="1" t="s">
        <v>1179</v>
      </c>
      <c r="C1046" s="1"/>
      <c r="E1046" s="1">
        <v>48</v>
      </c>
      <c r="H1046" s="1" t="s">
        <v>1030</v>
      </c>
      <c r="J1046" s="1" t="s">
        <v>608</v>
      </c>
      <c r="M1046" s="15" t="s">
        <v>485</v>
      </c>
      <c r="N1046" s="15"/>
      <c r="O1046" s="15"/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1046" s="1"/>
      <c r="T1046" s="1"/>
      <c r="U1046" s="15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1046" s="15" t="str">
        <f>_xlfn.TEXTBEFORE(_xlfn.TEXTAFTER(CantoralDB[[#This Row],[index.html]],"&gt;"),"&gt;")&amp;"&gt;"</f>
        <v>&lt;a href="canciones/joaquin_madurga/comiendo_del_mismo_pan.html"&gt;</v>
      </c>
    </row>
    <row r="1047" spans="1:23" x14ac:dyDescent="0.3">
      <c r="A1047" s="1">
        <f>ROW(CantoralDB[[#This Row],[Título]])-1</f>
        <v>1046</v>
      </c>
      <c r="B1047" s="1" t="s">
        <v>47</v>
      </c>
      <c r="C1047" s="1" t="s">
        <v>195</v>
      </c>
      <c r="D1047" s="1" t="s">
        <v>1410</v>
      </c>
      <c r="E1047" s="1">
        <v>84</v>
      </c>
      <c r="G1047" s="1" t="s">
        <v>209</v>
      </c>
      <c r="H1047" s="1" t="s">
        <v>531</v>
      </c>
      <c r="I1047" s="1" t="s">
        <v>2960</v>
      </c>
      <c r="J1047" s="1" t="s">
        <v>608</v>
      </c>
      <c r="M1047" s="15" t="s">
        <v>485</v>
      </c>
      <c r="N1047" s="15"/>
      <c r="O1047" s="15"/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1047" s="1"/>
      <c r="T1047" s="1"/>
      <c r="U1047" s="15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1047" s="15" t="str">
        <f>_xlfn.TEXTBEFORE(_xlfn.TEXTAFTER(CantoralDB[[#This Row],[index.html]],"&gt;"),"&gt;")&amp;"&gt;"</f>
        <v>&lt;a href="canciones/joaquin_madurga/donde_hay_caridad_y_amor.html"&gt;</v>
      </c>
    </row>
    <row r="1048" spans="1:23" x14ac:dyDescent="0.3">
      <c r="A1048" s="1">
        <f>ROW(CantoralDB[[#This Row],[Título]])-1</f>
        <v>1047</v>
      </c>
      <c r="B1048" s="1" t="s">
        <v>65</v>
      </c>
      <c r="C1048" s="1" t="s">
        <v>191</v>
      </c>
      <c r="D1048" s="1" t="s">
        <v>740</v>
      </c>
      <c r="E1048" s="1">
        <v>122</v>
      </c>
      <c r="G1048" s="1" t="s">
        <v>209</v>
      </c>
      <c r="H1048" s="1" t="s">
        <v>531</v>
      </c>
      <c r="J1048" s="1" t="s">
        <v>608</v>
      </c>
      <c r="M1048" s="15" t="s">
        <v>485</v>
      </c>
      <c r="N1048" s="15"/>
      <c r="O1048" s="15"/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1048" s="1"/>
      <c r="T1048" s="1"/>
      <c r="U1048" s="15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1048" s="15" t="str">
        <f>_xlfn.TEXTBEFORE(_xlfn.TEXTAFTER(CantoralDB[[#This Row],[index.html]],"&gt;"),"&gt;")&amp;"&gt;"</f>
        <v>&lt;a href="canciones/joaquin_madurga/esta_es_tu_fiesta.html"&gt;</v>
      </c>
    </row>
    <row r="1049" spans="1:23" x14ac:dyDescent="0.3">
      <c r="A1049" s="1">
        <f>ROW(CantoralDB[[#This Row],[Título]])-1</f>
        <v>1048</v>
      </c>
      <c r="B1049" s="1" t="s">
        <v>155</v>
      </c>
      <c r="C1049" s="1" t="s">
        <v>191</v>
      </c>
      <c r="D1049" s="1" t="s">
        <v>755</v>
      </c>
      <c r="E1049" s="1">
        <v>275</v>
      </c>
      <c r="G1049" s="1" t="s">
        <v>209</v>
      </c>
      <c r="H1049" s="1" t="s">
        <v>1030</v>
      </c>
      <c r="I1049" s="1" t="s">
        <v>2961</v>
      </c>
      <c r="J1049" s="1" t="s">
        <v>608</v>
      </c>
      <c r="M1049" s="15" t="s">
        <v>485</v>
      </c>
      <c r="N1049" s="15"/>
      <c r="O1049" s="15"/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1049" s="1"/>
      <c r="T1049" s="1"/>
      <c r="U1049" s="15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1049" s="15" t="str">
        <f>_xlfn.TEXTBEFORE(_xlfn.TEXTAFTER(CantoralDB[[#This Row],[index.html]],"&gt;"),"&gt;")&amp;"&gt;"</f>
        <v>&lt;a href="canciones/joaquin_madurga/unidos_en_la_fiesta.html"&gt;</v>
      </c>
    </row>
    <row r="1050" spans="1:23" x14ac:dyDescent="0.3">
      <c r="A1050" s="1">
        <f>ROW(CantoralDB[[#This Row],[Título]])-1</f>
        <v>1049</v>
      </c>
      <c r="B1050" s="1" t="s">
        <v>1344</v>
      </c>
      <c r="C1050" s="1"/>
      <c r="E1050" s="1">
        <v>287</v>
      </c>
      <c r="H1050" s="1" t="s">
        <v>1028</v>
      </c>
      <c r="J1050" s="1" t="s">
        <v>608</v>
      </c>
      <c r="M1050" s="15" t="s">
        <v>485</v>
      </c>
      <c r="N1050" s="15"/>
      <c r="O1050" s="15"/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1050" s="1"/>
      <c r="T1050" s="1"/>
      <c r="U1050" s="15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1050" s="15" t="str">
        <f>_xlfn.TEXTBEFORE(_xlfn.TEXTAFTER(CantoralDB[[#This Row],[index.html]],"&gt;"),"&gt;")&amp;"&gt;"</f>
        <v>&lt;a href="canciones/joaquin_madurga/vamos_buscando_la_verdad.html"&gt;</v>
      </c>
    </row>
    <row r="1051" spans="1:23" x14ac:dyDescent="0.3">
      <c r="A1051" s="1">
        <f>ROW(CantoralDB[[#This Row],[Título]])-1</f>
        <v>1050</v>
      </c>
      <c r="B1051" s="1" t="s">
        <v>224</v>
      </c>
      <c r="C1051" s="1" t="s">
        <v>191</v>
      </c>
      <c r="D1051" s="1" t="s">
        <v>736</v>
      </c>
      <c r="G1051" s="1" t="s">
        <v>216</v>
      </c>
      <c r="H1051" s="1" t="s">
        <v>1028</v>
      </c>
      <c r="J1051" s="1" t="s">
        <v>608</v>
      </c>
      <c r="M1051" s="15" t="s">
        <v>485</v>
      </c>
      <c r="N1051" s="15"/>
      <c r="O1051" s="15"/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1051" s="1"/>
      <c r="T1051" s="1"/>
      <c r="U1051" s="15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1051" s="15" t="str">
        <f>_xlfn.TEXTBEFORE(_xlfn.TEXTAFTER(CantoralDB[[#This Row],[index.html]],"&gt;"),"&gt;")&amp;"&gt;"</f>
        <v>&lt;a href="canciones/joaquin_madurga/el_señor_resucito.html"&gt;</v>
      </c>
    </row>
    <row r="1052" spans="1:23" x14ac:dyDescent="0.3">
      <c r="A1052" s="1">
        <f>ROW(CantoralDB[[#This Row],[Título]])-1</f>
        <v>1051</v>
      </c>
      <c r="B1052" s="1" t="s">
        <v>231</v>
      </c>
      <c r="C1052" s="1" t="s">
        <v>194</v>
      </c>
      <c r="D1052" s="1" t="s">
        <v>647</v>
      </c>
      <c r="G1052" s="1" t="s">
        <v>209</v>
      </c>
      <c r="H1052" s="1" t="s">
        <v>1029</v>
      </c>
      <c r="J1052" s="1" t="s">
        <v>608</v>
      </c>
      <c r="M1052" s="15" t="s">
        <v>485</v>
      </c>
      <c r="N1052" s="15"/>
      <c r="O1052" s="15"/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1052" s="1"/>
      <c r="T1052" s="1"/>
      <c r="U1052" s="15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1052" s="15" t="str">
        <f>_xlfn.TEXTBEFORE(_xlfn.TEXTAFTER(CantoralDB[[#This Row],[index.html]],"&gt;"),"&gt;")&amp;"&gt;"</f>
        <v>&lt;a href="canciones/joaquin_madurga/aleluya_ha_nacido_el_salvador.html"&gt;</v>
      </c>
    </row>
    <row r="1053" spans="1:23" x14ac:dyDescent="0.3">
      <c r="A1053" s="1">
        <f>ROW(CantoralDB[[#This Row],[Título]])-1</f>
        <v>1052</v>
      </c>
      <c r="B1053" s="1" t="s">
        <v>2954</v>
      </c>
      <c r="C1053" s="1"/>
      <c r="E1053" s="1">
        <v>259</v>
      </c>
      <c r="H1053" s="1" t="s">
        <v>1030</v>
      </c>
      <c r="J1053" s="1" t="s">
        <v>608</v>
      </c>
      <c r="M1053" s="15" t="s">
        <v>2909</v>
      </c>
      <c r="N1053" s="15"/>
      <c r="O1053" s="15"/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053" s="1"/>
      <c r="T1053" s="1"/>
      <c r="U1053" s="15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053" s="15" t="str">
        <f>_xlfn.TEXTBEFORE(_xlfn.TEXTAFTER(CantoralDB[[#This Row],[index.html]],"&gt;"),"&gt;")&amp;"&gt;"</f>
        <v>&lt;a href="canciones/nsb/tus_manos_son_palomas_de_la_paz.html"&gt;</v>
      </c>
    </row>
    <row r="1054" spans="1:23" x14ac:dyDescent="0.3">
      <c r="A1054" s="1">
        <f>ROW(CantoralDB[[#This Row],[Título]])-1</f>
        <v>1053</v>
      </c>
      <c r="B1054" s="1" t="s">
        <v>1260</v>
      </c>
      <c r="C1054" s="1"/>
      <c r="E1054" s="1">
        <v>131</v>
      </c>
      <c r="J1054" s="1"/>
      <c r="M1054" s="15" t="s">
        <v>2879</v>
      </c>
      <c r="N1054" s="15"/>
      <c r="O1054" s="15"/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054" s="1"/>
      <c r="T1054" s="1"/>
      <c r="U1054" s="15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054" s="15" t="str">
        <f>_xlfn.TEXTBEFORE(_xlfn.TEXTAFTER(CantoralDB[[#This Row],[index.html]],"&gt;"),"&gt;")&amp;"&gt;"</f>
        <v>&lt;a href="canciones/nsb/habra_un_dia_en_que_todos.html"&gt;</v>
      </c>
    </row>
    <row r="1055" spans="1:23" x14ac:dyDescent="0.3">
      <c r="A1055" s="1">
        <f>ROW(CantoralDB[[#This Row],[Título]])-1</f>
        <v>1054</v>
      </c>
      <c r="B1055" s="1" t="s">
        <v>183</v>
      </c>
      <c r="C1055" s="1" t="s">
        <v>993</v>
      </c>
      <c r="D1055" s="1" t="s">
        <v>709</v>
      </c>
      <c r="G1055" s="1" t="s">
        <v>209</v>
      </c>
      <c r="H1055" s="1" t="s">
        <v>1027</v>
      </c>
      <c r="J1055" s="1" t="s">
        <v>608</v>
      </c>
      <c r="M1055" s="15" t="s">
        <v>627</v>
      </c>
      <c r="N1055" s="15"/>
      <c r="O1055" s="15"/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055" s="1"/>
      <c r="T1055" s="1"/>
      <c r="U1055" s="15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055" s="15" t="str">
        <f>_xlfn.TEXTBEFORE(_xlfn.TEXTAFTER(CantoralDB[[#This Row],[index.html]],"&gt;"),"&gt;")&amp;"&gt;"</f>
        <v>&lt;a href="canciones/nsb/himno_a_san_jose.html"&gt;</v>
      </c>
    </row>
    <row r="1056" spans="1:23" x14ac:dyDescent="0.3">
      <c r="A1056" s="1">
        <f>ROW(CantoralDB[[#This Row],[Título]])-1</f>
        <v>1055</v>
      </c>
      <c r="B1056" s="1" t="s">
        <v>550</v>
      </c>
      <c r="C1056" s="1" t="s">
        <v>476</v>
      </c>
      <c r="D1056" s="1" t="s">
        <v>1063</v>
      </c>
      <c r="H1056" s="1" t="s">
        <v>531</v>
      </c>
      <c r="J1056" s="1" t="s">
        <v>608</v>
      </c>
      <c r="M1056" s="15" t="s">
        <v>576</v>
      </c>
      <c r="N1056" s="15"/>
      <c r="O1056" s="15"/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056" s="15" t="str">
        <f>_xlfn.TEXTBEFORE(_xlfn.TEXTAFTER(CantoralDB[[#This Row],[index.html]],"&gt;"),"&gt;")&amp;"&gt;"</f>
        <v>&lt;a href="canciones/nsb/navidad_navidad.html"&gt;</v>
      </c>
    </row>
    <row r="1057" spans="1:23" x14ac:dyDescent="0.3">
      <c r="A1057" s="1">
        <f>ROW(CantoralDB[[#This Row],[Título]])-1</f>
        <v>1056</v>
      </c>
      <c r="B1057" s="1" t="s">
        <v>549</v>
      </c>
      <c r="C1057" s="1" t="s">
        <v>476</v>
      </c>
      <c r="D1057" s="1" t="s">
        <v>1062</v>
      </c>
      <c r="H1057" s="1" t="s">
        <v>1027</v>
      </c>
      <c r="J1057" s="1" t="s">
        <v>608</v>
      </c>
      <c r="M1057" s="15" t="s">
        <v>576</v>
      </c>
      <c r="N1057" s="15"/>
      <c r="O1057" s="15"/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057" s="1"/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057" s="15" t="str">
        <f>_xlfn.TEXTBEFORE(_xlfn.TEXTAFTER(CantoralDB[[#This Row],[index.html]],"&gt;"),"&gt;")&amp;"&gt;"</f>
        <v>&lt;a href="canciones/nsb/navidad_es_navidad.html"&gt;</v>
      </c>
    </row>
    <row r="1058" spans="1:23" x14ac:dyDescent="0.3">
      <c r="A1058" s="1">
        <f>ROW(CantoralDB[[#This Row],[Título]])-1</f>
        <v>1057</v>
      </c>
      <c r="B1058" s="1" t="s">
        <v>2158</v>
      </c>
      <c r="C1058" s="15"/>
      <c r="H1058" s="1" t="s">
        <v>1029</v>
      </c>
      <c r="J1058" s="1" t="s">
        <v>608</v>
      </c>
      <c r="M1058" s="15" t="s">
        <v>2177</v>
      </c>
      <c r="N1058" s="15"/>
      <c r="O1058" s="15"/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058" s="1"/>
      <c r="T1058" s="1"/>
      <c r="U1058" s="33" t="s">
        <v>3003</v>
      </c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058" s="15" t="str">
        <f>_xlfn.TEXTBEFORE(_xlfn.TEXTAFTER(CantoralDB[[#This Row],[index.html]],"&gt;"),"&gt;")&amp;"&gt;"</f>
        <v>&lt;a href="canciones/nuevas/algo_esta_cayendo_aqui.html"&gt;</v>
      </c>
    </row>
    <row r="1059" spans="1:23" x14ac:dyDescent="0.3">
      <c r="A1059" s="1">
        <f>ROW(CantoralDB[[#This Row],[Título]])-1</f>
        <v>1058</v>
      </c>
      <c r="B1059" s="1" t="s">
        <v>605</v>
      </c>
      <c r="C1059" s="1" t="s">
        <v>993</v>
      </c>
      <c r="D1059" s="1" t="s">
        <v>728</v>
      </c>
      <c r="G1059" s="1" t="s">
        <v>602</v>
      </c>
      <c r="H1059" s="1" t="s">
        <v>531</v>
      </c>
      <c r="J1059" s="1" t="s">
        <v>608</v>
      </c>
      <c r="M1059" s="15" t="s">
        <v>606</v>
      </c>
      <c r="N1059" s="15"/>
      <c r="O1059" s="15"/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059" s="1"/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059" s="15" t="str">
        <f>_xlfn.TEXTBEFORE(_xlfn.TEXTAFTER(CantoralDB[[#This Row],[index.html]],"&gt;"),"&gt;")&amp;"&gt;"</f>
        <v>&lt;a href="canciones/nsb/principio_y_fundamento.html"&gt;</v>
      </c>
    </row>
    <row r="1060" spans="1:23" x14ac:dyDescent="0.3">
      <c r="A1060" s="1">
        <f>ROW(CantoralDB[[#This Row],[Título]])-1</f>
        <v>1059</v>
      </c>
      <c r="B1060" s="1" t="s">
        <v>12</v>
      </c>
      <c r="C1060" s="1" t="s">
        <v>191</v>
      </c>
      <c r="D1060" s="1" t="s">
        <v>1369</v>
      </c>
      <c r="E1060" s="1">
        <v>10</v>
      </c>
      <c r="G1060" s="1" t="s">
        <v>209</v>
      </c>
      <c r="H1060" s="1" t="s">
        <v>531</v>
      </c>
      <c r="J1060" s="1" t="s">
        <v>608</v>
      </c>
      <c r="M1060" s="15" t="s">
        <v>2143</v>
      </c>
      <c r="N1060" s="15"/>
      <c r="O1060" s="15"/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060" s="15" t="str">
        <f>_xlfn.TEXTBEFORE(_xlfn.TEXTAFTER(CantoralDB[[#This Row],[index.html]],"&gt;"),"&gt;")&amp;"&gt;"</f>
        <v>&lt;a href="canciones/nsb/alegremonos_hermanos.html"&gt;</v>
      </c>
    </row>
    <row r="1061" spans="1:23" x14ac:dyDescent="0.3">
      <c r="A1061" s="1">
        <f>ROW(CantoralDB[[#This Row],[Título]])-1</f>
        <v>1060</v>
      </c>
      <c r="B1061" s="1" t="s">
        <v>82</v>
      </c>
      <c r="C1061" s="1" t="s">
        <v>993</v>
      </c>
      <c r="D1061" s="1" t="s">
        <v>718</v>
      </c>
      <c r="E1061" s="1">
        <v>143</v>
      </c>
      <c r="G1061" s="1" t="s">
        <v>209</v>
      </c>
      <c r="H1061" s="1" t="s">
        <v>531</v>
      </c>
      <c r="J1061" s="1" t="s">
        <v>608</v>
      </c>
      <c r="M1061" s="15" t="s">
        <v>2143</v>
      </c>
      <c r="N1061" s="15"/>
      <c r="O1061" s="15"/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061" s="1"/>
      <c r="T1061" s="1"/>
      <c r="U1061" s="15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061" s="15" t="str">
        <f>_xlfn.TEXTBEFORE(_xlfn.TEXTAFTER(CantoralDB[[#This Row],[index.html]],"&gt;"),"&gt;")&amp;"&gt;"</f>
        <v>&lt;a href="canciones/nsb/juntos_cantemos_hoy.html"&gt;</v>
      </c>
    </row>
    <row r="1062" spans="1:23" x14ac:dyDescent="0.3">
      <c r="A1062" s="1">
        <f>ROW(CantoralDB[[#This Row],[Título]])-1</f>
        <v>1061</v>
      </c>
      <c r="B1062" s="1" t="s">
        <v>81</v>
      </c>
      <c r="C1062" s="1" t="s">
        <v>993</v>
      </c>
      <c r="D1062" s="1" t="s">
        <v>716</v>
      </c>
      <c r="E1062" s="1">
        <v>144</v>
      </c>
      <c r="G1062" s="1" t="s">
        <v>209</v>
      </c>
      <c r="H1062" s="1" t="s">
        <v>531</v>
      </c>
      <c r="J1062" s="1" t="s">
        <v>608</v>
      </c>
      <c r="M1062" s="15" t="s">
        <v>2143</v>
      </c>
      <c r="N1062" s="15"/>
      <c r="O1062" s="15"/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062" s="15" t="str">
        <f>_xlfn.TEXTBEFORE(_xlfn.TEXTAFTER(CantoralDB[[#This Row],[index.html]],"&gt;"),"&gt;")&amp;"&gt;"</f>
        <v>&lt;a href="canciones/nsb/jesus_nuestra_pascua.html"&gt;</v>
      </c>
    </row>
    <row r="1063" spans="1:23" x14ac:dyDescent="0.3">
      <c r="A1063" s="1">
        <f>ROW(CantoralDB[[#This Row],[Título]])-1</f>
        <v>1062</v>
      </c>
      <c r="B1063" s="1" t="s">
        <v>1307</v>
      </c>
      <c r="C1063" s="1"/>
      <c r="E1063" s="1">
        <v>216</v>
      </c>
      <c r="J1063" s="1"/>
      <c r="M1063" s="15" t="s">
        <v>2143</v>
      </c>
      <c r="N1063" s="15"/>
      <c r="O1063" s="15"/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063" s="15" t="str">
        <f>_xlfn.TEXTBEFORE(_xlfn.TEXTAFTER(CantoralDB[[#This Row],[index.html]],"&gt;"),"&gt;")&amp;"&gt;"</f>
        <v>&lt;a href="canciones/nsb/pueblo_que_avanzas_buscando.html"&gt;</v>
      </c>
    </row>
    <row r="1064" spans="1:23" x14ac:dyDescent="0.3">
      <c r="A1064" s="1">
        <f>ROW(CantoralDB[[#This Row],[Título]])-1</f>
        <v>1063</v>
      </c>
      <c r="B1064" s="1" t="s">
        <v>562</v>
      </c>
      <c r="C1064" s="1" t="s">
        <v>201</v>
      </c>
      <c r="D1064" s="1" t="s">
        <v>1389</v>
      </c>
      <c r="G1064" s="1" t="s">
        <v>553</v>
      </c>
      <c r="H1064" s="1" t="s">
        <v>1027</v>
      </c>
      <c r="J1064" s="1" t="s">
        <v>608</v>
      </c>
      <c r="M1064" s="15" t="s">
        <v>610</v>
      </c>
      <c r="N1064" s="15"/>
      <c r="O1064" s="15"/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064" s="1" t="s">
        <v>807</v>
      </c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064" s="15" t="str">
        <f>_xlfn.TEXTBEFORE(_xlfn.TEXTAFTER(CantoralDB[[#This Row],[index.html]],"&gt;"),"&gt;")&amp;"&gt;"</f>
        <v>&lt;a href="canciones/nsb/ayudame_a_caminar.html"&gt;</v>
      </c>
    </row>
    <row r="1065" spans="1:23" x14ac:dyDescent="0.3">
      <c r="A1065" s="1">
        <f>ROW(CantoralDB[[#This Row],[Título]])-1</f>
        <v>1064</v>
      </c>
      <c r="B1065" s="1" t="s">
        <v>229</v>
      </c>
      <c r="C1065" s="1" t="s">
        <v>201</v>
      </c>
      <c r="D1065" s="1" t="s">
        <v>1359</v>
      </c>
      <c r="E1065" s="1">
        <v>4</v>
      </c>
      <c r="G1065" s="1" t="s">
        <v>216</v>
      </c>
      <c r="H1065" s="1" t="s">
        <v>1030</v>
      </c>
      <c r="J1065" s="1" t="s">
        <v>608</v>
      </c>
      <c r="M1065" s="15" t="s">
        <v>491</v>
      </c>
      <c r="N1065" s="15"/>
      <c r="O1065" s="15"/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1065" s="15" t="str">
        <f>_xlfn.TEXTBEFORE(_xlfn.TEXTAFTER(CantoralDB[[#This Row],[index.html]],"&gt;"),"&gt;")&amp;"&gt;"</f>
        <v>&lt;a href="canciones/juan_antonio_espinosa/a_dios_den_gracias_los_pueblos.html"&gt;</v>
      </c>
    </row>
    <row r="1066" spans="1:23" x14ac:dyDescent="0.3">
      <c r="A1066" s="1">
        <f>ROW(CantoralDB[[#This Row],[Título]])-1</f>
        <v>1065</v>
      </c>
      <c r="B1066" s="1" t="s">
        <v>1171</v>
      </c>
      <c r="C1066" s="1" t="s">
        <v>191</v>
      </c>
      <c r="D1066" s="1" t="s">
        <v>1392</v>
      </c>
      <c r="E1066" s="1">
        <v>35</v>
      </c>
      <c r="G1066" s="1" t="s">
        <v>209</v>
      </c>
      <c r="H1066" s="1" t="s">
        <v>1030</v>
      </c>
      <c r="I1066" s="1" t="s">
        <v>2961</v>
      </c>
      <c r="J1066" s="1" t="s">
        <v>608</v>
      </c>
      <c r="M1066" s="15" t="s">
        <v>491</v>
      </c>
      <c r="N1066" s="15"/>
      <c r="O1066" s="15"/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1066" s="15" t="str">
        <f>_xlfn.TEXTBEFORE(_xlfn.TEXTAFTER(CantoralDB[[#This Row],[index.html]],"&gt;"),"&gt;")&amp;"&gt;"</f>
        <v>&lt;a href="canciones/juan_antonio_espinosa/caminamos_hacia_el_sol.html"&gt;</v>
      </c>
    </row>
    <row r="1067" spans="1:23" x14ac:dyDescent="0.3">
      <c r="A1067" s="1">
        <f>ROW(CantoralDB[[#This Row],[Título]])-1</f>
        <v>1066</v>
      </c>
      <c r="B1067" s="1" t="s">
        <v>1172</v>
      </c>
      <c r="C1067" s="1"/>
      <c r="E1067" s="1">
        <v>39</v>
      </c>
      <c r="H1067" s="1" t="s">
        <v>1030</v>
      </c>
      <c r="J1067" s="1" t="s">
        <v>608</v>
      </c>
      <c r="M1067" s="15" t="s">
        <v>491</v>
      </c>
      <c r="N1067" s="15"/>
      <c r="O1067" s="15"/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1067" s="15" t="str">
        <f>_xlfn.TEXTBEFORE(_xlfn.TEXTAFTER(CantoralDB[[#This Row],[index.html]],"&gt;"),"&gt;")&amp;"&gt;"</f>
        <v>&lt;a href="canciones/juan_antonio_espinosa/caminare_en_presencia_del_señor.html"&gt;</v>
      </c>
    </row>
    <row r="1068" spans="1:23" x14ac:dyDescent="0.3">
      <c r="A1068" s="1">
        <f>ROW(CantoralDB[[#This Row],[Título]])-1</f>
        <v>1067</v>
      </c>
      <c r="B1068" s="1" t="s">
        <v>1197</v>
      </c>
      <c r="C1068" s="1"/>
      <c r="E1068" s="1">
        <v>73</v>
      </c>
      <c r="H1068" s="1" t="s">
        <v>1030</v>
      </c>
      <c r="J1068" s="1" t="s">
        <v>608</v>
      </c>
      <c r="M1068" s="15" t="s">
        <v>491</v>
      </c>
      <c r="N1068" s="15"/>
      <c r="O1068" s="15"/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1068" s="15" t="str">
        <f>_xlfn.TEXTBEFORE(_xlfn.TEXTAFTER(CantoralDB[[#This Row],[index.html]],"&gt;"),"&gt;")&amp;"&gt;"</f>
        <v>&lt;a href="canciones/juan_antonio_espinosa/dad_gracias_al_señor_porque_es_bueno.html"&gt;</v>
      </c>
    </row>
    <row r="1069" spans="1:23" x14ac:dyDescent="0.3">
      <c r="A1069" s="1">
        <f>ROW(CantoralDB[[#This Row],[Título]])-1</f>
        <v>1068</v>
      </c>
      <c r="B1069" s="1" t="s">
        <v>43</v>
      </c>
      <c r="C1069" s="1" t="s">
        <v>993</v>
      </c>
      <c r="D1069" s="1" t="s">
        <v>694</v>
      </c>
      <c r="E1069" s="1">
        <v>75</v>
      </c>
      <c r="G1069" s="1" t="s">
        <v>209</v>
      </c>
      <c r="H1069" s="1" t="s">
        <v>531</v>
      </c>
      <c r="I1069" s="1" t="s">
        <v>2960</v>
      </c>
      <c r="J1069" s="1" t="s">
        <v>608</v>
      </c>
      <c r="M1069" s="15" t="s">
        <v>491</v>
      </c>
      <c r="N1069" s="15"/>
      <c r="O1069" s="15"/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1069" s="1" t="s">
        <v>819</v>
      </c>
      <c r="T1069" s="1"/>
      <c r="U1069" s="15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1069" s="15" t="str">
        <f>_xlfn.TEXTBEFORE(_xlfn.TEXTAFTER(CantoralDB[[#This Row],[index.html]],"&gt;"),"&gt;")&amp;"&gt;"</f>
        <v>&lt;a href="canciones/juan_antonio_espinosa/danos_un_corazon.html"&gt;</v>
      </c>
    </row>
    <row r="1070" spans="1:23" x14ac:dyDescent="0.3">
      <c r="A1070" s="1">
        <f>ROW(CantoralDB[[#This Row],[Título]])-1</f>
        <v>1069</v>
      </c>
      <c r="B1070" s="1" t="s">
        <v>46</v>
      </c>
      <c r="C1070" s="1" t="s">
        <v>993</v>
      </c>
      <c r="D1070" s="1" t="s">
        <v>696</v>
      </c>
      <c r="E1070" s="1">
        <v>77</v>
      </c>
      <c r="G1070" s="1" t="s">
        <v>209</v>
      </c>
      <c r="H1070" s="1" t="s">
        <v>531</v>
      </c>
      <c r="I1070" s="1" t="s">
        <v>2962</v>
      </c>
      <c r="J1070" s="1" t="s">
        <v>608</v>
      </c>
      <c r="M1070" s="15" t="s">
        <v>491</v>
      </c>
      <c r="N1070" s="15"/>
      <c r="O1070" s="15"/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1070" s="1" t="s">
        <v>821</v>
      </c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1070" s="15" t="str">
        <f>_xlfn.TEXTBEFORE(_xlfn.TEXTAFTER(CantoralDB[[#This Row],[index.html]],"&gt;"),"&gt;")&amp;"&gt;"</f>
        <v>&lt;a href="canciones/juan_antonio_espinosa/dolorosa.html"&gt;</v>
      </c>
    </row>
    <row r="1071" spans="1:23" x14ac:dyDescent="0.3">
      <c r="A1071" s="1">
        <f>ROW(CantoralDB[[#This Row],[Título]])-1</f>
        <v>1070</v>
      </c>
      <c r="B1071" s="1" t="s">
        <v>58</v>
      </c>
      <c r="C1071" s="1" t="s">
        <v>195</v>
      </c>
      <c r="D1071" s="1" t="s">
        <v>1418</v>
      </c>
      <c r="E1071" s="1">
        <v>94</v>
      </c>
      <c r="G1071" s="1" t="s">
        <v>209</v>
      </c>
      <c r="H1071" s="1" t="s">
        <v>531</v>
      </c>
      <c r="I1071" s="1" t="s">
        <v>2961</v>
      </c>
      <c r="J1071" s="1" t="s">
        <v>608</v>
      </c>
      <c r="M1071" s="15" t="s">
        <v>491</v>
      </c>
      <c r="N1071" s="15"/>
      <c r="O1071" s="15"/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1071" s="15" t="str">
        <f>_xlfn.TEXTBEFORE(_xlfn.TEXTAFTER(CantoralDB[[#This Row],[index.html]],"&gt;"),"&gt;")&amp;"&gt;"</f>
        <v>&lt;a href="canciones/juan_antonio_espinosa/en_la_comida_que_cristo_nos_da.html"&gt;</v>
      </c>
    </row>
    <row r="1072" spans="1:23" x14ac:dyDescent="0.3">
      <c r="A1072" s="1">
        <f>ROW(CantoralDB[[#This Row],[Título]])-1</f>
        <v>1071</v>
      </c>
      <c r="B1072" s="1" t="s">
        <v>1218</v>
      </c>
      <c r="C1072" s="1"/>
      <c r="E1072" s="1">
        <v>102</v>
      </c>
      <c r="H1072" s="1" t="s">
        <v>531</v>
      </c>
      <c r="J1072" s="1" t="s">
        <v>608</v>
      </c>
      <c r="M1072" s="15" t="s">
        <v>491</v>
      </c>
      <c r="N1072" s="15"/>
      <c r="O1072" s="15"/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1072" s="1"/>
      <c r="T1072" s="1"/>
      <c r="U1072" s="33" t="s">
        <v>2984</v>
      </c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1072" s="15" t="str">
        <f>_xlfn.TEXTBEFORE(_xlfn.TEXTAFTER(CantoralDB[[#This Row],[index.html]],"&gt;"),"&gt;")&amp;"&gt;"</f>
        <v>&lt;a href="canciones/juan_antonio_espinosa/el_señor_es_mi_fuerza.html"&gt;</v>
      </c>
    </row>
    <row r="1073" spans="1:23" x14ac:dyDescent="0.3">
      <c r="A1073" s="1">
        <f>ROW(CantoralDB[[#This Row],[Título]])-1</f>
        <v>1072</v>
      </c>
      <c r="B1073" s="1" t="s">
        <v>2121</v>
      </c>
      <c r="C1073" s="1"/>
      <c r="E1073" s="1">
        <v>108</v>
      </c>
      <c r="H1073" s="1" t="s">
        <v>531</v>
      </c>
      <c r="J1073" s="1" t="s">
        <v>608</v>
      </c>
      <c r="M1073" s="15" t="s">
        <v>491</v>
      </c>
      <c r="N1073" s="15"/>
      <c r="O1073" s="15"/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1073" s="15" t="str">
        <f>_xlfn.TEXTBEFORE(_xlfn.TEXTAFTER(CantoralDB[[#This Row],[index.html]],"&gt;"),"&gt;")&amp;"&gt;"</f>
        <v>&lt;a href="canciones/juan_antonio_espinosa/errante_voy.html"&gt;</v>
      </c>
    </row>
    <row r="1074" spans="1:23" x14ac:dyDescent="0.3">
      <c r="A1074" s="1">
        <f>ROW(CantoralDB[[#This Row],[Título]])-1</f>
        <v>1073</v>
      </c>
      <c r="B1074" s="1" t="s">
        <v>2908</v>
      </c>
      <c r="C1074" s="1"/>
      <c r="E1074" s="1">
        <v>117</v>
      </c>
      <c r="H1074" s="1" t="s">
        <v>1043</v>
      </c>
      <c r="J1074" s="1" t="s">
        <v>608</v>
      </c>
      <c r="M1074" s="15" t="s">
        <v>491</v>
      </c>
      <c r="N1074" s="15"/>
      <c r="O1074" s="15"/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1074" s="15" t="str">
        <f>_xlfn.TEXTBEFORE(_xlfn.TEXTAFTER(CantoralDB[[#This Row],[index.html]],"&gt;"),"&gt;")&amp;"&gt;"</f>
        <v>&lt;a href="canciones/juan_antonio_espinosa/escucha_nuestros_gritos_en_la_noche.html"&gt;</v>
      </c>
    </row>
    <row r="1075" spans="1:23" x14ac:dyDescent="0.3">
      <c r="A1075" s="1">
        <f>ROW(CantoralDB[[#This Row],[Título]])-1</f>
        <v>1074</v>
      </c>
      <c r="B1075" s="1" t="s">
        <v>933</v>
      </c>
      <c r="C1075" s="1"/>
      <c r="E1075" s="1">
        <v>121</v>
      </c>
      <c r="H1075" s="1" t="s">
        <v>1027</v>
      </c>
      <c r="J1075" s="1" t="s">
        <v>608</v>
      </c>
      <c r="M1075" s="15" t="s">
        <v>491</v>
      </c>
      <c r="N1075" s="15"/>
      <c r="O1075" s="15"/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1075" s="1"/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1075" s="15" t="str">
        <f>_xlfn.TEXTBEFORE(_xlfn.TEXTAFTER(CantoralDB[[#This Row],[index.html]],"&gt;"),"&gt;")&amp;"&gt;"</f>
        <v>&lt;a href="canciones/juan_antonio_espinosa/este_es_el_dia_del_señor.html"&gt;</v>
      </c>
    </row>
    <row r="1076" spans="1:23" x14ac:dyDescent="0.3">
      <c r="A1076" s="1">
        <f>ROW(CantoralDB[[#This Row],[Título]])-1</f>
        <v>1075</v>
      </c>
      <c r="B1076" s="1" t="s">
        <v>1256</v>
      </c>
      <c r="C1076" s="1"/>
      <c r="E1076" s="1">
        <v>125</v>
      </c>
      <c r="H1076" s="1" t="s">
        <v>1028</v>
      </c>
      <c r="J1076" s="1" t="s">
        <v>608</v>
      </c>
      <c r="M1076" s="15" t="s">
        <v>491</v>
      </c>
      <c r="N1076" s="15"/>
      <c r="O1076" s="15"/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1076" s="15" t="str">
        <f>_xlfn.TEXTBEFORE(_xlfn.TEXTAFTER(CantoralDB[[#This Row],[index.html]],"&gt;"),"&gt;")&amp;"&gt;"</f>
        <v>&lt;a href="canciones/juan_antonio_espinosa/feliz_el_hombre.html"&gt;</v>
      </c>
    </row>
    <row r="1077" spans="1:23" x14ac:dyDescent="0.3">
      <c r="A1077" s="1">
        <f>ROW(CantoralDB[[#This Row],[Título]])-1</f>
        <v>1076</v>
      </c>
      <c r="B1077" s="1" t="s">
        <v>78</v>
      </c>
      <c r="C1077" s="1" t="s">
        <v>199</v>
      </c>
      <c r="D1077" s="1" t="s">
        <v>1432</v>
      </c>
      <c r="E1077" s="1">
        <v>140</v>
      </c>
      <c r="G1077" s="1" t="s">
        <v>209</v>
      </c>
      <c r="H1077" s="1" t="s">
        <v>1029</v>
      </c>
      <c r="J1077" s="1" t="s">
        <v>608</v>
      </c>
      <c r="M1077" s="15" t="s">
        <v>491</v>
      </c>
      <c r="N1077" s="15"/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1077" s="15" t="str">
        <f>_xlfn.TEXTBEFORE(_xlfn.TEXTAFTER(CantoralDB[[#This Row],[index.html]],"&gt;"),"&gt;")&amp;"&gt;"</f>
        <v>&lt;a href="canciones/juan_antonio_espinosa/hoy_señor_te_damos_gracias.html"&gt;</v>
      </c>
    </row>
    <row r="1078" spans="1:23" x14ac:dyDescent="0.3">
      <c r="A1078" s="1">
        <f>ROW(CantoralDB[[#This Row],[Título]])-1</f>
        <v>1077</v>
      </c>
      <c r="B1078" s="1" t="s">
        <v>88</v>
      </c>
      <c r="C1078" s="1" t="s">
        <v>200</v>
      </c>
      <c r="D1078" s="1" t="s">
        <v>1440</v>
      </c>
      <c r="E1078" s="1">
        <v>163</v>
      </c>
      <c r="G1078" s="1" t="s">
        <v>209</v>
      </c>
      <c r="H1078" s="1" t="s">
        <v>531</v>
      </c>
      <c r="I1078" s="1" t="s">
        <v>2960</v>
      </c>
      <c r="J1078" s="1" t="s">
        <v>608</v>
      </c>
      <c r="M1078" s="15" t="s">
        <v>491</v>
      </c>
      <c r="N1078" s="15"/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1078" s="1"/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1078" s="15" t="str">
        <f>_xlfn.TEXTBEFORE(_xlfn.TEXTAFTER(CantoralDB[[#This Row],[index.html]],"&gt;"),"&gt;")&amp;"&gt;"</f>
        <v>&lt;a href="canciones/juan_antonio_espinosa/madre_de_todos_los_hombres.html"&gt;</v>
      </c>
    </row>
    <row r="1079" spans="1:23" x14ac:dyDescent="0.3">
      <c r="A1079" s="1">
        <f>ROW(CantoralDB[[#This Row],[Título]])-1</f>
        <v>1078</v>
      </c>
      <c r="B1079" s="1" t="s">
        <v>128</v>
      </c>
      <c r="C1079" s="1" t="s">
        <v>200</v>
      </c>
      <c r="D1079" s="1" t="s">
        <v>1055</v>
      </c>
      <c r="E1079" s="1">
        <v>164</v>
      </c>
      <c r="G1079" s="1" t="s">
        <v>209</v>
      </c>
      <c r="H1079" s="1" t="s">
        <v>531</v>
      </c>
      <c r="J1079" s="1" t="s">
        <v>608</v>
      </c>
      <c r="M1079" s="15" t="s">
        <v>491</v>
      </c>
      <c r="N1079" s="15"/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1079" s="1"/>
      <c r="T1079" s="1"/>
      <c r="U1079" s="15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1079" s="15" t="str">
        <f>_xlfn.TEXTBEFORE(_xlfn.TEXTAFTER(CantoralDB[[#This Row],[index.html]],"&gt;"),"&gt;")&amp;"&gt;"</f>
        <v>&lt;a href="canciones/juan_antonio_espinosa/santa_maria_del_camino.html"&gt;</v>
      </c>
    </row>
    <row r="1080" spans="1:23" x14ac:dyDescent="0.3">
      <c r="A1080" s="1">
        <f>ROW(CantoralDB[[#This Row],[Título]])-1</f>
        <v>1079</v>
      </c>
      <c r="B1080" s="1" t="s">
        <v>1284</v>
      </c>
      <c r="C1080" s="1"/>
      <c r="E1080" s="1">
        <v>174</v>
      </c>
      <c r="H1080" s="1" t="s">
        <v>1027</v>
      </c>
      <c r="J1080" s="1" t="s">
        <v>608</v>
      </c>
      <c r="M1080" s="15" t="s">
        <v>491</v>
      </c>
      <c r="N1080" s="15"/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1080" s="15" t="str">
        <f>_xlfn.TEXTBEFORE(_xlfn.TEXTAFTER(CantoralDB[[#This Row],[index.html]],"&gt;"),"&gt;")&amp;"&gt;"</f>
        <v>&lt;a href="canciones/juan_antonio_espinosa/nacidos_de_la_luz.html"&gt;</v>
      </c>
    </row>
    <row r="1081" spans="1:23" x14ac:dyDescent="0.3">
      <c r="A1081" s="1">
        <f>ROW(CantoralDB[[#This Row],[Título]])-1</f>
        <v>1080</v>
      </c>
      <c r="B1081" s="1" t="s">
        <v>1288</v>
      </c>
      <c r="C1081" s="1"/>
      <c r="E1081" s="1">
        <v>178</v>
      </c>
      <c r="H1081" s="1" t="s">
        <v>1028</v>
      </c>
      <c r="J1081" s="1" t="s">
        <v>608</v>
      </c>
      <c r="M1081" s="15" t="s">
        <v>491</v>
      </c>
      <c r="N1081" s="15"/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1081" s="15" t="str">
        <f>_xlfn.TEXTBEFORE(_xlfn.TEXTAFTER(CantoralDB[[#This Row],[index.html]],"&gt;"),"&gt;")&amp;"&gt;"</f>
        <v>&lt;a href="canciones/juan_antonio_espinosa/no_yo_no_dejo_la_tierra.html"&gt;</v>
      </c>
    </row>
    <row r="1082" spans="1:23" x14ac:dyDescent="0.3">
      <c r="A1082" s="1">
        <f>ROW(CantoralDB[[#This Row],[Título]])-1</f>
        <v>1081</v>
      </c>
      <c r="B1082" s="1" t="s">
        <v>114</v>
      </c>
      <c r="C1082" s="1" t="s">
        <v>199</v>
      </c>
      <c r="D1082" s="1" t="s">
        <v>1455</v>
      </c>
      <c r="E1082" s="1">
        <v>203</v>
      </c>
      <c r="G1082" s="1" t="s">
        <v>209</v>
      </c>
      <c r="H1082" s="1" t="s">
        <v>473</v>
      </c>
      <c r="J1082" s="1" t="s">
        <v>608</v>
      </c>
      <c r="M1082" s="15" t="s">
        <v>491</v>
      </c>
      <c r="N1082" s="15"/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1082" s="1" t="s">
        <v>854</v>
      </c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1082" s="15" t="str">
        <f>_xlfn.TEXTBEFORE(_xlfn.TEXTAFTER(CantoralDB[[#This Row],[index.html]],"&gt;"),"&gt;")&amp;"&gt;"</f>
        <v>&lt;a href="canciones/juan_antonio_espinosa/por_ti_mi_dios.html"&gt;</v>
      </c>
    </row>
    <row r="1083" spans="1:23" x14ac:dyDescent="0.3">
      <c r="A1083" s="1">
        <f>ROW(CantoralDB[[#This Row],[Título]])-1</f>
        <v>1082</v>
      </c>
      <c r="B1083" s="1" t="s">
        <v>1304</v>
      </c>
      <c r="C1083" s="1"/>
      <c r="E1083" s="1">
        <v>212</v>
      </c>
      <c r="H1083" s="1" t="s">
        <v>1030</v>
      </c>
      <c r="J1083" s="1" t="s">
        <v>608</v>
      </c>
      <c r="M1083" s="15" t="s">
        <v>491</v>
      </c>
      <c r="N1083" s="15"/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1083" s="1"/>
      <c r="T1083" s="1"/>
      <c r="U1083" s="33" t="s">
        <v>2985</v>
      </c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1083" s="15" t="str">
        <f>_xlfn.TEXTBEFORE(_xlfn.TEXTAFTER(CantoralDB[[#This Row],[index.html]],"&gt;"),"&gt;")&amp;"&gt;"</f>
        <v>&lt;a href="canciones/juan_antonio_espinosa/perdon_señor_perdon.html"&gt;</v>
      </c>
    </row>
    <row r="1084" spans="1:23" x14ac:dyDescent="0.3">
      <c r="A1084" s="1">
        <f>ROW(CantoralDB[[#This Row],[Título]])-1</f>
        <v>1083</v>
      </c>
      <c r="B1084" s="1" t="s">
        <v>122</v>
      </c>
      <c r="C1084" s="1" t="s">
        <v>191</v>
      </c>
      <c r="D1084" s="1" t="s">
        <v>749</v>
      </c>
      <c r="E1084" s="1">
        <v>220</v>
      </c>
      <c r="G1084" s="1" t="s">
        <v>209</v>
      </c>
      <c r="H1084" s="1" t="s">
        <v>1030</v>
      </c>
      <c r="J1084" s="1" t="s">
        <v>608</v>
      </c>
      <c r="M1084" s="15" t="s">
        <v>491</v>
      </c>
      <c r="N1084" s="15"/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1084" s="1" t="s">
        <v>858</v>
      </c>
      <c r="T1084" s="1"/>
      <c r="U1084" s="15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1084" s="15" t="str">
        <f>_xlfn.TEXTBEFORE(_xlfn.TEXTAFTER(CantoralDB[[#This Row],[index.html]],"&gt;"),"&gt;")&amp;"&gt;"</f>
        <v>&lt;a href="canciones/juan_antonio_espinosa/que_ves_en_la_noche.html"&gt;</v>
      </c>
    </row>
    <row r="1085" spans="1:23" x14ac:dyDescent="0.3">
      <c r="A1085" s="1">
        <f>ROW(CantoralDB[[#This Row],[Título]])-1</f>
        <v>1084</v>
      </c>
      <c r="B1085" s="1" t="s">
        <v>123</v>
      </c>
      <c r="C1085" s="1" t="s">
        <v>993</v>
      </c>
      <c r="D1085" s="1" t="s">
        <v>998</v>
      </c>
      <c r="E1085" s="1">
        <v>222</v>
      </c>
      <c r="G1085" s="1" t="s">
        <v>209</v>
      </c>
      <c r="H1085" s="1" t="s">
        <v>1030</v>
      </c>
      <c r="J1085" s="1" t="s">
        <v>608</v>
      </c>
      <c r="M1085" s="15" t="s">
        <v>491</v>
      </c>
      <c r="N1085" s="15"/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1085" s="1" t="s">
        <v>805</v>
      </c>
      <c r="T1085" s="1"/>
      <c r="U1085" s="15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1085" s="15" t="str">
        <f>_xlfn.TEXTBEFORE(_xlfn.TEXTAFTER(CantoralDB[[#This Row],[index.html]],"&gt;"),"&gt;")&amp;"&gt;"</f>
        <v>&lt;a href="canciones/juan_antonio_espinosa/quedate_con_nosotros.html"&gt;</v>
      </c>
    </row>
    <row r="1086" spans="1:23" x14ac:dyDescent="0.3">
      <c r="A1086" s="1">
        <f>ROW(CantoralDB[[#This Row],[Título]])-1</f>
        <v>1085</v>
      </c>
      <c r="B1086" s="1" t="s">
        <v>1322</v>
      </c>
      <c r="C1086" s="1"/>
      <c r="E1086" s="1">
        <v>243</v>
      </c>
      <c r="H1086" s="1" t="s">
        <v>1030</v>
      </c>
      <c r="J1086" s="1" t="s">
        <v>608</v>
      </c>
      <c r="M1086" s="15" t="s">
        <v>491</v>
      </c>
      <c r="N1086" s="15"/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1086" s="1"/>
      <c r="T1086" s="1"/>
      <c r="U1086" s="33" t="s">
        <v>2986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1086" s="15" t="str">
        <f>_xlfn.TEXTBEFORE(_xlfn.TEXTAFTER(CantoralDB[[#This Row],[index.html]],"&gt;"),"&gt;")&amp;"&gt;"</f>
        <v>&lt;a href="canciones/juan_antonio_espinosa/señor_tu_que_brillas.html"&gt;</v>
      </c>
    </row>
    <row r="1087" spans="1:23" x14ac:dyDescent="0.3">
      <c r="A1087" s="1">
        <f>ROW(CantoralDB[[#This Row],[Título]])-1</f>
        <v>1086</v>
      </c>
      <c r="B1087" s="1" t="s">
        <v>148</v>
      </c>
      <c r="C1087" s="1" t="s">
        <v>201</v>
      </c>
      <c r="D1087" s="1" t="s">
        <v>675</v>
      </c>
      <c r="E1087" s="1">
        <v>254</v>
      </c>
      <c r="G1087" s="1" t="s">
        <v>209</v>
      </c>
      <c r="H1087" s="1" t="s">
        <v>531</v>
      </c>
      <c r="I1087" s="1" t="s">
        <v>2961</v>
      </c>
      <c r="J1087" s="1" t="s">
        <v>608</v>
      </c>
      <c r="M1087" s="15" t="s">
        <v>491</v>
      </c>
      <c r="N1087" s="15"/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1087" s="1"/>
      <c r="T1087" s="1"/>
      <c r="U1087" s="15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1087" s="15" t="str">
        <f>_xlfn.TEXTBEFORE(_xlfn.TEXTAFTER(CantoralDB[[#This Row],[index.html]],"&gt;"),"&gt;")&amp;"&gt;"</f>
        <v>&lt;a href="canciones/juan_antonio_espinosa/tu_palabra_me_da_vida.html"&gt;</v>
      </c>
    </row>
    <row r="1088" spans="1:23" x14ac:dyDescent="0.3">
      <c r="A1088" s="1">
        <f>ROW(CantoralDB[[#This Row],[Título]])-1</f>
        <v>1087</v>
      </c>
      <c r="B1088" s="1" t="s">
        <v>140</v>
      </c>
      <c r="C1088" s="1"/>
      <c r="E1088" s="1">
        <v>258</v>
      </c>
      <c r="G1088" s="1" t="s">
        <v>209</v>
      </c>
      <c r="H1088" s="1" t="s">
        <v>531</v>
      </c>
      <c r="J1088" s="1" t="s">
        <v>608</v>
      </c>
      <c r="M1088" s="15" t="s">
        <v>491</v>
      </c>
      <c r="N1088" s="15"/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1088" s="1"/>
      <c r="T1088" s="1"/>
      <c r="U1088" s="33" t="s">
        <v>2987</v>
      </c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1088" s="15" t="str">
        <f>_xlfn.TEXTBEFORE(_xlfn.TEXTAFTER(CantoralDB[[#This Row],[index.html]],"&gt;"),"&gt;")&amp;"&gt;"</f>
        <v>&lt;a href="canciones/juan_antonio_espinosa/te_damos_gracias_señor.html"&gt;</v>
      </c>
    </row>
    <row r="1089" spans="1:23" x14ac:dyDescent="0.3">
      <c r="A1089" s="1">
        <f>ROW(CantoralDB[[#This Row],[Título]])-1</f>
        <v>1088</v>
      </c>
      <c r="B1089" s="1" t="s">
        <v>147</v>
      </c>
      <c r="C1089" s="1" t="s">
        <v>993</v>
      </c>
      <c r="D1089" s="1" t="s">
        <v>1014</v>
      </c>
      <c r="E1089" s="1">
        <v>262</v>
      </c>
      <c r="G1089" s="1" t="s">
        <v>209</v>
      </c>
      <c r="H1089" s="1" t="s">
        <v>1027</v>
      </c>
      <c r="J1089" s="1" t="s">
        <v>608</v>
      </c>
      <c r="M1089" s="15" t="s">
        <v>491</v>
      </c>
      <c r="N1089" s="15"/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1089" s="15" t="str">
        <f>_xlfn.TEXTBEFORE(_xlfn.TEXTAFTER(CantoralDB[[#This Row],[index.html]],"&gt;"),"&gt;")&amp;"&gt;"</f>
        <v>&lt;a href="canciones/juan_antonio_espinosa/tu_eres_el_dios_que_nos_salva.html"&gt;</v>
      </c>
    </row>
    <row r="1090" spans="1:23" x14ac:dyDescent="0.3">
      <c r="A1090" s="1">
        <f>ROW(CantoralDB[[#This Row],[Título]])-1</f>
        <v>1089</v>
      </c>
      <c r="B1090" s="1" t="s">
        <v>1338</v>
      </c>
      <c r="C1090" s="1"/>
      <c r="E1090" s="1">
        <v>269</v>
      </c>
      <c r="H1090" s="1" t="s">
        <v>473</v>
      </c>
      <c r="J1090" s="1" t="s">
        <v>608</v>
      </c>
      <c r="M1090" s="15" t="s">
        <v>491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1090" s="1"/>
      <c r="T1090" s="1"/>
      <c r="U1090" s="33" t="s">
        <v>2988</v>
      </c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1090" s="15" t="str">
        <f>_xlfn.TEXTBEFORE(_xlfn.TEXTAFTER(CantoralDB[[#This Row],[index.html]],"&gt;"),"&gt;")&amp;"&gt;"</f>
        <v>&lt;a href="canciones/juan_antonio_espinosa/una_ciudad_para_todos.html"&gt;</v>
      </c>
    </row>
    <row r="1091" spans="1:23" x14ac:dyDescent="0.3">
      <c r="A1091" s="1">
        <f>ROW(CantoralDB[[#This Row],[Título]])-1</f>
        <v>1090</v>
      </c>
      <c r="B1091" s="1" t="s">
        <v>477</v>
      </c>
      <c r="C1091" s="1" t="s">
        <v>191</v>
      </c>
      <c r="D1091" s="1" t="s">
        <v>753</v>
      </c>
      <c r="E1091" s="1">
        <v>272</v>
      </c>
      <c r="G1091" s="1" t="s">
        <v>216</v>
      </c>
      <c r="H1091" s="1" t="s">
        <v>1030</v>
      </c>
      <c r="J1091" s="1" t="s">
        <v>608</v>
      </c>
      <c r="M1091" s="15" t="s">
        <v>491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1091" s="15" t="str">
        <f>_xlfn.TEXTBEFORE(_xlfn.TEXTAFTER(CantoralDB[[#This Row],[index.html]],"&gt;"),"&gt;")&amp;"&gt;"</f>
        <v>&lt;a href="canciones/juan_antonio_espinosa/un_pueblo_que_camina_por_el_mundo.html"&gt;</v>
      </c>
    </row>
    <row r="1092" spans="1:23" x14ac:dyDescent="0.3">
      <c r="A1092" s="1">
        <f>ROW(CantoralDB[[#This Row],[Título]])-1</f>
        <v>1091</v>
      </c>
      <c r="B1092" s="1" t="s">
        <v>157</v>
      </c>
      <c r="C1092" s="1" t="s">
        <v>191</v>
      </c>
      <c r="D1092" s="1" t="s">
        <v>757</v>
      </c>
      <c r="E1092" s="1">
        <v>277</v>
      </c>
      <c r="G1092" s="1" t="s">
        <v>209</v>
      </c>
      <c r="H1092" s="1" t="s">
        <v>1027</v>
      </c>
      <c r="J1092" s="1" t="s">
        <v>608</v>
      </c>
      <c r="M1092" s="15" t="s">
        <v>491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1092" s="15" t="str">
        <f>_xlfn.TEXTBEFORE(_xlfn.TEXTAFTER(CantoralDB[[#This Row],[index.html]],"&gt;"),"&gt;")&amp;"&gt;"</f>
        <v>&lt;a href="canciones/juan_antonio_espinosa/vamos_cantando_al_señor.html"&gt;</v>
      </c>
    </row>
    <row r="1093" spans="1:23" x14ac:dyDescent="0.3">
      <c r="A1093" s="1">
        <f>ROW(CantoralDB[[#This Row],[Título]])-1</f>
        <v>1092</v>
      </c>
      <c r="B1093" s="1" t="s">
        <v>212</v>
      </c>
      <c r="C1093" s="1" t="s">
        <v>200</v>
      </c>
      <c r="D1093" s="1" t="s">
        <v>1057</v>
      </c>
      <c r="E1093" s="1">
        <v>297</v>
      </c>
      <c r="G1093" s="1" t="s">
        <v>209</v>
      </c>
      <c r="H1093" s="1" t="s">
        <v>1027</v>
      </c>
      <c r="J1093" s="1" t="s">
        <v>608</v>
      </c>
      <c r="M1093" s="15" t="s">
        <v>491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1093" s="15" t="str">
        <f>_xlfn.TEXTBEFORE(_xlfn.TEXTAFTER(CantoralDB[[#This Row],[index.html]],"&gt;"),"&gt;")&amp;"&gt;"</f>
        <v>&lt;a href="canciones/juan_antonio_espinosa/unidos_a_todos_los_pueblos.html"&gt;</v>
      </c>
    </row>
    <row r="1094" spans="1:23" x14ac:dyDescent="0.3">
      <c r="A1094" s="1">
        <f>ROW(CantoralDB[[#This Row],[Título]])-1</f>
        <v>1093</v>
      </c>
      <c r="B1094" s="1" t="s">
        <v>638</v>
      </c>
      <c r="C1094" s="1" t="s">
        <v>993</v>
      </c>
      <c r="D1094" s="1" t="s">
        <v>723</v>
      </c>
      <c r="G1094" s="1" t="s">
        <v>248</v>
      </c>
      <c r="H1094" s="1" t="s">
        <v>1029</v>
      </c>
      <c r="J1094" s="1" t="s">
        <v>608</v>
      </c>
      <c r="M1094" s="15" t="s">
        <v>491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1094" s="15" t="str">
        <f>_xlfn.TEXTBEFORE(_xlfn.TEXTAFTER(CantoralDB[[#This Row],[index.html]],"&gt;"),"&gt;")&amp;"&gt;"</f>
        <v>&lt;a href="canciones/juan_antonio_espinosa/no_podemos_caminar_(hambre_de_dios).html"&gt;</v>
      </c>
    </row>
    <row r="1095" spans="1:23" x14ac:dyDescent="0.3">
      <c r="A1095" s="1">
        <f>ROW(CantoralDB[[#This Row],[Título]])-1</f>
        <v>1094</v>
      </c>
      <c r="B1095" s="1" t="s">
        <v>1272</v>
      </c>
      <c r="C1095" s="1"/>
      <c r="E1095" s="1">
        <v>153</v>
      </c>
      <c r="H1095" s="1" t="s">
        <v>531</v>
      </c>
      <c r="J1095" s="1" t="s">
        <v>608</v>
      </c>
      <c r="M1095" s="15" t="s">
        <v>2955</v>
      </c>
      <c r="N1095" s="15"/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095" s="15" t="str">
        <f>_xlfn.TEXTBEFORE(_xlfn.TEXTAFTER(CantoralDB[[#This Row],[index.html]],"&gt;"),"&gt;")&amp;"&gt;"</f>
        <v>&lt;a href="canciones/nsb/la_palabra_nos_la_dio_el_señor.html"&gt;</v>
      </c>
    </row>
    <row r="1096" spans="1:23" x14ac:dyDescent="0.3">
      <c r="A1096" s="1">
        <f>ROW(CantoralDB[[#This Row],[Título]])-1</f>
        <v>1095</v>
      </c>
      <c r="B1096" s="1" t="s">
        <v>1160</v>
      </c>
      <c r="C1096" s="1"/>
      <c r="E1096" s="1">
        <v>15</v>
      </c>
      <c r="H1096" s="1" t="s">
        <v>1027</v>
      </c>
      <c r="J1096" s="1" t="s">
        <v>608</v>
      </c>
      <c r="M1096" s="15" t="s">
        <v>2875</v>
      </c>
      <c r="N1096" s="15"/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096" s="1"/>
      <c r="T1096" s="1"/>
      <c r="U1096" s="15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096" s="15" t="str">
        <f>_xlfn.TEXTBEFORE(_xlfn.TEXTAFTER(CantoralDB[[#This Row],[index.html]],"&gt;"),"&gt;")&amp;"&gt;"</f>
        <v>&lt;a href="canciones/nsb/alabad_al_señor_en_su_templo.html"&gt;</v>
      </c>
    </row>
    <row r="1097" spans="1:23" x14ac:dyDescent="0.3">
      <c r="A1097" s="1">
        <f>ROW(CantoralDB[[#This Row],[Título]])-1</f>
        <v>1096</v>
      </c>
      <c r="B1097" s="1" t="s">
        <v>1253</v>
      </c>
      <c r="C1097" s="1"/>
      <c r="E1097" s="1">
        <v>119</v>
      </c>
      <c r="J1097" s="1"/>
      <c r="M1097" s="15" t="s">
        <v>2875</v>
      </c>
      <c r="N1097" s="15"/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W1097" s="15" t="str">
        <f>_xlfn.TEXTBEFORE(_xlfn.TEXTAFTER(CantoralDB[[#This Row],[index.html]],"&gt;"),"&gt;")&amp;"&gt;"</f>
        <v>&lt;a href="canciones/nsb/este_es_el_dia_en_que_actuo.html"&gt;</v>
      </c>
    </row>
    <row r="1098" spans="1:23" x14ac:dyDescent="0.3">
      <c r="A1098" s="1">
        <f>ROW(CantoralDB[[#This Row],[Título]])-1</f>
        <v>1097</v>
      </c>
      <c r="B1098" s="1" t="s">
        <v>601</v>
      </c>
      <c r="C1098" s="1"/>
      <c r="E1098" s="1">
        <v>148</v>
      </c>
      <c r="J1098" s="1" t="s">
        <v>608</v>
      </c>
      <c r="L1098" s="1" t="s">
        <v>2968</v>
      </c>
      <c r="M1098" s="15" t="s">
        <v>2875</v>
      </c>
      <c r="N1098" s="15"/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098" s="1"/>
      <c r="T1098" s="1"/>
      <c r="U1098" s="33" t="s">
        <v>2994</v>
      </c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098" s="15" t="str">
        <f>_xlfn.TEXTBEFORE(_xlfn.TEXTAFTER(CantoralDB[[#This Row],[index.html]],"&gt;"),"&gt;")&amp;"&gt;"</f>
        <v>&lt;a href="canciones/nsb/lampara_es_tu_palabra.html"&gt;</v>
      </c>
    </row>
    <row r="1099" spans="1:23" x14ac:dyDescent="0.3">
      <c r="A1099" s="1">
        <f>ROW(CantoralDB[[#This Row],[Título]])-1</f>
        <v>1098</v>
      </c>
      <c r="B1099" s="1" t="s">
        <v>1230</v>
      </c>
      <c r="C1099" s="1"/>
      <c r="E1099" s="1">
        <v>190</v>
      </c>
      <c r="J1099" s="1"/>
      <c r="M1099" s="15" t="s">
        <v>2875</v>
      </c>
      <c r="N1099" s="15"/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099" s="1"/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099" s="15" t="str">
        <f>_xlfn.TEXTBEFORE(_xlfn.TEXTAFTER(CantoralDB[[#This Row],[index.html]],"&gt;"),"&gt;")&amp;"&gt;"</f>
        <v>&lt;a href="canciones/nsb/oh_dios_tu_eres_mi_dios.html"&gt;</v>
      </c>
    </row>
    <row r="1100" spans="1:23" x14ac:dyDescent="0.3">
      <c r="A1100" s="1">
        <f>ROW(CantoralDB[[#This Row],[Título]])-1</f>
        <v>1099</v>
      </c>
      <c r="B1100" s="1" t="s">
        <v>513</v>
      </c>
      <c r="C1100" s="1" t="s">
        <v>201</v>
      </c>
      <c r="D1100" s="1" t="s">
        <v>667</v>
      </c>
      <c r="G1100" s="1" t="s">
        <v>209</v>
      </c>
      <c r="H1100" s="1" t="s">
        <v>1030</v>
      </c>
      <c r="J1100" s="1" t="s">
        <v>608</v>
      </c>
      <c r="M1100" s="15" t="s">
        <v>2875</v>
      </c>
      <c r="N1100" s="15"/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100" s="1" t="s">
        <v>849</v>
      </c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100" s="15" t="str">
        <f>_xlfn.TEXTBEFORE(_xlfn.TEXTAFTER(CantoralDB[[#This Row],[index.html]],"&gt;"),"&gt;")&amp;"&gt;"</f>
        <v>&lt;a href="canciones/nsb/oh_dios_tu_eres_mi_dios_(sed_de_dios).html"&gt;</v>
      </c>
    </row>
    <row r="1101" spans="1:23" x14ac:dyDescent="0.3">
      <c r="A1101" s="1">
        <f>ROW(CantoralDB[[#This Row],[Título]])-1</f>
        <v>1100</v>
      </c>
      <c r="B1101" s="1" t="s">
        <v>2</v>
      </c>
      <c r="C1101" s="1" t="s">
        <v>191</v>
      </c>
      <c r="D1101" s="1" t="s">
        <v>1361</v>
      </c>
      <c r="E1101" s="1">
        <v>32</v>
      </c>
      <c r="G1101" s="1" t="s">
        <v>209</v>
      </c>
      <c r="H1101" s="1" t="s">
        <v>531</v>
      </c>
      <c r="J1101" s="1" t="s">
        <v>608</v>
      </c>
      <c r="M1101" s="15" t="s">
        <v>480</v>
      </c>
      <c r="N1101" s="15"/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1101" s="15" t="str">
        <f>_xlfn.TEXTBEFORE(_xlfn.TEXTAFTER(CantoralDB[[#This Row],[index.html]],"&gt;"),"&gt;")&amp;"&gt;"</f>
        <v>&lt;a href="canciones/juanjo_elezkano/a_la_fiesta_del_señor.html"&gt;</v>
      </c>
    </row>
    <row r="1102" spans="1:23" x14ac:dyDescent="0.3">
      <c r="A1102" s="1">
        <f>ROW(CantoralDB[[#This Row],[Título]])-1</f>
        <v>1101</v>
      </c>
      <c r="B1102" s="1" t="s">
        <v>1259</v>
      </c>
      <c r="C1102" s="1"/>
      <c r="E1102" s="1">
        <v>130</v>
      </c>
      <c r="J1102" s="1"/>
      <c r="M1102" s="15" t="s">
        <v>480</v>
      </c>
      <c r="N1102" s="15"/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1102" s="15" t="str">
        <f>_xlfn.TEXTBEFORE(_xlfn.TEXTAFTER(CantoralDB[[#This Row],[index.html]],"&gt;"),"&gt;")&amp;"&gt;"</f>
        <v>&lt;a href="canciones/juanjo_elezkano/hoy_cantamos_a_dios.html"&gt;</v>
      </c>
    </row>
    <row r="1103" spans="1:23" x14ac:dyDescent="0.3">
      <c r="A1103" s="1">
        <f>ROW(CantoralDB[[#This Row],[Título]])-1</f>
        <v>1102</v>
      </c>
      <c r="B1103" s="1" t="s">
        <v>1267</v>
      </c>
      <c r="C1103" s="1"/>
      <c r="E1103" s="1">
        <v>147</v>
      </c>
      <c r="J1103" s="1"/>
      <c r="M1103" s="15" t="s">
        <v>480</v>
      </c>
      <c r="N1103" s="15"/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1103" s="1"/>
      <c r="T1103" s="1"/>
      <c r="U1103" s="15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1103" s="15" t="str">
        <f>_xlfn.TEXTBEFORE(_xlfn.TEXTAFTER(CantoralDB[[#This Row],[index.html]],"&gt;"),"&gt;")&amp;"&gt;"</f>
        <v>&lt;a href="canciones/juanjo_elezkano/juventud_de_todos_los_paises.html"&gt;</v>
      </c>
    </row>
    <row r="1104" spans="1:23" x14ac:dyDescent="0.3">
      <c r="A1104" s="1">
        <f>ROW(CantoralDB[[#This Row],[Título]])-1</f>
        <v>1103</v>
      </c>
      <c r="B1104" s="1" t="s">
        <v>1269</v>
      </c>
      <c r="C1104" s="1"/>
      <c r="E1104" s="1">
        <v>149</v>
      </c>
      <c r="J1104" s="1"/>
      <c r="M1104" s="15" t="s">
        <v>480</v>
      </c>
      <c r="N1104" s="15"/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1104" s="15" t="str">
        <f>_xlfn.TEXTBEFORE(_xlfn.TEXTAFTER(CantoralDB[[#This Row],[index.html]],"&gt;"),"&gt;")&amp;"&gt;"</f>
        <v>&lt;a href="canciones/juanjo_elezkano/los_pobres_de_la_tierra.html"&gt;</v>
      </c>
    </row>
    <row r="1105" spans="1:23" x14ac:dyDescent="0.3">
      <c r="A1105" s="1">
        <f>ROW(CantoralDB[[#This Row],[Título]])-1</f>
        <v>1104</v>
      </c>
      <c r="B1105" s="1" t="s">
        <v>1285</v>
      </c>
      <c r="C1105" s="1" t="s">
        <v>993</v>
      </c>
      <c r="D1105" s="1" t="s">
        <v>720</v>
      </c>
      <c r="E1105" s="1">
        <v>175</v>
      </c>
      <c r="G1105" s="1" t="s">
        <v>248</v>
      </c>
      <c r="H1105" s="1" t="s">
        <v>1029</v>
      </c>
      <c r="J1105" s="1" t="s">
        <v>608</v>
      </c>
      <c r="M1105" s="15" t="s">
        <v>480</v>
      </c>
      <c r="N1105" s="15"/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1105" s="1"/>
      <c r="T1105" s="1"/>
      <c r="U1105" s="33" t="s">
        <v>2989</v>
      </c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1105" s="15" t="str">
        <f>_xlfn.TEXTBEFORE(_xlfn.TEXTAFTER(CantoralDB[[#This Row],[index.html]],"&gt;"),"&gt;")&amp;"&gt;"</f>
        <v>&lt;a href="canciones/juanjo_elezkano/necesitamos_comer_tu_pan.html"&gt;</v>
      </c>
    </row>
    <row r="1106" spans="1:23" x14ac:dyDescent="0.3">
      <c r="A1106" s="1">
        <f>ROW(CantoralDB[[#This Row],[Título]])-1</f>
        <v>1105</v>
      </c>
      <c r="B1106" s="1" t="s">
        <v>1306</v>
      </c>
      <c r="C1106" s="1"/>
      <c r="E1106" s="1">
        <v>215</v>
      </c>
      <c r="J1106" s="1"/>
      <c r="M1106" s="15" t="s">
        <v>480</v>
      </c>
      <c r="N1106" s="15"/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1106" s="15" t="str">
        <f>_xlfn.TEXTBEFORE(_xlfn.TEXTAFTER(CantoralDB[[#This Row],[index.html]],"&gt;"),"&gt;")&amp;"&gt;"</f>
        <v>&lt;a href="canciones/juanjo_elezkano/perdoname_señor.html"&gt;</v>
      </c>
    </row>
    <row r="1107" spans="1:23" x14ac:dyDescent="0.3">
      <c r="A1107" s="1">
        <f>ROW(CantoralDB[[#This Row],[Título]])-1</f>
        <v>1106</v>
      </c>
      <c r="B1107" s="1" t="s">
        <v>1326</v>
      </c>
      <c r="C1107" s="1"/>
      <c r="E1107" s="1">
        <v>247</v>
      </c>
      <c r="J1107" s="1"/>
      <c r="M1107" s="15" t="s">
        <v>480</v>
      </c>
      <c r="N1107" s="15"/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1107" s="15" t="str">
        <f>_xlfn.TEXTBEFORE(_xlfn.TEXTAFTER(CantoralDB[[#This Row],[index.html]],"&gt;"),"&gt;")&amp;"&gt;"</f>
        <v>&lt;a href="canciones/juanjo_elezkano/siempre_que_es_navidad.html"&gt;</v>
      </c>
    </row>
    <row r="1108" spans="1:23" x14ac:dyDescent="0.3">
      <c r="A1108" s="1">
        <f>ROW(CantoralDB[[#This Row],[Título]])-1</f>
        <v>1107</v>
      </c>
      <c r="B1108" s="1" t="s">
        <v>2107</v>
      </c>
      <c r="C1108" s="1"/>
      <c r="E1108" s="1">
        <v>276</v>
      </c>
      <c r="J1108" s="1"/>
      <c r="M1108" s="15" t="s">
        <v>480</v>
      </c>
      <c r="N1108" s="15"/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1108" s="1"/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1108" s="15" t="str">
        <f>_xlfn.TEXTBEFORE(_xlfn.TEXTAFTER(CantoralDB[[#This Row],[index.html]],"&gt;"),"&gt;")&amp;"&gt;"</f>
        <v>&lt;a href="canciones/juanjo_elezkano/un_corazon_arrepentido.html"&gt;</v>
      </c>
    </row>
    <row r="1109" spans="1:23" x14ac:dyDescent="0.3">
      <c r="A1109" s="1">
        <f>ROW(CantoralDB[[#This Row],[Título]])-1</f>
        <v>1108</v>
      </c>
      <c r="B1109" s="1" t="s">
        <v>161</v>
      </c>
      <c r="C1109" s="1" t="s">
        <v>201</v>
      </c>
      <c r="D1109" s="1" t="s">
        <v>680</v>
      </c>
      <c r="E1109" s="1">
        <v>471</v>
      </c>
      <c r="G1109" s="1" t="s">
        <v>209</v>
      </c>
      <c r="H1109" s="1" t="s">
        <v>1030</v>
      </c>
      <c r="J1109" s="1" t="s">
        <v>608</v>
      </c>
      <c r="M1109" s="15" t="s">
        <v>480</v>
      </c>
      <c r="N1109" s="15"/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1109" s="15" t="str">
        <f>_xlfn.TEXTBEFORE(_xlfn.TEXTAFTER(CantoralDB[[#This Row],[index.html]],"&gt;"),"&gt;")&amp;"&gt;"</f>
        <v>&lt;a href="canciones/juanjo_elezkano/venimos_a_escuchar_tu_voz.html"&gt;</v>
      </c>
    </row>
    <row r="1110" spans="1:23" x14ac:dyDescent="0.3">
      <c r="A1110" s="1">
        <f>ROW(CantoralDB[[#This Row],[Título]])-1</f>
        <v>1109</v>
      </c>
      <c r="B1110" s="1" t="s">
        <v>34</v>
      </c>
      <c r="C1110" s="1" t="s">
        <v>191</v>
      </c>
      <c r="D1110" s="1" t="s">
        <v>731</v>
      </c>
      <c r="E1110" s="1" t="s">
        <v>1192</v>
      </c>
      <c r="G1110" s="1" t="s">
        <v>209</v>
      </c>
      <c r="H1110" s="1" t="s">
        <v>473</v>
      </c>
      <c r="J1110" s="1" t="s">
        <v>608</v>
      </c>
      <c r="M1110" s="15" t="s">
        <v>480</v>
      </c>
      <c r="N1110" s="15"/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1110" s="15" t="str">
        <f>_xlfn.TEXTBEFORE(_xlfn.TEXTAFTER(CantoralDB[[#This Row],[index.html]],"&gt;"),"&gt;")&amp;"&gt;"</f>
        <v>&lt;a href="canciones/juanjo_elezkano/comeremos_de_la_mesa.html"&gt;</v>
      </c>
    </row>
    <row r="1111" spans="1:23" x14ac:dyDescent="0.3">
      <c r="A1111" s="1">
        <f>ROW(CantoralDB[[#This Row],[Título]])-1</f>
        <v>1110</v>
      </c>
      <c r="B1111" s="1" t="s">
        <v>1708</v>
      </c>
      <c r="C1111" s="1"/>
      <c r="J1111" s="1"/>
      <c r="M1111" s="15" t="s">
        <v>484</v>
      </c>
      <c r="N1111" s="15" t="s">
        <v>1501</v>
      </c>
      <c r="O1111" s="15">
        <v>1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1111" s="15" t="str">
        <f>_xlfn.TEXTBEFORE(_xlfn.TEXTAFTER(CantoralDB[[#This Row],[index.html]],"&gt;"),"&gt;")&amp;"&gt;"</f>
        <v>&lt;a href="canciones/kairoi/desde_tu_gesto.html"&gt;</v>
      </c>
    </row>
    <row r="1112" spans="1:23" x14ac:dyDescent="0.3">
      <c r="A1112" s="1">
        <f>ROW(CantoralDB[[#This Row],[Título]])-1</f>
        <v>1111</v>
      </c>
      <c r="B1112" s="1" t="s">
        <v>1709</v>
      </c>
      <c r="C1112" s="1"/>
      <c r="J1112" s="1"/>
      <c r="M1112" s="15" t="s">
        <v>484</v>
      </c>
      <c r="N1112" s="15" t="s">
        <v>1501</v>
      </c>
      <c r="O1112" s="15">
        <v>2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1112" s="15" t="str">
        <f>_xlfn.TEXTBEFORE(_xlfn.TEXTAFTER(CantoralDB[[#This Row],[index.html]],"&gt;"),"&gt;")&amp;"&gt;"</f>
        <v>&lt;a href="canciones/kairoi/el_silencio_de_mi_corazon.html"&gt;</v>
      </c>
    </row>
    <row r="1113" spans="1:23" x14ac:dyDescent="0.3">
      <c r="A1113" s="1">
        <f>ROW(CantoralDB[[#This Row],[Título]])-1</f>
        <v>1112</v>
      </c>
      <c r="B1113" s="1" t="s">
        <v>2363</v>
      </c>
      <c r="C1113" s="1"/>
      <c r="J1113" s="1"/>
      <c r="M1113" s="15" t="s">
        <v>484</v>
      </c>
      <c r="N1113" s="15" t="s">
        <v>1501</v>
      </c>
      <c r="O1113" s="15">
        <v>3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1113" s="15" t="str">
        <f>_xlfn.TEXTBEFORE(_xlfn.TEXTAFTER(CantoralDB[[#This Row],[index.html]],"&gt;"),"&gt;")&amp;"&gt;"</f>
        <v>&lt;a href="canciones/kairoi/venid_a_mi.html"&gt;</v>
      </c>
    </row>
    <row r="1114" spans="1:23" x14ac:dyDescent="0.3">
      <c r="A1114" s="1">
        <f>ROW(CantoralDB[[#This Row],[Título]])-1</f>
        <v>1113</v>
      </c>
      <c r="B1114" s="1" t="s">
        <v>2883</v>
      </c>
      <c r="C1114" s="1"/>
      <c r="J1114" s="1"/>
      <c r="M1114" s="15" t="s">
        <v>484</v>
      </c>
      <c r="N1114" s="15" t="s">
        <v>1501</v>
      </c>
      <c r="O1114" s="15">
        <v>4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1114" s="15" t="str">
        <f>_xlfn.TEXTBEFORE(_xlfn.TEXTAFTER(CantoralDB[[#This Row],[index.html]],"&gt;"),"&gt;")&amp;"&gt;"</f>
        <v>&lt;a href="canciones/kairoi/ave_maria_ii.html"&gt;</v>
      </c>
    </row>
    <row r="1115" spans="1:23" x14ac:dyDescent="0.3">
      <c r="A1115" s="1">
        <f>ROW(CantoralDB[[#This Row],[Título]])-1</f>
        <v>1114</v>
      </c>
      <c r="B1115" s="1" t="s">
        <v>1710</v>
      </c>
      <c r="C1115" s="1"/>
      <c r="J1115" s="1"/>
      <c r="M1115" s="15" t="s">
        <v>484</v>
      </c>
      <c r="N1115" s="15" t="s">
        <v>1501</v>
      </c>
      <c r="O1115" s="15">
        <v>5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1115" s="15" t="str">
        <f>_xlfn.TEXTBEFORE(_xlfn.TEXTAFTER(CantoralDB[[#This Row],[index.html]],"&gt;"),"&gt;")&amp;"&gt;"</f>
        <v>&lt;a href="canciones/kairoi/si_tu_sabes.html"&gt;</v>
      </c>
    </row>
    <row r="1116" spans="1:23" x14ac:dyDescent="0.3">
      <c r="A1116" s="1">
        <f>ROW(CantoralDB[[#This Row],[Título]])-1</f>
        <v>1115</v>
      </c>
      <c r="B1116" s="1" t="s">
        <v>1711</v>
      </c>
      <c r="C1116" s="1"/>
      <c r="J1116" s="1"/>
      <c r="M1116" s="15" t="s">
        <v>484</v>
      </c>
      <c r="N1116" s="15" t="s">
        <v>1501</v>
      </c>
      <c r="O1116" s="15">
        <v>6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1116" s="15" t="str">
        <f>_xlfn.TEXTBEFORE(_xlfn.TEXTAFTER(CantoralDB[[#This Row],[index.html]],"&gt;"),"&gt;")&amp;"&gt;"</f>
        <v>&lt;a href="canciones/kairoi/la_utopia_es_posible.html"&gt;</v>
      </c>
    </row>
    <row r="1117" spans="1:23" x14ac:dyDescent="0.3">
      <c r="A1117" s="1">
        <f>ROW(CantoralDB[[#This Row],[Título]])-1</f>
        <v>1116</v>
      </c>
      <c r="B1117" s="1" t="s">
        <v>2952</v>
      </c>
      <c r="C1117" s="1"/>
      <c r="J1117" s="1"/>
      <c r="M1117" s="15" t="s">
        <v>484</v>
      </c>
      <c r="N1117" s="15" t="s">
        <v>1501</v>
      </c>
      <c r="O1117" s="15">
        <v>7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1117" s="1"/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1117" s="15" t="str">
        <f>_xlfn.TEXTBEFORE(_xlfn.TEXTAFTER(CantoralDB[[#This Row],[index.html]],"&gt;"),"&gt;")&amp;"&gt;"</f>
        <v>&lt;a href="canciones/kairoi/padre_nuestro_iii.html"&gt;</v>
      </c>
    </row>
    <row r="1118" spans="1:23" x14ac:dyDescent="0.3">
      <c r="A1118" s="1">
        <f>ROW(CantoralDB[[#This Row],[Título]])-1</f>
        <v>1117</v>
      </c>
      <c r="B1118" s="1" t="s">
        <v>1712</v>
      </c>
      <c r="C1118" s="1"/>
      <c r="J1118" s="1"/>
      <c r="M1118" s="15" t="s">
        <v>484</v>
      </c>
      <c r="N1118" s="15" t="s">
        <v>1501</v>
      </c>
      <c r="O1118" s="15">
        <v>8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1118" s="15" t="str">
        <f>_xlfn.TEXTBEFORE(_xlfn.TEXTAFTER(CantoralDB[[#This Row],[index.html]],"&gt;"),"&gt;")&amp;"&gt;"</f>
        <v>&lt;a href="canciones/kairoi/que_vuestro_corazon_no_se_turbe.html"&gt;</v>
      </c>
    </row>
    <row r="1119" spans="1:23" x14ac:dyDescent="0.3">
      <c r="A1119" s="1">
        <f>ROW(CantoralDB[[#This Row],[Título]])-1</f>
        <v>1118</v>
      </c>
      <c r="B1119" s="1" t="s">
        <v>1713</v>
      </c>
      <c r="C1119" s="1"/>
      <c r="J1119" s="1"/>
      <c r="M1119" s="15" t="s">
        <v>484</v>
      </c>
      <c r="N1119" s="15" t="s">
        <v>1501</v>
      </c>
      <c r="O1119" s="15">
        <v>9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1119" s="1"/>
      <c r="T1119" s="1"/>
      <c r="U1119" s="15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1119" s="15" t="str">
        <f>_xlfn.TEXTBEFORE(_xlfn.TEXTAFTER(CantoralDB[[#This Row],[index.html]],"&gt;"),"&gt;")&amp;"&gt;"</f>
        <v>&lt;a href="canciones/kairoi/decid_si.html"&gt;</v>
      </c>
    </row>
    <row r="1120" spans="1:23" x14ac:dyDescent="0.3">
      <c r="A1120" s="1">
        <f>ROW(CantoralDB[[#This Row],[Título]])-1</f>
        <v>1119</v>
      </c>
      <c r="B1120" s="1" t="s">
        <v>1714</v>
      </c>
      <c r="C1120" s="1"/>
      <c r="J1120" s="1"/>
      <c r="M1120" s="15" t="s">
        <v>484</v>
      </c>
      <c r="N1120" s="15" t="s">
        <v>1501</v>
      </c>
      <c r="O1120" s="15">
        <v>10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1120" s="15" t="str">
        <f>_xlfn.TEXTBEFORE(_xlfn.TEXTAFTER(CantoralDB[[#This Row],[index.html]],"&gt;"),"&gt;")&amp;"&gt;"</f>
        <v>&lt;a href="canciones/kairoi/estrellas_en_el_mar.html"&gt;</v>
      </c>
    </row>
    <row r="1121" spans="1:23" x14ac:dyDescent="0.3">
      <c r="A1121" s="1">
        <f>ROW(CantoralDB[[#This Row],[Título]])-1</f>
        <v>1120</v>
      </c>
      <c r="B1121" s="1" t="s">
        <v>2364</v>
      </c>
      <c r="C1121" s="1"/>
      <c r="J1121" s="1"/>
      <c r="M1121" s="15" t="s">
        <v>484</v>
      </c>
      <c r="N1121" s="15" t="s">
        <v>1501</v>
      </c>
      <c r="O1121" s="15">
        <v>11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1121" s="15" t="str">
        <f>_xlfn.TEXTBEFORE(_xlfn.TEXTAFTER(CantoralDB[[#This Row],[index.html]],"&gt;"),"&gt;")&amp;"&gt;"</f>
        <v>&lt;a href="canciones/kairoi/quien_eres_jesus_para_mi.html"&gt;</v>
      </c>
    </row>
    <row r="1122" spans="1:23" x14ac:dyDescent="0.3">
      <c r="A1122" s="1">
        <f>ROW(CantoralDB[[#This Row],[Título]])-1</f>
        <v>1121</v>
      </c>
      <c r="B1122" s="1" t="s">
        <v>1715</v>
      </c>
      <c r="C1122" s="1"/>
      <c r="J1122" s="1"/>
      <c r="M1122" s="15" t="s">
        <v>484</v>
      </c>
      <c r="N1122" s="15" t="s">
        <v>1501</v>
      </c>
      <c r="O1122" s="15">
        <v>12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1122" s="15" t="str">
        <f>_xlfn.TEXTBEFORE(_xlfn.TEXTAFTER(CantoralDB[[#This Row],[index.html]],"&gt;"),"&gt;")&amp;"&gt;"</f>
        <v>&lt;a href="canciones/kairoi/venimos_ante_ti.html"&gt;</v>
      </c>
    </row>
    <row r="1123" spans="1:23" x14ac:dyDescent="0.3">
      <c r="A1123" s="1">
        <f>ROW(CantoralDB[[#This Row],[Título]])-1</f>
        <v>1122</v>
      </c>
      <c r="B1123" s="1" t="s">
        <v>1716</v>
      </c>
      <c r="C1123" s="1"/>
      <c r="J1123" s="1"/>
      <c r="M1123" s="15" t="s">
        <v>484</v>
      </c>
      <c r="N1123" s="15" t="s">
        <v>1501</v>
      </c>
      <c r="O1123" s="15">
        <v>13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1123" s="15" t="str">
        <f>_xlfn.TEXTBEFORE(_xlfn.TEXTAFTER(CantoralDB[[#This Row],[index.html]],"&gt;"),"&gt;")&amp;"&gt;"</f>
        <v>&lt;a href="canciones/kairoi/en_la_oscuridad_de_la_noche.html"&gt;</v>
      </c>
    </row>
    <row r="1124" spans="1:23" x14ac:dyDescent="0.3">
      <c r="A1124" s="1">
        <f>ROW(CantoralDB[[#This Row],[Título]])-1</f>
        <v>1123</v>
      </c>
      <c r="B1124" s="1" t="s">
        <v>1717</v>
      </c>
      <c r="C1124" s="1"/>
      <c r="J1124" s="1"/>
      <c r="M1124" s="15" t="s">
        <v>484</v>
      </c>
      <c r="N1124" s="15" t="s">
        <v>1501</v>
      </c>
      <c r="O1124" s="15">
        <v>14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1124" s="15" t="str">
        <f>_xlfn.TEXTBEFORE(_xlfn.TEXTAFTER(CantoralDB[[#This Row],[index.html]],"&gt;"),"&gt;")&amp;"&gt;"</f>
        <v>&lt;a href="canciones/kairoi/padre.html"&gt;</v>
      </c>
    </row>
    <row r="1125" spans="1:23" x14ac:dyDescent="0.3">
      <c r="A1125" s="1">
        <f>ROW(CantoralDB[[#This Row],[Título]])-1</f>
        <v>1124</v>
      </c>
      <c r="B1125" s="1" t="s">
        <v>603</v>
      </c>
      <c r="C1125" s="1" t="s">
        <v>201</v>
      </c>
      <c r="D1125" s="1" t="s">
        <v>659</v>
      </c>
      <c r="G1125" s="1" t="s">
        <v>553</v>
      </c>
      <c r="H1125" s="1" t="s">
        <v>1027</v>
      </c>
      <c r="J1125" s="1" t="s">
        <v>608</v>
      </c>
      <c r="M1125" s="15" t="s">
        <v>484</v>
      </c>
      <c r="N1125" s="15" t="s">
        <v>1490</v>
      </c>
      <c r="O1125" s="15">
        <v>1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1125" s="1" t="s">
        <v>841</v>
      </c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1125" s="15" t="str">
        <f>_xlfn.TEXTBEFORE(_xlfn.TEXTAFTER(CantoralDB[[#This Row],[index.html]],"&gt;"),"&gt;")&amp;"&gt;"</f>
        <v>&lt;a href="canciones/kairoi/la_bondad_y_el_amor_del_señor.html"&gt;</v>
      </c>
    </row>
    <row r="1126" spans="1:23" x14ac:dyDescent="0.3">
      <c r="A1126" s="1">
        <f>ROW(CantoralDB[[#This Row],[Título]])-1</f>
        <v>1125</v>
      </c>
      <c r="B1126" s="1" t="s">
        <v>2027</v>
      </c>
      <c r="C1126" s="1"/>
      <c r="H1126" s="1" t="s">
        <v>1027</v>
      </c>
      <c r="J1126" s="1" t="s">
        <v>608</v>
      </c>
      <c r="M1126" s="15" t="s">
        <v>484</v>
      </c>
      <c r="N1126" s="15" t="s">
        <v>1490</v>
      </c>
      <c r="O1126" s="15">
        <v>2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1126" s="15" t="str">
        <f>_xlfn.TEXTBEFORE(_xlfn.TEXTAFTER(CantoralDB[[#This Row],[index.html]],"&gt;"),"&gt;")&amp;"&gt;"</f>
        <v>&lt;a href="canciones/kairoi/vamos_hacia_ti_(gloria_a_dios).html"&gt;</v>
      </c>
    </row>
    <row r="1127" spans="1:23" x14ac:dyDescent="0.3">
      <c r="A1127" s="1">
        <f>ROW(CantoralDB[[#This Row],[Título]])-1</f>
        <v>1126</v>
      </c>
      <c r="B1127" s="1" t="s">
        <v>1571</v>
      </c>
      <c r="C1127" s="1"/>
      <c r="H1127" s="1" t="s">
        <v>1029</v>
      </c>
      <c r="J1127" s="1" t="s">
        <v>608</v>
      </c>
      <c r="M1127" s="15" t="s">
        <v>484</v>
      </c>
      <c r="N1127" s="15" t="s">
        <v>1490</v>
      </c>
      <c r="O1127" s="15">
        <v>3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1127" s="15" t="str">
        <f>_xlfn.TEXTBEFORE(_xlfn.TEXTAFTER(CantoralDB[[#This Row],[index.html]],"&gt;"),"&gt;")&amp;"&gt;"</f>
        <v>&lt;a href="canciones/kairoi/quedate_aqui_señor.html"&gt;</v>
      </c>
    </row>
    <row r="1128" spans="1:23" x14ac:dyDescent="0.3">
      <c r="A1128" s="1">
        <f>ROW(CantoralDB[[#This Row],[Título]])-1</f>
        <v>1127</v>
      </c>
      <c r="B1128" s="1" t="s">
        <v>558</v>
      </c>
      <c r="C1128" s="1" t="s">
        <v>192</v>
      </c>
      <c r="D1128" s="1" t="s">
        <v>1450</v>
      </c>
      <c r="G1128" s="1" t="s">
        <v>553</v>
      </c>
      <c r="H1128" s="1" t="s">
        <v>1030</v>
      </c>
      <c r="I1128" s="1" t="s">
        <v>2962</v>
      </c>
      <c r="J1128" s="1" t="s">
        <v>608</v>
      </c>
      <c r="M1128" s="15" t="s">
        <v>484</v>
      </c>
      <c r="N1128" s="15" t="s">
        <v>1490</v>
      </c>
      <c r="O1128" s="15">
        <v>4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1128" s="1" t="s">
        <v>852</v>
      </c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1128" s="15" t="str">
        <f>_xlfn.TEXTBEFORE(_xlfn.TEXTAFTER(CantoralDB[[#This Row],[index.html]],"&gt;"),"&gt;")&amp;"&gt;"</f>
        <v>&lt;a href="canciones/kairoi/padre_vuelvo_a_ti.html"&gt;</v>
      </c>
    </row>
    <row r="1129" spans="1:23" x14ac:dyDescent="0.3">
      <c r="A1129" s="1">
        <f>ROW(CantoralDB[[#This Row],[Título]])-1</f>
        <v>1128</v>
      </c>
      <c r="B1129" s="1" t="s">
        <v>89</v>
      </c>
      <c r="C1129" s="1" t="s">
        <v>200</v>
      </c>
      <c r="D1129" s="1" t="s">
        <v>1045</v>
      </c>
      <c r="E1129" s="1">
        <v>433</v>
      </c>
      <c r="G1129" s="1" t="s">
        <v>209</v>
      </c>
      <c r="H1129" s="1" t="s">
        <v>531</v>
      </c>
      <c r="I1129" s="1" t="s">
        <v>2961</v>
      </c>
      <c r="J1129" s="1" t="s">
        <v>608</v>
      </c>
      <c r="M1129" s="15" t="s">
        <v>484</v>
      </c>
      <c r="N1129" s="15" t="s">
        <v>1490</v>
      </c>
      <c r="O1129" s="15">
        <v>5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1129" s="15" t="str">
        <f>_xlfn.TEXTBEFORE(_xlfn.TEXTAFTER(CantoralDB[[#This Row],[index.html]],"&gt;"),"&gt;")&amp;"&gt;"</f>
        <v>&lt;a href="canciones/kairoi/maria_la_madre_buena.html"&gt;</v>
      </c>
    </row>
    <row r="1130" spans="1:23" x14ac:dyDescent="0.3">
      <c r="A1130" s="1">
        <f>ROW(CantoralDB[[#This Row],[Título]])-1</f>
        <v>1129</v>
      </c>
      <c r="B1130" s="1" t="s">
        <v>554</v>
      </c>
      <c r="C1130" s="1" t="s">
        <v>194</v>
      </c>
      <c r="D1130" s="1" t="s">
        <v>1372</v>
      </c>
      <c r="G1130" s="1" t="s">
        <v>209</v>
      </c>
      <c r="H1130" s="1" t="s">
        <v>531</v>
      </c>
      <c r="I1130" s="1" t="s">
        <v>2961</v>
      </c>
      <c r="J1130" s="1" t="s">
        <v>608</v>
      </c>
      <c r="M1130" s="15" t="s">
        <v>484</v>
      </c>
      <c r="N1130" s="15" t="s">
        <v>1490</v>
      </c>
      <c r="O1130" s="15">
        <v>8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1130" s="1"/>
      <c r="T1130" s="1"/>
      <c r="U1130" s="15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1130" s="15" t="str">
        <f>_xlfn.TEXTBEFORE(_xlfn.TEXTAFTER(CantoralDB[[#This Row],[index.html]],"&gt;"),"&gt;")&amp;"&gt;"</f>
        <v>&lt;a href="canciones/kairoi/aleluya_(junto_a_ti_jesus).html"&gt;</v>
      </c>
    </row>
    <row r="1131" spans="1:23" x14ac:dyDescent="0.3">
      <c r="A1131" s="1">
        <f>ROW(CantoralDB[[#This Row],[Título]])-1</f>
        <v>1130</v>
      </c>
      <c r="B1131" s="1" t="s">
        <v>1490</v>
      </c>
      <c r="C1131" s="1"/>
      <c r="H1131" s="1" t="s">
        <v>531</v>
      </c>
      <c r="J1131" s="1" t="s">
        <v>608</v>
      </c>
      <c r="M1131" s="15" t="s">
        <v>484</v>
      </c>
      <c r="N1131" s="15" t="s">
        <v>1490</v>
      </c>
      <c r="O1131" s="15">
        <v>9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1131" s="15" t="str">
        <f>_xlfn.TEXTBEFORE(_xlfn.TEXTAFTER(CantoralDB[[#This Row],[index.html]],"&gt;"),"&gt;")&amp;"&gt;"</f>
        <v>&lt;a href="canciones/kairoi/a_tu_lado_señor.html"&gt;</v>
      </c>
    </row>
    <row r="1132" spans="1:23" x14ac:dyDescent="0.3">
      <c r="A1132" s="1">
        <f>ROW(CantoralDB[[#This Row],[Título]])-1</f>
        <v>1131</v>
      </c>
      <c r="B1132" s="1" t="s">
        <v>1572</v>
      </c>
      <c r="C1132" s="1"/>
      <c r="H1132" s="1" t="s">
        <v>531</v>
      </c>
      <c r="J1132" s="1" t="s">
        <v>608</v>
      </c>
      <c r="M1132" s="15" t="s">
        <v>484</v>
      </c>
      <c r="N1132" s="15" t="s">
        <v>1490</v>
      </c>
      <c r="O1132" s="15">
        <v>10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1132" s="15" t="str">
        <f>_xlfn.TEXTBEFORE(_xlfn.TEXTAFTER(CantoralDB[[#This Row],[index.html]],"&gt;"),"&gt;")&amp;"&gt;"</f>
        <v>&lt;a href="canciones/kairoi/canto_de_maria.html"&gt;</v>
      </c>
    </row>
    <row r="1133" spans="1:23" x14ac:dyDescent="0.3">
      <c r="A1133" s="1">
        <f>ROW(CantoralDB[[#This Row],[Título]])-1</f>
        <v>1132</v>
      </c>
      <c r="B1133" s="1" t="s">
        <v>1573</v>
      </c>
      <c r="C1133" s="1"/>
      <c r="H1133" s="1" t="s">
        <v>1030</v>
      </c>
      <c r="J1133" s="1" t="s">
        <v>608</v>
      </c>
      <c r="M1133" s="15" t="s">
        <v>484</v>
      </c>
      <c r="N1133" s="15" t="s">
        <v>1490</v>
      </c>
      <c r="O1133" s="15">
        <v>11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1133" s="1"/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1133" s="15" t="str">
        <f>_xlfn.TEXTBEFORE(_xlfn.TEXTAFTER(CantoralDB[[#This Row],[index.html]],"&gt;"),"&gt;")&amp;"&gt;"</f>
        <v>&lt;a href="canciones/kairoi/tu_jesus.html"&gt;</v>
      </c>
    </row>
    <row r="1134" spans="1:23" x14ac:dyDescent="0.3">
      <c r="A1134" s="1">
        <f>ROW(CantoralDB[[#This Row],[Título]])-1</f>
        <v>1133</v>
      </c>
      <c r="B1134" s="1" t="s">
        <v>1626</v>
      </c>
      <c r="C1134" s="1"/>
      <c r="J1134" s="1"/>
      <c r="M1134" s="15" t="s">
        <v>484</v>
      </c>
      <c r="N1134" s="15" t="s">
        <v>1490</v>
      </c>
      <c r="O1134" s="15">
        <v>12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1134" s="15" t="str">
        <f>_xlfn.TEXTBEFORE(_xlfn.TEXTAFTER(CantoralDB[[#This Row],[index.html]],"&gt;"),"&gt;")&amp;"&gt;"</f>
        <v>&lt;a href="canciones/kairoi/ven_conmigo_amigo.html"&gt;</v>
      </c>
    </row>
    <row r="1135" spans="1:23" x14ac:dyDescent="0.3">
      <c r="A1135" s="1">
        <f>ROW(CantoralDB[[#This Row],[Título]])-1</f>
        <v>1134</v>
      </c>
      <c r="B1135" s="1" t="s">
        <v>1614</v>
      </c>
      <c r="C1135" s="1"/>
      <c r="J1135" s="1"/>
      <c r="M1135" s="15" t="s">
        <v>484</v>
      </c>
      <c r="N1135" s="15" t="s">
        <v>1489</v>
      </c>
      <c r="O1135" s="15">
        <v>1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1135" s="1"/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1135" s="15" t="str">
        <f>_xlfn.TEXTBEFORE(_xlfn.TEXTAFTER(CantoralDB[[#This Row],[index.html]],"&gt;"),"&gt;")&amp;"&gt;"</f>
        <v>&lt;a href="canciones/kairoi/es_tu_amigo_es.html"&gt;</v>
      </c>
    </row>
    <row r="1136" spans="1:23" x14ac:dyDescent="0.3">
      <c r="A1136" s="1">
        <f>ROW(CantoralDB[[#This Row],[Título]])-1</f>
        <v>1135</v>
      </c>
      <c r="B1136" s="1" t="s">
        <v>1615</v>
      </c>
      <c r="C1136" s="1"/>
      <c r="J1136" s="1"/>
      <c r="M1136" s="15" t="s">
        <v>484</v>
      </c>
      <c r="N1136" s="15" t="s">
        <v>1489</v>
      </c>
      <c r="O1136" s="15">
        <v>2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1136" s="15" t="str">
        <f>_xlfn.TEXTBEFORE(_xlfn.TEXTAFTER(CantoralDB[[#This Row],[index.html]],"&gt;"),"&gt;")&amp;"&gt;"</f>
        <v>&lt;a href="canciones/kairoi/rock_de_paz.html"&gt;</v>
      </c>
    </row>
    <row r="1137" spans="1:23" x14ac:dyDescent="0.3">
      <c r="A1137" s="1">
        <f>ROW(CantoralDB[[#This Row],[Título]])-1</f>
        <v>1136</v>
      </c>
      <c r="B1137" s="1" t="s">
        <v>1489</v>
      </c>
      <c r="C1137" s="1"/>
      <c r="J1137" s="1"/>
      <c r="M1137" s="15" t="s">
        <v>484</v>
      </c>
      <c r="N1137" s="15" t="s">
        <v>1489</v>
      </c>
      <c r="O1137" s="15">
        <v>3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1137" s="15" t="str">
        <f>_xlfn.TEXTBEFORE(_xlfn.TEXTAFTER(CantoralDB[[#This Row],[index.html]],"&gt;"),"&gt;")&amp;"&gt;"</f>
        <v>&lt;a href="canciones/kairoi/amigos.html"&gt;</v>
      </c>
    </row>
    <row r="1138" spans="1:23" x14ac:dyDescent="0.3">
      <c r="A1138" s="1">
        <f>ROW(CantoralDB[[#This Row],[Título]])-1</f>
        <v>1137</v>
      </c>
      <c r="B1138" s="1" t="s">
        <v>1616</v>
      </c>
      <c r="C1138" s="1"/>
      <c r="J1138" s="1"/>
      <c r="M1138" s="15" t="s">
        <v>484</v>
      </c>
      <c r="N1138" s="15" t="s">
        <v>1489</v>
      </c>
      <c r="O1138" s="15">
        <v>4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1138" s="15" t="str">
        <f>_xlfn.TEXTBEFORE(_xlfn.TEXTAFTER(CantoralDB[[#This Row],[index.html]],"&gt;"),"&gt;")&amp;"&gt;"</f>
        <v>&lt;a href="canciones/kairoi/kua_kua_kua.html"&gt;</v>
      </c>
    </row>
    <row r="1139" spans="1:23" x14ac:dyDescent="0.3">
      <c r="A1139" s="1">
        <f>ROW(CantoralDB[[#This Row],[Título]])-1</f>
        <v>1138</v>
      </c>
      <c r="B1139" s="1" t="s">
        <v>1617</v>
      </c>
      <c r="C1139" s="1"/>
      <c r="J1139" s="1"/>
      <c r="M1139" s="15" t="s">
        <v>484</v>
      </c>
      <c r="N1139" s="15" t="s">
        <v>1489</v>
      </c>
      <c r="O1139" s="15">
        <v>5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1139" s="15" t="str">
        <f>_xlfn.TEXTBEFORE(_xlfn.TEXTAFTER(CantoralDB[[#This Row],[index.html]],"&gt;"),"&gt;")&amp;"&gt;"</f>
        <v>&lt;a href="canciones/kairoi/el_dinosaurio.html"&gt;</v>
      </c>
    </row>
    <row r="1140" spans="1:23" x14ac:dyDescent="0.3">
      <c r="A1140" s="1">
        <f>ROW(CantoralDB[[#This Row],[Título]])-1</f>
        <v>1139</v>
      </c>
      <c r="B1140" s="1" t="s">
        <v>1618</v>
      </c>
      <c r="C1140" s="1"/>
      <c r="J1140" s="1"/>
      <c r="M1140" s="15" t="s">
        <v>484</v>
      </c>
      <c r="N1140" s="15" t="s">
        <v>1489</v>
      </c>
      <c r="O1140" s="15">
        <v>6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1140" s="15" t="str">
        <f>_xlfn.TEXTBEFORE(_xlfn.TEXTAFTER(CantoralDB[[#This Row],[index.html]],"&gt;"),"&gt;")&amp;"&gt;"</f>
        <v>&lt;a href="canciones/kairoi/noche_silenciosa.html"&gt;</v>
      </c>
    </row>
    <row r="1141" spans="1:23" x14ac:dyDescent="0.3">
      <c r="A1141" s="1">
        <f>ROW(CantoralDB[[#This Row],[Título]])-1</f>
        <v>1140</v>
      </c>
      <c r="B1141" s="1" t="s">
        <v>1619</v>
      </c>
      <c r="C1141" s="1"/>
      <c r="J1141" s="1"/>
      <c r="M1141" s="15" t="s">
        <v>484</v>
      </c>
      <c r="N1141" s="15" t="s">
        <v>1489</v>
      </c>
      <c r="O1141" s="15">
        <v>7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1141" s="1"/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1141" s="15" t="str">
        <f>_xlfn.TEXTBEFORE(_xlfn.TEXTAFTER(CantoralDB[[#This Row],[index.html]],"&gt;"),"&gt;")&amp;"&gt;"</f>
        <v>&lt;a href="canciones/kairoi/con_los_niños.html"&gt;</v>
      </c>
    </row>
    <row r="1142" spans="1:23" x14ac:dyDescent="0.3">
      <c r="A1142" s="1">
        <f>ROW(CantoralDB[[#This Row],[Título]])-1</f>
        <v>1141</v>
      </c>
      <c r="B1142" s="1" t="s">
        <v>1620</v>
      </c>
      <c r="C1142" s="1"/>
      <c r="J1142" s="1"/>
      <c r="M1142" s="15" t="s">
        <v>484</v>
      </c>
      <c r="N1142" s="15" t="s">
        <v>1489</v>
      </c>
      <c r="O1142" s="15">
        <v>8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1142" s="15" t="str">
        <f>_xlfn.TEXTBEFORE(_xlfn.TEXTAFTER(CantoralDB[[#This Row],[index.html]],"&gt;"),"&gt;")&amp;"&gt;"</f>
        <v>&lt;a href="canciones/kairoi/kenee_chineke_nna.html"&gt;</v>
      </c>
    </row>
    <row r="1143" spans="1:23" x14ac:dyDescent="0.3">
      <c r="A1143" s="1">
        <f>ROW(CantoralDB[[#This Row],[Título]])-1</f>
        <v>1142</v>
      </c>
      <c r="B1143" s="1" t="s">
        <v>1621</v>
      </c>
      <c r="C1143" s="1"/>
      <c r="J1143" s="1"/>
      <c r="M1143" s="15" t="s">
        <v>484</v>
      </c>
      <c r="N1143" s="15" t="s">
        <v>1489</v>
      </c>
      <c r="O1143" s="15">
        <v>9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1143" s="15" t="str">
        <f>_xlfn.TEXTBEFORE(_xlfn.TEXTAFTER(CantoralDB[[#This Row],[index.html]],"&gt;"),"&gt;")&amp;"&gt;"</f>
        <v>&lt;a href="canciones/kairoi/al_nacer_el_nuevo_dia.html"&gt;</v>
      </c>
    </row>
    <row r="1144" spans="1:23" x14ac:dyDescent="0.3">
      <c r="A1144" s="1">
        <f>ROW(CantoralDB[[#This Row],[Título]])-1</f>
        <v>1143</v>
      </c>
      <c r="B1144" s="1" t="s">
        <v>1622</v>
      </c>
      <c r="C1144" s="1"/>
      <c r="J1144" s="1"/>
      <c r="M1144" s="15" t="s">
        <v>484</v>
      </c>
      <c r="N1144" s="15" t="s">
        <v>1489</v>
      </c>
      <c r="O1144" s="15">
        <v>10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1144" s="1"/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1144" s="15" t="str">
        <f>_xlfn.TEXTBEFORE(_xlfn.TEXTAFTER(CantoralDB[[#This Row],[index.html]],"&gt;"),"&gt;")&amp;"&gt;"</f>
        <v>&lt;a href="canciones/kairoi/ki_ki_ki.html"&gt;</v>
      </c>
    </row>
    <row r="1145" spans="1:23" x14ac:dyDescent="0.3">
      <c r="A1145" s="1">
        <f>ROW(CantoralDB[[#This Row],[Título]])-1</f>
        <v>1144</v>
      </c>
      <c r="B1145" s="1" t="s">
        <v>1623</v>
      </c>
      <c r="C1145" s="1"/>
      <c r="J1145" s="1"/>
      <c r="M1145" s="15" t="s">
        <v>484</v>
      </c>
      <c r="N1145" s="15" t="s">
        <v>1489</v>
      </c>
      <c r="O1145" s="15">
        <v>11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1145" s="15" t="str">
        <f>_xlfn.TEXTBEFORE(_xlfn.TEXTAFTER(CantoralDB[[#This Row],[index.html]],"&gt;"),"&gt;")&amp;"&gt;"</f>
        <v>&lt;a href="canciones/kairoi/al_señor_cantad.html"&gt;</v>
      </c>
    </row>
    <row r="1146" spans="1:23" x14ac:dyDescent="0.3">
      <c r="A1146" s="1">
        <f>ROW(CantoralDB[[#This Row],[Título]])-1</f>
        <v>1145</v>
      </c>
      <c r="B1146" s="1" t="s">
        <v>1624</v>
      </c>
      <c r="C1146" s="1"/>
      <c r="J1146" s="1"/>
      <c r="M1146" s="15" t="s">
        <v>484</v>
      </c>
      <c r="N1146" s="15" t="s">
        <v>1489</v>
      </c>
      <c r="O1146" s="15">
        <v>12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1146" s="1"/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1146" s="15" t="str">
        <f>_xlfn.TEXTBEFORE(_xlfn.TEXTAFTER(CantoralDB[[#This Row],[index.html]],"&gt;"),"&gt;")&amp;"&gt;"</f>
        <v>&lt;a href="canciones/kairoi/xerinola.html"&gt;</v>
      </c>
    </row>
    <row r="1147" spans="1:23" x14ac:dyDescent="0.3">
      <c r="A1147" s="1">
        <f>ROW(CantoralDB[[#This Row],[Título]])-1</f>
        <v>1146</v>
      </c>
      <c r="B1147" s="1" t="s">
        <v>1667</v>
      </c>
      <c r="C1147" s="1"/>
      <c r="J1147" s="1"/>
      <c r="M1147" s="15" t="s">
        <v>484</v>
      </c>
      <c r="N1147" s="15" t="s">
        <v>1496</v>
      </c>
      <c r="O1147" s="15">
        <v>1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1147" s="15" t="str">
        <f>_xlfn.TEXTBEFORE(_xlfn.TEXTAFTER(CantoralDB[[#This Row],[index.html]],"&gt;"),"&gt;")&amp;"&gt;"</f>
        <v>&lt;a href="canciones/kairoi/testigos_del_señor.html"&gt;</v>
      </c>
    </row>
    <row r="1148" spans="1:23" x14ac:dyDescent="0.3">
      <c r="A1148" s="1">
        <f>ROW(CantoralDB[[#This Row],[Título]])-1</f>
        <v>1147</v>
      </c>
      <c r="B1148" s="1" t="s">
        <v>1668</v>
      </c>
      <c r="C1148" s="1"/>
      <c r="H1148" s="1" t="s">
        <v>2966</v>
      </c>
      <c r="J1148" s="1" t="s">
        <v>608</v>
      </c>
      <c r="M1148" s="15" t="s">
        <v>484</v>
      </c>
      <c r="N1148" s="15" t="s">
        <v>1496</v>
      </c>
      <c r="O1148" s="15">
        <v>2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1148" s="15" t="str">
        <f>_xlfn.TEXTBEFORE(_xlfn.TEXTAFTER(CantoralDB[[#This Row],[index.html]],"&gt;"),"&gt;")&amp;"&gt;"</f>
        <v>&lt;a href="canciones/kairoi/confianza_en_dios.html"&gt;</v>
      </c>
    </row>
    <row r="1149" spans="1:23" x14ac:dyDescent="0.3">
      <c r="A1149" s="1">
        <f>ROW(CantoralDB[[#This Row],[Título]])-1</f>
        <v>1148</v>
      </c>
      <c r="B1149" s="1" t="s">
        <v>1669</v>
      </c>
      <c r="C1149" s="1"/>
      <c r="H1149" s="1" t="s">
        <v>1029</v>
      </c>
      <c r="J1149" s="1" t="s">
        <v>608</v>
      </c>
      <c r="M1149" s="15" t="s">
        <v>484</v>
      </c>
      <c r="N1149" s="15" t="s">
        <v>1496</v>
      </c>
      <c r="O1149" s="15">
        <v>3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1149" s="15" t="str">
        <f>_xlfn.TEXTBEFORE(_xlfn.TEXTAFTER(CantoralDB[[#This Row],[index.html]],"&gt;"),"&gt;")&amp;"&gt;"</f>
        <v>&lt;a href="canciones/kairoi/en_la_esperanza_madre.html"&gt;</v>
      </c>
    </row>
    <row r="1150" spans="1:23" x14ac:dyDescent="0.3">
      <c r="A1150" s="1">
        <f>ROW(CantoralDB[[#This Row],[Título]])-1</f>
        <v>1149</v>
      </c>
      <c r="B1150" s="1" t="s">
        <v>1670</v>
      </c>
      <c r="C1150" s="1"/>
      <c r="H1150" s="1" t="s">
        <v>531</v>
      </c>
      <c r="J1150" s="1" t="s">
        <v>608</v>
      </c>
      <c r="M1150" s="15" t="s">
        <v>484</v>
      </c>
      <c r="N1150" s="15" t="s">
        <v>1496</v>
      </c>
      <c r="O1150" s="15">
        <v>4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1150" s="15" t="str">
        <f>_xlfn.TEXTBEFORE(_xlfn.TEXTAFTER(CantoralDB[[#This Row],[index.html]],"&gt;"),"&gt;")&amp;"&gt;"</f>
        <v>&lt;a href="canciones/kairoi/con_sencillo_corazon.html"&gt;</v>
      </c>
    </row>
    <row r="1151" spans="1:23" x14ac:dyDescent="0.3">
      <c r="A1151" s="1">
        <f>ROW(CantoralDB[[#This Row],[Título]])-1</f>
        <v>1150</v>
      </c>
      <c r="B1151" s="1" t="s">
        <v>1671</v>
      </c>
      <c r="C1151" s="1"/>
      <c r="H1151" s="1" t="s">
        <v>1029</v>
      </c>
      <c r="J1151" s="1" t="s">
        <v>608</v>
      </c>
      <c r="M1151" s="15" t="s">
        <v>484</v>
      </c>
      <c r="N1151" s="15" t="s">
        <v>1496</v>
      </c>
      <c r="O1151" s="15">
        <v>5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1151" s="15" t="str">
        <f>_xlfn.TEXTBEFORE(_xlfn.TEXTAFTER(CantoralDB[[#This Row],[index.html]],"&gt;"),"&gt;")&amp;"&gt;"</f>
        <v>&lt;a href="canciones/kairoi/fraternidad.html"&gt;</v>
      </c>
    </row>
    <row r="1152" spans="1:23" x14ac:dyDescent="0.3">
      <c r="A1152" s="1">
        <f>ROW(CantoralDB[[#This Row],[Título]])-1</f>
        <v>1151</v>
      </c>
      <c r="B1152" s="1" t="s">
        <v>1672</v>
      </c>
      <c r="C1152" s="1"/>
      <c r="J1152" s="1"/>
      <c r="M1152" s="15" t="s">
        <v>484</v>
      </c>
      <c r="N1152" s="15" t="s">
        <v>1496</v>
      </c>
      <c r="O1152" s="15">
        <v>6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1152" s="15" t="str">
        <f>_xlfn.TEXTBEFORE(_xlfn.TEXTAFTER(CantoralDB[[#This Row],[index.html]],"&gt;"),"&gt;")&amp;"&gt;"</f>
        <v>&lt;a href="canciones/kairoi/teresa_toda.html"&gt;</v>
      </c>
    </row>
    <row r="1153" spans="1:23" x14ac:dyDescent="0.3">
      <c r="A1153" s="1">
        <f>ROW(CantoralDB[[#This Row],[Título]])-1</f>
        <v>1152</v>
      </c>
      <c r="B1153" s="1" t="s">
        <v>1673</v>
      </c>
      <c r="C1153" s="1"/>
      <c r="J1153" s="1"/>
      <c r="M1153" s="15" t="s">
        <v>484</v>
      </c>
      <c r="N1153" s="15" t="s">
        <v>1496</v>
      </c>
      <c r="O1153" s="15">
        <v>7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1153" s="1"/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1153" s="15" t="str">
        <f>_xlfn.TEXTBEFORE(_xlfn.TEXTAFTER(CantoralDB[[#This Row],[index.html]],"&gt;"),"&gt;")&amp;"&gt;"</f>
        <v>&lt;a href="canciones/kairoi/pinta_de_luz.html"&gt;</v>
      </c>
    </row>
    <row r="1154" spans="1:23" x14ac:dyDescent="0.3">
      <c r="A1154" s="1">
        <f>ROW(CantoralDB[[#This Row],[Título]])-1</f>
        <v>1153</v>
      </c>
      <c r="B1154" s="1" t="s">
        <v>1674</v>
      </c>
      <c r="C1154" s="1"/>
      <c r="H1154" s="1" t="s">
        <v>1030</v>
      </c>
      <c r="J1154" s="1" t="s">
        <v>608</v>
      </c>
      <c r="M1154" s="15" t="s">
        <v>484</v>
      </c>
      <c r="N1154" s="15" t="s">
        <v>1496</v>
      </c>
      <c r="O1154" s="15">
        <v>8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1154" s="1"/>
      <c r="T1154" s="1"/>
      <c r="U1154" s="15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1154" s="15" t="str">
        <f>_xlfn.TEXTBEFORE(_xlfn.TEXTAFTER(CantoralDB[[#This Row],[index.html]],"&gt;"),"&gt;")&amp;"&gt;"</f>
        <v>&lt;a href="canciones/kairoi/mantas_de_carton.html"&gt;</v>
      </c>
    </row>
    <row r="1155" spans="1:23" x14ac:dyDescent="0.3">
      <c r="A1155" s="1">
        <f>ROW(CantoralDB[[#This Row],[Título]])-1</f>
        <v>1154</v>
      </c>
      <c r="B1155" s="1" t="s">
        <v>1675</v>
      </c>
      <c r="C1155" s="1"/>
      <c r="H1155" s="1" t="s">
        <v>1029</v>
      </c>
      <c r="J1155" s="1" t="s">
        <v>608</v>
      </c>
      <c r="M1155" s="15" t="s">
        <v>484</v>
      </c>
      <c r="N1155" s="15" t="s">
        <v>1496</v>
      </c>
      <c r="O1155" s="15">
        <v>9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1155" s="15" t="str">
        <f>_xlfn.TEXTBEFORE(_xlfn.TEXTAFTER(CantoralDB[[#This Row],[index.html]],"&gt;"),"&gt;")&amp;"&gt;"</f>
        <v>&lt;a href="canciones/kairoi/soñar_un_mundo_mas_feliz.html"&gt;</v>
      </c>
    </row>
    <row r="1156" spans="1:23" x14ac:dyDescent="0.3">
      <c r="A1156" s="1">
        <f>ROW(CantoralDB[[#This Row],[Título]])-1</f>
        <v>1155</v>
      </c>
      <c r="B1156" s="1" t="s">
        <v>1676</v>
      </c>
      <c r="C1156" s="1"/>
      <c r="J1156" s="1"/>
      <c r="M1156" s="15" t="s">
        <v>484</v>
      </c>
      <c r="N1156" s="15" t="s">
        <v>1496</v>
      </c>
      <c r="O1156" s="15">
        <v>10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1156" s="15" t="str">
        <f>_xlfn.TEXTBEFORE(_xlfn.TEXTAFTER(CantoralDB[[#This Row],[index.html]],"&gt;"),"&gt;")&amp;"&gt;"</f>
        <v>&lt;a href="canciones/kairoi/hacia_la_luz.html"&gt;</v>
      </c>
    </row>
    <row r="1157" spans="1:23" x14ac:dyDescent="0.3">
      <c r="A1157" s="1">
        <f>ROW(CantoralDB[[#This Row],[Título]])-1</f>
        <v>1156</v>
      </c>
      <c r="B1157" s="1" t="s">
        <v>1731</v>
      </c>
      <c r="C1157" s="1"/>
      <c r="J1157" s="1"/>
      <c r="M1157" s="15" t="s">
        <v>484</v>
      </c>
      <c r="N1157" s="15" t="s">
        <v>1503</v>
      </c>
      <c r="O1157" s="15">
        <v>1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1157" s="15" t="str">
        <f>_xlfn.TEXTBEFORE(_xlfn.TEXTAFTER(CantoralDB[[#This Row],[index.html]],"&gt;"),"&gt;")&amp;"&gt;"</f>
        <v>&lt;a href="canciones/kairoi/corazones_nomadas.html"&gt;</v>
      </c>
    </row>
    <row r="1158" spans="1:23" x14ac:dyDescent="0.3">
      <c r="A1158" s="1">
        <f>ROW(CantoralDB[[#This Row],[Título]])-1</f>
        <v>1157</v>
      </c>
      <c r="B1158" s="1" t="s">
        <v>1732</v>
      </c>
      <c r="C1158" s="1"/>
      <c r="J1158" s="1"/>
      <c r="M1158" s="15" t="s">
        <v>484</v>
      </c>
      <c r="N1158" s="15" t="s">
        <v>1503</v>
      </c>
      <c r="O1158" s="15">
        <v>2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1158" s="15" t="str">
        <f>_xlfn.TEXTBEFORE(_xlfn.TEXTAFTER(CantoralDB[[#This Row],[index.html]],"&gt;"),"&gt;")&amp;"&gt;"</f>
        <v>&lt;a href="canciones/kairoi/de_la_mano.html"&gt;</v>
      </c>
    </row>
    <row r="1159" spans="1:23" x14ac:dyDescent="0.3">
      <c r="A1159" s="1">
        <f>ROW(CantoralDB[[#This Row],[Título]])-1</f>
        <v>1158</v>
      </c>
      <c r="B1159" s="1" t="s">
        <v>1733</v>
      </c>
      <c r="C1159" s="1"/>
      <c r="J1159" s="1"/>
      <c r="M1159" s="15" t="s">
        <v>484</v>
      </c>
      <c r="N1159" s="15" t="s">
        <v>1503</v>
      </c>
      <c r="O1159" s="15">
        <v>3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1159" s="15" t="str">
        <f>_xlfn.TEXTBEFORE(_xlfn.TEXTAFTER(CantoralDB[[#This Row],[index.html]],"&gt;"),"&gt;")&amp;"&gt;"</f>
        <v>&lt;a href="canciones/kairoi/plegaria.html"&gt;</v>
      </c>
    </row>
    <row r="1160" spans="1:23" x14ac:dyDescent="0.3">
      <c r="A1160" s="1">
        <f>ROW(CantoralDB[[#This Row],[Título]])-1</f>
        <v>1159</v>
      </c>
      <c r="B1160" s="1" t="s">
        <v>1734</v>
      </c>
      <c r="C1160" s="1"/>
      <c r="J1160" s="1"/>
      <c r="M1160" s="15" t="s">
        <v>484</v>
      </c>
      <c r="N1160" s="15" t="s">
        <v>1503</v>
      </c>
      <c r="O1160" s="15">
        <v>4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1160" s="1"/>
      <c r="T1160" s="1"/>
      <c r="U1160" s="15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1160" s="15" t="str">
        <f>_xlfn.TEXTBEFORE(_xlfn.TEXTAFTER(CantoralDB[[#This Row],[index.html]],"&gt;"),"&gt;")&amp;"&gt;"</f>
        <v>&lt;a href="canciones/kairoi/somos_iglesia.html"&gt;</v>
      </c>
    </row>
    <row r="1161" spans="1:23" x14ac:dyDescent="0.3">
      <c r="A1161" s="1">
        <f>ROW(CantoralDB[[#This Row],[Título]])-1</f>
        <v>1160</v>
      </c>
      <c r="B1161" s="1" t="s">
        <v>1735</v>
      </c>
      <c r="C1161" s="1"/>
      <c r="J1161" s="1"/>
      <c r="M1161" s="15" t="s">
        <v>484</v>
      </c>
      <c r="N1161" s="15" t="s">
        <v>1503</v>
      </c>
      <c r="O1161" s="15">
        <v>5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1161" s="15" t="str">
        <f>_xlfn.TEXTBEFORE(_xlfn.TEXTAFTER(CantoralDB[[#This Row],[index.html]],"&gt;"),"&gt;")&amp;"&gt;"</f>
        <v>&lt;a href="canciones/kairoi/decir_tu_nombre_maria.html"&gt;</v>
      </c>
    </row>
    <row r="1162" spans="1:23" x14ac:dyDescent="0.3">
      <c r="A1162" s="1">
        <f>ROW(CantoralDB[[#This Row],[Título]])-1</f>
        <v>1161</v>
      </c>
      <c r="B1162" s="1" t="s">
        <v>1736</v>
      </c>
      <c r="C1162" s="1"/>
      <c r="J1162" s="1"/>
      <c r="M1162" s="15" t="s">
        <v>484</v>
      </c>
      <c r="N1162" s="15" t="s">
        <v>1503</v>
      </c>
      <c r="O1162" s="15">
        <v>6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1162" s="15" t="str">
        <f>_xlfn.TEXTBEFORE(_xlfn.TEXTAFTER(CantoralDB[[#This Row],[index.html]],"&gt;"),"&gt;")&amp;"&gt;"</f>
        <v>&lt;a href="canciones/kairoi/rebosando_nombres.html"&gt;</v>
      </c>
    </row>
    <row r="1163" spans="1:23" x14ac:dyDescent="0.3">
      <c r="A1163" s="1">
        <f>ROW(CantoralDB[[#This Row],[Título]])-1</f>
        <v>1162</v>
      </c>
      <c r="B1163" s="1" t="s">
        <v>1737</v>
      </c>
      <c r="C1163" s="1"/>
      <c r="J1163" s="1"/>
      <c r="M1163" s="15" t="s">
        <v>484</v>
      </c>
      <c r="N1163" s="15" t="s">
        <v>1503</v>
      </c>
      <c r="O1163" s="15">
        <v>7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1163" s="15" t="str">
        <f>_xlfn.TEXTBEFORE(_xlfn.TEXTAFTER(CantoralDB[[#This Row],[index.html]],"&gt;"),"&gt;")&amp;"&gt;"</f>
        <v>&lt;a href="canciones/kairoi/perdona_que_te_lo_diga.html"&gt;</v>
      </c>
    </row>
    <row r="1164" spans="1:23" x14ac:dyDescent="0.3">
      <c r="A1164" s="1">
        <f>ROW(CantoralDB[[#This Row],[Título]])-1</f>
        <v>1163</v>
      </c>
      <c r="B1164" s="1" t="s">
        <v>1738</v>
      </c>
      <c r="C1164" s="1"/>
      <c r="J1164" s="1"/>
      <c r="M1164" s="15" t="s">
        <v>484</v>
      </c>
      <c r="N1164" s="15" t="s">
        <v>1503</v>
      </c>
      <c r="O1164" s="15">
        <v>8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1164" s="15" t="str">
        <f>_xlfn.TEXTBEFORE(_xlfn.TEXTAFTER(CantoralDB[[#This Row],[index.html]],"&gt;"),"&gt;")&amp;"&gt;"</f>
        <v>&lt;a href="canciones/kairoi/padre_del_hombre.html"&gt;</v>
      </c>
    </row>
    <row r="1165" spans="1:23" x14ac:dyDescent="0.3">
      <c r="A1165" s="1">
        <f>ROW(CantoralDB[[#This Row],[Título]])-1</f>
        <v>1164</v>
      </c>
      <c r="B1165" s="1" t="s">
        <v>1739</v>
      </c>
      <c r="C1165" s="1"/>
      <c r="J1165" s="1"/>
      <c r="M1165" s="15" t="s">
        <v>484</v>
      </c>
      <c r="N1165" s="15" t="s">
        <v>1503</v>
      </c>
      <c r="O1165" s="15">
        <v>9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1165" s="15" t="str">
        <f>_xlfn.TEXTBEFORE(_xlfn.TEXTAFTER(CantoralDB[[#This Row],[index.html]],"&gt;"),"&gt;")&amp;"&gt;"</f>
        <v>&lt;a href="canciones/kairoi/marcelino.html"&gt;</v>
      </c>
    </row>
    <row r="1166" spans="1:23" x14ac:dyDescent="0.3">
      <c r="A1166" s="1">
        <f>ROW(CantoralDB[[#This Row],[Título]])-1</f>
        <v>1165</v>
      </c>
      <c r="B1166" s="1" t="s">
        <v>1740</v>
      </c>
      <c r="C1166" s="1"/>
      <c r="J1166" s="1"/>
      <c r="M1166" s="15" t="s">
        <v>484</v>
      </c>
      <c r="N1166" s="15" t="s">
        <v>1503</v>
      </c>
      <c r="O1166" s="15">
        <v>10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1166" s="15" t="str">
        <f>_xlfn.TEXTBEFORE(_xlfn.TEXTAFTER(CantoralDB[[#This Row],[index.html]],"&gt;"),"&gt;")&amp;"&gt;"</f>
        <v>&lt;a href="canciones/kairoi/siento_tu_dolor.html"&gt;</v>
      </c>
    </row>
    <row r="1167" spans="1:23" x14ac:dyDescent="0.3">
      <c r="A1167" s="1">
        <f>ROW(CantoralDB[[#This Row],[Título]])-1</f>
        <v>1166</v>
      </c>
      <c r="B1167" s="1" t="s">
        <v>1741</v>
      </c>
      <c r="C1167" s="1"/>
      <c r="J1167" s="1"/>
      <c r="M1167" s="15" t="s">
        <v>484</v>
      </c>
      <c r="N1167" s="15" t="s">
        <v>1503</v>
      </c>
      <c r="O1167" s="15">
        <v>11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1167" s="15" t="str">
        <f>_xlfn.TEXTBEFORE(_xlfn.TEXTAFTER(CantoralDB[[#This Row],[index.html]],"&gt;"),"&gt;")&amp;"&gt;"</f>
        <v>&lt;a href="canciones/kairoi/si_yo_cambiara.html"&gt;</v>
      </c>
    </row>
    <row r="1168" spans="1:23" x14ac:dyDescent="0.3">
      <c r="A1168" s="1">
        <f>ROW(CantoralDB[[#This Row],[Título]])-1</f>
        <v>1167</v>
      </c>
      <c r="B1168" s="1" t="s">
        <v>1742</v>
      </c>
      <c r="C1168" s="1"/>
      <c r="J1168" s="1"/>
      <c r="M1168" s="15" t="s">
        <v>484</v>
      </c>
      <c r="N1168" s="15" t="s">
        <v>1503</v>
      </c>
      <c r="O1168" s="15">
        <v>12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1168" s="15" t="str">
        <f>_xlfn.TEXTBEFORE(_xlfn.TEXTAFTER(CantoralDB[[#This Row],[index.html]],"&gt;"),"&gt;")&amp;"&gt;"</f>
        <v>&lt;a href="canciones/kairoi/no_pasa_na.html"&gt;</v>
      </c>
    </row>
    <row r="1169" spans="1:23" x14ac:dyDescent="0.3">
      <c r="A1169" s="1">
        <f>ROW(CantoralDB[[#This Row],[Título]])-1</f>
        <v>1168</v>
      </c>
      <c r="B1169" s="1" t="s">
        <v>1718</v>
      </c>
      <c r="C1169" s="1"/>
      <c r="J1169" s="1"/>
      <c r="M1169" s="15" t="s">
        <v>484</v>
      </c>
      <c r="N1169" s="15" t="s">
        <v>1502</v>
      </c>
      <c r="O1169" s="15">
        <v>1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1169" s="1"/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1169" s="15" t="str">
        <f>_xlfn.TEXTBEFORE(_xlfn.TEXTAFTER(CantoralDB[[#This Row],[index.html]],"&gt;"),"&gt;")&amp;"&gt;"</f>
        <v>&lt;a href="canciones/kairoi/mundo_de_ensueño.html"&gt;</v>
      </c>
    </row>
    <row r="1170" spans="1:23" x14ac:dyDescent="0.3">
      <c r="A1170" s="1">
        <f>ROW(CantoralDB[[#This Row],[Título]])-1</f>
        <v>1169</v>
      </c>
      <c r="B1170" s="1" t="s">
        <v>1719</v>
      </c>
      <c r="C1170" s="1"/>
      <c r="J1170" s="1"/>
      <c r="M1170" s="15" t="s">
        <v>484</v>
      </c>
      <c r="N1170" s="15" t="s">
        <v>1502</v>
      </c>
      <c r="O1170" s="15">
        <v>2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1170" s="15" t="str">
        <f>_xlfn.TEXTBEFORE(_xlfn.TEXTAFTER(CantoralDB[[#This Row],[index.html]],"&gt;"),"&gt;")&amp;"&gt;"</f>
        <v>&lt;a href="canciones/kairoi/tras_el_cristal.html"&gt;</v>
      </c>
    </row>
    <row r="1171" spans="1:23" x14ac:dyDescent="0.3">
      <c r="A1171" s="1">
        <f>ROW(CantoralDB[[#This Row],[Título]])-1</f>
        <v>1170</v>
      </c>
      <c r="B1171" s="1" t="s">
        <v>1720</v>
      </c>
      <c r="C1171" s="1"/>
      <c r="J1171" s="1"/>
      <c r="M1171" s="15" t="s">
        <v>484</v>
      </c>
      <c r="N1171" s="15" t="s">
        <v>1502</v>
      </c>
      <c r="O1171" s="15">
        <v>3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1171" s="15" t="str">
        <f>_xlfn.TEXTBEFORE(_xlfn.TEXTAFTER(CantoralDB[[#This Row],[index.html]],"&gt;"),"&gt;")&amp;"&gt;"</f>
        <v>&lt;a href="canciones/kairoi/carta_a_un_general.html"&gt;</v>
      </c>
    </row>
    <row r="1172" spans="1:23" x14ac:dyDescent="0.3">
      <c r="A1172" s="1">
        <f>ROW(CantoralDB[[#This Row],[Título]])-1</f>
        <v>1171</v>
      </c>
      <c r="B1172" s="1" t="s">
        <v>1721</v>
      </c>
      <c r="C1172" s="1"/>
      <c r="J1172" s="1"/>
      <c r="M1172" s="15" t="s">
        <v>484</v>
      </c>
      <c r="N1172" s="15" t="s">
        <v>1502</v>
      </c>
      <c r="O1172" s="15">
        <v>4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1172" s="15" t="str">
        <f>_xlfn.TEXTBEFORE(_xlfn.TEXTAFTER(CantoralDB[[#This Row],[index.html]],"&gt;"),"&gt;")&amp;"&gt;"</f>
        <v>&lt;a href="canciones/kairoi/un_gesto.html"&gt;</v>
      </c>
    </row>
    <row r="1173" spans="1:23" x14ac:dyDescent="0.3">
      <c r="A1173" s="1">
        <f>ROW(CantoralDB[[#This Row],[Título]])-1</f>
        <v>1172</v>
      </c>
      <c r="B1173" s="1" t="s">
        <v>1722</v>
      </c>
      <c r="C1173" s="1"/>
      <c r="J1173" s="1"/>
      <c r="M1173" s="15" t="s">
        <v>484</v>
      </c>
      <c r="N1173" s="15" t="s">
        <v>1502</v>
      </c>
      <c r="O1173" s="15">
        <v>5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1173" s="15" t="str">
        <f>_xlfn.TEXTBEFORE(_xlfn.TEXTAFTER(CantoralDB[[#This Row],[index.html]],"&gt;"),"&gt;")&amp;"&gt;"</f>
        <v>&lt;a href="canciones/kairoi/angel.html"&gt;</v>
      </c>
    </row>
    <row r="1174" spans="1:23" x14ac:dyDescent="0.3">
      <c r="A1174" s="1">
        <f>ROW(CantoralDB[[#This Row],[Título]])-1</f>
        <v>1173</v>
      </c>
      <c r="B1174" s="1" t="s">
        <v>1723</v>
      </c>
      <c r="C1174" s="1"/>
      <c r="J1174" s="1"/>
      <c r="M1174" s="15" t="s">
        <v>484</v>
      </c>
      <c r="N1174" s="15" t="s">
        <v>1502</v>
      </c>
      <c r="O1174" s="15">
        <v>6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1174" s="15" t="str">
        <f>_xlfn.TEXTBEFORE(_xlfn.TEXTAFTER(CantoralDB[[#This Row],[index.html]],"&gt;"),"&gt;")&amp;"&gt;"</f>
        <v>&lt;a href="canciones/kairoi/scaramouche.html"&gt;</v>
      </c>
    </row>
    <row r="1175" spans="1:23" x14ac:dyDescent="0.3">
      <c r="A1175" s="1">
        <f>ROW(CantoralDB[[#This Row],[Título]])-1</f>
        <v>1174</v>
      </c>
      <c r="B1175" s="1" t="s">
        <v>1725</v>
      </c>
      <c r="C1175" s="1"/>
      <c r="J1175" s="1"/>
      <c r="M1175" s="15" t="s">
        <v>484</v>
      </c>
      <c r="N1175" s="15" t="s">
        <v>1502</v>
      </c>
      <c r="O1175" s="15">
        <v>8</v>
      </c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1175" s="15" t="str">
        <f>_xlfn.TEXTBEFORE(_xlfn.TEXTAFTER(CantoralDB[[#This Row],[index.html]],"&gt;"),"&gt;")&amp;"&gt;"</f>
        <v>&lt;a href="canciones/kairoi/en_que_mundo_vives.html"&gt;</v>
      </c>
    </row>
    <row r="1176" spans="1:23" x14ac:dyDescent="0.3">
      <c r="A1176" s="1">
        <f>ROW(CantoralDB[[#This Row],[Título]])-1</f>
        <v>1175</v>
      </c>
      <c r="B1176" s="1" t="s">
        <v>1726</v>
      </c>
      <c r="C1176" s="1"/>
      <c r="J1176" s="1"/>
      <c r="M1176" s="15" t="s">
        <v>484</v>
      </c>
      <c r="N1176" s="15" t="s">
        <v>1502</v>
      </c>
      <c r="O1176" s="15">
        <v>9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1176" s="15" t="str">
        <f>_xlfn.TEXTBEFORE(_xlfn.TEXTAFTER(CantoralDB[[#This Row],[index.html]],"&gt;"),"&gt;")&amp;"&gt;"</f>
        <v>&lt;a href="canciones/kairoi/una_iglesia_de_excluidos.html"&gt;</v>
      </c>
    </row>
    <row r="1177" spans="1:23" x14ac:dyDescent="0.3">
      <c r="A1177" s="1">
        <f>ROW(CantoralDB[[#This Row],[Título]])-1</f>
        <v>1176</v>
      </c>
      <c r="B1177" s="1" t="s">
        <v>1727</v>
      </c>
      <c r="C1177" s="1"/>
      <c r="J1177" s="1"/>
      <c r="M1177" s="15" t="s">
        <v>484</v>
      </c>
      <c r="N1177" s="15" t="s">
        <v>1502</v>
      </c>
      <c r="O1177" s="15">
        <v>10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1177" s="15" t="str">
        <f>_xlfn.TEXTBEFORE(_xlfn.TEXTAFTER(CantoralDB[[#This Row],[index.html]],"&gt;"),"&gt;")&amp;"&gt;"</f>
        <v>&lt;a href="canciones/kairoi/un_dios_que_huele.html"&gt;</v>
      </c>
    </row>
    <row r="1178" spans="1:23" x14ac:dyDescent="0.3">
      <c r="A1178" s="1">
        <f>ROW(CantoralDB[[#This Row],[Título]])-1</f>
        <v>1177</v>
      </c>
      <c r="B1178" s="1" t="s">
        <v>1728</v>
      </c>
      <c r="C1178" s="1"/>
      <c r="J1178" s="1"/>
      <c r="M1178" s="15" t="s">
        <v>484</v>
      </c>
      <c r="N1178" s="15" t="s">
        <v>1502</v>
      </c>
      <c r="O1178" s="15">
        <v>11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1178" s="15" t="str">
        <f>_xlfn.TEXTBEFORE(_xlfn.TEXTAFTER(CantoralDB[[#This Row],[index.html]],"&gt;"),"&gt;")&amp;"&gt;"</f>
        <v>&lt;a href="canciones/kairoi/a_su_imagen_y_semejanza.html"&gt;</v>
      </c>
    </row>
    <row r="1179" spans="1:23" x14ac:dyDescent="0.3">
      <c r="A1179" s="1">
        <f>ROW(CantoralDB[[#This Row],[Título]])-1</f>
        <v>1178</v>
      </c>
      <c r="B1179" s="1" t="s">
        <v>1729</v>
      </c>
      <c r="C1179" s="1"/>
      <c r="J1179" s="1"/>
      <c r="M1179" s="15" t="s">
        <v>484</v>
      </c>
      <c r="N1179" s="15" t="s">
        <v>1502</v>
      </c>
      <c r="O1179" s="15">
        <v>12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1179" s="15" t="str">
        <f>_xlfn.TEXTBEFORE(_xlfn.TEXTAFTER(CantoralDB[[#This Row],[index.html]],"&gt;"),"&gt;")&amp;"&gt;"</f>
        <v>&lt;a href="canciones/kairoi/ante_el_espejo.html"&gt;</v>
      </c>
    </row>
    <row r="1180" spans="1:23" x14ac:dyDescent="0.3">
      <c r="A1180" s="1">
        <f>ROW(CantoralDB[[#This Row],[Título]])-1</f>
        <v>1179</v>
      </c>
      <c r="B1180" s="1" t="s">
        <v>1730</v>
      </c>
      <c r="C1180" s="1"/>
      <c r="J1180" s="1"/>
      <c r="M1180" s="15" t="s">
        <v>484</v>
      </c>
      <c r="N1180" s="15" t="s">
        <v>1502</v>
      </c>
      <c r="O1180" s="15">
        <v>13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1180" s="15" t="str">
        <f>_xlfn.TEXTBEFORE(_xlfn.TEXTAFTER(CantoralDB[[#This Row],[index.html]],"&gt;"),"&gt;")&amp;"&gt;"</f>
        <v>&lt;a href="canciones/kairoi/angel_remix.html"&gt;</v>
      </c>
    </row>
    <row r="1181" spans="1:23" x14ac:dyDescent="0.3">
      <c r="A1181" s="1">
        <f>ROW(CantoralDB[[#This Row],[Título]])-1</f>
        <v>1180</v>
      </c>
      <c r="B1181" s="1" t="s">
        <v>1908</v>
      </c>
      <c r="C1181" s="1"/>
      <c r="H1181" s="1" t="s">
        <v>473</v>
      </c>
      <c r="J1181" s="1" t="s">
        <v>608</v>
      </c>
      <c r="M1181" s="15" t="s">
        <v>484</v>
      </c>
      <c r="N1181" s="15" t="s">
        <v>1495</v>
      </c>
      <c r="O1181" s="15">
        <v>1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1181" s="15" t="str">
        <f>_xlfn.TEXTBEFORE(_xlfn.TEXTAFTER(CantoralDB[[#This Row],[index.html]],"&gt;"),"&gt;")&amp;"&gt;"</f>
        <v>&lt;a href="canciones/kairoi/somos_cancion.html"&gt;</v>
      </c>
    </row>
    <row r="1182" spans="1:23" x14ac:dyDescent="0.3">
      <c r="A1182" s="1">
        <f>ROW(CantoralDB[[#This Row],[Título]])-1</f>
        <v>1181</v>
      </c>
      <c r="B1182" s="1" t="s">
        <v>2028</v>
      </c>
      <c r="C1182" s="1"/>
      <c r="H1182" s="1" t="s">
        <v>531</v>
      </c>
      <c r="J1182" s="1" t="s">
        <v>608</v>
      </c>
      <c r="M1182" s="15" t="s">
        <v>484</v>
      </c>
      <c r="N1182" s="15" t="s">
        <v>1495</v>
      </c>
      <c r="O1182" s="15">
        <v>2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1182" s="15" t="str">
        <f>_xlfn.TEXTBEFORE(_xlfn.TEXTAFTER(CantoralDB[[#This Row],[index.html]],"&gt;"),"&gt;")&amp;"&gt;"</f>
        <v>&lt;a href="canciones/kairoi/ten_piedad_de_mi.html"&gt;</v>
      </c>
    </row>
    <row r="1183" spans="1:23" x14ac:dyDescent="0.3">
      <c r="A1183" s="1">
        <f>ROW(CantoralDB[[#This Row],[Título]])-1</f>
        <v>1182</v>
      </c>
      <c r="B1183" s="1" t="s">
        <v>193</v>
      </c>
      <c r="C1183" s="1"/>
      <c r="H1183" s="1" t="s">
        <v>1029</v>
      </c>
      <c r="J1183" s="1" t="s">
        <v>608</v>
      </c>
      <c r="M1183" s="15" t="s">
        <v>484</v>
      </c>
      <c r="N1183" s="15" t="s">
        <v>1495</v>
      </c>
      <c r="O1183" s="15">
        <v>3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1183" s="15" t="str">
        <f>_xlfn.TEXTBEFORE(_xlfn.TEXTAFTER(CantoralDB[[#This Row],[index.html]],"&gt;"),"&gt;")&amp;"&gt;"</f>
        <v>&lt;a href="canciones/kairoi/gloria.html"&gt;</v>
      </c>
    </row>
    <row r="1184" spans="1:23" x14ac:dyDescent="0.3">
      <c r="A1184" s="1">
        <f>ROW(CantoralDB[[#This Row],[Título]])-1</f>
        <v>1183</v>
      </c>
      <c r="B1184" s="1" t="s">
        <v>1663</v>
      </c>
      <c r="C1184" s="1"/>
      <c r="J1184" s="1"/>
      <c r="M1184" s="15" t="s">
        <v>484</v>
      </c>
      <c r="N1184" s="15" t="s">
        <v>1495</v>
      </c>
      <c r="O1184" s="15">
        <v>4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1184" s="15" t="str">
        <f>_xlfn.TEXTBEFORE(_xlfn.TEXTAFTER(CantoralDB[[#This Row],[index.html]],"&gt;"),"&gt;")&amp;"&gt;"</f>
        <v>&lt;a href="canciones/kairoi/salmo.html"&gt;</v>
      </c>
    </row>
    <row r="1185" spans="1:23" x14ac:dyDescent="0.3">
      <c r="A1185" s="1">
        <f>ROW(CantoralDB[[#This Row],[Título]])-1</f>
        <v>1184</v>
      </c>
      <c r="B1185" s="1" t="s">
        <v>194</v>
      </c>
      <c r="C1185" s="1"/>
      <c r="H1185" s="1" t="s">
        <v>1029</v>
      </c>
      <c r="J1185" s="1" t="s">
        <v>608</v>
      </c>
      <c r="M1185" s="15" t="s">
        <v>484</v>
      </c>
      <c r="N1185" s="15" t="s">
        <v>1495</v>
      </c>
      <c r="O1185" s="15">
        <v>5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1185" s="15" t="str">
        <f>_xlfn.TEXTBEFORE(_xlfn.TEXTAFTER(CantoralDB[[#This Row],[index.html]],"&gt;"),"&gt;")&amp;"&gt;"</f>
        <v>&lt;a href="canciones/kairoi/aleluya.html"&gt;</v>
      </c>
    </row>
    <row r="1186" spans="1:23" x14ac:dyDescent="0.3">
      <c r="A1186" s="1">
        <f>ROW(CantoralDB[[#This Row],[Título]])-1</f>
        <v>1185</v>
      </c>
      <c r="B1186" s="1" t="s">
        <v>1915</v>
      </c>
      <c r="C1186" s="1"/>
      <c r="H1186" s="1" t="s">
        <v>1030</v>
      </c>
      <c r="J1186" s="1" t="s">
        <v>608</v>
      </c>
      <c r="M1186" s="15" t="s">
        <v>484</v>
      </c>
      <c r="N1186" s="15" t="s">
        <v>1495</v>
      </c>
      <c r="O1186" s="15">
        <v>6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1186" s="15" t="str">
        <f>_xlfn.TEXTBEFORE(_xlfn.TEXTAFTER(CantoralDB[[#This Row],[index.html]],"&gt;"),"&gt;")&amp;"&gt;"</f>
        <v>&lt;a href="canciones/kairoi/estoy_creyendo_en_ti_(credo).html"&gt;</v>
      </c>
    </row>
    <row r="1187" spans="1:23" x14ac:dyDescent="0.3">
      <c r="A1187" s="1">
        <f>ROW(CantoralDB[[#This Row],[Título]])-1</f>
        <v>1186</v>
      </c>
      <c r="B1187" s="1" t="s">
        <v>196</v>
      </c>
      <c r="C1187" s="1"/>
      <c r="J1187" s="1"/>
      <c r="M1187" s="15" t="s">
        <v>484</v>
      </c>
      <c r="N1187" s="15" t="s">
        <v>1495</v>
      </c>
      <c r="O1187" s="15">
        <v>8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1187" s="15" t="str">
        <f>_xlfn.TEXTBEFORE(_xlfn.TEXTAFTER(CantoralDB[[#This Row],[index.html]],"&gt;"),"&gt;")&amp;"&gt;"</f>
        <v>&lt;a href="canciones/kairoi/santo.html"&gt;</v>
      </c>
    </row>
    <row r="1188" spans="1:23" x14ac:dyDescent="0.3">
      <c r="A1188" s="1">
        <f>ROW(CantoralDB[[#This Row],[Título]])-1</f>
        <v>1187</v>
      </c>
      <c r="B1188" s="1" t="s">
        <v>1916</v>
      </c>
      <c r="C1188" s="1"/>
      <c r="H1188" s="1" t="s">
        <v>1030</v>
      </c>
      <c r="J1188" s="1" t="s">
        <v>608</v>
      </c>
      <c r="M1188" s="15" t="s">
        <v>484</v>
      </c>
      <c r="N1188" s="15" t="s">
        <v>1495</v>
      </c>
      <c r="O1188" s="15">
        <v>8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1188" s="15" t="str">
        <f>_xlfn.TEXTBEFORE(_xlfn.TEXTAFTER(CantoralDB[[#This Row],[index.html]],"&gt;"),"&gt;")&amp;"&gt;"</f>
        <v>&lt;a href="canciones/kairoi/conviviendo_en_armonia.html"&gt;</v>
      </c>
    </row>
    <row r="1189" spans="1:23" x14ac:dyDescent="0.3">
      <c r="A1189" s="1">
        <f>ROW(CantoralDB[[#This Row],[Título]])-1</f>
        <v>1188</v>
      </c>
      <c r="B1189" s="1" t="s">
        <v>1665</v>
      </c>
      <c r="C1189" s="1"/>
      <c r="J1189" s="1"/>
      <c r="M1189" s="15" t="s">
        <v>484</v>
      </c>
      <c r="N1189" s="15" t="s">
        <v>1495</v>
      </c>
      <c r="O1189" s="15">
        <v>10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1189" s="15" t="str">
        <f>_xlfn.TEXTBEFORE(_xlfn.TEXTAFTER(CantoralDB[[#This Row],[index.html]],"&gt;"),"&gt;")&amp;"&gt;"</f>
        <v>&lt;a href="canciones/kairoi/cancion_de_paz.html"&gt;</v>
      </c>
    </row>
    <row r="1190" spans="1:23" x14ac:dyDescent="0.3">
      <c r="A1190" s="1">
        <f>ROW(CantoralDB[[#This Row],[Título]])-1</f>
        <v>1189</v>
      </c>
      <c r="B1190" s="1" t="s">
        <v>2148</v>
      </c>
      <c r="C1190" s="1"/>
      <c r="H1190" s="1" t="s">
        <v>1030</v>
      </c>
      <c r="J1190" s="1" t="s">
        <v>608</v>
      </c>
      <c r="M1190" s="15" t="s">
        <v>484</v>
      </c>
      <c r="N1190" s="15" t="s">
        <v>1495</v>
      </c>
      <c r="O1190" s="15">
        <v>10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190" s="1"/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1190" s="15" t="str">
        <f>_xlfn.TEXTBEFORE(_xlfn.TEXTAFTER(CantoralDB[[#This Row],[index.html]],"&gt;"),"&gt;")&amp;"&gt;"</f>
        <v>&lt;a href="canciones/kairoi/padre_nuestro_ii.html"&gt;</v>
      </c>
    </row>
    <row r="1191" spans="1:23" x14ac:dyDescent="0.3">
      <c r="A1191" s="1">
        <f>ROW(CantoralDB[[#This Row],[Título]])-1</f>
        <v>1190</v>
      </c>
      <c r="B1191" s="1" t="s">
        <v>1666</v>
      </c>
      <c r="C1191" s="1"/>
      <c r="H1191" s="1" t="s">
        <v>473</v>
      </c>
      <c r="I1191" s="1" t="s">
        <v>2958</v>
      </c>
      <c r="J1191" s="1" t="s">
        <v>608</v>
      </c>
      <c r="M1191" s="15" t="s">
        <v>484</v>
      </c>
      <c r="N1191" s="15" t="s">
        <v>1495</v>
      </c>
      <c r="O1191" s="15">
        <v>12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1191" s="15" t="str">
        <f>_xlfn.TEXTBEFORE(_xlfn.TEXTAFTER(CantoralDB[[#This Row],[index.html]],"&gt;"),"&gt;")&amp;"&gt;"</f>
        <v>&lt;a href="canciones/kairoi/te_agradezco.html"&gt;</v>
      </c>
    </row>
    <row r="1192" spans="1:23" x14ac:dyDescent="0.3">
      <c r="A1192" s="1">
        <f>ROW(CantoralDB[[#This Row],[Título]])-1</f>
        <v>1191</v>
      </c>
      <c r="B1192" s="1" t="s">
        <v>2891</v>
      </c>
      <c r="C1192" s="1"/>
      <c r="H1192" s="1" t="s">
        <v>1030</v>
      </c>
      <c r="J1192" s="1" t="s">
        <v>608</v>
      </c>
      <c r="M1192" s="15" t="s">
        <v>484</v>
      </c>
      <c r="N1192" s="15" t="s">
        <v>1495</v>
      </c>
      <c r="O1192" s="15">
        <v>13</v>
      </c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1192" s="15" t="str">
        <f>_xlfn.TEXTBEFORE(_xlfn.TEXTAFTER(CantoralDB[[#This Row],[index.html]],"&gt;"),"&gt;")&amp;"&gt;"</f>
        <v>&lt;a href="canciones/kairoi/escucha_maria.html"&gt;</v>
      </c>
    </row>
    <row r="1193" spans="1:23" x14ac:dyDescent="0.3">
      <c r="A1193" s="1">
        <f>ROW(CantoralDB[[#This Row],[Título]])-1</f>
        <v>1192</v>
      </c>
      <c r="B1193" s="1" t="s">
        <v>1643</v>
      </c>
      <c r="C1193" s="1"/>
      <c r="J1193" s="1"/>
      <c r="M1193" s="15" t="s">
        <v>484</v>
      </c>
      <c r="N1193" s="15" t="s">
        <v>1493</v>
      </c>
      <c r="O1193" s="15">
        <v>1</v>
      </c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193" s="1"/>
      <c r="T1193" s="1"/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1193" s="15" t="str">
        <f>_xlfn.TEXTBEFORE(_xlfn.TEXTAFTER(CantoralDB[[#This Row],[index.html]],"&gt;"),"&gt;")&amp;"&gt;"</f>
        <v>&lt;a href="canciones/kairoi/clara_hija_de_la_luz.html"&gt;</v>
      </c>
    </row>
    <row r="1194" spans="1:23" x14ac:dyDescent="0.3">
      <c r="A1194" s="1">
        <f>ROW(CantoralDB[[#This Row],[Título]])-1</f>
        <v>1193</v>
      </c>
      <c r="B1194" s="1" t="s">
        <v>1644</v>
      </c>
      <c r="C1194" s="1"/>
      <c r="J1194" s="1"/>
      <c r="M1194" s="15" t="s">
        <v>484</v>
      </c>
      <c r="N1194" s="15" t="s">
        <v>1493</v>
      </c>
      <c r="O1194" s="15">
        <v>2</v>
      </c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1194" s="15" t="str">
        <f>_xlfn.TEXTBEFORE(_xlfn.TEXTAFTER(CantoralDB[[#This Row],[index.html]],"&gt;"),"&gt;")&amp;"&gt;"</f>
        <v>&lt;a href="canciones/kairoi/clara_imagen_de_dios.html"&gt;</v>
      </c>
    </row>
    <row r="1195" spans="1:23" x14ac:dyDescent="0.3">
      <c r="A1195" s="1">
        <f>ROW(CantoralDB[[#This Row],[Título]])-1</f>
        <v>1194</v>
      </c>
      <c r="B1195" s="1" t="s">
        <v>1312</v>
      </c>
      <c r="C1195" s="1"/>
      <c r="E1195" s="1">
        <v>226</v>
      </c>
      <c r="H1195" s="1" t="s">
        <v>1030</v>
      </c>
      <c r="J1195" s="1" t="s">
        <v>608</v>
      </c>
      <c r="M1195" s="15" t="s">
        <v>484</v>
      </c>
      <c r="N1195" s="15" t="s">
        <v>1493</v>
      </c>
      <c r="O1195" s="15">
        <v>3</v>
      </c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1195" s="15" t="str">
        <f>_xlfn.TEXTBEFORE(_xlfn.TEXTAFTER(CantoralDB[[#This Row],[index.html]],"&gt;"),"&gt;")&amp;"&gt;"</f>
        <v>&lt;a href="canciones/kairoi/rezar_no_es_otra_cosa.html"&gt;</v>
      </c>
    </row>
    <row r="1196" spans="1:23" x14ac:dyDescent="0.3">
      <c r="A1196" s="1">
        <f>ROW(CantoralDB[[#This Row],[Título]])-1</f>
        <v>1195</v>
      </c>
      <c r="B1196" s="1" t="s">
        <v>1645</v>
      </c>
      <c r="C1196" s="1"/>
      <c r="H1196" s="1" t="s">
        <v>473</v>
      </c>
      <c r="J1196" s="1" t="s">
        <v>608</v>
      </c>
      <c r="M1196" s="15" t="s">
        <v>484</v>
      </c>
      <c r="N1196" s="15" t="s">
        <v>1493</v>
      </c>
      <c r="O1196" s="15">
        <v>4</v>
      </c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1196" s="15" t="str">
        <f>_xlfn.TEXTBEFORE(_xlfn.TEXTAFTER(CantoralDB[[#This Row],[index.html]],"&gt;"),"&gt;")&amp;"&gt;"</f>
        <v>&lt;a href="canciones/kairoi/jesus_te_ama.html"&gt;</v>
      </c>
    </row>
    <row r="1197" spans="1:23" x14ac:dyDescent="0.3">
      <c r="A1197" s="1">
        <f>ROW(CantoralDB[[#This Row],[Título]])-1</f>
        <v>1196</v>
      </c>
      <c r="B1197" s="1" t="s">
        <v>1646</v>
      </c>
      <c r="C1197" s="1"/>
      <c r="H1197" s="1" t="s">
        <v>531</v>
      </c>
      <c r="J1197" s="1" t="s">
        <v>608</v>
      </c>
      <c r="M1197" s="15" t="s">
        <v>484</v>
      </c>
      <c r="N1197" s="15" t="s">
        <v>1493</v>
      </c>
      <c r="O1197" s="15">
        <v>5</v>
      </c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1197" s="15" t="str">
        <f>_xlfn.TEXTBEFORE(_xlfn.TEXTAFTER(CantoralDB[[#This Row],[index.html]],"&gt;"),"&gt;")&amp;"&gt;"</f>
        <v>&lt;a href="canciones/kairoi/cantico_de_las_criaturas.html"&gt;</v>
      </c>
    </row>
    <row r="1198" spans="1:23" x14ac:dyDescent="0.3">
      <c r="A1198" s="1">
        <f>ROW(CantoralDB[[#This Row],[Título]])-1</f>
        <v>1197</v>
      </c>
      <c r="B1198" s="1" t="s">
        <v>1912</v>
      </c>
      <c r="C1198" s="1"/>
      <c r="H1198" s="1" t="s">
        <v>473</v>
      </c>
      <c r="J1198" s="1" t="s">
        <v>608</v>
      </c>
      <c r="M1198" s="15" t="s">
        <v>484</v>
      </c>
      <c r="N1198" s="15" t="s">
        <v>1493</v>
      </c>
      <c r="O1198" s="15">
        <v>6</v>
      </c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198" s="1"/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1198" s="15" t="str">
        <f>_xlfn.TEXTBEFORE(_xlfn.TEXTAFTER(CantoralDB[[#This Row],[index.html]],"&gt;"),"&gt;")&amp;"&gt;"</f>
        <v>&lt;a href="canciones/kairoi/ya_no_te_queda_tiempo.html"&gt;</v>
      </c>
    </row>
    <row r="1199" spans="1:23" x14ac:dyDescent="0.3">
      <c r="A1199" s="1">
        <f>ROW(CantoralDB[[#This Row],[Título]])-1</f>
        <v>1198</v>
      </c>
      <c r="B1199" s="1" t="s">
        <v>1647</v>
      </c>
      <c r="C1199" s="1"/>
      <c r="J1199" s="1"/>
      <c r="M1199" s="15" t="s">
        <v>484</v>
      </c>
      <c r="N1199" s="15" t="s">
        <v>1493</v>
      </c>
      <c r="O1199" s="15">
        <v>7</v>
      </c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199" s="1"/>
      <c r="T1199" s="1"/>
      <c r="U1199" s="15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1199" s="15" t="str">
        <f>_xlfn.TEXTBEFORE(_xlfn.TEXTAFTER(CantoralDB[[#This Row],[index.html]],"&gt;"),"&gt;")&amp;"&gt;"</f>
        <v>&lt;a href="canciones/kairoi/oracion_a_san_francisco.html"&gt;</v>
      </c>
    </row>
    <row r="1200" spans="1:23" x14ac:dyDescent="0.3">
      <c r="A1200" s="1">
        <f>ROW(CantoralDB[[#This Row],[Título]])-1</f>
        <v>1199</v>
      </c>
      <c r="B1200" s="1" t="s">
        <v>1298</v>
      </c>
      <c r="C1200" s="1"/>
      <c r="E1200" s="1">
        <v>196</v>
      </c>
      <c r="H1200" s="1" t="s">
        <v>1029</v>
      </c>
      <c r="J1200" s="1" t="s">
        <v>608</v>
      </c>
      <c r="M1200" s="15" t="s">
        <v>484</v>
      </c>
      <c r="N1200" s="15" t="s">
        <v>1493</v>
      </c>
      <c r="O1200" s="15">
        <v>8</v>
      </c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1200" s="15" t="str">
        <f>_xlfn.TEXTBEFORE(_xlfn.TEXTAFTER(CantoralDB[[#This Row],[index.html]],"&gt;"),"&gt;")&amp;"&gt;"</f>
        <v>&lt;a href="canciones/kairoi/padre_de_las_misericordias.html"&gt;</v>
      </c>
    </row>
    <row r="1201" spans="1:23" x14ac:dyDescent="0.3">
      <c r="A1201" s="1">
        <f>ROW(CantoralDB[[#This Row],[Título]])-1</f>
        <v>1200</v>
      </c>
      <c r="B1201" s="1" t="s">
        <v>1329</v>
      </c>
      <c r="C1201" s="1"/>
      <c r="E1201" s="1">
        <v>252</v>
      </c>
      <c r="H1201" s="1" t="s">
        <v>1027</v>
      </c>
      <c r="J1201" s="1" t="s">
        <v>608</v>
      </c>
      <c r="M1201" s="15" t="s">
        <v>484</v>
      </c>
      <c r="N1201" s="15" t="s">
        <v>1493</v>
      </c>
      <c r="O1201" s="15">
        <v>9</v>
      </c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1201" s="15" t="str">
        <f>_xlfn.TEXTBEFORE(_xlfn.TEXTAFTER(CantoralDB[[#This Row],[index.html]],"&gt;"),"&gt;")&amp;"&gt;"</f>
        <v>&lt;a href="canciones/kairoi/te_alabo_señor.html"&gt;</v>
      </c>
    </row>
    <row r="1202" spans="1:23" x14ac:dyDescent="0.3">
      <c r="A1202" s="1">
        <f>ROW(CantoralDB[[#This Row],[Título]])-1</f>
        <v>1201</v>
      </c>
      <c r="B1202" s="1" t="s">
        <v>1648</v>
      </c>
      <c r="C1202" s="1"/>
      <c r="J1202" s="1"/>
      <c r="M1202" s="15" t="s">
        <v>484</v>
      </c>
      <c r="N1202" s="15" t="s">
        <v>1493</v>
      </c>
      <c r="O1202" s="15">
        <v>10</v>
      </c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1202" s="15" t="str">
        <f>_xlfn.TEXTBEFORE(_xlfn.TEXTAFTER(CantoralDB[[#This Row],[index.html]],"&gt;"),"&gt;")&amp;"&gt;"</f>
        <v>&lt;a href="canciones/kairoi/si_vamos_desnudos_por_cristo.html"&gt;</v>
      </c>
    </row>
    <row r="1203" spans="1:23" x14ac:dyDescent="0.3">
      <c r="A1203" s="1">
        <f>ROW(CantoralDB[[#This Row],[Título]])-1</f>
        <v>1202</v>
      </c>
      <c r="B1203" s="1" t="s">
        <v>1649</v>
      </c>
      <c r="C1203" s="1"/>
      <c r="H1203" s="1" t="s">
        <v>1030</v>
      </c>
      <c r="J1203" s="1" t="s">
        <v>608</v>
      </c>
      <c r="M1203" s="15" t="s">
        <v>484</v>
      </c>
      <c r="N1203" s="15" t="s">
        <v>1493</v>
      </c>
      <c r="O1203" s="15">
        <v>11</v>
      </c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203" s="1"/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1203" s="15" t="str">
        <f>_xlfn.TEXTBEFORE(_xlfn.TEXTAFTER(CantoralDB[[#This Row],[index.html]],"&gt;"),"&gt;")&amp;"&gt;"</f>
        <v>&lt;a href="canciones/kairoi/el_don_de_la_fraternidad.html"&gt;</v>
      </c>
    </row>
    <row r="1204" spans="1:23" x14ac:dyDescent="0.3">
      <c r="A1204" s="1">
        <f>ROW(CantoralDB[[#This Row],[Título]])-1</f>
        <v>1203</v>
      </c>
      <c r="B1204" s="1" t="s">
        <v>1569</v>
      </c>
      <c r="C1204" s="1"/>
      <c r="H1204" s="1" t="s">
        <v>1027</v>
      </c>
      <c r="J1204" s="1" t="s">
        <v>608</v>
      </c>
      <c r="M1204" s="15" t="s">
        <v>484</v>
      </c>
      <c r="N1204" s="15" t="s">
        <v>1488</v>
      </c>
      <c r="O1204" s="15">
        <v>1</v>
      </c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1204" s="15" t="str">
        <f>_xlfn.TEXTBEFORE(_xlfn.TEXTAFTER(CantoralDB[[#This Row],[index.html]],"&gt;"),"&gt;")&amp;"&gt;"</f>
        <v>&lt;a href="canciones/kairoi/jesus_es_verdad.html"&gt;</v>
      </c>
    </row>
    <row r="1205" spans="1:23" x14ac:dyDescent="0.3">
      <c r="A1205" s="1">
        <f>ROW(CantoralDB[[#This Row],[Título]])-1</f>
        <v>1204</v>
      </c>
      <c r="B1205" s="1" t="s">
        <v>1604</v>
      </c>
      <c r="C1205" s="1"/>
      <c r="J1205" s="1"/>
      <c r="M1205" s="15" t="s">
        <v>484</v>
      </c>
      <c r="N1205" s="15" t="s">
        <v>1488</v>
      </c>
      <c r="O1205" s="15">
        <v>3</v>
      </c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1205" s="15" t="str">
        <f>_xlfn.TEXTBEFORE(_xlfn.TEXTAFTER(CantoralDB[[#This Row],[index.html]],"&gt;"),"&gt;")&amp;"&gt;"</f>
        <v>&lt;a href="canciones/kairoi/como_marcelino.html"&gt;</v>
      </c>
    </row>
    <row r="1206" spans="1:23" x14ac:dyDescent="0.3">
      <c r="A1206" s="1">
        <f>ROW(CantoralDB[[#This Row],[Título]])-1</f>
        <v>1205</v>
      </c>
      <c r="B1206" s="1" t="s">
        <v>1605</v>
      </c>
      <c r="C1206" s="1"/>
      <c r="H1206" s="1" t="s">
        <v>1030</v>
      </c>
      <c r="J1206" s="1" t="s">
        <v>608</v>
      </c>
      <c r="M1206" s="15" t="s">
        <v>484</v>
      </c>
      <c r="N1206" s="15" t="s">
        <v>1488</v>
      </c>
      <c r="O1206" s="15">
        <v>4</v>
      </c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206" s="1"/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1206" s="15" t="str">
        <f>_xlfn.TEXTBEFORE(_xlfn.TEXTAFTER(CantoralDB[[#This Row],[index.html]],"&gt;"),"&gt;")&amp;"&gt;"</f>
        <v>&lt;a href="canciones/kairoi/niño.html"&gt;</v>
      </c>
    </row>
    <row r="1207" spans="1:23" x14ac:dyDescent="0.3">
      <c r="A1207" s="1">
        <f>ROW(CantoralDB[[#This Row],[Título]])-1</f>
        <v>1206</v>
      </c>
      <c r="B1207" s="1" t="s">
        <v>1607</v>
      </c>
      <c r="C1207" s="1"/>
      <c r="H1207" s="1" t="s">
        <v>1027</v>
      </c>
      <c r="J1207" s="1" t="s">
        <v>608</v>
      </c>
      <c r="M1207" s="15" t="s">
        <v>484</v>
      </c>
      <c r="N1207" s="15" t="s">
        <v>1488</v>
      </c>
      <c r="O1207" s="15">
        <v>6</v>
      </c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1207" s="15" t="str">
        <f>_xlfn.TEXTBEFORE(_xlfn.TEXTAFTER(CantoralDB[[#This Row],[index.html]],"&gt;"),"&gt;")&amp;"&gt;"</f>
        <v>&lt;a href="canciones/kairoi/una_vida.html"&gt;</v>
      </c>
    </row>
    <row r="1208" spans="1:23" x14ac:dyDescent="0.3">
      <c r="A1208" s="1">
        <f>ROW(CantoralDB[[#This Row],[Título]])-1</f>
        <v>1207</v>
      </c>
      <c r="B1208" s="1" t="s">
        <v>1610</v>
      </c>
      <c r="C1208" s="1"/>
      <c r="H1208" s="1" t="s">
        <v>473</v>
      </c>
      <c r="J1208" s="1" t="s">
        <v>608</v>
      </c>
      <c r="M1208" s="15" t="s">
        <v>484</v>
      </c>
      <c r="N1208" s="15" t="s">
        <v>1488</v>
      </c>
      <c r="O1208" s="15">
        <v>9</v>
      </c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208" s="1"/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1208" s="15" t="str">
        <f>_xlfn.TEXTBEFORE(_xlfn.TEXTAFTER(CantoralDB[[#This Row],[index.html]],"&gt;"),"&gt;")&amp;"&gt;"</f>
        <v>&lt;a href="canciones/kairoi/dios_en_la_ciudad.html"&gt;</v>
      </c>
    </row>
    <row r="1209" spans="1:23" x14ac:dyDescent="0.3">
      <c r="A1209" s="1">
        <f>ROW(CantoralDB[[#This Row],[Título]])-1</f>
        <v>1208</v>
      </c>
      <c r="B1209" s="1" t="s">
        <v>1612</v>
      </c>
      <c r="C1209" s="1"/>
      <c r="H1209" s="1" t="s">
        <v>531</v>
      </c>
      <c r="J1209" s="1" t="s">
        <v>608</v>
      </c>
      <c r="M1209" s="15" t="s">
        <v>484</v>
      </c>
      <c r="N1209" s="15" t="s">
        <v>1488</v>
      </c>
      <c r="O1209" s="15">
        <v>11</v>
      </c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1209" s="15" t="str">
        <f>_xlfn.TEXTBEFORE(_xlfn.TEXTAFTER(CantoralDB[[#This Row],[index.html]],"&gt;"),"&gt;")&amp;"&gt;"</f>
        <v>&lt;a href="canciones/kairoi/somos_una_familia.html"&gt;</v>
      </c>
    </row>
    <row r="1210" spans="1:23" x14ac:dyDescent="0.3">
      <c r="A1210" s="1">
        <f>ROW(CantoralDB[[#This Row],[Título]])-1</f>
        <v>1209</v>
      </c>
      <c r="B1210" s="1" t="s">
        <v>61</v>
      </c>
      <c r="C1210" s="1" t="s">
        <v>191</v>
      </c>
      <c r="D1210" s="1" t="s">
        <v>739</v>
      </c>
      <c r="E1210" s="1">
        <v>111</v>
      </c>
      <c r="G1210" s="1" t="s">
        <v>209</v>
      </c>
      <c r="H1210" s="1" t="s">
        <v>531</v>
      </c>
      <c r="I1210" s="1" t="s">
        <v>2962</v>
      </c>
      <c r="J1210" s="1" t="s">
        <v>608</v>
      </c>
      <c r="M1210" s="15" t="s">
        <v>484</v>
      </c>
      <c r="N1210" s="15" t="s">
        <v>1492</v>
      </c>
      <c r="O1210" s="15">
        <v>1</v>
      </c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1210" s="1" t="s">
        <v>832</v>
      </c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1210" s="15" t="str">
        <f>_xlfn.TEXTBEFORE(_xlfn.TEXTAFTER(CantoralDB[[#This Row],[index.html]],"&gt;"),"&gt;")&amp;"&gt;"</f>
        <v>&lt;a href="canciones/kairoi/eres_el_fuego_el_amor.html"&gt;</v>
      </c>
    </row>
    <row r="1211" spans="1:23" x14ac:dyDescent="0.3">
      <c r="A1211" s="1">
        <f>ROW(CantoralDB[[#This Row],[Título]])-1</f>
        <v>1210</v>
      </c>
      <c r="B1211" s="1" t="s">
        <v>1574</v>
      </c>
      <c r="C1211" s="1"/>
      <c r="H1211" s="1" t="s">
        <v>1027</v>
      </c>
      <c r="J1211" s="1" t="s">
        <v>608</v>
      </c>
      <c r="M1211" s="15" t="s">
        <v>484</v>
      </c>
      <c r="N1211" s="15" t="s">
        <v>1492</v>
      </c>
      <c r="O1211" s="15">
        <v>2</v>
      </c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1211" s="15" t="str">
        <f>_xlfn.TEXTBEFORE(_xlfn.TEXTAFTER(CantoralDB[[#This Row],[index.html]],"&gt;"),"&gt;")&amp;"&gt;"</f>
        <v>&lt;a href="canciones/kairoi/me_has_seducido_señor.html"&gt;</v>
      </c>
    </row>
    <row r="1212" spans="1:23" x14ac:dyDescent="0.3">
      <c r="A1212" s="1">
        <f>ROW(CantoralDB[[#This Row],[Título]])-1</f>
        <v>1211</v>
      </c>
      <c r="B1212" s="1" t="s">
        <v>1637</v>
      </c>
      <c r="C1212" s="1"/>
      <c r="J1212" s="1"/>
      <c r="M1212" s="15" t="s">
        <v>484</v>
      </c>
      <c r="N1212" s="15" t="s">
        <v>1492</v>
      </c>
      <c r="O1212" s="15">
        <v>3</v>
      </c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1212" s="15" t="str">
        <f>_xlfn.TEXTBEFORE(_xlfn.TEXTAFTER(CantoralDB[[#This Row],[index.html]],"&gt;"),"&gt;")&amp;"&gt;"</f>
        <v>&lt;a href="canciones/kairoi/deseo_paz.html"&gt;</v>
      </c>
    </row>
    <row r="1213" spans="1:23" x14ac:dyDescent="0.3">
      <c r="A1213" s="1">
        <f>ROW(CantoralDB[[#This Row],[Título]])-1</f>
        <v>1212</v>
      </c>
      <c r="B1213" s="1" t="s">
        <v>1575</v>
      </c>
      <c r="C1213" s="1"/>
      <c r="H1213" s="1" t="s">
        <v>473</v>
      </c>
      <c r="J1213" s="1" t="s">
        <v>608</v>
      </c>
      <c r="M1213" s="15" t="s">
        <v>484</v>
      </c>
      <c r="N1213" s="15" t="s">
        <v>1492</v>
      </c>
      <c r="O1213" s="15">
        <v>4</v>
      </c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1213" s="15" t="str">
        <f>_xlfn.TEXTBEFORE(_xlfn.TEXTAFTER(CantoralDB[[#This Row],[index.html]],"&gt;"),"&gt;")&amp;"&gt;"</f>
        <v>&lt;a href="canciones/kairoi/una_vida_que_busca_libertad.html"&gt;</v>
      </c>
    </row>
    <row r="1214" spans="1:23" x14ac:dyDescent="0.3">
      <c r="A1214" s="1">
        <f>ROW(CantoralDB[[#This Row],[Título]])-1</f>
        <v>1213</v>
      </c>
      <c r="B1214" s="1" t="s">
        <v>1638</v>
      </c>
      <c r="C1214" s="1"/>
      <c r="H1214" s="1" t="s">
        <v>1028</v>
      </c>
      <c r="J1214" s="1" t="s">
        <v>608</v>
      </c>
      <c r="M1214" s="15" t="s">
        <v>484</v>
      </c>
      <c r="N1214" s="15" t="s">
        <v>1492</v>
      </c>
      <c r="O1214" s="15">
        <v>5</v>
      </c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214" s="1"/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1214" s="15" t="str">
        <f>_xlfn.TEXTBEFORE(_xlfn.TEXTAFTER(CantoralDB[[#This Row],[index.html]],"&gt;"),"&gt;")&amp;"&gt;"</f>
        <v>&lt;a href="canciones/kairoi/nuestra_buena_madre.html"&gt;</v>
      </c>
    </row>
    <row r="1215" spans="1:23" x14ac:dyDescent="0.3">
      <c r="A1215" s="1">
        <f>ROW(CantoralDB[[#This Row],[Título]])-1</f>
        <v>1214</v>
      </c>
      <c r="B1215" s="1" t="s">
        <v>1576</v>
      </c>
      <c r="C1215" s="1"/>
      <c r="H1215" s="1" t="s">
        <v>1027</v>
      </c>
      <c r="J1215" s="1" t="s">
        <v>608</v>
      </c>
      <c r="M1215" s="15" t="s">
        <v>484</v>
      </c>
      <c r="N1215" s="15" t="s">
        <v>1492</v>
      </c>
      <c r="O1215" s="15">
        <v>6</v>
      </c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1215" s="15" t="str">
        <f>_xlfn.TEXTBEFORE(_xlfn.TEXTAFTER(CantoralDB[[#This Row],[index.html]],"&gt;"),"&gt;")&amp;"&gt;"</f>
        <v>&lt;a href="canciones/kairoi/señor_yo_no_soy_digno.html"&gt;</v>
      </c>
    </row>
    <row r="1216" spans="1:23" x14ac:dyDescent="0.3">
      <c r="A1216" s="1">
        <f>ROW(CantoralDB[[#This Row],[Título]])-1</f>
        <v>1215</v>
      </c>
      <c r="B1216" s="1" t="s">
        <v>1639</v>
      </c>
      <c r="C1216" s="1"/>
      <c r="H1216" s="1" t="s">
        <v>473</v>
      </c>
      <c r="J1216" s="1" t="s">
        <v>608</v>
      </c>
      <c r="M1216" s="15" t="s">
        <v>484</v>
      </c>
      <c r="N1216" s="15" t="s">
        <v>1492</v>
      </c>
      <c r="O1216" s="15">
        <v>7</v>
      </c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216" s="1"/>
      <c r="T1216" s="1"/>
      <c r="U1216" s="15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1216" s="15" t="str">
        <f>_xlfn.TEXTBEFORE(_xlfn.TEXTAFTER(CantoralDB[[#This Row],[index.html]],"&gt;"),"&gt;")&amp;"&gt;"</f>
        <v>&lt;a href="canciones/kairoi/no_durmais.html"&gt;</v>
      </c>
    </row>
    <row r="1217" spans="1:23" x14ac:dyDescent="0.3">
      <c r="A1217" s="1">
        <f>ROW(CantoralDB[[#This Row],[Título]])-1</f>
        <v>1216</v>
      </c>
      <c r="B1217" s="1" t="s">
        <v>1911</v>
      </c>
      <c r="C1217" s="1"/>
      <c r="H1217" s="1" t="s">
        <v>1030</v>
      </c>
      <c r="J1217" s="1" t="s">
        <v>608</v>
      </c>
      <c r="M1217" s="15" t="s">
        <v>484</v>
      </c>
      <c r="N1217" s="15" t="s">
        <v>1492</v>
      </c>
      <c r="O1217" s="15">
        <v>8</v>
      </c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1217" s="15" t="str">
        <f>_xlfn.TEXTBEFORE(_xlfn.TEXTAFTER(CantoralDB[[#This Row],[index.html]],"&gt;"),"&gt;")&amp;"&gt;"</f>
        <v>&lt;a href="canciones/kairoi/señor_dios_me_tienes_ante_ti.html"&gt;</v>
      </c>
    </row>
    <row r="1218" spans="1:23" x14ac:dyDescent="0.3">
      <c r="A1218" s="1">
        <f>ROW(CantoralDB[[#This Row],[Título]])-1</f>
        <v>1217</v>
      </c>
      <c r="B1218" s="1" t="s">
        <v>174</v>
      </c>
      <c r="C1218" s="1" t="s">
        <v>993</v>
      </c>
      <c r="D1218" s="1" t="s">
        <v>685</v>
      </c>
      <c r="G1218" s="1" t="s">
        <v>209</v>
      </c>
      <c r="H1218" s="1" t="s">
        <v>1030</v>
      </c>
      <c r="J1218" s="1" t="s">
        <v>608</v>
      </c>
      <c r="M1218" s="15" t="s">
        <v>484</v>
      </c>
      <c r="N1218" s="15" t="s">
        <v>1492</v>
      </c>
      <c r="O1218" s="15">
        <v>9</v>
      </c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218" s="1" t="s">
        <v>810</v>
      </c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1218" s="15" t="str">
        <f>_xlfn.TEXTBEFORE(_xlfn.TEXTAFTER(CantoralDB[[#This Row],[index.html]],"&gt;"),"&gt;")&amp;"&gt;"</f>
        <v>&lt;a href="canciones/kairoi/bienaventuranzas_(kairoi).html"&gt;</v>
      </c>
    </row>
    <row r="1219" spans="1:23" x14ac:dyDescent="0.3">
      <c r="A1219" s="1">
        <f>ROW(CantoralDB[[#This Row],[Título]])-1</f>
        <v>1218</v>
      </c>
      <c r="B1219" s="1" t="s">
        <v>1640</v>
      </c>
      <c r="C1219" s="1"/>
      <c r="H1219" s="1" t="s">
        <v>473</v>
      </c>
      <c r="J1219" s="1" t="s">
        <v>608</v>
      </c>
      <c r="M1219" s="15" t="s">
        <v>484</v>
      </c>
      <c r="N1219" s="15" t="s">
        <v>1492</v>
      </c>
      <c r="O1219" s="15">
        <v>10</v>
      </c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1219" s="15" t="str">
        <f>_xlfn.TEXTBEFORE(_xlfn.TEXTAFTER(CantoralDB[[#This Row],[index.html]],"&gt;"),"&gt;")&amp;"&gt;"</f>
        <v>&lt;a href="canciones/kairoi/tu_llamada.html"&gt;</v>
      </c>
    </row>
    <row r="1220" spans="1:23" x14ac:dyDescent="0.3">
      <c r="A1220" s="1">
        <f>ROW(CantoralDB[[#This Row],[Título]])-1</f>
        <v>1219</v>
      </c>
      <c r="B1220" s="1" t="s">
        <v>1641</v>
      </c>
      <c r="C1220" s="1"/>
      <c r="H1220" s="1" t="s">
        <v>531</v>
      </c>
      <c r="J1220" s="1" t="s">
        <v>608</v>
      </c>
      <c r="M1220" s="15" t="s">
        <v>484</v>
      </c>
      <c r="N1220" s="15" t="s">
        <v>1492</v>
      </c>
      <c r="O1220" s="15">
        <v>11</v>
      </c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1220" s="15" t="str">
        <f>_xlfn.TEXTBEFORE(_xlfn.TEXTAFTER(CantoralDB[[#This Row],[index.html]],"&gt;"),"&gt;")&amp;"&gt;"</f>
        <v>&lt;a href="canciones/kairoi/no_es_facil.html"&gt;</v>
      </c>
    </row>
    <row r="1221" spans="1:23" x14ac:dyDescent="0.3">
      <c r="A1221" s="1">
        <f>ROW(CantoralDB[[#This Row],[Título]])-1</f>
        <v>1220</v>
      </c>
      <c r="B1221" s="1" t="s">
        <v>1642</v>
      </c>
      <c r="C1221" s="1"/>
      <c r="H1221" s="1" t="s">
        <v>1028</v>
      </c>
      <c r="J1221" s="1" t="s">
        <v>608</v>
      </c>
      <c r="M1221" s="15" t="s">
        <v>484</v>
      </c>
      <c r="N1221" s="15" t="s">
        <v>1492</v>
      </c>
      <c r="O1221" s="15">
        <v>12</v>
      </c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1221" s="15" t="str">
        <f>_xlfn.TEXTBEFORE(_xlfn.TEXTAFTER(CantoralDB[[#This Row],[index.html]],"&gt;"),"&gt;")&amp;"&gt;"</f>
        <v>&lt;a href="canciones/kairoi/nacidos_de_la_cruz.html"&gt;</v>
      </c>
    </row>
    <row r="1222" spans="1:23" x14ac:dyDescent="0.3">
      <c r="A1222" s="1">
        <f>ROW(CantoralDB[[#This Row],[Título]])-1</f>
        <v>1221</v>
      </c>
      <c r="B1222" s="1" t="s">
        <v>1538</v>
      </c>
      <c r="C1222" s="1"/>
      <c r="H1222" s="1" t="s">
        <v>1029</v>
      </c>
      <c r="J1222" s="1" t="s">
        <v>608</v>
      </c>
      <c r="M1222" s="15" t="s">
        <v>484</v>
      </c>
      <c r="N1222" s="15" t="s">
        <v>1483</v>
      </c>
      <c r="O1222" s="15">
        <v>7</v>
      </c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1222" s="15" t="str">
        <f>_xlfn.TEXTBEFORE(_xlfn.TEXTAFTER(CantoralDB[[#This Row],[index.html]],"&gt;"),"&gt;")&amp;"&gt;"</f>
        <v>&lt;a href="canciones/kairoi/ven_señor_jesus.html"&gt;</v>
      </c>
    </row>
    <row r="1223" spans="1:23" x14ac:dyDescent="0.3">
      <c r="A1223" s="1">
        <f>ROW(CantoralDB[[#This Row],[Título]])-1</f>
        <v>1222</v>
      </c>
      <c r="B1223" s="1" t="s">
        <v>1541</v>
      </c>
      <c r="C1223" s="1"/>
      <c r="H1223" s="1" t="s">
        <v>531</v>
      </c>
      <c r="J1223" s="1" t="s">
        <v>608</v>
      </c>
      <c r="M1223" s="15" t="s">
        <v>484</v>
      </c>
      <c r="N1223" s="15" t="s">
        <v>1483</v>
      </c>
      <c r="O1223" s="15">
        <v>12</v>
      </c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223" s="1"/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1223" s="15" t="str">
        <f>_xlfn.TEXTBEFORE(_xlfn.TEXTAFTER(CantoralDB[[#This Row],[index.html]],"&gt;"),"&gt;")&amp;"&gt;"</f>
        <v>&lt;a href="canciones/kairoi/canta_jerusalen.html"&gt;</v>
      </c>
    </row>
    <row r="1224" spans="1:23" x14ac:dyDescent="0.3">
      <c r="A1224" s="1">
        <f>ROW(CantoralDB[[#This Row],[Título]])-1</f>
        <v>1223</v>
      </c>
      <c r="B1224" s="1" t="s">
        <v>1743</v>
      </c>
      <c r="C1224" s="1"/>
      <c r="J1224" s="1"/>
      <c r="M1224" s="15" t="s">
        <v>484</v>
      </c>
      <c r="N1224" s="15" t="s">
        <v>1504</v>
      </c>
      <c r="O1224" s="15">
        <v>3</v>
      </c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224" s="1"/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1224" s="15" t="str">
        <f>_xlfn.TEXTBEFORE(_xlfn.TEXTAFTER(CantoralDB[[#This Row],[index.html]],"&gt;"),"&gt;")&amp;"&gt;"</f>
        <v>&lt;a href="canciones/kairoi/entorno_al_pan.html"&gt;</v>
      </c>
    </row>
    <row r="1225" spans="1:23" x14ac:dyDescent="0.3">
      <c r="A1225" s="1">
        <f>ROW(CantoralDB[[#This Row],[Título]])-1</f>
        <v>1224</v>
      </c>
      <c r="B1225" s="1" t="s">
        <v>1625</v>
      </c>
      <c r="C1225" s="1"/>
      <c r="H1225" s="1" t="s">
        <v>1027</v>
      </c>
      <c r="J1225" s="1" t="s">
        <v>608</v>
      </c>
      <c r="M1225" s="15" t="s">
        <v>484</v>
      </c>
      <c r="N1225" s="15" t="s">
        <v>1504</v>
      </c>
      <c r="O1225" s="15">
        <v>5</v>
      </c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1225" s="15" t="str">
        <f>_xlfn.TEXTBEFORE(_xlfn.TEXTAFTER(CantoralDB[[#This Row],[index.html]],"&gt;"),"&gt;")&amp;"&gt;"</f>
        <v>&lt;a href="canciones/kairoi/diremos_que_si.html"&gt;</v>
      </c>
    </row>
    <row r="1226" spans="1:23" x14ac:dyDescent="0.3">
      <c r="A1226" s="1">
        <f>ROW(CantoralDB[[#This Row],[Título]])-1</f>
        <v>1225</v>
      </c>
      <c r="B1226" s="1" t="s">
        <v>1724</v>
      </c>
      <c r="C1226" s="1"/>
      <c r="J1226" s="1"/>
      <c r="M1226" s="15" t="s">
        <v>484</v>
      </c>
      <c r="N1226" s="15" t="s">
        <v>1504</v>
      </c>
      <c r="O1226" s="15">
        <v>6</v>
      </c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226" s="1"/>
      <c r="T1226" s="1"/>
      <c r="U1226" s="15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1226" s="15" t="str">
        <f>_xlfn.TEXTBEFORE(_xlfn.TEXTAFTER(CantoralDB[[#This Row],[index.html]],"&gt;"),"&gt;")&amp;"&gt;"</f>
        <v>&lt;a href="canciones/kairoi/caminar.html"&gt;</v>
      </c>
    </row>
    <row r="1227" spans="1:23" x14ac:dyDescent="0.3">
      <c r="A1227" s="1">
        <f>ROW(CantoralDB[[#This Row],[Título]])-1</f>
        <v>1226</v>
      </c>
      <c r="B1227" s="1" t="s">
        <v>1570</v>
      </c>
      <c r="C1227" s="1"/>
      <c r="H1227" s="1" t="s">
        <v>531</v>
      </c>
      <c r="J1227" s="1" t="s">
        <v>608</v>
      </c>
      <c r="M1227" s="15" t="s">
        <v>484</v>
      </c>
      <c r="N1227" s="15" t="s">
        <v>1504</v>
      </c>
      <c r="O1227" s="15">
        <v>7</v>
      </c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227" s="1"/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1227" s="15" t="str">
        <f>_xlfn.TEXTBEFORE(_xlfn.TEXTAFTER(CantoralDB[[#This Row],[index.html]],"&gt;"),"&gt;")&amp;"&gt;"</f>
        <v>&lt;a href="canciones/kairoi/gracias_por_tu_don.html"&gt;</v>
      </c>
    </row>
    <row r="1228" spans="1:23" x14ac:dyDescent="0.3">
      <c r="A1228" s="1">
        <f>ROW(CantoralDB[[#This Row],[Título]])-1</f>
        <v>1227</v>
      </c>
      <c r="B1228" s="1" t="s">
        <v>1744</v>
      </c>
      <c r="C1228" s="1"/>
      <c r="J1228" s="1"/>
      <c r="M1228" s="15" t="s">
        <v>484</v>
      </c>
      <c r="N1228" s="15" t="s">
        <v>1504</v>
      </c>
      <c r="O1228" s="15">
        <v>9</v>
      </c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1228" s="15" t="str">
        <f>_xlfn.TEXTBEFORE(_xlfn.TEXTAFTER(CantoralDB[[#This Row],[index.html]],"&gt;"),"&gt;")&amp;"&gt;"</f>
        <v>&lt;a href="canciones/kairoi/somos.html"&gt;</v>
      </c>
    </row>
    <row r="1229" spans="1:23" x14ac:dyDescent="0.3">
      <c r="A1229" s="1">
        <f>ROW(CantoralDB[[#This Row],[Título]])-1</f>
        <v>1228</v>
      </c>
      <c r="B1229" s="1" t="s">
        <v>1593</v>
      </c>
      <c r="C1229" s="1"/>
      <c r="J1229" s="1"/>
      <c r="M1229" s="15" t="s">
        <v>484</v>
      </c>
      <c r="N1229" s="15" t="s">
        <v>1485</v>
      </c>
      <c r="O1229" s="15">
        <v>1</v>
      </c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229" s="1"/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1229" s="15" t="str">
        <f>_xlfn.TEXTBEFORE(_xlfn.TEXTAFTER(CantoralDB[[#This Row],[index.html]],"&gt;"),"&gt;")&amp;"&gt;"</f>
        <v>&lt;a href="canciones/kairoi/un_himno_surgira.html"&gt;</v>
      </c>
    </row>
    <row r="1230" spans="1:23" x14ac:dyDescent="0.3">
      <c r="A1230" s="1">
        <f>ROW(CantoralDB[[#This Row],[Título]])-1</f>
        <v>1229</v>
      </c>
      <c r="B1230" s="1" t="s">
        <v>1594</v>
      </c>
      <c r="C1230" s="1"/>
      <c r="J1230" s="1"/>
      <c r="M1230" s="15" t="s">
        <v>484</v>
      </c>
      <c r="N1230" s="15" t="s">
        <v>1485</v>
      </c>
      <c r="O1230" s="15">
        <v>3</v>
      </c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1230" s="15" t="str">
        <f>_xlfn.TEXTBEFORE(_xlfn.TEXTAFTER(CantoralDB[[#This Row],[index.html]],"&gt;"),"&gt;")&amp;"&gt;"</f>
        <v>&lt;a href="canciones/kairoi/hermitage_casa_del_señor.html"&gt;</v>
      </c>
    </row>
    <row r="1231" spans="1:23" x14ac:dyDescent="0.3">
      <c r="A1231" s="1">
        <f>ROW(CantoralDB[[#This Row],[Título]])-1</f>
        <v>1230</v>
      </c>
      <c r="B1231" s="1" t="s">
        <v>1595</v>
      </c>
      <c r="C1231" s="1"/>
      <c r="J1231" s="1"/>
      <c r="M1231" s="15" t="s">
        <v>484</v>
      </c>
      <c r="N1231" s="15" t="s">
        <v>1485</v>
      </c>
      <c r="O1231" s="15">
        <v>5</v>
      </c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1231" s="15" t="str">
        <f>_xlfn.TEXTBEFORE(_xlfn.TEXTAFTER(CantoralDB[[#This Row],[index.html]],"&gt;"),"&gt;")&amp;"&gt;"</f>
        <v>&lt;a href="canciones/kairoi/donde_haya_un_niño.html"&gt;</v>
      </c>
    </row>
    <row r="1232" spans="1:23" x14ac:dyDescent="0.3">
      <c r="A1232" s="1">
        <f>ROW(CantoralDB[[#This Row],[Título]])-1</f>
        <v>1231</v>
      </c>
      <c r="B1232" s="1" t="s">
        <v>1596</v>
      </c>
      <c r="C1232" s="1"/>
      <c r="J1232" s="1"/>
      <c r="M1232" s="15" t="s">
        <v>484</v>
      </c>
      <c r="N1232" s="15" t="s">
        <v>1485</v>
      </c>
      <c r="O1232" s="15">
        <v>6</v>
      </c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1232" s="15" t="str">
        <f>_xlfn.TEXTBEFORE(_xlfn.TEXTAFTER(CantoralDB[[#This Row],[index.html]],"&gt;"),"&gt;")&amp;"&gt;"</f>
        <v>&lt;a href="canciones/kairoi/pienso_en_usted.html"&gt;</v>
      </c>
    </row>
    <row r="1233" spans="1:23" x14ac:dyDescent="0.3">
      <c r="A1233" s="1">
        <f>ROW(CantoralDB[[#This Row],[Título]])-1</f>
        <v>1232</v>
      </c>
      <c r="B1233" s="1" t="s">
        <v>1598</v>
      </c>
      <c r="C1233" s="1"/>
      <c r="J1233" s="1"/>
      <c r="M1233" s="15" t="s">
        <v>484</v>
      </c>
      <c r="N1233" s="15" t="s">
        <v>1485</v>
      </c>
      <c r="O1233" s="15">
        <v>8</v>
      </c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1233" s="15" t="str">
        <f>_xlfn.TEXTBEFORE(_xlfn.TEXTAFTER(CantoralDB[[#This Row],[index.html]],"&gt;"),"&gt;")&amp;"&gt;"</f>
        <v>&lt;a href="canciones/kairoi/confiad_recurrid.html"&gt;</v>
      </c>
    </row>
    <row r="1234" spans="1:23" x14ac:dyDescent="0.3">
      <c r="A1234" s="1">
        <f>ROW(CantoralDB[[#This Row],[Título]])-1</f>
        <v>1233</v>
      </c>
      <c r="B1234" s="1" t="s">
        <v>1599</v>
      </c>
      <c r="C1234" s="1"/>
      <c r="J1234" s="1"/>
      <c r="M1234" s="15" t="s">
        <v>484</v>
      </c>
      <c r="N1234" s="15" t="s">
        <v>1485</v>
      </c>
      <c r="O1234" s="15">
        <v>9</v>
      </c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1234" s="15" t="str">
        <f>_xlfn.TEXTBEFORE(_xlfn.TEXTAFTER(CantoralDB[[#This Row],[index.html]],"&gt;"),"&gt;")&amp;"&gt;"</f>
        <v>&lt;a href="canciones/kairoi/hermanitos_de_maria.html"&gt;</v>
      </c>
    </row>
    <row r="1235" spans="1:23" x14ac:dyDescent="0.3">
      <c r="A1235" s="1">
        <f>ROW(CantoralDB[[#This Row],[Título]])-1</f>
        <v>1234</v>
      </c>
      <c r="B1235" s="1" t="s">
        <v>1550</v>
      </c>
      <c r="C1235" s="1"/>
      <c r="H1235" s="1" t="s">
        <v>531</v>
      </c>
      <c r="J1235" s="1" t="s">
        <v>608</v>
      </c>
      <c r="M1235" s="15" t="s">
        <v>484</v>
      </c>
      <c r="N1235" s="15" t="s">
        <v>1485</v>
      </c>
      <c r="O1235" s="15">
        <v>10</v>
      </c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1235" s="15" t="str">
        <f>_xlfn.TEXTBEFORE(_xlfn.TEXTAFTER(CantoralDB[[#This Row],[index.html]],"&gt;"),"&gt;")&amp;"&gt;"</f>
        <v>&lt;a href="canciones/kairoi/corto_la_roca.html"&gt;</v>
      </c>
    </row>
    <row r="1236" spans="1:23" x14ac:dyDescent="0.3">
      <c r="A1236" s="1">
        <f>ROW(CantoralDB[[#This Row],[Título]])-1</f>
        <v>1235</v>
      </c>
      <c r="B1236" s="1" t="s">
        <v>1600</v>
      </c>
      <c r="C1236" s="1"/>
      <c r="J1236" s="1"/>
      <c r="M1236" s="15" t="s">
        <v>484</v>
      </c>
      <c r="N1236" s="15" t="s">
        <v>1485</v>
      </c>
      <c r="O1236" s="15">
        <v>11</v>
      </c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1236" s="15" t="str">
        <f>_xlfn.TEXTBEFORE(_xlfn.TEXTAFTER(CantoralDB[[#This Row],[index.html]],"&gt;"),"&gt;")&amp;"&gt;"</f>
        <v>&lt;a href="canciones/kairoi/testamento_espiritual.html"&gt;</v>
      </c>
    </row>
    <row r="1237" spans="1:23" x14ac:dyDescent="0.3">
      <c r="A1237" s="1">
        <f>ROW(CantoralDB[[#This Row],[Título]])-1</f>
        <v>1236</v>
      </c>
      <c r="B1237" s="1" t="s">
        <v>1601</v>
      </c>
      <c r="C1237" s="1"/>
      <c r="J1237" s="1"/>
      <c r="M1237" s="15" t="s">
        <v>484</v>
      </c>
      <c r="N1237" s="15" t="s">
        <v>1485</v>
      </c>
      <c r="O1237" s="15">
        <v>12</v>
      </c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1237" s="15" t="str">
        <f>_xlfn.TEXTBEFORE(_xlfn.TEXTAFTER(CantoralDB[[#This Row],[index.html]],"&gt;"),"&gt;")&amp;"&gt;"</f>
        <v>&lt;a href="canciones/kairoi/nuestras_voces_cantan.html"&gt;</v>
      </c>
    </row>
    <row r="1238" spans="1:23" x14ac:dyDescent="0.3">
      <c r="A1238" s="1">
        <f>ROW(CantoralDB[[#This Row],[Título]])-1</f>
        <v>1237</v>
      </c>
      <c r="B1238" s="1" t="s">
        <v>2884</v>
      </c>
      <c r="C1238" s="1"/>
      <c r="H1238" s="1" t="s">
        <v>531</v>
      </c>
      <c r="J1238" s="1" t="s">
        <v>608</v>
      </c>
      <c r="M1238" s="15" t="s">
        <v>484</v>
      </c>
      <c r="N1238" s="15" t="s">
        <v>92</v>
      </c>
      <c r="O1238" s="15">
        <v>1</v>
      </c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1238" s="15" t="str">
        <f>_xlfn.TEXTBEFORE(_xlfn.TEXTAFTER(CantoralDB[[#This Row],[index.html]],"&gt;"),"&gt;")&amp;"&gt;"</f>
        <v>&lt;a href="canciones/kairoi/ave_maria_i.html"&gt;</v>
      </c>
    </row>
    <row r="1239" spans="1:23" x14ac:dyDescent="0.3">
      <c r="A1239" s="1">
        <f>ROW(CantoralDB[[#This Row],[Título]])-1</f>
        <v>1238</v>
      </c>
      <c r="B1239" s="1" t="s">
        <v>1542</v>
      </c>
      <c r="C1239" s="1"/>
      <c r="H1239" s="1" t="s">
        <v>1028</v>
      </c>
      <c r="J1239" s="1" t="s">
        <v>608</v>
      </c>
      <c r="M1239" s="15" t="s">
        <v>484</v>
      </c>
      <c r="N1239" s="15" t="s">
        <v>92</v>
      </c>
      <c r="O1239" s="15">
        <v>2</v>
      </c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1239" s="15" t="str">
        <f>_xlfn.TEXTBEFORE(_xlfn.TEXTAFTER(CantoralDB[[#This Row],[index.html]],"&gt;"),"&gt;")&amp;"&gt;"</f>
        <v>&lt;a href="canciones/kairoi/tu_estas_cerca.html"&gt;</v>
      </c>
    </row>
    <row r="1240" spans="1:23" x14ac:dyDescent="0.3">
      <c r="A1240" s="1">
        <f>ROW(CantoralDB[[#This Row],[Título]])-1</f>
        <v>1239</v>
      </c>
      <c r="B1240" s="1" t="s">
        <v>1543</v>
      </c>
      <c r="C1240" s="1"/>
      <c r="H1240" s="1" t="s">
        <v>531</v>
      </c>
      <c r="J1240" s="1" t="s">
        <v>608</v>
      </c>
      <c r="M1240" s="15" t="s">
        <v>484</v>
      </c>
      <c r="N1240" s="15" t="s">
        <v>92</v>
      </c>
      <c r="O1240" s="15">
        <v>3</v>
      </c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1240" s="15" t="str">
        <f>_xlfn.TEXTBEFORE(_xlfn.TEXTAFTER(CantoralDB[[#This Row],[index.html]],"&gt;"),"&gt;")&amp;"&gt;"</f>
        <v>&lt;a href="canciones/kairoi/madre_de_los_hijos_pobres.html"&gt;</v>
      </c>
    </row>
    <row r="1241" spans="1:23" x14ac:dyDescent="0.3">
      <c r="A1241" s="1">
        <f>ROW(CantoralDB[[#This Row],[Título]])-1</f>
        <v>1240</v>
      </c>
      <c r="B1241" s="1" t="s">
        <v>1544</v>
      </c>
      <c r="C1241" s="1"/>
      <c r="H1241" s="1" t="s">
        <v>1029</v>
      </c>
      <c r="J1241" s="1" t="s">
        <v>608</v>
      </c>
      <c r="M1241" s="15" t="s">
        <v>484</v>
      </c>
      <c r="N1241" s="15" t="s">
        <v>92</v>
      </c>
      <c r="O1241" s="15">
        <v>4</v>
      </c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1241" s="15" t="str">
        <f>_xlfn.TEXTBEFORE(_xlfn.TEXTAFTER(CantoralDB[[#This Row],[index.html]],"&gt;"),"&gt;")&amp;"&gt;"</f>
        <v>&lt;a href="canciones/kairoi/magnificat.html"&gt;</v>
      </c>
    </row>
    <row r="1242" spans="1:23" x14ac:dyDescent="0.3">
      <c r="A1242" s="1">
        <f>ROW(CantoralDB[[#This Row],[Título]])-1</f>
        <v>1241</v>
      </c>
      <c r="B1242" s="1" t="s">
        <v>1545</v>
      </c>
      <c r="C1242" s="1"/>
      <c r="H1242" s="1" t="s">
        <v>1030</v>
      </c>
      <c r="J1242" s="1" t="s">
        <v>608</v>
      </c>
      <c r="M1242" s="15" t="s">
        <v>484</v>
      </c>
      <c r="N1242" s="15" t="s">
        <v>92</v>
      </c>
      <c r="O1242" s="15">
        <v>5</v>
      </c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1242" s="15" t="str">
        <f>_xlfn.TEXTBEFORE(_xlfn.TEXTAFTER(CantoralDB[[#This Row],[index.html]],"&gt;"),"&gt;")&amp;"&gt;"</f>
        <v>&lt;a href="canciones/kairoi/angelus.html"&gt;</v>
      </c>
    </row>
    <row r="1243" spans="1:23" x14ac:dyDescent="0.3">
      <c r="A1243" s="1">
        <f>ROW(CantoralDB[[#This Row],[Título]])-1</f>
        <v>1242</v>
      </c>
      <c r="B1243" s="1" t="s">
        <v>2892</v>
      </c>
      <c r="C1243" s="1"/>
      <c r="H1243" s="1" t="s">
        <v>1027</v>
      </c>
      <c r="J1243" s="1" t="s">
        <v>608</v>
      </c>
      <c r="M1243" s="15" t="s">
        <v>484</v>
      </c>
      <c r="N1243" s="15" t="s">
        <v>92</v>
      </c>
      <c r="O1243" s="15">
        <v>6</v>
      </c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1243" s="15" t="str">
        <f>_xlfn.TEXTBEFORE(_xlfn.TEXTAFTER(CantoralDB[[#This Row],[index.html]],"&gt;"),"&gt;")&amp;"&gt;"</f>
        <v>&lt;a href="canciones/kairoi/gracias_madre.html"&gt;</v>
      </c>
    </row>
    <row r="1244" spans="1:23" x14ac:dyDescent="0.3">
      <c r="A1244" s="1">
        <f>ROW(CantoralDB[[#This Row],[Título]])-1</f>
        <v>1243</v>
      </c>
      <c r="B1244" s="1" t="s">
        <v>1546</v>
      </c>
      <c r="C1244" s="1"/>
      <c r="H1244" s="1" t="s">
        <v>531</v>
      </c>
      <c r="J1244" s="1" t="s">
        <v>608</v>
      </c>
      <c r="M1244" s="15" t="s">
        <v>484</v>
      </c>
      <c r="N1244" s="15" t="s">
        <v>92</v>
      </c>
      <c r="O1244" s="15">
        <v>9</v>
      </c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1244" s="15" t="str">
        <f>_xlfn.TEXTBEFORE(_xlfn.TEXTAFTER(CantoralDB[[#This Row],[index.html]],"&gt;"),"&gt;")&amp;"&gt;"</f>
        <v>&lt;a href="canciones/kairoi/arcilla_entre_sus_manos.html"&gt;</v>
      </c>
    </row>
    <row r="1245" spans="1:23" x14ac:dyDescent="0.3">
      <c r="A1245" s="1">
        <f>ROW(CantoralDB[[#This Row],[Título]])-1</f>
        <v>1244</v>
      </c>
      <c r="B1245" s="1" t="s">
        <v>1547</v>
      </c>
      <c r="C1245" s="1"/>
      <c r="H1245" s="1" t="s">
        <v>1028</v>
      </c>
      <c r="J1245" s="1" t="s">
        <v>608</v>
      </c>
      <c r="M1245" s="15" t="s">
        <v>484</v>
      </c>
      <c r="N1245" s="15" t="s">
        <v>92</v>
      </c>
      <c r="O1245" s="15">
        <v>10</v>
      </c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1245" s="15" t="str">
        <f>_xlfn.TEXTBEFORE(_xlfn.TEXTAFTER(CantoralDB[[#This Row],[index.html]],"&gt;"),"&gt;")&amp;"&gt;"</f>
        <v>&lt;a href="canciones/kairoi/tu_eres_del_señor.html"&gt;</v>
      </c>
    </row>
    <row r="1246" spans="1:23" x14ac:dyDescent="0.3">
      <c r="A1246" s="1">
        <f>ROW(CantoralDB[[#This Row],[Título]])-1</f>
        <v>1245</v>
      </c>
      <c r="B1246" s="1" t="s">
        <v>2153</v>
      </c>
      <c r="C1246" s="1" t="s">
        <v>200</v>
      </c>
      <c r="D1246" s="1" t="s">
        <v>1433</v>
      </c>
      <c r="G1246" s="1" t="s">
        <v>216</v>
      </c>
      <c r="H1246" s="1" t="s">
        <v>1027</v>
      </c>
      <c r="J1246" s="1" t="s">
        <v>608</v>
      </c>
      <c r="M1246" s="15" t="s">
        <v>484</v>
      </c>
      <c r="N1246" s="15" t="s">
        <v>92</v>
      </c>
      <c r="O1246" s="15">
        <v>11</v>
      </c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1246" s="15" t="str">
        <f>_xlfn.TEXTBEFORE(_xlfn.TEXTAFTER(CantoralDB[[#This Row],[index.html]],"&gt;"),"&gt;")&amp;"&gt;"</f>
        <v>&lt;a href="canciones/kairoi/junto_a_ti_maria.html"&gt;</v>
      </c>
    </row>
    <row r="1247" spans="1:23" x14ac:dyDescent="0.3">
      <c r="A1247" s="1">
        <f>ROW(CantoralDB[[#This Row],[Título]])-1</f>
        <v>1246</v>
      </c>
      <c r="B1247" s="1" t="s">
        <v>1548</v>
      </c>
      <c r="C1247" s="1"/>
      <c r="H1247" s="1" t="s">
        <v>473</v>
      </c>
      <c r="J1247" s="1" t="s">
        <v>608</v>
      </c>
      <c r="M1247" s="15" t="s">
        <v>484</v>
      </c>
      <c r="N1247" s="15" t="s">
        <v>92</v>
      </c>
      <c r="O1247" s="15">
        <v>12</v>
      </c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1247" s="15" t="str">
        <f>_xlfn.TEXTBEFORE(_xlfn.TEXTAFTER(CantoralDB[[#This Row],[index.html]],"&gt;"),"&gt;")&amp;"&gt;"</f>
        <v>&lt;a href="canciones/kairoi/tu_eres_maria.html"&gt;</v>
      </c>
    </row>
    <row r="1248" spans="1:23" x14ac:dyDescent="0.3">
      <c r="A1248" s="1">
        <f>ROW(CantoralDB[[#This Row],[Título]])-1</f>
        <v>1247</v>
      </c>
      <c r="B1248" s="1" t="s">
        <v>1913</v>
      </c>
      <c r="C1248" s="1"/>
      <c r="H1248" s="1" t="s">
        <v>1027</v>
      </c>
      <c r="J1248" s="1" t="s">
        <v>608</v>
      </c>
      <c r="M1248" s="15" t="s">
        <v>484</v>
      </c>
      <c r="N1248" s="15" t="s">
        <v>1536</v>
      </c>
      <c r="O1248" s="15">
        <v>1</v>
      </c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1248" s="15" t="str">
        <f>_xlfn.TEXTBEFORE(_xlfn.TEXTAFTER(CantoralDB[[#This Row],[index.html]],"&gt;"),"&gt;")&amp;"&gt;"</f>
        <v>&lt;a href="canciones/kairoi/pregon_pascual_(aleluya).html"&gt;</v>
      </c>
    </row>
    <row r="1249" spans="1:23" x14ac:dyDescent="0.3">
      <c r="A1249" s="1">
        <f>ROW(CantoralDB[[#This Row],[Título]])-1</f>
        <v>1248</v>
      </c>
      <c r="B1249" s="1" t="s">
        <v>1652</v>
      </c>
      <c r="C1249" s="1"/>
      <c r="J1249" s="1"/>
      <c r="M1249" s="15" t="s">
        <v>484</v>
      </c>
      <c r="N1249" s="15" t="s">
        <v>1536</v>
      </c>
      <c r="O1249" s="15">
        <v>2</v>
      </c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249" s="1"/>
      <c r="T1249" s="1"/>
      <c r="U1249" s="15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1249" s="15" t="str">
        <f>_xlfn.TEXTBEFORE(_xlfn.TEXTAFTER(CantoralDB[[#This Row],[index.html]],"&gt;"),"&gt;")&amp;"&gt;"</f>
        <v>&lt;a href="canciones/kairoi/latinoamerica.html"&gt;</v>
      </c>
    </row>
    <row r="1250" spans="1:23" x14ac:dyDescent="0.3">
      <c r="A1250" s="1">
        <f>ROW(CantoralDB[[#This Row],[Título]])-1</f>
        <v>1249</v>
      </c>
      <c r="B1250" s="1" t="s">
        <v>1653</v>
      </c>
      <c r="C1250" s="1"/>
      <c r="J1250" s="1"/>
      <c r="M1250" s="15" t="s">
        <v>484</v>
      </c>
      <c r="N1250" s="15" t="s">
        <v>1536</v>
      </c>
      <c r="O1250" s="15">
        <v>3</v>
      </c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250" s="1"/>
      <c r="T1250" s="1"/>
      <c r="U1250" s="15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1250" s="15" t="str">
        <f>_xlfn.TEXTBEFORE(_xlfn.TEXTAFTER(CantoralDB[[#This Row],[index.html]],"&gt;"),"&gt;")&amp;"&gt;"</f>
        <v>&lt;a href="canciones/kairoi/indigena.html"&gt;</v>
      </c>
    </row>
    <row r="1251" spans="1:23" x14ac:dyDescent="0.3">
      <c r="A1251" s="1">
        <f>ROW(CantoralDB[[#This Row],[Título]])-1</f>
        <v>1250</v>
      </c>
      <c r="B1251" s="1" t="s">
        <v>1654</v>
      </c>
      <c r="C1251" s="1"/>
      <c r="J1251" s="1"/>
      <c r="M1251" s="15" t="s">
        <v>484</v>
      </c>
      <c r="N1251" s="15" t="s">
        <v>1536</v>
      </c>
      <c r="O1251" s="15">
        <v>4</v>
      </c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1251" s="15" t="str">
        <f>_xlfn.TEXTBEFORE(_xlfn.TEXTAFTER(CantoralDB[[#This Row],[index.html]],"&gt;"),"&gt;")&amp;"&gt;"</f>
        <v>&lt;a href="canciones/kairoi/nos_precederan.html"&gt;</v>
      </c>
    </row>
    <row r="1252" spans="1:23" x14ac:dyDescent="0.3">
      <c r="A1252" s="1">
        <f>ROW(CantoralDB[[#This Row],[Título]])-1</f>
        <v>1251</v>
      </c>
      <c r="B1252" s="1" t="s">
        <v>1655</v>
      </c>
      <c r="C1252" s="1"/>
      <c r="J1252" s="1"/>
      <c r="M1252" s="15" t="s">
        <v>484</v>
      </c>
      <c r="N1252" s="15" t="s">
        <v>1536</v>
      </c>
      <c r="O1252" s="15">
        <v>5</v>
      </c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1252" s="15" t="str">
        <f>_xlfn.TEXTBEFORE(_xlfn.TEXTAFTER(CantoralDB[[#This Row],[index.html]],"&gt;"),"&gt;")&amp;"&gt;"</f>
        <v>&lt;a href="canciones/kairoi/un_kirie_mas.html"&gt;</v>
      </c>
    </row>
    <row r="1253" spans="1:23" x14ac:dyDescent="0.3">
      <c r="A1253" s="1">
        <f>ROW(CantoralDB[[#This Row],[Título]])-1</f>
        <v>1252</v>
      </c>
      <c r="B1253" s="1" t="s">
        <v>1656</v>
      </c>
      <c r="C1253" s="1"/>
      <c r="J1253" s="1"/>
      <c r="M1253" s="15" t="s">
        <v>484</v>
      </c>
      <c r="N1253" s="15" t="s">
        <v>1536</v>
      </c>
      <c r="O1253" s="15">
        <v>6</v>
      </c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1253" s="15" t="str">
        <f>_xlfn.TEXTBEFORE(_xlfn.TEXTAFTER(CantoralDB[[#This Row],[index.html]],"&gt;"),"&gt;")&amp;"&gt;"</f>
        <v>&lt;a href="canciones/kairoi/la_mula.html"&gt;</v>
      </c>
    </row>
    <row r="1254" spans="1:23" x14ac:dyDescent="0.3">
      <c r="A1254" s="1">
        <f>ROW(CantoralDB[[#This Row],[Título]])-1</f>
        <v>1253</v>
      </c>
      <c r="B1254" s="1" t="s">
        <v>1536</v>
      </c>
      <c r="C1254" s="1"/>
      <c r="J1254" s="1"/>
      <c r="M1254" s="15" t="s">
        <v>484</v>
      </c>
      <c r="N1254" s="15" t="s">
        <v>1536</v>
      </c>
      <c r="O1254" s="15">
        <v>7</v>
      </c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1254" s="15" t="str">
        <f>_xlfn.TEXTBEFORE(_xlfn.TEXTAFTER(CantoralDB[[#This Row],[index.html]],"&gt;"),"&gt;")&amp;"&gt;"</f>
        <v>&lt;a href="canciones/kairoi/mas_cerca_del_sol.html"&gt;</v>
      </c>
    </row>
    <row r="1255" spans="1:23" x14ac:dyDescent="0.3">
      <c r="A1255" s="1">
        <f>ROW(CantoralDB[[#This Row],[Título]])-1</f>
        <v>1254</v>
      </c>
      <c r="B1255" s="1" t="s">
        <v>1657</v>
      </c>
      <c r="C1255" s="1"/>
      <c r="J1255" s="1"/>
      <c r="M1255" s="15" t="s">
        <v>484</v>
      </c>
      <c r="N1255" s="15" t="s">
        <v>1536</v>
      </c>
      <c r="O1255" s="15">
        <v>8</v>
      </c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1255" s="15" t="str">
        <f>_xlfn.TEXTBEFORE(_xlfn.TEXTAFTER(CantoralDB[[#This Row],[index.html]],"&gt;"),"&gt;")&amp;"&gt;"</f>
        <v>&lt;a href="canciones/kairoi/el_brujo_mugandino.html"&gt;</v>
      </c>
    </row>
    <row r="1256" spans="1:23" x14ac:dyDescent="0.3">
      <c r="A1256" s="1">
        <f>ROW(CantoralDB[[#This Row],[Título]])-1</f>
        <v>1255</v>
      </c>
      <c r="B1256" s="1" t="s">
        <v>1658</v>
      </c>
      <c r="C1256" s="1"/>
      <c r="J1256" s="1"/>
      <c r="M1256" s="15" t="s">
        <v>484</v>
      </c>
      <c r="N1256" s="15" t="s">
        <v>1536</v>
      </c>
      <c r="O1256" s="15">
        <v>9</v>
      </c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256" s="1"/>
      <c r="T1256" s="1"/>
      <c r="U1256" s="15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1256" s="15" t="str">
        <f>_xlfn.TEXTBEFORE(_xlfn.TEXTAFTER(CantoralDB[[#This Row],[index.html]],"&gt;"),"&gt;")&amp;"&gt;"</f>
        <v>&lt;a href="canciones/kairoi/que_no_nos_den_el_pan_bañado_en_sangre.html"&gt;</v>
      </c>
    </row>
    <row r="1257" spans="1:23" x14ac:dyDescent="0.3">
      <c r="A1257" s="1">
        <f>ROW(CantoralDB[[#This Row],[Título]])-1</f>
        <v>1256</v>
      </c>
      <c r="B1257" s="1" t="s">
        <v>1659</v>
      </c>
      <c r="C1257" s="1"/>
      <c r="J1257" s="1"/>
      <c r="M1257" s="15" t="s">
        <v>484</v>
      </c>
      <c r="N1257" s="15" t="s">
        <v>1536</v>
      </c>
      <c r="O1257" s="15">
        <v>10</v>
      </c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1257" s="15" t="str">
        <f>_xlfn.TEXTBEFORE(_xlfn.TEXTAFTER(CantoralDB[[#This Row],[index.html]],"&gt;"),"&gt;")&amp;"&gt;"</f>
        <v>&lt;a href="canciones/kairoi/salve_compañera_nuestra.html"&gt;</v>
      </c>
    </row>
    <row r="1258" spans="1:23" x14ac:dyDescent="0.3">
      <c r="A1258" s="1">
        <f>ROW(CantoralDB[[#This Row],[Título]])-1</f>
        <v>1257</v>
      </c>
      <c r="B1258" s="1" t="s">
        <v>1660</v>
      </c>
      <c r="C1258" s="1"/>
      <c r="J1258" s="1"/>
      <c r="M1258" s="15" t="s">
        <v>484</v>
      </c>
      <c r="N1258" s="15" t="s">
        <v>1536</v>
      </c>
      <c r="O1258" s="15">
        <v>11</v>
      </c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258" s="1"/>
      <c r="T1258" s="1"/>
      <c r="U1258" s="15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1258" s="15" t="str">
        <f>_xlfn.TEXTBEFORE(_xlfn.TEXTAFTER(CantoralDB[[#This Row],[index.html]],"&gt;"),"&gt;")&amp;"&gt;"</f>
        <v>&lt;a href="canciones/kairoi/el_bar_del_bosnio.html"&gt;</v>
      </c>
    </row>
    <row r="1259" spans="1:23" x14ac:dyDescent="0.3">
      <c r="A1259" s="1">
        <f>ROW(CantoralDB[[#This Row],[Título]])-1</f>
        <v>1258</v>
      </c>
      <c r="B1259" s="1" t="s">
        <v>1661</v>
      </c>
      <c r="C1259" s="1"/>
      <c r="J1259" s="1"/>
      <c r="M1259" s="15" t="s">
        <v>484</v>
      </c>
      <c r="N1259" s="15" t="s">
        <v>1536</v>
      </c>
      <c r="O1259" s="15">
        <v>12</v>
      </c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259" s="1"/>
      <c r="T1259" s="1"/>
      <c r="U1259" s="15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1259" s="15" t="str">
        <f>_xlfn.TEXTBEFORE(_xlfn.TEXTAFTER(CantoralDB[[#This Row],[index.html]],"&gt;"),"&gt;")&amp;"&gt;"</f>
        <v>&lt;a href="canciones/kairoi/mi_mamita_buena.html"&gt;</v>
      </c>
    </row>
    <row r="1260" spans="1:23" x14ac:dyDescent="0.3">
      <c r="A1260" s="1">
        <f>ROW(CantoralDB[[#This Row],[Título]])-1</f>
        <v>1259</v>
      </c>
      <c r="B1260" s="1" t="s">
        <v>1662</v>
      </c>
      <c r="C1260" s="1"/>
      <c r="J1260" s="1"/>
      <c r="M1260" s="15" t="s">
        <v>484</v>
      </c>
      <c r="N1260" s="15" t="s">
        <v>1536</v>
      </c>
      <c r="O1260" s="15">
        <v>13</v>
      </c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260" s="1"/>
      <c r="T1260" s="1"/>
      <c r="U1260" s="15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1260" s="15" t="str">
        <f>_xlfn.TEXTBEFORE(_xlfn.TEXTAFTER(CantoralDB[[#This Row],[index.html]],"&gt;"),"&gt;")&amp;"&gt;"</f>
        <v>&lt;a href="canciones/kairoi/de_pura_raza.html"&gt;</v>
      </c>
    </row>
    <row r="1261" spans="1:23" x14ac:dyDescent="0.3">
      <c r="A1261" s="1">
        <f>ROW(CantoralDB[[#This Row],[Título]])-1</f>
        <v>1260</v>
      </c>
      <c r="B1261" s="1" t="s">
        <v>1500</v>
      </c>
      <c r="C1261" s="1"/>
      <c r="H1261" s="1" t="s">
        <v>1029</v>
      </c>
      <c r="J1261" s="1" t="s">
        <v>608</v>
      </c>
      <c r="M1261" s="15" t="s">
        <v>484</v>
      </c>
      <c r="N1261" s="15" t="s">
        <v>1500</v>
      </c>
      <c r="O1261" s="15">
        <v>1</v>
      </c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1261" s="15" t="str">
        <f>_xlfn.TEXTBEFORE(_xlfn.TEXTAFTER(CantoralDB[[#This Row],[index.html]],"&gt;"),"&gt;")&amp;"&gt;"</f>
        <v>&lt;a href="canciones/kairoi/nacidos_de_mujer.html"&gt;</v>
      </c>
    </row>
    <row r="1262" spans="1:23" x14ac:dyDescent="0.3">
      <c r="A1262" s="1">
        <f>ROW(CantoralDB[[#This Row],[Título]])-1</f>
        <v>1261</v>
      </c>
      <c r="B1262" s="1" t="s">
        <v>1697</v>
      </c>
      <c r="C1262" s="1"/>
      <c r="H1262" s="1" t="s">
        <v>1028</v>
      </c>
      <c r="J1262" s="1" t="s">
        <v>608</v>
      </c>
      <c r="M1262" s="15" t="s">
        <v>484</v>
      </c>
      <c r="N1262" s="15" t="s">
        <v>1500</v>
      </c>
      <c r="O1262" s="15">
        <v>2</v>
      </c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1262" s="15" t="str">
        <f>_xlfn.TEXTBEFORE(_xlfn.TEXTAFTER(CantoralDB[[#This Row],[index.html]],"&gt;"),"&gt;")&amp;"&gt;"</f>
        <v>&lt;a href="canciones/kairoi/haced_lo_que_el_os_diga.html"&gt;</v>
      </c>
    </row>
    <row r="1263" spans="1:23" x14ac:dyDescent="0.3">
      <c r="A1263" s="1">
        <f>ROW(CantoralDB[[#This Row],[Título]])-1</f>
        <v>1262</v>
      </c>
      <c r="B1263" s="1" t="s">
        <v>1698</v>
      </c>
      <c r="C1263" s="1"/>
      <c r="H1263" s="1" t="s">
        <v>473</v>
      </c>
      <c r="J1263" s="1" t="s">
        <v>608</v>
      </c>
      <c r="M1263" s="15" t="s">
        <v>484</v>
      </c>
      <c r="N1263" s="15" t="s">
        <v>1500</v>
      </c>
      <c r="O1263" s="15">
        <v>3</v>
      </c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1263" s="15" t="str">
        <f>_xlfn.TEXTBEFORE(_xlfn.TEXTAFTER(CantoralDB[[#This Row],[index.html]],"&gt;"),"&gt;")&amp;"&gt;"</f>
        <v>&lt;a href="canciones/kairoi/en_comunidad.html"&gt;</v>
      </c>
    </row>
    <row r="1264" spans="1:23" x14ac:dyDescent="0.3">
      <c r="A1264" s="1">
        <f>ROW(CantoralDB[[#This Row],[Título]])-1</f>
        <v>1263</v>
      </c>
      <c r="B1264" s="1" t="s">
        <v>1699</v>
      </c>
      <c r="C1264" s="1"/>
      <c r="H1264" s="1" t="s">
        <v>1030</v>
      </c>
      <c r="J1264" s="1" t="s">
        <v>608</v>
      </c>
      <c r="M1264" s="15" t="s">
        <v>484</v>
      </c>
      <c r="N1264" s="15" t="s">
        <v>1500</v>
      </c>
      <c r="O1264" s="15">
        <v>4</v>
      </c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1264" s="15" t="str">
        <f>_xlfn.TEXTBEFORE(_xlfn.TEXTAFTER(CantoralDB[[#This Row],[index.html]],"&gt;"),"&gt;")&amp;"&gt;"</f>
        <v>&lt;a href="canciones/kairoi/danos_tu_espiritu.html"&gt;</v>
      </c>
    </row>
    <row r="1265" spans="1:23" x14ac:dyDescent="0.3">
      <c r="A1265" s="1">
        <f>ROW(CantoralDB[[#This Row],[Título]])-1</f>
        <v>1264</v>
      </c>
      <c r="B1265" s="1" t="s">
        <v>1700</v>
      </c>
      <c r="C1265" s="1"/>
      <c r="J1265" s="1"/>
      <c r="M1265" s="15" t="s">
        <v>484</v>
      </c>
      <c r="N1265" s="15" t="s">
        <v>1500</v>
      </c>
      <c r="O1265" s="15">
        <v>5</v>
      </c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265" s="1"/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1265" s="15" t="str">
        <f>_xlfn.TEXTBEFORE(_xlfn.TEXTAFTER(CantoralDB[[#This Row],[index.html]],"&gt;"),"&gt;")&amp;"&gt;"</f>
        <v>&lt;a href="canciones/kairoi/adela.html"&gt;</v>
      </c>
    </row>
    <row r="1266" spans="1:23" x14ac:dyDescent="0.3">
      <c r="A1266" s="1">
        <f>ROW(CantoralDB[[#This Row],[Título]])-1</f>
        <v>1265</v>
      </c>
      <c r="B1266" s="1" t="s">
        <v>2025</v>
      </c>
      <c r="C1266" s="1"/>
      <c r="H1266" s="1" t="s">
        <v>1029</v>
      </c>
      <c r="J1266" s="1" t="s">
        <v>608</v>
      </c>
      <c r="M1266" s="15" t="s">
        <v>484</v>
      </c>
      <c r="N1266" s="15" t="s">
        <v>1500</v>
      </c>
      <c r="O1266" s="15">
        <v>6</v>
      </c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1266" s="15" t="str">
        <f>_xlfn.TEXTBEFORE(_xlfn.TEXTAFTER(CantoralDB[[#This Row],[index.html]],"&gt;"),"&gt;")&amp;"&gt;"</f>
        <v>&lt;a href="canciones/kairoi/gloria_(por_maria).html"&gt;</v>
      </c>
    </row>
    <row r="1267" spans="1:23" x14ac:dyDescent="0.3">
      <c r="A1267" s="1">
        <f>ROW(CantoralDB[[#This Row],[Título]])-1</f>
        <v>1266</v>
      </c>
      <c r="B1267" s="1" t="s">
        <v>1701</v>
      </c>
      <c r="C1267" s="1"/>
      <c r="H1267" s="1" t="s">
        <v>1027</v>
      </c>
      <c r="J1267" s="1" t="s">
        <v>608</v>
      </c>
      <c r="M1267" s="15" t="s">
        <v>484</v>
      </c>
      <c r="N1267" s="15" t="s">
        <v>1500</v>
      </c>
      <c r="O1267" s="15">
        <v>7</v>
      </c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1267" s="15" t="str">
        <f>_xlfn.TEXTBEFORE(_xlfn.TEXTAFTER(CantoralDB[[#This Row],[index.html]],"&gt;"),"&gt;")&amp;"&gt;"</f>
        <v>&lt;a href="canciones/kairoi/pequeño_corazon.html"&gt;</v>
      </c>
    </row>
    <row r="1268" spans="1:23" x14ac:dyDescent="0.3">
      <c r="A1268" s="1">
        <f>ROW(CantoralDB[[#This Row],[Título]])-1</f>
        <v>1267</v>
      </c>
      <c r="B1268" s="1" t="s">
        <v>1702</v>
      </c>
      <c r="C1268" s="1"/>
      <c r="J1268" s="1"/>
      <c r="M1268" s="15" t="s">
        <v>484</v>
      </c>
      <c r="N1268" s="15" t="s">
        <v>1500</v>
      </c>
      <c r="O1268" s="15">
        <v>8</v>
      </c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268" s="1"/>
      <c r="T1268" s="1"/>
      <c r="U1268" s="15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1268" s="15" t="str">
        <f>_xlfn.TEXTBEFORE(_xlfn.TEXTAFTER(CantoralDB[[#This Row],[index.html]],"&gt;"),"&gt;")&amp;"&gt;"</f>
        <v>&lt;a href="canciones/kairoi/chaminade.html"&gt;</v>
      </c>
    </row>
    <row r="1269" spans="1:23" x14ac:dyDescent="0.3">
      <c r="A1269" s="1">
        <f>ROW(CantoralDB[[#This Row],[Título]])-1</f>
        <v>1268</v>
      </c>
      <c r="B1269" s="1" t="s">
        <v>1664</v>
      </c>
      <c r="C1269" s="1"/>
      <c r="H1269" s="1" t="s">
        <v>1030</v>
      </c>
      <c r="J1269" s="1" t="s">
        <v>608</v>
      </c>
      <c r="M1269" s="15" t="s">
        <v>484</v>
      </c>
      <c r="N1269" s="15" t="s">
        <v>1500</v>
      </c>
      <c r="O1269" s="15">
        <v>9</v>
      </c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269" s="1"/>
      <c r="T1269" s="1"/>
      <c r="U1269" s="15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1269" s="15" t="str">
        <f>_xlfn.TEXTBEFORE(_xlfn.TEXTAFTER(CantoralDB[[#This Row],[index.html]],"&gt;"),"&gt;")&amp;"&gt;"</f>
        <v>&lt;a href="canciones/kairoi/credo.html"&gt;</v>
      </c>
    </row>
    <row r="1270" spans="1:23" x14ac:dyDescent="0.3">
      <c r="A1270" s="1">
        <f>ROW(CantoralDB[[#This Row],[Título]])-1</f>
        <v>1269</v>
      </c>
      <c r="B1270" s="1" t="s">
        <v>1703</v>
      </c>
      <c r="C1270" s="1"/>
      <c r="H1270" s="1" t="s">
        <v>531</v>
      </c>
      <c r="J1270" s="1" t="s">
        <v>608</v>
      </c>
      <c r="M1270" s="15" t="s">
        <v>484</v>
      </c>
      <c r="N1270" s="15" t="s">
        <v>1500</v>
      </c>
      <c r="O1270" s="15">
        <v>10</v>
      </c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1270" s="15" t="str">
        <f>_xlfn.TEXTBEFORE(_xlfn.TEXTAFTER(CantoralDB[[#This Row],[index.html]],"&gt;"),"&gt;")&amp;"&gt;"</f>
        <v>&lt;a href="canciones/kairoi/creo_en_ti.html"&gt;</v>
      </c>
    </row>
    <row r="1271" spans="1:23" x14ac:dyDescent="0.3">
      <c r="A1271" s="1">
        <f>ROW(CantoralDB[[#This Row],[Título]])-1</f>
        <v>1270</v>
      </c>
      <c r="B1271" s="1" t="s">
        <v>1704</v>
      </c>
      <c r="C1271" s="1"/>
      <c r="H1271" s="1" t="s">
        <v>1029</v>
      </c>
      <c r="J1271" s="1" t="s">
        <v>608</v>
      </c>
      <c r="M1271" s="15" t="s">
        <v>484</v>
      </c>
      <c r="N1271" s="15" t="s">
        <v>1500</v>
      </c>
      <c r="O1271" s="15">
        <v>11</v>
      </c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271" s="1"/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1271" s="15" t="str">
        <f>_xlfn.TEXTBEFORE(_xlfn.TEXTAFTER(CantoralDB[[#This Row],[index.html]],"&gt;"),"&gt;")&amp;"&gt;"</f>
        <v>&lt;a href="canciones/kairoi/a_las_tres_de_la_tarde.html"&gt;</v>
      </c>
    </row>
    <row r="1272" spans="1:23" x14ac:dyDescent="0.3">
      <c r="A1272" s="1">
        <f>ROW(CantoralDB[[#This Row],[Título]])-1</f>
        <v>1271</v>
      </c>
      <c r="B1272" s="1" t="s">
        <v>1705</v>
      </c>
      <c r="C1272" s="1"/>
      <c r="H1272" s="1" t="s">
        <v>1027</v>
      </c>
      <c r="J1272" s="1" t="s">
        <v>608</v>
      </c>
      <c r="M1272" s="15" t="s">
        <v>484</v>
      </c>
      <c r="N1272" s="15" t="s">
        <v>1500</v>
      </c>
      <c r="O1272" s="15">
        <v>12</v>
      </c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272" s="15" t="str">
        <f>_xlfn.TEXTBEFORE(_xlfn.TEXTAFTER(CantoralDB[[#This Row],[index.html]],"&gt;"),"&gt;")&amp;"&gt;"</f>
        <v>&lt;a href="canciones/kairoi/vino_nuevo.html"&gt;</v>
      </c>
    </row>
    <row r="1273" spans="1:23" x14ac:dyDescent="0.3">
      <c r="A1273" s="1">
        <f>ROW(CantoralDB[[#This Row],[Título]])-1</f>
        <v>1272</v>
      </c>
      <c r="B1273" s="1" t="s">
        <v>1706</v>
      </c>
      <c r="C1273" s="1"/>
      <c r="H1273" s="1" t="s">
        <v>531</v>
      </c>
      <c r="J1273" s="1" t="s">
        <v>608</v>
      </c>
      <c r="M1273" s="15" t="s">
        <v>484</v>
      </c>
      <c r="N1273" s="15" t="s">
        <v>1500</v>
      </c>
      <c r="O1273" s="15">
        <v>13</v>
      </c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273" s="15" t="str">
        <f>_xlfn.TEXTBEFORE(_xlfn.TEXTAFTER(CantoralDB[[#This Row],[index.html]],"&gt;"),"&gt;")&amp;"&gt;"</f>
        <v>&lt;a href="canciones/kairoi/te_seguire.html"&gt;</v>
      </c>
    </row>
    <row r="1274" spans="1:23" x14ac:dyDescent="0.3">
      <c r="A1274" s="1">
        <f>ROW(CantoralDB[[#This Row],[Título]])-1</f>
        <v>1273</v>
      </c>
      <c r="B1274" s="1" t="s">
        <v>1707</v>
      </c>
      <c r="C1274" s="1"/>
      <c r="H1274" s="1" t="s">
        <v>1029</v>
      </c>
      <c r="J1274" s="1" t="s">
        <v>608</v>
      </c>
      <c r="M1274" s="15" t="s">
        <v>484</v>
      </c>
      <c r="N1274" s="15" t="s">
        <v>1500</v>
      </c>
      <c r="O1274" s="15">
        <v>14</v>
      </c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274" s="15" t="str">
        <f>_xlfn.TEXTBEFORE(_xlfn.TEXTAFTER(CantoralDB[[#This Row],[index.html]],"&gt;"),"&gt;")&amp;"&gt;"</f>
        <v>&lt;a href="canciones/kairoi/un_solo_corazon.html"&gt;</v>
      </c>
    </row>
    <row r="1275" spans="1:23" x14ac:dyDescent="0.3">
      <c r="A1275" s="1">
        <f>ROW(CantoralDB[[#This Row],[Título]])-1</f>
        <v>1274</v>
      </c>
      <c r="B1275" s="1" t="s">
        <v>1688</v>
      </c>
      <c r="C1275" s="1"/>
      <c r="J1275" s="1"/>
      <c r="M1275" s="15" t="s">
        <v>484</v>
      </c>
      <c r="N1275" s="15" t="s">
        <v>1499</v>
      </c>
      <c r="O1275" s="15">
        <v>1</v>
      </c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275" s="1"/>
      <c r="T1275" s="1"/>
      <c r="U1275" s="15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275" s="15" t="str">
        <f>_xlfn.TEXTBEFORE(_xlfn.TEXTAFTER(CantoralDB[[#This Row],[index.html]],"&gt;"),"&gt;")&amp;"&gt;"</f>
        <v>&lt;a href="canciones/kairoi/y_fuiste_hogar.html"&gt;</v>
      </c>
    </row>
    <row r="1276" spans="1:23" x14ac:dyDescent="0.3">
      <c r="A1276" s="1">
        <f>ROW(CantoralDB[[#This Row],[Título]])-1</f>
        <v>1275</v>
      </c>
      <c r="B1276" s="1" t="s">
        <v>1499</v>
      </c>
      <c r="C1276" s="1"/>
      <c r="J1276" s="1"/>
      <c r="M1276" s="15" t="s">
        <v>484</v>
      </c>
      <c r="N1276" s="15" t="s">
        <v>1499</v>
      </c>
      <c r="O1276" s="15">
        <v>2</v>
      </c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276" s="1"/>
      <c r="T1276" s="1"/>
      <c r="U1276" s="15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276" s="15" t="str">
        <f>_xlfn.TEXTBEFORE(_xlfn.TEXTAFTER(CantoralDB[[#This Row],[index.html]],"&gt;"),"&gt;")&amp;"&gt;"</f>
        <v>&lt;a href="canciones/kairoi/profeta_de_la_familia.html"&gt;</v>
      </c>
    </row>
    <row r="1277" spans="1:23" x14ac:dyDescent="0.3">
      <c r="A1277" s="1">
        <f>ROW(CantoralDB[[#This Row],[Título]])-1</f>
        <v>1276</v>
      </c>
      <c r="B1277" s="1" t="s">
        <v>1689</v>
      </c>
      <c r="C1277" s="1"/>
      <c r="J1277" s="1"/>
      <c r="M1277" s="15" t="s">
        <v>484</v>
      </c>
      <c r="N1277" s="15" t="s">
        <v>1499</v>
      </c>
      <c r="O1277" s="15">
        <v>3</v>
      </c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277" s="1"/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277" s="15" t="str">
        <f>_xlfn.TEXTBEFORE(_xlfn.TEXTAFTER(CantoralDB[[#This Row],[index.html]],"&gt;"),"&gt;")&amp;"&gt;"</f>
        <v>&lt;a href="canciones/kairoi/como_tu.html"&gt;</v>
      </c>
    </row>
    <row r="1278" spans="1:23" x14ac:dyDescent="0.3">
      <c r="A1278" s="1">
        <f>ROW(CantoralDB[[#This Row],[Título]])-1</f>
        <v>1277</v>
      </c>
      <c r="B1278" s="1" t="s">
        <v>1690</v>
      </c>
      <c r="C1278" s="1"/>
      <c r="J1278" s="1"/>
      <c r="M1278" s="15" t="s">
        <v>484</v>
      </c>
      <c r="N1278" s="15" t="s">
        <v>1499</v>
      </c>
      <c r="O1278" s="15">
        <v>4</v>
      </c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278" s="1"/>
      <c r="T1278" s="1"/>
      <c r="U1278" s="15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278" s="15" t="str">
        <f>_xlfn.TEXTBEFORE(_xlfn.TEXTAFTER(CantoralDB[[#This Row],[index.html]],"&gt;"),"&gt;")&amp;"&gt;"</f>
        <v>&lt;a href="canciones/kairoi/siempre_si_celebrare.html"&gt;</v>
      </c>
    </row>
    <row r="1279" spans="1:23" x14ac:dyDescent="0.3">
      <c r="A1279" s="1">
        <f>ROW(CantoralDB[[#This Row],[Título]])-1</f>
        <v>1278</v>
      </c>
      <c r="B1279" s="1" t="s">
        <v>1691</v>
      </c>
      <c r="C1279" s="1"/>
      <c r="J1279" s="1"/>
      <c r="M1279" s="15" t="s">
        <v>484</v>
      </c>
      <c r="N1279" s="15" t="s">
        <v>1499</v>
      </c>
      <c r="O1279" s="15">
        <v>5</v>
      </c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279" s="1"/>
      <c r="T1279" s="1"/>
      <c r="U1279" s="15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279" s="15" t="str">
        <f>_xlfn.TEXTBEFORE(_xlfn.TEXTAFTER(CantoralDB[[#This Row],[index.html]],"&gt;"),"&gt;")&amp;"&gt;"</f>
        <v>&lt;a href="canciones/kairoi/su_palabra.html"&gt;</v>
      </c>
    </row>
    <row r="1280" spans="1:23" x14ac:dyDescent="0.3">
      <c r="A1280" s="1">
        <f>ROW(CantoralDB[[#This Row],[Título]])-1</f>
        <v>1279</v>
      </c>
      <c r="B1280" s="1" t="s">
        <v>1692</v>
      </c>
      <c r="C1280" s="1"/>
      <c r="J1280" s="1"/>
      <c r="M1280" s="15" t="s">
        <v>484</v>
      </c>
      <c r="N1280" s="15" t="s">
        <v>1499</v>
      </c>
      <c r="O1280" s="15">
        <v>6</v>
      </c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280" s="1"/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280" s="15" t="str">
        <f>_xlfn.TEXTBEFORE(_xlfn.TEXTAFTER(CantoralDB[[#This Row],[index.html]],"&gt;"),"&gt;")&amp;"&gt;"</f>
        <v>&lt;a href="canciones/kairoi/santa_familia.html"&gt;</v>
      </c>
    </row>
    <row r="1281" spans="1:23" x14ac:dyDescent="0.3">
      <c r="A1281" s="1">
        <f>ROW(CantoralDB[[#This Row],[Título]])-1</f>
        <v>1280</v>
      </c>
      <c r="B1281" s="1" t="s">
        <v>1693</v>
      </c>
      <c r="C1281" s="1"/>
      <c r="J1281" s="1"/>
      <c r="M1281" s="15" t="s">
        <v>484</v>
      </c>
      <c r="N1281" s="15" t="s">
        <v>1499</v>
      </c>
      <c r="O1281" s="15">
        <v>7</v>
      </c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281" s="1"/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281" s="15" t="str">
        <f>_xlfn.TEXTBEFORE(_xlfn.TEXTAFTER(CantoralDB[[#This Row],[index.html]],"&gt;"),"&gt;")&amp;"&gt;"</f>
        <v>&lt;a href="canciones/kairoi/jesus_maria_y_jose.html"&gt;</v>
      </c>
    </row>
    <row r="1282" spans="1:23" x14ac:dyDescent="0.3">
      <c r="A1282" s="1">
        <f>ROW(CantoralDB[[#This Row],[Título]])-1</f>
        <v>1281</v>
      </c>
      <c r="B1282" s="1" t="s">
        <v>1694</v>
      </c>
      <c r="C1282" s="1"/>
      <c r="J1282" s="1"/>
      <c r="M1282" s="15" t="s">
        <v>484</v>
      </c>
      <c r="N1282" s="15" t="s">
        <v>1499</v>
      </c>
      <c r="O1282" s="15">
        <v>8</v>
      </c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282" s="15" t="str">
        <f>_xlfn.TEXTBEFORE(_xlfn.TEXTAFTER(CantoralDB[[#This Row],[index.html]],"&gt;"),"&gt;")&amp;"&gt;"</f>
        <v>&lt;a href="canciones/kairoi/tu_mirada.html"&gt;</v>
      </c>
    </row>
    <row r="1283" spans="1:23" x14ac:dyDescent="0.3">
      <c r="A1283" s="1">
        <f>ROW(CantoralDB[[#This Row],[Título]])-1</f>
        <v>1282</v>
      </c>
      <c r="B1283" s="1" t="s">
        <v>1695</v>
      </c>
      <c r="C1283" s="1"/>
      <c r="J1283" s="1"/>
      <c r="M1283" s="15" t="s">
        <v>484</v>
      </c>
      <c r="N1283" s="15" t="s">
        <v>1499</v>
      </c>
      <c r="O1283" s="15">
        <v>9</v>
      </c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283" s="15" t="str">
        <f>_xlfn.TEXTBEFORE(_xlfn.TEXTAFTER(CantoralDB[[#This Row],[index.html]],"&gt;"),"&gt;")&amp;"&gt;"</f>
        <v>&lt;a href="canciones/kairoi/familias.html"&gt;</v>
      </c>
    </row>
    <row r="1284" spans="1:23" x14ac:dyDescent="0.3">
      <c r="A1284" s="1">
        <f>ROW(CantoralDB[[#This Row],[Título]])-1</f>
        <v>1283</v>
      </c>
      <c r="B1284" s="1" t="s">
        <v>1696</v>
      </c>
      <c r="C1284" s="1"/>
      <c r="J1284" s="1"/>
      <c r="M1284" s="15" t="s">
        <v>484</v>
      </c>
      <c r="N1284" s="15" t="s">
        <v>1499</v>
      </c>
      <c r="O1284" s="15">
        <v>10</v>
      </c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284" s="1"/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284" s="15" t="str">
        <f>_xlfn.TEXTBEFORE(_xlfn.TEXTAFTER(CantoralDB[[#This Row],[index.html]],"&gt;"),"&gt;")&amp;"&gt;"</f>
        <v>&lt;a href="canciones/kairoi/el_poema_de_la_piedra.html"&gt;</v>
      </c>
    </row>
    <row r="1285" spans="1:23" x14ac:dyDescent="0.3">
      <c r="A1285" s="1">
        <f>ROW(CantoralDB[[#This Row],[Título]])-1</f>
        <v>1284</v>
      </c>
      <c r="B1285" s="1" t="s">
        <v>2889</v>
      </c>
      <c r="C1285" s="1"/>
      <c r="H1285" s="1" t="s">
        <v>1030</v>
      </c>
      <c r="J1285" s="1" t="s">
        <v>608</v>
      </c>
      <c r="M1285" s="15" t="s">
        <v>484</v>
      </c>
      <c r="N1285" s="15" t="s">
        <v>1491</v>
      </c>
      <c r="O1285" s="15">
        <v>1</v>
      </c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285" s="15" t="str">
        <f>_xlfn.TEXTBEFORE(_xlfn.TEXTAFTER(CantoralDB[[#This Row],[index.html]],"&gt;"),"&gt;")&amp;"&gt;"</f>
        <v>&lt;a href="canciones/kairoi/cristo_señor.html"&gt;</v>
      </c>
    </row>
    <row r="1286" spans="1:23" x14ac:dyDescent="0.3">
      <c r="A1286" s="1">
        <f>ROW(CantoralDB[[#This Row],[Título]])-1</f>
        <v>1285</v>
      </c>
      <c r="B1286" s="1" t="s">
        <v>1627</v>
      </c>
      <c r="C1286" s="1"/>
      <c r="H1286" s="1" t="s">
        <v>1030</v>
      </c>
      <c r="J1286" s="1" t="s">
        <v>608</v>
      </c>
      <c r="M1286" s="15" t="s">
        <v>484</v>
      </c>
      <c r="N1286" s="15" t="s">
        <v>1491</v>
      </c>
      <c r="O1286" s="15">
        <v>2</v>
      </c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286" s="15" t="str">
        <f>_xlfn.TEXTBEFORE(_xlfn.TEXTAFTER(CantoralDB[[#This Row],[index.html]],"&gt;"),"&gt;")&amp;"&gt;"</f>
        <v>&lt;a href="canciones/kairoi/tu_seras_mi_hermano.html"&gt;</v>
      </c>
    </row>
    <row r="1287" spans="1:23" x14ac:dyDescent="0.3">
      <c r="A1287" s="1">
        <f>ROW(CantoralDB[[#This Row],[Título]])-1</f>
        <v>1286</v>
      </c>
      <c r="B1287" s="1" t="s">
        <v>1628</v>
      </c>
      <c r="C1287" s="1"/>
      <c r="H1287" s="1" t="s">
        <v>1030</v>
      </c>
      <c r="J1287" s="1" t="s">
        <v>608</v>
      </c>
      <c r="M1287" s="15" t="s">
        <v>484</v>
      </c>
      <c r="N1287" s="15" t="s">
        <v>1491</v>
      </c>
      <c r="O1287" s="15">
        <v>3</v>
      </c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287" s="1"/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287" s="15" t="str">
        <f>_xlfn.TEXTBEFORE(_xlfn.TEXTAFTER(CantoralDB[[#This Row],[index.html]],"&gt;"),"&gt;")&amp;"&gt;"</f>
        <v>&lt;a href="canciones/kairoi/cristo.html"&gt;</v>
      </c>
    </row>
    <row r="1288" spans="1:23" x14ac:dyDescent="0.3">
      <c r="A1288" s="1">
        <f>ROW(CantoralDB[[#This Row],[Título]])-1</f>
        <v>1287</v>
      </c>
      <c r="B1288" s="1" t="s">
        <v>1629</v>
      </c>
      <c r="C1288" s="1"/>
      <c r="H1288" s="1" t="s">
        <v>1029</v>
      </c>
      <c r="J1288" s="1" t="s">
        <v>608</v>
      </c>
      <c r="M1288" s="15" t="s">
        <v>484</v>
      </c>
      <c r="N1288" s="15" t="s">
        <v>1491</v>
      </c>
      <c r="O1288" s="15">
        <v>4</v>
      </c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288" s="15" t="str">
        <f>_xlfn.TEXTBEFORE(_xlfn.TEXTAFTER(CantoralDB[[#This Row],[index.html]],"&gt;"),"&gt;")&amp;"&gt;"</f>
        <v>&lt;a href="canciones/kairoi/alli_estas_tu.html"&gt;</v>
      </c>
    </row>
    <row r="1289" spans="1:23" x14ac:dyDescent="0.3">
      <c r="A1289" s="1">
        <f>ROW(CantoralDB[[#This Row],[Título]])-1</f>
        <v>1288</v>
      </c>
      <c r="B1289" s="1" t="s">
        <v>1630</v>
      </c>
      <c r="C1289" s="1"/>
      <c r="J1289" s="1"/>
      <c r="M1289" s="15" t="s">
        <v>484</v>
      </c>
      <c r="N1289" s="15" t="s">
        <v>1491</v>
      </c>
      <c r="O1289" s="15">
        <v>5</v>
      </c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289" s="15" t="str">
        <f>_xlfn.TEXTBEFORE(_xlfn.TEXTAFTER(CantoralDB[[#This Row],[index.html]],"&gt;"),"&gt;")&amp;"&gt;"</f>
        <v>&lt;a href="canciones/kairoi/no_hay_lloros_por_un_niño_muerto.html"&gt;</v>
      </c>
    </row>
    <row r="1290" spans="1:23" x14ac:dyDescent="0.3">
      <c r="A1290" s="1">
        <f>ROW(CantoralDB[[#This Row],[Título]])-1</f>
        <v>1289</v>
      </c>
      <c r="B1290" s="1" t="s">
        <v>1631</v>
      </c>
      <c r="C1290" s="1"/>
      <c r="H1290" s="1" t="s">
        <v>1030</v>
      </c>
      <c r="J1290" s="1" t="s">
        <v>608</v>
      </c>
      <c r="M1290" s="15" t="s">
        <v>484</v>
      </c>
      <c r="N1290" s="15" t="s">
        <v>1491</v>
      </c>
      <c r="O1290" s="15">
        <v>6</v>
      </c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290" s="15" t="str">
        <f>_xlfn.TEXTBEFORE(_xlfn.TEXTAFTER(CantoralDB[[#This Row],[index.html]],"&gt;"),"&gt;")&amp;"&gt;"</f>
        <v>&lt;a href="canciones/kairoi/deja_que_en_tu_vida_cante_el.html"&gt;</v>
      </c>
    </row>
    <row r="1291" spans="1:23" x14ac:dyDescent="0.3">
      <c r="A1291" s="1">
        <f>ROW(CantoralDB[[#This Row],[Título]])-1</f>
        <v>1290</v>
      </c>
      <c r="B1291" s="1" t="s">
        <v>1632</v>
      </c>
      <c r="C1291" s="1"/>
      <c r="J1291" s="1"/>
      <c r="M1291" s="15" t="s">
        <v>484</v>
      </c>
      <c r="N1291" s="15" t="s">
        <v>1491</v>
      </c>
      <c r="O1291" s="15">
        <v>7</v>
      </c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291" s="1"/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291" s="15" t="str">
        <f>_xlfn.TEXTBEFORE(_xlfn.TEXTAFTER(CantoralDB[[#This Row],[index.html]],"&gt;"),"&gt;")&amp;"&gt;"</f>
        <v>&lt;a href="canciones/kairoi/tiene_el_sida.html"&gt;</v>
      </c>
    </row>
    <row r="1292" spans="1:23" x14ac:dyDescent="0.3">
      <c r="A1292" s="1">
        <f>ROW(CantoralDB[[#This Row],[Título]])-1</f>
        <v>1291</v>
      </c>
      <c r="B1292" s="1" t="s">
        <v>1633</v>
      </c>
      <c r="C1292" s="1"/>
      <c r="H1292" s="1" t="s">
        <v>1029</v>
      </c>
      <c r="J1292" s="1" t="s">
        <v>608</v>
      </c>
      <c r="M1292" s="15" t="s">
        <v>484</v>
      </c>
      <c r="N1292" s="15" t="s">
        <v>1491</v>
      </c>
      <c r="O1292" s="15">
        <v>8</v>
      </c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292" s="15" t="str">
        <f>_xlfn.TEXTBEFORE(_xlfn.TEXTAFTER(CantoralDB[[#This Row],[index.html]],"&gt;"),"&gt;")&amp;"&gt;"</f>
        <v>&lt;a href="canciones/kairoi/grito_libertad.html"&gt;</v>
      </c>
    </row>
    <row r="1293" spans="1:23" x14ac:dyDescent="0.3">
      <c r="A1293" s="1">
        <f>ROW(CantoralDB[[#This Row],[Título]])-1</f>
        <v>1292</v>
      </c>
      <c r="B1293" s="1" t="s">
        <v>1634</v>
      </c>
      <c r="C1293" s="1"/>
      <c r="J1293" s="1"/>
      <c r="M1293" s="15" t="s">
        <v>484</v>
      </c>
      <c r="N1293" s="15" t="s">
        <v>1491</v>
      </c>
      <c r="O1293" s="15">
        <v>9</v>
      </c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293" s="15" t="str">
        <f>_xlfn.TEXTBEFORE(_xlfn.TEXTAFTER(CantoralDB[[#This Row],[index.html]],"&gt;"),"&gt;")&amp;"&gt;"</f>
        <v>&lt;a href="canciones/kairoi/tu_sonrisa_no_la_vi.html"&gt;</v>
      </c>
    </row>
    <row r="1294" spans="1:23" x14ac:dyDescent="0.3">
      <c r="A1294" s="1">
        <f>ROW(CantoralDB[[#This Row],[Título]])-1</f>
        <v>1293</v>
      </c>
      <c r="B1294" s="1" t="s">
        <v>1491</v>
      </c>
      <c r="C1294" s="1"/>
      <c r="J1294" s="1"/>
      <c r="M1294" s="15" t="s">
        <v>484</v>
      </c>
      <c r="N1294" s="15" t="s">
        <v>1491</v>
      </c>
      <c r="O1294" s="15">
        <v>10</v>
      </c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294" s="15" t="str">
        <f>_xlfn.TEXTBEFORE(_xlfn.TEXTAFTER(CantoralDB[[#This Row],[index.html]],"&gt;"),"&gt;")&amp;"&gt;"</f>
        <v>&lt;a href="canciones/kairoi/señor_de_la_historia.html"&gt;</v>
      </c>
    </row>
    <row r="1295" spans="1:23" x14ac:dyDescent="0.3">
      <c r="A1295" s="1">
        <f>ROW(CantoralDB[[#This Row],[Título]])-1</f>
        <v>1294</v>
      </c>
      <c r="B1295" s="1" t="s">
        <v>1635</v>
      </c>
      <c r="C1295" s="1"/>
      <c r="J1295" s="1"/>
      <c r="M1295" s="15" t="s">
        <v>484</v>
      </c>
      <c r="N1295" s="15" t="s">
        <v>1491</v>
      </c>
      <c r="O1295" s="15">
        <v>11</v>
      </c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295" s="15" t="str">
        <f>_xlfn.TEXTBEFORE(_xlfn.TEXTAFTER(CantoralDB[[#This Row],[index.html]],"&gt;"),"&gt;")&amp;"&gt;"</f>
        <v>&lt;a href="canciones/kairoi/me_muero_de_hambre.html"&gt;</v>
      </c>
    </row>
    <row r="1296" spans="1:23" x14ac:dyDescent="0.3">
      <c r="A1296" s="1">
        <f>ROW(CantoralDB[[#This Row],[Título]])-1</f>
        <v>1295</v>
      </c>
      <c r="B1296" s="1" t="s">
        <v>1636</v>
      </c>
      <c r="C1296" s="1"/>
      <c r="J1296" s="1"/>
      <c r="M1296" s="15" t="s">
        <v>484</v>
      </c>
      <c r="N1296" s="15" t="s">
        <v>1491</v>
      </c>
      <c r="O1296" s="15">
        <v>12</v>
      </c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296" s="15" t="str">
        <f>_xlfn.TEXTBEFORE(_xlfn.TEXTAFTER(CantoralDB[[#This Row],[index.html]],"&gt;"),"&gt;")&amp;"&gt;"</f>
        <v>&lt;a href="canciones/kairoi/yo_no_he_podido_ser_bueno.html"&gt;</v>
      </c>
    </row>
    <row r="1297" spans="1:23" x14ac:dyDescent="0.3">
      <c r="A1297" s="1">
        <f>ROW(CantoralDB[[#This Row],[Título]])-1</f>
        <v>1296</v>
      </c>
      <c r="B1297" s="1" t="s">
        <v>1577</v>
      </c>
      <c r="C1297" s="1"/>
      <c r="H1297" s="1" t="s">
        <v>1029</v>
      </c>
      <c r="J1297" s="1" t="s">
        <v>608</v>
      </c>
      <c r="M1297" s="15" t="s">
        <v>484</v>
      </c>
      <c r="N1297" s="15" t="s">
        <v>1494</v>
      </c>
      <c r="O1297" s="15">
        <v>1</v>
      </c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297" s="15" t="str">
        <f>_xlfn.TEXTBEFORE(_xlfn.TEXTAFTER(CantoralDB[[#This Row],[index.html]],"&gt;"),"&gt;")&amp;"&gt;"</f>
        <v>&lt;a href="canciones/kairoi/si_jesus.html"&gt;</v>
      </c>
    </row>
    <row r="1298" spans="1:23" x14ac:dyDescent="0.3">
      <c r="A1298" s="1">
        <f>ROW(CantoralDB[[#This Row],[Título]])-1</f>
        <v>1297</v>
      </c>
      <c r="B1298" s="1" t="s">
        <v>1650</v>
      </c>
      <c r="C1298" s="1"/>
      <c r="J1298" s="1"/>
      <c r="M1298" s="15" t="s">
        <v>484</v>
      </c>
      <c r="N1298" s="15" t="s">
        <v>1494</v>
      </c>
      <c r="O1298" s="15">
        <v>2</v>
      </c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298" s="15" t="str">
        <f>_xlfn.TEXTBEFORE(_xlfn.TEXTAFTER(CantoralDB[[#This Row],[index.html]],"&gt;"),"&gt;")&amp;"&gt;"</f>
        <v>&lt;a href="canciones/kairoi/cuando_la_muerte.html"&gt;</v>
      </c>
    </row>
    <row r="1299" spans="1:23" x14ac:dyDescent="0.3">
      <c r="A1299" s="1">
        <f>ROW(CantoralDB[[#This Row],[Título]])-1</f>
        <v>1298</v>
      </c>
      <c r="B1299" s="1" t="s">
        <v>1578</v>
      </c>
      <c r="C1299" s="1"/>
      <c r="H1299" s="1" t="s">
        <v>531</v>
      </c>
      <c r="J1299" s="1" t="s">
        <v>608</v>
      </c>
      <c r="M1299" s="15" t="s">
        <v>484</v>
      </c>
      <c r="N1299" s="15" t="s">
        <v>1494</v>
      </c>
      <c r="O1299" s="15">
        <v>3</v>
      </c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299" s="15" t="str">
        <f>_xlfn.TEXTBEFORE(_xlfn.TEXTAFTER(CantoralDB[[#This Row],[index.html]],"&gt;"),"&gt;")&amp;"&gt;"</f>
        <v>&lt;a href="canciones/kairoi/no_temais.html"&gt;</v>
      </c>
    </row>
    <row r="1300" spans="1:23" x14ac:dyDescent="0.3">
      <c r="A1300" s="1">
        <f>ROW(CantoralDB[[#This Row],[Título]])-1</f>
        <v>1299</v>
      </c>
      <c r="B1300" s="1" t="s">
        <v>1906</v>
      </c>
      <c r="C1300" s="1"/>
      <c r="H1300" s="1" t="s">
        <v>1030</v>
      </c>
      <c r="J1300" s="1" t="s">
        <v>608</v>
      </c>
      <c r="M1300" s="15" t="s">
        <v>484</v>
      </c>
      <c r="N1300" s="15" t="s">
        <v>1494</v>
      </c>
      <c r="O1300" s="15">
        <v>4</v>
      </c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300" s="15" t="str">
        <f>_xlfn.TEXTBEFORE(_xlfn.TEXTAFTER(CantoralDB[[#This Row],[index.html]],"&gt;"),"&gt;")&amp;"&gt;"</f>
        <v>&lt;a href="canciones/kairoi/la_libertad_del_espiritu.html"&gt;</v>
      </c>
    </row>
    <row r="1301" spans="1:23" x14ac:dyDescent="0.3">
      <c r="A1301" s="1">
        <f>ROW(CantoralDB[[#This Row],[Título]])-1</f>
        <v>1300</v>
      </c>
      <c r="B1301" s="1" t="s">
        <v>1651</v>
      </c>
      <c r="C1301" s="1"/>
      <c r="J1301" s="1"/>
      <c r="M1301" s="15" t="s">
        <v>484</v>
      </c>
      <c r="N1301" s="15" t="s">
        <v>1494</v>
      </c>
      <c r="O1301" s="15">
        <v>5</v>
      </c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301" s="15" t="str">
        <f>_xlfn.TEXTBEFORE(_xlfn.TEXTAFTER(CantoralDB[[#This Row],[index.html]],"&gt;"),"&gt;")&amp;"&gt;"</f>
        <v>&lt;a href="canciones/kairoi/que_sepamos_estar.html"&gt;</v>
      </c>
    </row>
    <row r="1302" spans="1:23" x14ac:dyDescent="0.3">
      <c r="A1302" s="1">
        <f>ROW(CantoralDB[[#This Row],[Título]])-1</f>
        <v>1301</v>
      </c>
      <c r="B1302" s="1" t="s">
        <v>1579</v>
      </c>
      <c r="C1302" s="1"/>
      <c r="H1302" s="1" t="s">
        <v>1029</v>
      </c>
      <c r="J1302" s="1" t="s">
        <v>608</v>
      </c>
      <c r="M1302" s="15" t="s">
        <v>484</v>
      </c>
      <c r="N1302" s="15" t="s">
        <v>1494</v>
      </c>
      <c r="O1302" s="15">
        <v>6</v>
      </c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302" s="15" t="str">
        <f>_xlfn.TEXTBEFORE(_xlfn.TEXTAFTER(CantoralDB[[#This Row],[index.html]],"&gt;"),"&gt;")&amp;"&gt;"</f>
        <v>&lt;a href="canciones/kairoi/quejate_si_puedes.html"&gt;</v>
      </c>
    </row>
    <row r="1303" spans="1:23" x14ac:dyDescent="0.3">
      <c r="A1303" s="1">
        <f>ROW(CantoralDB[[#This Row],[Título]])-1</f>
        <v>1302</v>
      </c>
      <c r="B1303" s="1" t="s">
        <v>1905</v>
      </c>
      <c r="C1303" s="1"/>
      <c r="H1303" s="1" t="s">
        <v>473</v>
      </c>
      <c r="J1303" s="1" t="s">
        <v>608</v>
      </c>
      <c r="M1303" s="15" t="s">
        <v>484</v>
      </c>
      <c r="N1303" s="15" t="s">
        <v>1494</v>
      </c>
      <c r="O1303" s="15">
        <v>7</v>
      </c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303" s="1"/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303" s="15" t="str">
        <f>_xlfn.TEXTBEFORE(_xlfn.TEXTAFTER(CantoralDB[[#This Row],[index.html]],"&gt;"),"&gt;")&amp;"&gt;"</f>
        <v>&lt;a href="canciones/kairoi/lo_entregaron_todo.html"&gt;</v>
      </c>
    </row>
    <row r="1304" spans="1:23" x14ac:dyDescent="0.3">
      <c r="A1304" s="1">
        <f>ROW(CantoralDB[[#This Row],[Título]])-1</f>
        <v>1303</v>
      </c>
      <c r="B1304" s="1" t="s">
        <v>2026</v>
      </c>
      <c r="C1304" s="1"/>
      <c r="H1304" s="1" t="s">
        <v>531</v>
      </c>
      <c r="J1304" s="1" t="s">
        <v>608</v>
      </c>
      <c r="M1304" s="15" t="s">
        <v>484</v>
      </c>
      <c r="N1304" s="15" t="s">
        <v>1494</v>
      </c>
      <c r="O1304" s="15">
        <v>8</v>
      </c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304" s="1"/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304" s="15" t="str">
        <f>_xlfn.TEXTBEFORE(_xlfn.TEXTAFTER(CantoralDB[[#This Row],[index.html]],"&gt;"),"&gt;")&amp;"&gt;"</f>
        <v>&lt;a href="canciones/kairoi/vale_mas_hablar_con_dios.html"&gt;</v>
      </c>
    </row>
    <row r="1305" spans="1:23" x14ac:dyDescent="0.3">
      <c r="A1305" s="1">
        <f>ROW(CantoralDB[[#This Row],[Título]])-1</f>
        <v>1304</v>
      </c>
      <c r="B1305" s="1" t="s">
        <v>1580</v>
      </c>
      <c r="C1305" s="1"/>
      <c r="H1305" s="1" t="s">
        <v>473</v>
      </c>
      <c r="J1305" s="1" t="s">
        <v>608</v>
      </c>
      <c r="M1305" s="15" t="s">
        <v>484</v>
      </c>
      <c r="N1305" s="15" t="s">
        <v>1494</v>
      </c>
      <c r="O1305" s="15">
        <v>9</v>
      </c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305" s="1"/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305" s="15" t="str">
        <f>_xlfn.TEXTBEFORE(_xlfn.TEXTAFTER(CantoralDB[[#This Row],[index.html]],"&gt;"),"&gt;")&amp;"&gt;"</f>
        <v>&lt;a href="canciones/kairoi/de_lo_debil_saca_fuerzas_dios.html"&gt;</v>
      </c>
    </row>
    <row r="1306" spans="1:23" x14ac:dyDescent="0.3">
      <c r="A1306" s="1">
        <f>ROW(CantoralDB[[#This Row],[Título]])-1</f>
        <v>1305</v>
      </c>
      <c r="B1306" s="1" t="s">
        <v>2189</v>
      </c>
      <c r="C1306" s="1"/>
      <c r="H1306" s="1" t="s">
        <v>1029</v>
      </c>
      <c r="J1306" s="1" t="s">
        <v>608</v>
      </c>
      <c r="M1306" s="15" t="s">
        <v>484</v>
      </c>
      <c r="N1306" s="15" t="s">
        <v>1494</v>
      </c>
      <c r="O1306" s="15">
        <v>10</v>
      </c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306" s="15" t="str">
        <f>_xlfn.TEXTBEFORE(_xlfn.TEXTAFTER(CantoralDB[[#This Row],[index.html]],"&gt;"),"&gt;")&amp;"&gt;"</f>
        <v>&lt;a href="canciones/kairoi/fueron_valientes.html"&gt;</v>
      </c>
    </row>
    <row r="1307" spans="1:23" x14ac:dyDescent="0.3">
      <c r="A1307" s="1">
        <f>ROW(CantoralDB[[#This Row],[Título]])-1</f>
        <v>1306</v>
      </c>
      <c r="B1307" s="1" t="s">
        <v>1907</v>
      </c>
      <c r="C1307" s="1"/>
      <c r="H1307" s="1" t="s">
        <v>1030</v>
      </c>
      <c r="J1307" s="1" t="s">
        <v>608</v>
      </c>
      <c r="M1307" s="15" t="s">
        <v>484</v>
      </c>
      <c r="N1307" s="15" t="s">
        <v>1494</v>
      </c>
      <c r="O1307" s="15">
        <v>11</v>
      </c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307" s="15" t="str">
        <f>_xlfn.TEXTBEFORE(_xlfn.TEXTAFTER(CantoralDB[[#This Row],[index.html]],"&gt;"),"&gt;")&amp;"&gt;"</f>
        <v>&lt;a href="canciones/kairoi/te_reclamaran_la_vida.html"&gt;</v>
      </c>
    </row>
    <row r="1308" spans="1:23" x14ac:dyDescent="0.3">
      <c r="A1308" s="1">
        <f>ROW(CantoralDB[[#This Row],[Título]])-1</f>
        <v>1307</v>
      </c>
      <c r="B1308" s="1" t="s">
        <v>1581</v>
      </c>
      <c r="C1308" s="1"/>
      <c r="H1308" s="1" t="s">
        <v>1028</v>
      </c>
      <c r="J1308" s="1" t="s">
        <v>608</v>
      </c>
      <c r="M1308" s="15" t="s">
        <v>484</v>
      </c>
      <c r="N1308" s="15" t="s">
        <v>1494</v>
      </c>
      <c r="O1308" s="15">
        <v>12</v>
      </c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308" s="15" t="str">
        <f>_xlfn.TEXTBEFORE(_xlfn.TEXTAFTER(CantoralDB[[#This Row],[index.html]],"&gt;"),"&gt;")&amp;"&gt;"</f>
        <v>&lt;a href="canciones/kairoi/esperad_al_señor.html"&gt;</v>
      </c>
    </row>
    <row r="1309" spans="1:23" x14ac:dyDescent="0.3">
      <c r="A1309" s="1">
        <f>ROW(CantoralDB[[#This Row],[Título]])-1</f>
        <v>1308</v>
      </c>
      <c r="B1309" s="1" t="s">
        <v>1497</v>
      </c>
      <c r="C1309" s="1"/>
      <c r="J1309" s="1"/>
      <c r="M1309" s="15" t="s">
        <v>484</v>
      </c>
      <c r="N1309" s="15" t="s">
        <v>1497</v>
      </c>
      <c r="O1309" s="15">
        <v>1</v>
      </c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309" s="15" t="str">
        <f>_xlfn.TEXTBEFORE(_xlfn.TEXTAFTER(CantoralDB[[#This Row],[index.html]],"&gt;"),"&gt;")&amp;"&gt;"</f>
        <v>&lt;a href="canciones/kairoi/un_corazon_sin_fronteras.html"&gt;</v>
      </c>
    </row>
    <row r="1310" spans="1:23" x14ac:dyDescent="0.3">
      <c r="A1310" s="1">
        <f>ROW(CantoralDB[[#This Row],[Título]])-1</f>
        <v>1309</v>
      </c>
      <c r="B1310" s="1" t="s">
        <v>1611</v>
      </c>
      <c r="C1310" s="1"/>
      <c r="H1310" s="1" t="s">
        <v>1027</v>
      </c>
      <c r="J1310" s="1" t="s">
        <v>608</v>
      </c>
      <c r="M1310" s="15" t="s">
        <v>484</v>
      </c>
      <c r="N1310" s="15" t="s">
        <v>1497</v>
      </c>
      <c r="O1310" s="15">
        <v>2</v>
      </c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310" s="15" t="str">
        <f>_xlfn.TEXTBEFORE(_xlfn.TEXTAFTER(CantoralDB[[#This Row],[index.html]],"&gt;"),"&gt;")&amp;"&gt;"</f>
        <v>&lt;a href="canciones/kairoi/buena_madre.html"&gt;</v>
      </c>
    </row>
    <row r="1311" spans="1:23" x14ac:dyDescent="0.3">
      <c r="A1311" s="1">
        <f>ROW(CantoralDB[[#This Row],[Título]])-1</f>
        <v>1310</v>
      </c>
      <c r="B1311" s="1" t="s">
        <v>1549</v>
      </c>
      <c r="C1311" s="1"/>
      <c r="H1311" s="1" t="s">
        <v>1030</v>
      </c>
      <c r="J1311" s="1" t="s">
        <v>608</v>
      </c>
      <c r="M1311" s="15" t="s">
        <v>484</v>
      </c>
      <c r="N1311" s="15" t="s">
        <v>1497</v>
      </c>
      <c r="O1311" s="15">
        <v>3</v>
      </c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311" s="15" t="str">
        <f>_xlfn.TEXTBEFORE(_xlfn.TEXTAFTER(CantoralDB[[#This Row],[index.html]],"&gt;"),"&gt;")&amp;"&gt;"</f>
        <v>&lt;a href="canciones/kairoi/construyenos_la_casa.html"&gt;</v>
      </c>
    </row>
    <row r="1312" spans="1:23" x14ac:dyDescent="0.3">
      <c r="A1312" s="1">
        <f>ROW(CantoralDB[[#This Row],[Título]])-1</f>
        <v>1311</v>
      </c>
      <c r="B1312" s="1" t="s">
        <v>1609</v>
      </c>
      <c r="C1312" s="1"/>
      <c r="H1312" s="1" t="s">
        <v>1027</v>
      </c>
      <c r="J1312" s="1" t="s">
        <v>608</v>
      </c>
      <c r="M1312" s="15" t="s">
        <v>484</v>
      </c>
      <c r="N1312" s="15" t="s">
        <v>1497</v>
      </c>
      <c r="O1312" s="15">
        <v>6</v>
      </c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312" s="15" t="str">
        <f>_xlfn.TEXTBEFORE(_xlfn.TEXTAFTER(CantoralDB[[#This Row],[index.html]],"&gt;"),"&gt;")&amp;"&gt;"</f>
        <v>&lt;a href="canciones/kairoi/hermano_entre_los_hombres.html"&gt;</v>
      </c>
    </row>
    <row r="1313" spans="1:23" x14ac:dyDescent="0.3">
      <c r="A1313" s="1">
        <f>ROW(CantoralDB[[#This Row],[Título]])-1</f>
        <v>1312</v>
      </c>
      <c r="B1313" s="1" t="s">
        <v>1608</v>
      </c>
      <c r="C1313" s="1"/>
      <c r="H1313" s="1" t="s">
        <v>531</v>
      </c>
      <c r="J1313" s="1" t="s">
        <v>608</v>
      </c>
      <c r="M1313" s="15" t="s">
        <v>484</v>
      </c>
      <c r="N1313" s="15" t="s">
        <v>1497</v>
      </c>
      <c r="O1313" s="15">
        <v>7</v>
      </c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313" s="1"/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313" s="15" t="str">
        <f>_xlfn.TEXTBEFORE(_xlfn.TEXTAFTER(CantoralDB[[#This Row],[index.html]],"&gt;"),"&gt;")&amp;"&gt;"</f>
        <v>&lt;a href="canciones/kairoi/en_torno_al_pan.html"&gt;</v>
      </c>
    </row>
    <row r="1314" spans="1:23" x14ac:dyDescent="0.3">
      <c r="A1314" s="1">
        <f>ROW(CantoralDB[[#This Row],[Título]])-1</f>
        <v>1313</v>
      </c>
      <c r="B1314" s="1" t="s">
        <v>1677</v>
      </c>
      <c r="C1314" s="1"/>
      <c r="J1314" s="1"/>
      <c r="M1314" s="15" t="s">
        <v>484</v>
      </c>
      <c r="N1314" s="15" t="s">
        <v>1497</v>
      </c>
      <c r="O1314" s="15">
        <v>8</v>
      </c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314" s="15" t="str">
        <f>_xlfn.TEXTBEFORE(_xlfn.TEXTAFTER(CantoralDB[[#This Row],[index.html]],"&gt;"),"&gt;")&amp;"&gt;"</f>
        <v>&lt;a href="canciones/kairoi/frases_marcelino.html"&gt;</v>
      </c>
    </row>
    <row r="1315" spans="1:23" x14ac:dyDescent="0.3">
      <c r="A1315" s="1">
        <f>ROW(CantoralDB[[#This Row],[Título]])-1</f>
        <v>1314</v>
      </c>
      <c r="B1315" s="1" t="s">
        <v>1606</v>
      </c>
      <c r="C1315" s="1"/>
      <c r="J1315" s="1"/>
      <c r="M1315" s="15" t="s">
        <v>484</v>
      </c>
      <c r="N1315" s="15" t="s">
        <v>1497</v>
      </c>
      <c r="O1315" s="15">
        <v>9</v>
      </c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315" s="1"/>
      <c r="T1315" s="1"/>
      <c r="U1315" s="15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315" s="15" t="str">
        <f>_xlfn.TEXTBEFORE(_xlfn.TEXTAFTER(CantoralDB[[#This Row],[index.html]],"&gt;"),"&gt;")&amp;"&gt;"</f>
        <v>&lt;a href="canciones/kairoi/hermano_confia_en_dios.html"&gt;</v>
      </c>
    </row>
    <row r="1316" spans="1:23" x14ac:dyDescent="0.3">
      <c r="A1316" s="1">
        <f>ROW(CantoralDB[[#This Row],[Título]])-1</f>
        <v>1315</v>
      </c>
      <c r="B1316" s="1" t="s">
        <v>1597</v>
      </c>
      <c r="C1316" s="1"/>
      <c r="J1316" s="1"/>
      <c r="M1316" s="15" t="s">
        <v>484</v>
      </c>
      <c r="N1316" s="15" t="s">
        <v>1497</v>
      </c>
      <c r="O1316" s="15">
        <v>10</v>
      </c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316" s="1"/>
      <c r="T1316" s="1"/>
      <c r="U1316" s="15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316" s="15" t="str">
        <f>_xlfn.TEXTBEFORE(_xlfn.TEXTAFTER(CantoralDB[[#This Row],[index.html]],"&gt;"),"&gt;")&amp;"&gt;"</f>
        <v>&lt;a href="canciones/kairoi/familia_marista.html"&gt;</v>
      </c>
    </row>
    <row r="1317" spans="1:23" x14ac:dyDescent="0.3">
      <c r="A1317" s="1">
        <f>ROW(CantoralDB[[#This Row],[Título]])-1</f>
        <v>1316</v>
      </c>
      <c r="B1317" s="1" t="s">
        <v>1678</v>
      </c>
      <c r="C1317" s="1"/>
      <c r="H1317" s="1" t="s">
        <v>1027</v>
      </c>
      <c r="J1317" s="1" t="s">
        <v>608</v>
      </c>
      <c r="M1317" s="15" t="s">
        <v>484</v>
      </c>
      <c r="N1317" s="15" t="s">
        <v>1497</v>
      </c>
      <c r="O1317" s="15">
        <v>12</v>
      </c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317" s="1"/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317" s="15" t="str">
        <f>_xlfn.TEXTBEFORE(_xlfn.TEXTAFTER(CantoralDB[[#This Row],[index.html]],"&gt;"),"&gt;")&amp;"&gt;"</f>
        <v>&lt;a href="canciones/kairoi/acuerdate_maria.html"&gt;</v>
      </c>
    </row>
    <row r="1318" spans="1:23" x14ac:dyDescent="0.3">
      <c r="A1318" s="1">
        <f>ROW(CantoralDB[[#This Row],[Título]])-1</f>
        <v>1317</v>
      </c>
      <c r="B1318" s="1" t="s">
        <v>1613</v>
      </c>
      <c r="C1318" s="1"/>
      <c r="H1318" s="1" t="s">
        <v>531</v>
      </c>
      <c r="J1318" s="1" t="s">
        <v>608</v>
      </c>
      <c r="M1318" s="15" t="s">
        <v>484</v>
      </c>
      <c r="N1318" s="15" t="s">
        <v>1497</v>
      </c>
      <c r="O1318" s="15">
        <v>13</v>
      </c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318" s="15" t="str">
        <f>_xlfn.TEXTBEFORE(_xlfn.TEXTAFTER(CantoralDB[[#This Row],[index.html]],"&gt;"),"&gt;")&amp;"&gt;"</f>
        <v>&lt;a href="canciones/kairoi/hermano_adios.html"&gt;</v>
      </c>
    </row>
    <row r="1319" spans="1:23" x14ac:dyDescent="0.3">
      <c r="A1319" s="1">
        <f>ROW(CantoralDB[[#This Row],[Título]])-1</f>
        <v>1318</v>
      </c>
      <c r="B1319" s="1" t="s">
        <v>1679</v>
      </c>
      <c r="C1319" s="1"/>
      <c r="J1319" s="1"/>
      <c r="M1319" s="15" t="s">
        <v>484</v>
      </c>
      <c r="N1319" s="15" t="s">
        <v>1497</v>
      </c>
      <c r="O1319" s="15">
        <v>14</v>
      </c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319" s="15" t="str">
        <f>_xlfn.TEXTBEFORE(_xlfn.TEXTAFTER(CantoralDB[[#This Row],[index.html]],"&gt;"),"&gt;")&amp;"&gt;"</f>
        <v>&lt;a href="canciones/kairoi/tu_seras_hoy_champagnat.html"&gt;</v>
      </c>
    </row>
    <row r="1320" spans="1:23" x14ac:dyDescent="0.3">
      <c r="A1320" s="1">
        <f>ROW(CantoralDB[[#This Row],[Título]])-1</f>
        <v>1319</v>
      </c>
      <c r="B1320" s="1" t="s">
        <v>1583</v>
      </c>
      <c r="C1320" s="1"/>
      <c r="J1320" s="1"/>
      <c r="M1320" s="15" t="s">
        <v>484</v>
      </c>
      <c r="N1320" s="15" t="s">
        <v>1484</v>
      </c>
      <c r="O1320" s="15">
        <v>1</v>
      </c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320" s="15" t="str">
        <f>_xlfn.TEXTBEFORE(_xlfn.TEXTAFTER(CantoralDB[[#This Row],[index.html]],"&gt;"),"&gt;")&amp;"&gt;"</f>
        <v>&lt;a href="canciones/kairoi/sintonia.html"&gt;</v>
      </c>
    </row>
    <row r="1321" spans="1:23" x14ac:dyDescent="0.3">
      <c r="A1321" s="1">
        <f>ROW(CantoralDB[[#This Row],[Título]])-1</f>
        <v>1320</v>
      </c>
      <c r="B1321" s="1" t="s">
        <v>1584</v>
      </c>
      <c r="C1321" s="1"/>
      <c r="J1321" s="1"/>
      <c r="M1321" s="15" t="s">
        <v>484</v>
      </c>
      <c r="N1321" s="15" t="s">
        <v>1484</v>
      </c>
      <c r="O1321" s="15">
        <v>2</v>
      </c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321" s="15" t="str">
        <f>_xlfn.TEXTBEFORE(_xlfn.TEXTAFTER(CantoralDB[[#This Row],[index.html]],"&gt;"),"&gt;")&amp;"&gt;"</f>
        <v>&lt;a href="canciones/kairoi/mi_ciudad.html"&gt;</v>
      </c>
    </row>
    <row r="1322" spans="1:23" x14ac:dyDescent="0.3">
      <c r="A1322" s="1">
        <f>ROW(CantoralDB[[#This Row],[Título]])-1</f>
        <v>1321</v>
      </c>
      <c r="B1322" s="1" t="s">
        <v>1585</v>
      </c>
      <c r="C1322" s="1"/>
      <c r="J1322" s="1"/>
      <c r="M1322" s="15" t="s">
        <v>484</v>
      </c>
      <c r="N1322" s="15" t="s">
        <v>1484</v>
      </c>
      <c r="O1322" s="15">
        <v>3</v>
      </c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322" s="15" t="str">
        <f>_xlfn.TEXTBEFORE(_xlfn.TEXTAFTER(CantoralDB[[#This Row],[index.html]],"&gt;"),"&gt;")&amp;"&gt;"</f>
        <v>&lt;a href="canciones/kairoi/mañana_quien_sabra.html"&gt;</v>
      </c>
    </row>
    <row r="1323" spans="1:23" x14ac:dyDescent="0.3">
      <c r="A1323" s="1">
        <f>ROW(CantoralDB[[#This Row],[Título]])-1</f>
        <v>1322</v>
      </c>
      <c r="B1323" s="1" t="s">
        <v>1586</v>
      </c>
      <c r="C1323" s="1"/>
      <c r="J1323" s="1"/>
      <c r="M1323" s="15" t="s">
        <v>484</v>
      </c>
      <c r="N1323" s="15" t="s">
        <v>1484</v>
      </c>
      <c r="O1323" s="15">
        <v>4</v>
      </c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323" s="15" t="str">
        <f>_xlfn.TEXTBEFORE(_xlfn.TEXTAFTER(CantoralDB[[#This Row],[index.html]],"&gt;"),"&gt;")&amp;"&gt;"</f>
        <v>&lt;a href="canciones/kairoi/quisiera_haber_nacido.html"&gt;</v>
      </c>
    </row>
    <row r="1324" spans="1:23" x14ac:dyDescent="0.3">
      <c r="A1324" s="1">
        <f>ROW(CantoralDB[[#This Row],[Título]])-1</f>
        <v>1323</v>
      </c>
      <c r="B1324" s="1" t="s">
        <v>1587</v>
      </c>
      <c r="C1324" s="1"/>
      <c r="J1324" s="1"/>
      <c r="M1324" s="15" t="s">
        <v>484</v>
      </c>
      <c r="N1324" s="15" t="s">
        <v>1484</v>
      </c>
      <c r="O1324" s="15">
        <v>5</v>
      </c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324" s="15" t="str">
        <f>_xlfn.TEXTBEFORE(_xlfn.TEXTAFTER(CantoralDB[[#This Row],[index.html]],"&gt;"),"&gt;")&amp;"&gt;"</f>
        <v>&lt;a href="canciones/kairoi/no_puedo_jugar.html"&gt;</v>
      </c>
    </row>
    <row r="1325" spans="1:23" x14ac:dyDescent="0.3">
      <c r="A1325" s="1">
        <f>ROW(CantoralDB[[#This Row],[Título]])-1</f>
        <v>1324</v>
      </c>
      <c r="B1325" s="1" t="s">
        <v>1939</v>
      </c>
      <c r="C1325" s="1"/>
      <c r="J1325" s="1"/>
      <c r="M1325" s="15" t="s">
        <v>484</v>
      </c>
      <c r="N1325" s="15" t="s">
        <v>1484</v>
      </c>
      <c r="O1325" s="15">
        <v>6</v>
      </c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325" s="15" t="str">
        <f>_xlfn.TEXTBEFORE(_xlfn.TEXTAFTER(CantoralDB[[#This Row],[index.html]],"&gt;"),"&gt;")&amp;"&gt;"</f>
        <v>&lt;a href="canciones/kairoi/quien_me_ayuda.html"&gt;</v>
      </c>
    </row>
    <row r="1326" spans="1:23" x14ac:dyDescent="0.3">
      <c r="A1326" s="1">
        <f>ROW(CantoralDB[[#This Row],[Título]])-1</f>
        <v>1325</v>
      </c>
      <c r="B1326" s="1" t="s">
        <v>1588</v>
      </c>
      <c r="C1326" s="1"/>
      <c r="J1326" s="1"/>
      <c r="M1326" s="15" t="s">
        <v>484</v>
      </c>
      <c r="N1326" s="15" t="s">
        <v>1484</v>
      </c>
      <c r="O1326" s="15">
        <v>7</v>
      </c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326" s="15" t="str">
        <f>_xlfn.TEXTBEFORE(_xlfn.TEXTAFTER(CantoralDB[[#This Row],[index.html]],"&gt;"),"&gt;")&amp;"&gt;"</f>
        <v>&lt;a href="canciones/kairoi/siempre_me_gusto_decirte_hola.html"&gt;</v>
      </c>
    </row>
    <row r="1327" spans="1:23" x14ac:dyDescent="0.3">
      <c r="A1327" s="1">
        <f>ROW(CantoralDB[[#This Row],[Título]])-1</f>
        <v>1326</v>
      </c>
      <c r="B1327" s="1" t="s">
        <v>1589</v>
      </c>
      <c r="C1327" s="1"/>
      <c r="J1327" s="1"/>
      <c r="M1327" s="15" t="s">
        <v>484</v>
      </c>
      <c r="N1327" s="15" t="s">
        <v>1484</v>
      </c>
      <c r="O1327" s="15">
        <v>8</v>
      </c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327" s="15" t="str">
        <f>_xlfn.TEXTBEFORE(_xlfn.TEXTAFTER(CantoralDB[[#This Row],[index.html]],"&gt;"),"&gt;")&amp;"&gt;"</f>
        <v>&lt;a href="canciones/kairoi/solo_trabajar.html"&gt;</v>
      </c>
    </row>
    <row r="1328" spans="1:23" x14ac:dyDescent="0.3">
      <c r="A1328" s="1">
        <f>ROW(CantoralDB[[#This Row],[Título]])-1</f>
        <v>1327</v>
      </c>
      <c r="B1328" s="1" t="s">
        <v>1590</v>
      </c>
      <c r="C1328" s="1"/>
      <c r="J1328" s="1"/>
      <c r="M1328" s="15" t="s">
        <v>484</v>
      </c>
      <c r="N1328" s="15" t="s">
        <v>1484</v>
      </c>
      <c r="O1328" s="15">
        <v>9</v>
      </c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328" s="15" t="str">
        <f>_xlfn.TEXTBEFORE(_xlfn.TEXTAFTER(CantoralDB[[#This Row],[index.html]],"&gt;"),"&gt;")&amp;"&gt;"</f>
        <v>&lt;a href="canciones/kairoi/no_tengo_a_nadie.html"&gt;</v>
      </c>
    </row>
    <row r="1329" spans="1:23" x14ac:dyDescent="0.3">
      <c r="A1329" s="1">
        <f>ROW(CantoralDB[[#This Row],[Título]])-1</f>
        <v>1328</v>
      </c>
      <c r="B1329" s="1" t="s">
        <v>1591</v>
      </c>
      <c r="C1329" s="1"/>
      <c r="J1329" s="1"/>
      <c r="M1329" s="15" t="s">
        <v>484</v>
      </c>
      <c r="N1329" s="15" t="s">
        <v>1484</v>
      </c>
      <c r="O1329" s="15">
        <v>10</v>
      </c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329" s="1"/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329" s="15" t="str">
        <f>_xlfn.TEXTBEFORE(_xlfn.TEXTAFTER(CantoralDB[[#This Row],[index.html]],"&gt;"),"&gt;")&amp;"&gt;"</f>
        <v>&lt;a href="canciones/kairoi/me_hicieron_asi.html"&gt;</v>
      </c>
    </row>
    <row r="1330" spans="1:23" x14ac:dyDescent="0.3">
      <c r="A1330" s="1">
        <f>ROW(CantoralDB[[#This Row],[Título]])-1</f>
        <v>1329</v>
      </c>
      <c r="B1330" s="1" t="s">
        <v>1592</v>
      </c>
      <c r="C1330" s="1"/>
      <c r="J1330" s="1"/>
      <c r="M1330" s="15" t="s">
        <v>484</v>
      </c>
      <c r="N1330" s="15" t="s">
        <v>1484</v>
      </c>
      <c r="O1330" s="15">
        <v>11</v>
      </c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330" s="1"/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330" s="15" t="str">
        <f>_xlfn.TEXTBEFORE(_xlfn.TEXTAFTER(CantoralDB[[#This Row],[index.html]],"&gt;"),"&gt;")&amp;"&gt;"</f>
        <v>&lt;a href="canciones/kairoi/tu_y_yo_este_aquel.html"&gt;</v>
      </c>
    </row>
    <row r="1331" spans="1:23" x14ac:dyDescent="0.3">
      <c r="A1331" s="1">
        <f>ROW(CantoralDB[[#This Row],[Título]])-1</f>
        <v>1330</v>
      </c>
      <c r="B1331" s="1" t="s">
        <v>1603</v>
      </c>
      <c r="C1331" s="1"/>
      <c r="J1331" s="1"/>
      <c r="M1331" s="15" t="s">
        <v>484</v>
      </c>
      <c r="N1331" s="15" t="s">
        <v>1487</v>
      </c>
      <c r="O1331" s="15">
        <v>1</v>
      </c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331" s="15" t="str">
        <f>_xlfn.TEXTBEFORE(_xlfn.TEXTAFTER(CantoralDB[[#This Row],[index.html]],"&gt;"),"&gt;")&amp;"&gt;"</f>
        <v>&lt;a href="canciones/kairoi/gloria_hosana.html"&gt;</v>
      </c>
    </row>
    <row r="1332" spans="1:23" x14ac:dyDescent="0.3">
      <c r="A1332" s="1">
        <f>ROW(CantoralDB[[#This Row],[Título]])-1</f>
        <v>1331</v>
      </c>
      <c r="B1332" s="1" t="s">
        <v>1557</v>
      </c>
      <c r="C1332" s="1"/>
      <c r="H1332" s="1" t="s">
        <v>1030</v>
      </c>
      <c r="J1332" s="1" t="s">
        <v>608</v>
      </c>
      <c r="M1332" s="15" t="s">
        <v>484</v>
      </c>
      <c r="N1332" s="15" t="s">
        <v>1487</v>
      </c>
      <c r="O1332" s="15">
        <v>2</v>
      </c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332" s="15" t="str">
        <f>_xlfn.TEXTBEFORE(_xlfn.TEXTAFTER(CantoralDB[[#This Row],[index.html]],"&gt;"),"&gt;")&amp;"&gt;"</f>
        <v>&lt;a href="canciones/kairoi/en_tu_cruz_sigues_hoy.html"&gt;</v>
      </c>
    </row>
    <row r="1333" spans="1:23" x14ac:dyDescent="0.3">
      <c r="A1333" s="1">
        <f>ROW(CantoralDB[[#This Row],[Título]])-1</f>
        <v>1332</v>
      </c>
      <c r="B1333" s="1" t="s">
        <v>1558</v>
      </c>
      <c r="C1333" s="1"/>
      <c r="H1333" s="1" t="s">
        <v>1028</v>
      </c>
      <c r="J1333" s="1" t="s">
        <v>608</v>
      </c>
      <c r="M1333" s="15" t="s">
        <v>484</v>
      </c>
      <c r="N1333" s="15" t="s">
        <v>1487</v>
      </c>
      <c r="O1333" s="15">
        <v>3</v>
      </c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333" s="15" t="str">
        <f>_xlfn.TEXTBEFORE(_xlfn.TEXTAFTER(CantoralDB[[#This Row],[index.html]],"&gt;"),"&gt;")&amp;"&gt;"</f>
        <v>&lt;a href="canciones/kairoi/en_la_cruz_nos_das_la_vida.html"&gt;</v>
      </c>
    </row>
    <row r="1334" spans="1:23" x14ac:dyDescent="0.3">
      <c r="A1334" s="1">
        <f>ROW(CantoralDB[[#This Row],[Título]])-1</f>
        <v>1333</v>
      </c>
      <c r="B1334" s="1" t="s">
        <v>1559</v>
      </c>
      <c r="C1334" s="1"/>
      <c r="H1334" s="1" t="s">
        <v>1027</v>
      </c>
      <c r="J1334" s="1" t="s">
        <v>608</v>
      </c>
      <c r="M1334" s="15" t="s">
        <v>484</v>
      </c>
      <c r="N1334" s="15" t="s">
        <v>1487</v>
      </c>
      <c r="O1334" s="15">
        <v>4</v>
      </c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334" s="1"/>
      <c r="T1334" s="1"/>
      <c r="U1334" s="15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334" s="15" t="str">
        <f>_xlfn.TEXTBEFORE(_xlfn.TEXTAFTER(CantoralDB[[#This Row],[index.html]],"&gt;"),"&gt;")&amp;"&gt;"</f>
        <v>&lt;a href="canciones/kairoi/siento_tu_llamada.html"&gt;</v>
      </c>
    </row>
    <row r="1335" spans="1:23" x14ac:dyDescent="0.3">
      <c r="A1335" s="1">
        <f>ROW(CantoralDB[[#This Row],[Título]])-1</f>
        <v>1334</v>
      </c>
      <c r="B1335" s="1" t="s">
        <v>1560</v>
      </c>
      <c r="C1335" s="1"/>
      <c r="H1335" s="1" t="s">
        <v>531</v>
      </c>
      <c r="J1335" s="1" t="s">
        <v>608</v>
      </c>
      <c r="M1335" s="15" t="s">
        <v>484</v>
      </c>
      <c r="N1335" s="15" t="s">
        <v>1487</v>
      </c>
      <c r="O1335" s="15">
        <v>5</v>
      </c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335" s="1"/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335" s="15" t="str">
        <f>_xlfn.TEXTBEFORE(_xlfn.TEXTAFTER(CantoralDB[[#This Row],[index.html]],"&gt;"),"&gt;")&amp;"&gt;"</f>
        <v>&lt;a href="canciones/kairoi/el_señor_es_la_esperanza.html"&gt;</v>
      </c>
    </row>
    <row r="1336" spans="1:23" x14ac:dyDescent="0.3">
      <c r="A1336" s="1">
        <f>ROW(CantoralDB[[#This Row],[Título]])-1</f>
        <v>1335</v>
      </c>
      <c r="B1336" s="1" t="s">
        <v>1561</v>
      </c>
      <c r="C1336" s="1"/>
      <c r="H1336" s="1" t="s">
        <v>531</v>
      </c>
      <c r="J1336" s="1" t="s">
        <v>608</v>
      </c>
      <c r="M1336" s="15" t="s">
        <v>484</v>
      </c>
      <c r="N1336" s="15" t="s">
        <v>1487</v>
      </c>
      <c r="O1336" s="15">
        <v>6</v>
      </c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336" s="15" t="str">
        <f>_xlfn.TEXTBEFORE(_xlfn.TEXTAFTER(CantoralDB[[#This Row],[index.html]],"&gt;"),"&gt;")&amp;"&gt;"</f>
        <v>&lt;a href="canciones/kairoi/el_señor_esta_aqui.html"&gt;</v>
      </c>
    </row>
    <row r="1337" spans="1:23" x14ac:dyDescent="0.3">
      <c r="A1337" s="1">
        <f>ROW(CantoralDB[[#This Row],[Título]])-1</f>
        <v>1336</v>
      </c>
      <c r="B1337" s="1" t="s">
        <v>1562</v>
      </c>
      <c r="C1337" s="1"/>
      <c r="H1337" s="1" t="s">
        <v>1028</v>
      </c>
      <c r="J1337" s="1" t="s">
        <v>608</v>
      </c>
      <c r="M1337" s="15" t="s">
        <v>484</v>
      </c>
      <c r="N1337" s="15" t="s">
        <v>1487</v>
      </c>
      <c r="O1337" s="15">
        <v>7</v>
      </c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337" s="15" t="str">
        <f>_xlfn.TEXTBEFORE(_xlfn.TEXTAFTER(CantoralDB[[#This Row],[index.html]],"&gt;"),"&gt;")&amp;"&gt;"</f>
        <v>&lt;a href="canciones/kairoi/caminad.html"&gt;</v>
      </c>
    </row>
    <row r="1338" spans="1:23" x14ac:dyDescent="0.3">
      <c r="A1338" s="1">
        <f>ROW(CantoralDB[[#This Row],[Título]])-1</f>
        <v>1337</v>
      </c>
      <c r="B1338" s="1" t="s">
        <v>1563</v>
      </c>
      <c r="C1338" s="1"/>
      <c r="H1338" s="1" t="s">
        <v>1028</v>
      </c>
      <c r="J1338" s="1" t="s">
        <v>608</v>
      </c>
      <c r="M1338" s="15" t="s">
        <v>484</v>
      </c>
      <c r="N1338" s="15" t="s">
        <v>1487</v>
      </c>
      <c r="O1338" s="15">
        <v>8</v>
      </c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338" s="15" t="str">
        <f>_xlfn.TEXTBEFORE(_xlfn.TEXTAFTER(CantoralDB[[#This Row],[index.html]],"&gt;"),"&gt;")&amp;"&gt;"</f>
        <v>&lt;a href="canciones/kairoi/acogeme_dios.html"&gt;</v>
      </c>
    </row>
    <row r="1339" spans="1:23" x14ac:dyDescent="0.3">
      <c r="A1339" s="1">
        <f>ROW(CantoralDB[[#This Row],[Título]])-1</f>
        <v>1338</v>
      </c>
      <c r="B1339" s="1" t="s">
        <v>1564</v>
      </c>
      <c r="C1339" s="1"/>
      <c r="H1339" s="1" t="s">
        <v>1030</v>
      </c>
      <c r="J1339" s="1" t="s">
        <v>608</v>
      </c>
      <c r="M1339" s="15" t="s">
        <v>484</v>
      </c>
      <c r="N1339" s="15" t="s">
        <v>1487</v>
      </c>
      <c r="O1339" s="15">
        <v>9</v>
      </c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339" s="15" t="str">
        <f>_xlfn.TEXTBEFORE(_xlfn.TEXTAFTER(CantoralDB[[#This Row],[index.html]],"&gt;"),"&gt;")&amp;"&gt;"</f>
        <v>&lt;a href="canciones/kairoi/maria_madre_del_dolor.html"&gt;</v>
      </c>
    </row>
    <row r="1340" spans="1:23" x14ac:dyDescent="0.3">
      <c r="A1340" s="1">
        <f>ROW(CantoralDB[[#This Row],[Título]])-1</f>
        <v>1339</v>
      </c>
      <c r="B1340" s="1" t="s">
        <v>223</v>
      </c>
      <c r="C1340" s="1" t="s">
        <v>191</v>
      </c>
      <c r="D1340" s="1" t="s">
        <v>735</v>
      </c>
      <c r="G1340" s="1" t="s">
        <v>216</v>
      </c>
      <c r="H1340" s="1" t="s">
        <v>531</v>
      </c>
      <c r="J1340" s="1" t="s">
        <v>608</v>
      </c>
      <c r="M1340" s="15" t="s">
        <v>484</v>
      </c>
      <c r="N1340" s="15" t="s">
        <v>1487</v>
      </c>
      <c r="O1340" s="15">
        <v>10</v>
      </c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340" s="15" t="str">
        <f>_xlfn.TEXTBEFORE(_xlfn.TEXTAFTER(CantoralDB[[#This Row],[index.html]],"&gt;"),"&gt;")&amp;"&gt;"</f>
        <v>&lt;a href="canciones/kairoi/el_señor_nos_ha_reunido.html"&gt;</v>
      </c>
    </row>
    <row r="1341" spans="1:23" x14ac:dyDescent="0.3">
      <c r="A1341" s="1">
        <f>ROW(CantoralDB[[#This Row],[Título]])-1</f>
        <v>1340</v>
      </c>
      <c r="B1341" s="1" t="s">
        <v>1565</v>
      </c>
      <c r="C1341" s="1"/>
      <c r="H1341" s="1" t="s">
        <v>531</v>
      </c>
      <c r="J1341" s="1" t="s">
        <v>608</v>
      </c>
      <c r="M1341" s="15" t="s">
        <v>484</v>
      </c>
      <c r="N1341" s="15" t="s">
        <v>1487</v>
      </c>
      <c r="O1341" s="15">
        <v>11</v>
      </c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341" s="15" t="str">
        <f>_xlfn.TEXTBEFORE(_xlfn.TEXTAFTER(CantoralDB[[#This Row],[index.html]],"&gt;"),"&gt;")&amp;"&gt;"</f>
        <v>&lt;a href="canciones/kairoi/llama_de_vida.html"&gt;</v>
      </c>
    </row>
    <row r="1342" spans="1:23" x14ac:dyDescent="0.3">
      <c r="A1342" s="1">
        <f>ROW(CantoralDB[[#This Row],[Título]])-1</f>
        <v>1341</v>
      </c>
      <c r="B1342" s="1" t="s">
        <v>1566</v>
      </c>
      <c r="C1342" s="1"/>
      <c r="H1342" s="1" t="s">
        <v>531</v>
      </c>
      <c r="J1342" s="1" t="s">
        <v>608</v>
      </c>
      <c r="M1342" s="15" t="s">
        <v>484</v>
      </c>
      <c r="N1342" s="15" t="s">
        <v>1487</v>
      </c>
      <c r="O1342" s="15">
        <v>12</v>
      </c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342" s="15" t="str">
        <f>_xlfn.TEXTBEFORE(_xlfn.TEXTAFTER(CantoralDB[[#This Row],[index.html]],"&gt;"),"&gt;")&amp;"&gt;"</f>
        <v>&lt;a href="canciones/kairoi/venga_tu_reino.html"&gt;</v>
      </c>
    </row>
    <row r="1343" spans="1:23" x14ac:dyDescent="0.3">
      <c r="A1343" s="1">
        <f>ROW(CantoralDB[[#This Row],[Título]])-1</f>
        <v>1342</v>
      </c>
      <c r="B1343" s="1" t="s">
        <v>1914</v>
      </c>
      <c r="C1343" s="1" t="s">
        <v>211</v>
      </c>
      <c r="D1343" s="1" t="s">
        <v>1456</v>
      </c>
      <c r="G1343" s="1" t="s">
        <v>209</v>
      </c>
      <c r="H1343" s="1" t="s">
        <v>473</v>
      </c>
      <c r="I1343" s="1" t="s">
        <v>2958</v>
      </c>
      <c r="J1343" s="1" t="s">
        <v>608</v>
      </c>
      <c r="M1343" s="15" t="s">
        <v>484</v>
      </c>
      <c r="N1343" s="15" t="s">
        <v>1487</v>
      </c>
      <c r="O1343" s="15">
        <v>13</v>
      </c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343" s="15" t="str">
        <f>_xlfn.TEXTBEFORE(_xlfn.TEXTAFTER(CantoralDB[[#This Row],[index.html]],"&gt;"),"&gt;")&amp;"&gt;"</f>
        <v>&lt;a href="canciones/kairoi/pregon_pascual_(gloria).html"&gt;</v>
      </c>
    </row>
    <row r="1344" spans="1:23" x14ac:dyDescent="0.3">
      <c r="A1344" s="1">
        <f>ROW(CantoralDB[[#This Row],[Título]])-1</f>
        <v>1343</v>
      </c>
      <c r="B1344" s="1" t="s">
        <v>559</v>
      </c>
      <c r="C1344" s="1" t="s">
        <v>191</v>
      </c>
      <c r="D1344" s="1" t="s">
        <v>744</v>
      </c>
      <c r="G1344" s="1" t="s">
        <v>553</v>
      </c>
      <c r="H1344" s="1" t="s">
        <v>1027</v>
      </c>
      <c r="J1344" s="1" t="s">
        <v>608</v>
      </c>
      <c r="M1344" s="15" t="s">
        <v>484</v>
      </c>
      <c r="N1344" s="15" t="s">
        <v>1487</v>
      </c>
      <c r="O1344" s="15">
        <v>14</v>
      </c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344" s="15" t="str">
        <f>_xlfn.TEXTBEFORE(_xlfn.TEXTAFTER(CantoralDB[[#This Row],[index.html]],"&gt;"),"&gt;")&amp;"&gt;"</f>
        <v>&lt;a href="canciones/kairoi/mirad_jesus_resucita_hoy.html"&gt;</v>
      </c>
    </row>
    <row r="1345" spans="1:23" x14ac:dyDescent="0.3">
      <c r="A1345" s="1">
        <f>ROW(CantoralDB[[#This Row],[Título]])-1</f>
        <v>1344</v>
      </c>
      <c r="B1345" s="1" t="s">
        <v>1567</v>
      </c>
      <c r="C1345" s="1"/>
      <c r="H1345" s="1" t="s">
        <v>473</v>
      </c>
      <c r="J1345" s="1" t="s">
        <v>608</v>
      </c>
      <c r="M1345" s="15" t="s">
        <v>484</v>
      </c>
      <c r="N1345" s="15" t="s">
        <v>1487</v>
      </c>
      <c r="O1345" s="15">
        <v>15</v>
      </c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345" s="15" t="str">
        <f>_xlfn.TEXTBEFORE(_xlfn.TEXTAFTER(CantoralDB[[#This Row],[index.html]],"&gt;"),"&gt;")&amp;"&gt;"</f>
        <v>&lt;a href="canciones/kairoi/somos_testigos.html"&gt;</v>
      </c>
    </row>
    <row r="1346" spans="1:23" x14ac:dyDescent="0.3">
      <c r="A1346" s="1">
        <f>ROW(CantoralDB[[#This Row],[Título]])-1</f>
        <v>1345</v>
      </c>
      <c r="B1346" s="1" t="s">
        <v>1568</v>
      </c>
      <c r="C1346" s="1"/>
      <c r="H1346" s="1" t="s">
        <v>1027</v>
      </c>
      <c r="J1346" s="1" t="s">
        <v>608</v>
      </c>
      <c r="M1346" s="15" t="s">
        <v>484</v>
      </c>
      <c r="N1346" s="15" t="s">
        <v>1487</v>
      </c>
      <c r="O1346" s="15">
        <v>16</v>
      </c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346" s="15" t="str">
        <f>_xlfn.TEXTBEFORE(_xlfn.TEXTAFTER(CantoralDB[[#This Row],[index.html]],"&gt;"),"&gt;")&amp;"&gt;"</f>
        <v>&lt;a href="canciones/kairoi/tu_camino_y_tu_verdad.html"&gt;</v>
      </c>
    </row>
    <row r="1347" spans="1:23" x14ac:dyDescent="0.3">
      <c r="A1347" s="1">
        <f>ROW(CantoralDB[[#This Row],[Título]])-1</f>
        <v>1346</v>
      </c>
      <c r="B1347" s="1" t="s">
        <v>1680</v>
      </c>
      <c r="C1347" s="1"/>
      <c r="H1347" s="1" t="s">
        <v>1027</v>
      </c>
      <c r="J1347" s="1" t="s">
        <v>608</v>
      </c>
      <c r="M1347" s="15" t="s">
        <v>484</v>
      </c>
      <c r="N1347" s="15" t="s">
        <v>1498</v>
      </c>
      <c r="O1347" s="15">
        <v>1</v>
      </c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347" s="15" t="str">
        <f>_xlfn.TEXTBEFORE(_xlfn.TEXTAFTER(CantoralDB[[#This Row],[index.html]],"&gt;"),"&gt;")&amp;"&gt;"</f>
        <v>&lt;a href="canciones/kairoi/seguir_amando.html"&gt;</v>
      </c>
    </row>
    <row r="1348" spans="1:23" x14ac:dyDescent="0.3">
      <c r="A1348" s="1">
        <f>ROW(CantoralDB[[#This Row],[Título]])-1</f>
        <v>1347</v>
      </c>
      <c r="B1348" s="1" t="s">
        <v>1498</v>
      </c>
      <c r="C1348" s="1"/>
      <c r="H1348" s="1" t="s">
        <v>473</v>
      </c>
      <c r="J1348" s="1" t="s">
        <v>608</v>
      </c>
      <c r="M1348" s="15" t="s">
        <v>484</v>
      </c>
      <c r="N1348" s="15" t="s">
        <v>1498</v>
      </c>
      <c r="O1348" s="15">
        <v>2</v>
      </c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348" s="15" t="str">
        <f>_xlfn.TEXTBEFORE(_xlfn.TEXTAFTER(CantoralDB[[#This Row],[index.html]],"&gt;"),"&gt;")&amp;"&gt;"</f>
        <v>&lt;a href="canciones/kairoi/y_se_vive_la_vida.html"&gt;</v>
      </c>
    </row>
    <row r="1349" spans="1:23" x14ac:dyDescent="0.3">
      <c r="A1349" s="1">
        <f>ROW(CantoralDB[[#This Row],[Título]])-1</f>
        <v>1348</v>
      </c>
      <c r="B1349" s="1" t="s">
        <v>1681</v>
      </c>
      <c r="C1349" s="1"/>
      <c r="H1349" s="1" t="s">
        <v>1027</v>
      </c>
      <c r="J1349" s="1" t="s">
        <v>608</v>
      </c>
      <c r="M1349" s="15" t="s">
        <v>484</v>
      </c>
      <c r="N1349" s="15" t="s">
        <v>1498</v>
      </c>
      <c r="O1349" s="15">
        <v>3</v>
      </c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349" s="15" t="str">
        <f>_xlfn.TEXTBEFORE(_xlfn.TEXTAFTER(CantoralDB[[#This Row],[index.html]],"&gt;"),"&gt;")&amp;"&gt;"</f>
        <v>&lt;a href="canciones/kairoi/jesus_cambianos.html"&gt;</v>
      </c>
    </row>
    <row r="1350" spans="1:23" x14ac:dyDescent="0.3">
      <c r="A1350" s="1">
        <f>ROW(CantoralDB[[#This Row],[Título]])-1</f>
        <v>1349</v>
      </c>
      <c r="B1350" s="1" t="s">
        <v>1682</v>
      </c>
      <c r="C1350" s="1"/>
      <c r="H1350" s="1" t="s">
        <v>531</v>
      </c>
      <c r="J1350" s="1" t="s">
        <v>608</v>
      </c>
      <c r="M1350" s="15" t="s">
        <v>484</v>
      </c>
      <c r="N1350" s="15" t="s">
        <v>1498</v>
      </c>
      <c r="O1350" s="15">
        <v>4</v>
      </c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350" s="15" t="str">
        <f>_xlfn.TEXTBEFORE(_xlfn.TEXTAFTER(CantoralDB[[#This Row],[index.html]],"&gt;"),"&gt;")&amp;"&gt;"</f>
        <v>&lt;a href="canciones/kairoi/como_maria.html"&gt;</v>
      </c>
    </row>
    <row r="1351" spans="1:23" x14ac:dyDescent="0.3">
      <c r="A1351" s="1">
        <f>ROW(CantoralDB[[#This Row],[Título]])-1</f>
        <v>1350</v>
      </c>
      <c r="B1351" s="1" t="s">
        <v>1683</v>
      </c>
      <c r="C1351" s="1"/>
      <c r="H1351" s="1" t="s">
        <v>1028</v>
      </c>
      <c r="J1351" s="1" t="s">
        <v>608</v>
      </c>
      <c r="M1351" s="15" t="s">
        <v>484</v>
      </c>
      <c r="N1351" s="15" t="s">
        <v>1498</v>
      </c>
      <c r="O1351" s="15">
        <v>5</v>
      </c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351" s="1"/>
      <c r="T1351" s="1"/>
      <c r="U1351" s="15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351" s="15" t="str">
        <f>_xlfn.TEXTBEFORE(_xlfn.TEXTAFTER(CantoralDB[[#This Row],[index.html]],"&gt;"),"&gt;")&amp;"&gt;"</f>
        <v>&lt;a href="canciones/kairoi/nos_marca_el_caminar.html"&gt;</v>
      </c>
    </row>
    <row r="1352" spans="1:23" x14ac:dyDescent="0.3">
      <c r="A1352" s="1">
        <f>ROW(CantoralDB[[#This Row],[Título]])-1</f>
        <v>1351</v>
      </c>
      <c r="B1352" s="1" t="s">
        <v>1684</v>
      </c>
      <c r="C1352" s="1"/>
      <c r="J1352" s="1"/>
      <c r="M1352" s="15" t="s">
        <v>484</v>
      </c>
      <c r="N1352" s="15" t="s">
        <v>1498</v>
      </c>
      <c r="O1352" s="15">
        <v>6</v>
      </c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352" s="15" t="str">
        <f>_xlfn.TEXTBEFORE(_xlfn.TEXTAFTER(CantoralDB[[#This Row],[index.html]],"&gt;"),"&gt;")&amp;"&gt;"</f>
        <v>&lt;a href="canciones/kairoi/alfonsa_hermana_y_amiga.html"&gt;</v>
      </c>
    </row>
    <row r="1353" spans="1:23" x14ac:dyDescent="0.3">
      <c r="A1353" s="1">
        <f>ROW(CantoralDB[[#This Row],[Título]])-1</f>
        <v>1352</v>
      </c>
      <c r="B1353" s="1" t="s">
        <v>1685</v>
      </c>
      <c r="C1353" s="1"/>
      <c r="H1353" s="1" t="s">
        <v>1030</v>
      </c>
      <c r="J1353" s="1" t="s">
        <v>608</v>
      </c>
      <c r="M1353" s="15" t="s">
        <v>484</v>
      </c>
      <c r="N1353" s="15" t="s">
        <v>1498</v>
      </c>
      <c r="O1353" s="15">
        <v>7</v>
      </c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353" s="15" t="str">
        <f>_xlfn.TEXTBEFORE(_xlfn.TEXTAFTER(CantoralDB[[#This Row],[index.html]],"&gt;"),"&gt;")&amp;"&gt;"</f>
        <v>&lt;a href="canciones/kairoi/soy_mujer.html"&gt;</v>
      </c>
    </row>
    <row r="1354" spans="1:23" x14ac:dyDescent="0.3">
      <c r="A1354" s="1">
        <f>ROW(CantoralDB[[#This Row],[Título]])-1</f>
        <v>1353</v>
      </c>
      <c r="B1354" s="1" t="s">
        <v>1686</v>
      </c>
      <c r="C1354" s="1"/>
      <c r="H1354" s="1" t="s">
        <v>531</v>
      </c>
      <c r="J1354" s="1" t="s">
        <v>608</v>
      </c>
      <c r="M1354" s="15" t="s">
        <v>484</v>
      </c>
      <c r="N1354" s="15" t="s">
        <v>1498</v>
      </c>
      <c r="O1354" s="15">
        <v>8</v>
      </c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354" s="15" t="str">
        <f>_xlfn.TEXTBEFORE(_xlfn.TEXTAFTER(CantoralDB[[#This Row],[index.html]],"&gt;"),"&gt;")&amp;"&gt;"</f>
        <v>&lt;a href="canciones/kairoi/en_ti_solo_descanso.html"&gt;</v>
      </c>
    </row>
    <row r="1355" spans="1:23" x14ac:dyDescent="0.3">
      <c r="A1355" s="1">
        <f>ROW(CantoralDB[[#This Row],[Título]])-1</f>
        <v>1354</v>
      </c>
      <c r="B1355" s="1" t="s">
        <v>893</v>
      </c>
      <c r="C1355" s="1"/>
      <c r="H1355" s="1" t="s">
        <v>1030</v>
      </c>
      <c r="J1355" s="1" t="s">
        <v>608</v>
      </c>
      <c r="M1355" s="15" t="s">
        <v>484</v>
      </c>
      <c r="N1355" s="15" t="s">
        <v>1498</v>
      </c>
      <c r="O1355" s="15">
        <v>9</v>
      </c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355" s="15" t="str">
        <f>_xlfn.TEXTBEFORE(_xlfn.TEXTAFTER(CantoralDB[[#This Row],[index.html]],"&gt;"),"&gt;")&amp;"&gt;"</f>
        <v>&lt;a href="canciones/kairoi/dios_de_la_vida.html"&gt;</v>
      </c>
    </row>
    <row r="1356" spans="1:23" x14ac:dyDescent="0.3">
      <c r="A1356" s="1">
        <f>ROW(CantoralDB[[#This Row],[Título]])-1</f>
        <v>1355</v>
      </c>
      <c r="B1356" s="1" t="s">
        <v>1687</v>
      </c>
      <c r="C1356" s="1"/>
      <c r="H1356" s="1" t="s">
        <v>473</v>
      </c>
      <c r="J1356" s="1" t="s">
        <v>608</v>
      </c>
      <c r="M1356" s="15" t="s">
        <v>484</v>
      </c>
      <c r="N1356" s="15" t="s">
        <v>1498</v>
      </c>
      <c r="O1356" s="15">
        <v>10</v>
      </c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356" s="15" t="str">
        <f>_xlfn.TEXTBEFORE(_xlfn.TEXTAFTER(CantoralDB[[#This Row],[index.html]],"&gt;"),"&gt;")&amp;"&gt;"</f>
        <v>&lt;a href="canciones/kairoi/sueña.html"&gt;</v>
      </c>
    </row>
    <row r="1357" spans="1:23" x14ac:dyDescent="0.3">
      <c r="A1357" s="1">
        <f>ROW(CantoralDB[[#This Row],[Título]])-1</f>
        <v>1356</v>
      </c>
      <c r="B1357" s="1" t="s">
        <v>109</v>
      </c>
      <c r="C1357" s="1" t="s">
        <v>198</v>
      </c>
      <c r="D1357" s="1" t="s">
        <v>1451</v>
      </c>
      <c r="E1357" s="1">
        <v>201</v>
      </c>
      <c r="G1357" s="1" t="s">
        <v>209</v>
      </c>
      <c r="H1357" s="1" t="s">
        <v>531</v>
      </c>
      <c r="I1357" s="1" t="s">
        <v>2961</v>
      </c>
      <c r="J1357" s="1" t="s">
        <v>608</v>
      </c>
      <c r="M1357" s="15" t="s">
        <v>484</v>
      </c>
      <c r="N1357" s="15" t="s">
        <v>1486</v>
      </c>
      <c r="O1357" s="15">
        <v>1</v>
      </c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357" s="15" t="str">
        <f>_xlfn.TEXTBEFORE(_xlfn.TEXTAFTER(CantoralDB[[#This Row],[index.html]],"&gt;"),"&gt;")&amp;"&gt;"</f>
        <v>&lt;a href="canciones/kairoi/paz_en_la_tierra.html"&gt;</v>
      </c>
    </row>
    <row r="1358" spans="1:23" x14ac:dyDescent="0.3">
      <c r="A1358" s="1">
        <f>ROW(CantoralDB[[#This Row],[Título]])-1</f>
        <v>1357</v>
      </c>
      <c r="B1358" s="1" t="s">
        <v>1551</v>
      </c>
      <c r="C1358" s="1"/>
      <c r="H1358" s="1" t="s">
        <v>531</v>
      </c>
      <c r="J1358" s="1" t="s">
        <v>608</v>
      </c>
      <c r="M1358" s="15" t="s">
        <v>484</v>
      </c>
      <c r="N1358" s="15" t="s">
        <v>1486</v>
      </c>
      <c r="O1358" s="15">
        <v>2</v>
      </c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358" s="15" t="str">
        <f>_xlfn.TEXTBEFORE(_xlfn.TEXTAFTER(CantoralDB[[#This Row],[index.html]],"&gt;"),"&gt;")&amp;"&gt;"</f>
        <v>&lt;a href="canciones/kairoi/me_estas_llamando.html"&gt;</v>
      </c>
    </row>
    <row r="1359" spans="1:23" x14ac:dyDescent="0.3">
      <c r="A1359" s="1">
        <f>ROW(CantoralDB[[#This Row],[Título]])-1</f>
        <v>1358</v>
      </c>
      <c r="B1359" s="1" t="s">
        <v>504</v>
      </c>
      <c r="C1359" s="1" t="s">
        <v>193</v>
      </c>
      <c r="D1359" s="1" t="s">
        <v>1472</v>
      </c>
      <c r="G1359" s="1" t="s">
        <v>216</v>
      </c>
      <c r="H1359" s="1" t="s">
        <v>531</v>
      </c>
      <c r="J1359" s="1" t="s">
        <v>608</v>
      </c>
      <c r="M1359" s="15" t="s">
        <v>484</v>
      </c>
      <c r="N1359" s="15" t="s">
        <v>1486</v>
      </c>
      <c r="O1359" s="15">
        <v>3</v>
      </c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359" s="15" t="str">
        <f>_xlfn.TEXTBEFORE(_xlfn.TEXTAFTER(CantoralDB[[#This Row],[index.html]],"&gt;"),"&gt;")&amp;"&gt;"</f>
        <v>&lt;a href="canciones/kairoi/todo_mi_ser_(alabo_tu_bondad).html"&gt;</v>
      </c>
    </row>
    <row r="1360" spans="1:23" x14ac:dyDescent="0.3">
      <c r="A1360" s="1">
        <f>ROW(CantoralDB[[#This Row],[Título]])-1</f>
        <v>1359</v>
      </c>
      <c r="B1360" s="1" t="s">
        <v>1552</v>
      </c>
      <c r="C1360" s="1"/>
      <c r="H1360" s="1" t="s">
        <v>1027</v>
      </c>
      <c r="J1360" s="1" t="s">
        <v>608</v>
      </c>
      <c r="M1360" s="15" t="s">
        <v>484</v>
      </c>
      <c r="N1360" s="15" t="s">
        <v>1486</v>
      </c>
      <c r="O1360" s="15">
        <v>4</v>
      </c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360" s="15" t="str">
        <f>_xlfn.TEXTBEFORE(_xlfn.TEXTAFTER(CantoralDB[[#This Row],[index.html]],"&gt;"),"&gt;")&amp;"&gt;"</f>
        <v>&lt;a href="canciones/kairoi/tocare_para_ti.html"&gt;</v>
      </c>
    </row>
    <row r="1361" spans="1:23" x14ac:dyDescent="0.3">
      <c r="A1361" s="1">
        <f>ROW(CantoralDB[[#This Row],[Título]])-1</f>
        <v>1360</v>
      </c>
      <c r="B1361" s="1" t="s">
        <v>48</v>
      </c>
      <c r="C1361" s="1" t="s">
        <v>993</v>
      </c>
      <c r="D1361" s="1" t="s">
        <v>697</v>
      </c>
      <c r="E1361" s="1">
        <v>418</v>
      </c>
      <c r="G1361" s="1" t="s">
        <v>209</v>
      </c>
      <c r="H1361" s="1" t="s">
        <v>1027</v>
      </c>
      <c r="J1361" s="1" t="s">
        <v>608</v>
      </c>
      <c r="M1361" s="15" t="s">
        <v>484</v>
      </c>
      <c r="N1361" s="15" t="s">
        <v>1486</v>
      </c>
      <c r="O1361" s="15">
        <v>5</v>
      </c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361" s="15" t="str">
        <f>_xlfn.TEXTBEFORE(_xlfn.TEXTAFTER(CantoralDB[[#This Row],[index.html]],"&gt;"),"&gt;")&amp;"&gt;"</f>
        <v>&lt;a href="canciones/kairoi/el_amor_es_nuestro_canto.html"&gt;</v>
      </c>
    </row>
    <row r="1362" spans="1:23" x14ac:dyDescent="0.3">
      <c r="A1362" s="1">
        <f>ROW(CantoralDB[[#This Row],[Título]])-1</f>
        <v>1361</v>
      </c>
      <c r="B1362" s="1" t="s">
        <v>1553</v>
      </c>
      <c r="C1362" s="1"/>
      <c r="H1362" s="1" t="s">
        <v>531</v>
      </c>
      <c r="J1362" s="1" t="s">
        <v>608</v>
      </c>
      <c r="M1362" s="15" t="s">
        <v>484</v>
      </c>
      <c r="N1362" s="15" t="s">
        <v>1486</v>
      </c>
      <c r="O1362" s="15">
        <v>6</v>
      </c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362" s="15" t="str">
        <f>_xlfn.TEXTBEFORE(_xlfn.TEXTAFTER(CantoralDB[[#This Row],[index.html]],"&gt;"),"&gt;")&amp;"&gt;"</f>
        <v>&lt;a href="canciones/kairoi/enseñanos_a_orar.html"&gt;</v>
      </c>
    </row>
    <row r="1363" spans="1:23" x14ac:dyDescent="0.3">
      <c r="A1363" s="1">
        <f>ROW(CantoralDB[[#This Row],[Título]])-1</f>
        <v>1362</v>
      </c>
      <c r="B1363" s="1" t="s">
        <v>1554</v>
      </c>
      <c r="C1363" s="1"/>
      <c r="H1363" s="1" t="s">
        <v>1029</v>
      </c>
      <c r="J1363" s="1" t="s">
        <v>608</v>
      </c>
      <c r="M1363" s="15" t="s">
        <v>484</v>
      </c>
      <c r="N1363" s="15" t="s">
        <v>1486</v>
      </c>
      <c r="O1363" s="15">
        <v>7</v>
      </c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363" s="15" t="str">
        <f>_xlfn.TEXTBEFORE(_xlfn.TEXTAFTER(CantoralDB[[#This Row],[index.html]],"&gt;"),"&gt;")&amp;"&gt;"</f>
        <v>&lt;a href="canciones/kairoi/tu_señor.html"&gt;</v>
      </c>
    </row>
    <row r="1364" spans="1:23" x14ac:dyDescent="0.3">
      <c r="A1364" s="1">
        <f>ROW(CantoralDB[[#This Row],[Título]])-1</f>
        <v>1363</v>
      </c>
      <c r="B1364" s="1" t="s">
        <v>1555</v>
      </c>
      <c r="C1364" s="1"/>
      <c r="H1364" s="1" t="s">
        <v>531</v>
      </c>
      <c r="J1364" s="1" t="s">
        <v>608</v>
      </c>
      <c r="M1364" s="15" t="s">
        <v>484</v>
      </c>
      <c r="N1364" s="15" t="s">
        <v>1486</v>
      </c>
      <c r="O1364" s="15">
        <v>8</v>
      </c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364" s="15" t="str">
        <f>_xlfn.TEXTBEFORE(_xlfn.TEXTAFTER(CantoralDB[[#This Row],[index.html]],"&gt;"),"&gt;")&amp;"&gt;"</f>
        <v>&lt;a href="canciones/kairoi/esperando_con_maria.html"&gt;</v>
      </c>
    </row>
    <row r="1365" spans="1:23" x14ac:dyDescent="0.3">
      <c r="A1365" s="1">
        <f>ROW(CantoralDB[[#This Row],[Título]])-1</f>
        <v>1364</v>
      </c>
      <c r="B1365" s="1" t="s">
        <v>1602</v>
      </c>
      <c r="C1365" s="1"/>
      <c r="J1365" s="1"/>
      <c r="M1365" s="15" t="s">
        <v>484</v>
      </c>
      <c r="N1365" s="15" t="s">
        <v>1486</v>
      </c>
      <c r="O1365" s="15">
        <v>12</v>
      </c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365" s="15" t="str">
        <f>_xlfn.TEXTBEFORE(_xlfn.TEXTAFTER(CantoralDB[[#This Row],[index.html]],"&gt;"),"&gt;")&amp;"&gt;"</f>
        <v>&lt;a href="canciones/kairoi/padre_perdon.html"&gt;</v>
      </c>
    </row>
    <row r="1366" spans="1:23" x14ac:dyDescent="0.3">
      <c r="A1366" s="1">
        <f>ROW(CantoralDB[[#This Row],[Título]])-1</f>
        <v>1365</v>
      </c>
      <c r="B1366" s="1" t="s">
        <v>126</v>
      </c>
      <c r="C1366" s="1" t="s">
        <v>993</v>
      </c>
      <c r="D1366" s="1" t="s">
        <v>1001</v>
      </c>
      <c r="E1366" s="1">
        <v>225</v>
      </c>
      <c r="G1366" s="1" t="s">
        <v>209</v>
      </c>
      <c r="H1366" s="1" t="s">
        <v>1030</v>
      </c>
      <c r="J1366" s="1" t="s">
        <v>608</v>
      </c>
      <c r="M1366" s="15" t="s">
        <v>578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366" s="15" t="str">
        <f>_xlfn.TEXTBEFORE(_xlfn.TEXTAFTER(CantoralDB[[#This Row],[index.html]],"&gt;"),"&gt;")&amp;"&gt;"</f>
        <v>&lt;a href="canciones/nsb/resucito_aleluya.html"&gt;</v>
      </c>
    </row>
    <row r="1367" spans="1:23" x14ac:dyDescent="0.3">
      <c r="A1367" s="1">
        <f>ROW(CantoralDB[[#This Row],[Título]])-1</f>
        <v>1366</v>
      </c>
      <c r="B1367" s="1" t="s">
        <v>1031</v>
      </c>
      <c r="C1367" s="1"/>
      <c r="H1367" s="1" t="s">
        <v>1030</v>
      </c>
      <c r="J1367" s="1" t="s">
        <v>608</v>
      </c>
      <c r="M1367" s="15" t="s">
        <v>2147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367" s="15" t="str">
        <f>_xlfn.TEXTBEFORE(_xlfn.TEXTAFTER(CantoralDB[[#This Row],[index.html]],"&gt;"),"&gt;")&amp;"&gt;"</f>
        <v>&lt;a href="canciones/nuevas/aleluya_(cohen).html"&gt;</v>
      </c>
    </row>
    <row r="1368" spans="1:23" x14ac:dyDescent="0.3">
      <c r="A1368" s="1">
        <f>ROW(CantoralDB[[#This Row],[Título]])-1</f>
        <v>1367</v>
      </c>
      <c r="B1368" s="1" t="s">
        <v>2164</v>
      </c>
      <c r="C1368" s="15"/>
      <c r="H1368" s="1" t="s">
        <v>531</v>
      </c>
      <c r="J1368" s="1" t="s">
        <v>608</v>
      </c>
      <c r="M1368" s="15" t="s">
        <v>2180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368" s="1"/>
      <c r="T1368" s="1"/>
      <c r="U1368" s="33" t="s">
        <v>3007</v>
      </c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368" s="15" t="str">
        <f>_xlfn.TEXTBEFORE(_xlfn.TEXTAFTER(CantoralDB[[#This Row],[index.html]],"&gt;"),"&gt;")&amp;"&gt;"</f>
        <v>&lt;a href="canciones/nuevas/entra_en_el_corazon_de_dios.html"&gt;</v>
      </c>
    </row>
    <row r="1369" spans="1:23" x14ac:dyDescent="0.3">
      <c r="A1369" s="1">
        <f>ROW(CantoralDB[[#This Row],[Título]])-1</f>
        <v>1368</v>
      </c>
      <c r="B1369" s="1" t="s">
        <v>1255</v>
      </c>
      <c r="C1369" s="1"/>
      <c r="E1369" s="1">
        <v>123</v>
      </c>
      <c r="H1369" s="1" t="s">
        <v>1030</v>
      </c>
      <c r="J1369" s="1" t="s">
        <v>608</v>
      </c>
      <c r="M1369" s="15" t="s">
        <v>2878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369" s="1"/>
      <c r="T1369" s="1"/>
      <c r="U1369" s="33" t="s">
        <v>2992</v>
      </c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369" s="15" t="str">
        <f>_xlfn.TEXTBEFORE(_xlfn.TEXTAFTER(CantoralDB[[#This Row],[index.html]],"&gt;"),"&gt;")&amp;"&gt;"</f>
        <v>&lt;a href="canciones/nsb/fe_no_es_aguardar.html"&gt;</v>
      </c>
    </row>
    <row r="1370" spans="1:23" x14ac:dyDescent="0.3">
      <c r="A1370" s="1">
        <f>ROW(CantoralDB[[#This Row],[Título]])-1</f>
        <v>1369</v>
      </c>
      <c r="B1370" s="1" t="s">
        <v>1155</v>
      </c>
      <c r="C1370" s="1"/>
      <c r="E1370" s="1">
        <v>3</v>
      </c>
      <c r="H1370" s="1" t="s">
        <v>1027</v>
      </c>
      <c r="J1370" s="1" t="s">
        <v>608</v>
      </c>
      <c r="M1370" s="15" t="s">
        <v>2142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370" s="15" t="str">
        <f>_xlfn.TEXTBEFORE(_xlfn.TEXTAFTER(CantoralDB[[#This Row],[index.html]],"&gt;"),"&gt;")&amp;"&gt;"</f>
        <v>&lt;a href="canciones/nsb/acuerdate_de_jesucristo.html"&gt;</v>
      </c>
    </row>
    <row r="1371" spans="1:23" x14ac:dyDescent="0.3">
      <c r="A1371" s="1">
        <f>ROW(CantoralDB[[#This Row],[Título]])-1</f>
        <v>1370</v>
      </c>
      <c r="B1371" s="1" t="s">
        <v>1164</v>
      </c>
      <c r="C1371" s="1" t="s">
        <v>199</v>
      </c>
      <c r="D1371" s="1" t="s">
        <v>1385</v>
      </c>
      <c r="E1371" s="1">
        <v>22</v>
      </c>
      <c r="G1371" s="1" t="s">
        <v>209</v>
      </c>
      <c r="H1371" s="1" t="s">
        <v>1028</v>
      </c>
      <c r="J1371" s="1" t="s">
        <v>608</v>
      </c>
      <c r="M1371" s="15" t="s">
        <v>2142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371" s="1" t="s">
        <v>806</v>
      </c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371" s="15" t="str">
        <f>_xlfn.TEXTBEFORE(_xlfn.TEXTAFTER(CantoralDB[[#This Row],[index.html]],"&gt;"),"&gt;")&amp;"&gt;"</f>
        <v>&lt;a href="canciones/nsb/anunciaremos_tu_reino_señor.html"&gt;</v>
      </c>
    </row>
    <row r="1372" spans="1:23" x14ac:dyDescent="0.3">
      <c r="A1372" s="1">
        <f>ROW(CantoralDB[[#This Row],[Título]])-1</f>
        <v>1371</v>
      </c>
      <c r="B1372" s="1" t="s">
        <v>1297</v>
      </c>
      <c r="C1372" s="1"/>
      <c r="E1372" s="1">
        <v>194</v>
      </c>
      <c r="H1372" s="1" t="s">
        <v>531</v>
      </c>
      <c r="J1372" s="1" t="s">
        <v>608</v>
      </c>
      <c r="M1372" s="15" t="s">
        <v>2142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372" s="1"/>
      <c r="T1372" s="1"/>
      <c r="U1372" s="33" t="s">
        <v>2997</v>
      </c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372" s="15" t="str">
        <f>_xlfn.TEXTBEFORE(_xlfn.TEXTAFTER(CantoralDB[[#This Row],[index.html]],"&gt;"),"&gt;")&amp;"&gt;"</f>
        <v>&lt;a href="canciones/nsb/oh_señor_envia_tu_espiritu.html"&gt;</v>
      </c>
    </row>
    <row r="1373" spans="1:23" x14ac:dyDescent="0.3">
      <c r="A1373" s="1">
        <f>ROW(CantoralDB[[#This Row],[Título]])-1</f>
        <v>1372</v>
      </c>
      <c r="B1373" s="1" t="s">
        <v>1337</v>
      </c>
      <c r="C1373" s="1"/>
      <c r="E1373" s="1">
        <v>268</v>
      </c>
      <c r="H1373" s="1" t="s">
        <v>1030</v>
      </c>
      <c r="J1373" s="1" t="s">
        <v>608</v>
      </c>
      <c r="M1373" s="15" t="s">
        <v>2142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373" s="1"/>
      <c r="T1373" s="1"/>
      <c r="U1373" s="35" t="s">
        <v>2998</v>
      </c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373" s="15" t="str">
        <f>_xlfn.TEXTBEFORE(_xlfn.TEXTAFTER(CantoralDB[[#This Row],[index.html]],"&gt;"),"&gt;")&amp;"&gt;"</f>
        <v>&lt;a href="canciones/nsb/un_solo_señor.html"&gt;</v>
      </c>
    </row>
    <row r="1374" spans="1:23" x14ac:dyDescent="0.3">
      <c r="A1374" s="1">
        <f>ROW(CantoralDB[[#This Row],[Título]])-1</f>
        <v>1373</v>
      </c>
      <c r="B1374" s="1" t="s">
        <v>2885</v>
      </c>
      <c r="C1374" s="1"/>
      <c r="E1374" s="1">
        <v>47</v>
      </c>
      <c r="H1374" s="1" t="s">
        <v>531</v>
      </c>
      <c r="J1374" s="1" t="s">
        <v>608</v>
      </c>
      <c r="M1374" s="15" t="s">
        <v>2400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374" s="15" t="str">
        <f>_xlfn.TEXTBEFORE(_xlfn.TEXTAFTER(CantoralDB[[#This Row],[index.html]],"&gt;"),"&gt;")&amp;"&gt;"</f>
        <v>&lt;a href="canciones/luis_alfredo_diaz/compartir.html"&gt;</v>
      </c>
    </row>
    <row r="1375" spans="1:23" x14ac:dyDescent="0.3">
      <c r="A1375" s="1">
        <f>ROW(CantoralDB[[#This Row],[Título]])-1</f>
        <v>1374</v>
      </c>
      <c r="B1375" s="1" t="s">
        <v>1318</v>
      </c>
      <c r="C1375" s="1"/>
      <c r="E1375" s="1">
        <v>238</v>
      </c>
      <c r="J1375" s="1"/>
      <c r="M1375" s="15" t="s">
        <v>2400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375" s="15" t="str">
        <f>_xlfn.TEXTBEFORE(_xlfn.TEXTAFTER(CantoralDB[[#This Row],[index.html]],"&gt;"),"&gt;")&amp;"&gt;"</f>
        <v>&lt;a href="canciones/luis_alfredo_diaz/solidaridad.html"&gt;</v>
      </c>
    </row>
    <row r="1376" spans="1:23" x14ac:dyDescent="0.3">
      <c r="A1376" s="1">
        <f>ROW(CantoralDB[[#This Row],[Título]])-1</f>
        <v>1375</v>
      </c>
      <c r="B1376" s="1" t="s">
        <v>1339</v>
      </c>
      <c r="C1376" s="1"/>
      <c r="E1376" s="1">
        <v>273</v>
      </c>
      <c r="J1376" s="1"/>
      <c r="M1376" s="15" t="s">
        <v>2400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376" s="15" t="str">
        <f>_xlfn.TEXTBEFORE(_xlfn.TEXTAFTER(CantoralDB[[#This Row],[index.html]],"&gt;"),"&gt;")&amp;"&gt;"</f>
        <v>&lt;a href="canciones/luis_alfredo_diaz/un_nuevo_reino_esta_amaneciendo.html"&gt;</v>
      </c>
    </row>
    <row r="1377" spans="1:23" x14ac:dyDescent="0.3">
      <c r="A1377" s="1">
        <f>ROW(CantoralDB[[#This Row],[Título]])-1</f>
        <v>1376</v>
      </c>
      <c r="B1377" s="1" t="s">
        <v>544</v>
      </c>
      <c r="C1377" s="1" t="s">
        <v>993</v>
      </c>
      <c r="D1377" s="1" t="s">
        <v>1016</v>
      </c>
      <c r="G1377" s="1" t="s">
        <v>209</v>
      </c>
      <c r="H1377" s="1" t="s">
        <v>1027</v>
      </c>
      <c r="I1377" s="1" t="s">
        <v>2961</v>
      </c>
      <c r="J1377" s="1" t="s">
        <v>608</v>
      </c>
      <c r="M1377" s="15" t="s">
        <v>2400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377" s="1" t="s">
        <v>817</v>
      </c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377" s="15" t="str">
        <f>_xlfn.TEXTBEFORE(_xlfn.TEXTAFTER(CantoralDB[[#This Row],[index.html]],"&gt;"),"&gt;")&amp;"&gt;"</f>
        <v>&lt;a href="canciones/luis_alfredo_diaz/una_tarde_en_la_playa.html"&gt;</v>
      </c>
    </row>
    <row r="1378" spans="1:23" x14ac:dyDescent="0.3">
      <c r="A1378" s="1">
        <f>ROW(CantoralDB[[#This Row],[Título]])-1</f>
        <v>1377</v>
      </c>
      <c r="B1378" s="1" t="s">
        <v>136</v>
      </c>
      <c r="C1378" s="1" t="s">
        <v>201</v>
      </c>
      <c r="D1378" s="1" t="s">
        <v>672</v>
      </c>
      <c r="E1378" s="1">
        <v>461</v>
      </c>
      <c r="G1378" s="1" t="s">
        <v>209</v>
      </c>
      <c r="H1378" s="1" t="s">
        <v>531</v>
      </c>
      <c r="I1378" s="1" t="s">
        <v>2961</v>
      </c>
      <c r="J1378" s="1" t="s">
        <v>608</v>
      </c>
      <c r="M1378" s="15" t="s">
        <v>508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378" s="1" t="s">
        <v>815</v>
      </c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378" s="15" t="str">
        <f>_xlfn.TEXTBEFORE(_xlfn.TEXTAFTER(CantoralDB[[#This Row],[index.html]],"&gt;"),"&gt;")&amp;"&gt;"</f>
        <v>&lt;a href="canciones/nsb/sois_la_sal.html"&gt;</v>
      </c>
    </row>
    <row r="1379" spans="1:23" x14ac:dyDescent="0.3">
      <c r="A1379" s="1">
        <f>ROW(CantoralDB[[#This Row],[Título]])-1</f>
        <v>1378</v>
      </c>
      <c r="B1379" s="1" t="s">
        <v>2161</v>
      </c>
      <c r="C1379" s="15"/>
      <c r="H1379" s="1" t="s">
        <v>531</v>
      </c>
      <c r="J1379" s="1" t="s">
        <v>608</v>
      </c>
      <c r="M1379" s="15" t="s">
        <v>2957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379" s="15" t="str">
        <f>_xlfn.TEXTBEFORE(_xlfn.TEXTAFTER(CantoralDB[[#This Row],[index.html]],"&gt;"),"&gt;")&amp;"&gt;"</f>
        <v>&lt;a href="canciones/nuevas/dijiste_si.html"&gt;</v>
      </c>
    </row>
    <row r="1380" spans="1:23" x14ac:dyDescent="0.3">
      <c r="A1380" s="1">
        <f>ROW(CantoralDB[[#This Row],[Título]])-1</f>
        <v>1379</v>
      </c>
      <c r="B1380" s="1" t="s">
        <v>2956</v>
      </c>
      <c r="C1380" s="1"/>
      <c r="H1380" s="1" t="s">
        <v>1030</v>
      </c>
      <c r="J1380" s="1" t="s">
        <v>608</v>
      </c>
      <c r="M1380" s="15" t="s">
        <v>2957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380" s="15" t="str">
        <f>_xlfn.TEXTBEFORE(_xlfn.TEXTAFTER(CantoralDB[[#This Row],[index.html]],"&gt;"),"&gt;")&amp;"&gt;"</f>
        <v>&lt;a href="canciones/nuevas/ungidos.html"&gt;</v>
      </c>
    </row>
    <row r="1381" spans="1:23" x14ac:dyDescent="0.3">
      <c r="A1381" s="1">
        <f>ROW(CantoralDB[[#This Row],[Título]])-1</f>
        <v>1380</v>
      </c>
      <c r="B1381" s="1" t="s">
        <v>3016</v>
      </c>
      <c r="C1381" s="1"/>
      <c r="J1381" s="1" t="s">
        <v>608</v>
      </c>
      <c r="M1381" s="15" t="s">
        <v>2957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381" s="15" t="str">
        <f>_xlfn.TEXTBEFORE(_xlfn.TEXTAFTER(CantoralDB[[#This Row],[index.html]],"&gt;"),"&gt;")&amp;"&gt;"</f>
        <v>&lt;a href="canciones/nuevas/petrus_(in_illo_uno_unum).html"&gt;</v>
      </c>
    </row>
    <row r="1382" spans="1:23" x14ac:dyDescent="0.3">
      <c r="A1382" s="1">
        <f>ROW(CantoralDB[[#This Row],[Título]])-1</f>
        <v>1381</v>
      </c>
      <c r="B1382" s="1" t="s">
        <v>22</v>
      </c>
      <c r="C1382" s="1" t="s">
        <v>993</v>
      </c>
      <c r="D1382" s="1" t="s">
        <v>1040</v>
      </c>
      <c r="E1382" s="1">
        <v>408</v>
      </c>
      <c r="G1382" s="1" t="s">
        <v>209</v>
      </c>
      <c r="H1382" s="1" t="s">
        <v>531</v>
      </c>
      <c r="I1382" s="1" t="s">
        <v>2962</v>
      </c>
      <c r="J1382" s="1" t="s">
        <v>608</v>
      </c>
      <c r="M1382" s="15" t="s">
        <v>542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382" s="1" t="s">
        <v>804</v>
      </c>
      <c r="T1382" s="1"/>
      <c r="U1382" s="15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382" s="15" t="str">
        <f>_xlfn.TEXTBEFORE(_xlfn.TEXTAFTER(CantoralDB[[#This Row],[index.html]],"&gt;"),"&gt;")&amp;"&gt;"</f>
        <v>&lt;a href="canciones/nsb/amando_hasta_el_extremo.html"&gt;</v>
      </c>
    </row>
    <row r="1383" spans="1:23" x14ac:dyDescent="0.3">
      <c r="A1383" s="1">
        <f>ROW(CantoralDB[[#This Row],[Título]])-1</f>
        <v>1382</v>
      </c>
      <c r="B1383" s="32" t="s">
        <v>256</v>
      </c>
      <c r="C1383" s="1" t="s">
        <v>993</v>
      </c>
      <c r="D1383" s="1" t="s">
        <v>715</v>
      </c>
      <c r="G1383" s="1" t="s">
        <v>254</v>
      </c>
      <c r="H1383" s="1" t="s">
        <v>531</v>
      </c>
      <c r="I1383" s="1" t="s">
        <v>2961</v>
      </c>
      <c r="J1383" s="1" t="s">
        <v>608</v>
      </c>
      <c r="M1383" s="15" t="s">
        <v>633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383" s="15" t="str">
        <f>_xlfn.TEXTBEFORE(_xlfn.TEXTAFTER(CantoralDB[[#This Row],[index.html]],"&gt;"),"&gt;")&amp;"&gt;"</f>
        <v>&lt;a href="canciones/nsb/jesus_amigo.html"&gt;</v>
      </c>
    </row>
    <row r="1384" spans="1:23" x14ac:dyDescent="0.3">
      <c r="A1384" s="1">
        <f>ROW(CantoralDB[[#This Row],[Título]])-1</f>
        <v>1383</v>
      </c>
      <c r="B1384" s="1" t="s">
        <v>557</v>
      </c>
      <c r="C1384" s="1" t="s">
        <v>201</v>
      </c>
      <c r="D1384" s="1" t="s">
        <v>673</v>
      </c>
      <c r="G1384" s="1" t="s">
        <v>553</v>
      </c>
      <c r="H1384" s="1" t="s">
        <v>531</v>
      </c>
      <c r="J1384" s="1" t="s">
        <v>608</v>
      </c>
      <c r="M1384" s="15" t="s">
        <v>613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384" s="1" t="s">
        <v>861</v>
      </c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384" s="15" t="str">
        <f>_xlfn.TEXTBEFORE(_xlfn.TEXTAFTER(CantoralDB[[#This Row],[index.html]],"&gt;"),"&gt;")&amp;"&gt;"</f>
        <v>&lt;a href="canciones/nsb/te_amo_señor.html"&gt;</v>
      </c>
    </row>
    <row r="1385" spans="1:23" x14ac:dyDescent="0.3">
      <c r="A1385" s="1">
        <f>ROW(CantoralDB[[#This Row],[Título]])-1</f>
        <v>1384</v>
      </c>
      <c r="B1385" s="1" t="s">
        <v>230</v>
      </c>
      <c r="C1385" s="1" t="s">
        <v>993</v>
      </c>
      <c r="D1385" s="1" t="s">
        <v>999</v>
      </c>
      <c r="H1385" s="1" t="s">
        <v>1027</v>
      </c>
      <c r="J1385" s="1" t="s">
        <v>608</v>
      </c>
      <c r="M1385" s="15" t="s">
        <v>507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385" s="15" t="str">
        <f>_xlfn.TEXTBEFORE(_xlfn.TEXTAFTER(CantoralDB[[#This Row],[index.html]],"&gt;"),"&gt;")&amp;"&gt;"</f>
        <v>&lt;a href="canciones/nsb/quien_nos_separara.html"&gt;</v>
      </c>
    </row>
    <row r="1386" spans="1:23" x14ac:dyDescent="0.3">
      <c r="A1386" s="1">
        <f>ROW(CantoralDB[[#This Row],[Título]])-1</f>
        <v>1385</v>
      </c>
      <c r="B1386" s="1" t="s">
        <v>1220</v>
      </c>
      <c r="C1386" s="1"/>
      <c r="E1386" s="1">
        <v>300</v>
      </c>
      <c r="H1386" s="1" t="s">
        <v>1028</v>
      </c>
      <c r="J1386" s="1" t="s">
        <v>608</v>
      </c>
      <c r="M1386" s="15" t="s">
        <v>2915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386" s="15" t="str">
        <f>_xlfn.TEXTBEFORE(_xlfn.TEXTAFTER(CantoralDB[[#This Row],[index.html]],"&gt;"),"&gt;")&amp;"&gt;"</f>
        <v>&lt;a href="canciones/nsb/adios_adios_amigos.html"&gt;</v>
      </c>
    </row>
    <row r="1387" spans="1:23" x14ac:dyDescent="0.3">
      <c r="A1387" s="1">
        <f>ROW(CantoralDB[[#This Row],[Título]])-1</f>
        <v>1386</v>
      </c>
      <c r="B1387" s="1" t="s">
        <v>1180</v>
      </c>
      <c r="C1387" s="1"/>
      <c r="E1387" s="1">
        <v>49</v>
      </c>
      <c r="J1387" s="1"/>
      <c r="M1387" s="15" t="s">
        <v>2886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387" s="15" t="str">
        <f>_xlfn.TEXTBEFORE(_xlfn.TEXTAFTER(CantoralDB[[#This Row],[index.html]],"&gt;"),"&gt;")&amp;"&gt;"</f>
        <v>&lt;a href="canciones/nsb/cristiano_es_vivir.html"&gt;</v>
      </c>
    </row>
    <row r="1388" spans="1:23" x14ac:dyDescent="0.3">
      <c r="A1388" s="1">
        <f>ROW(CantoralDB[[#This Row],[Título]])-1</f>
        <v>1387</v>
      </c>
      <c r="B1388" s="1" t="s">
        <v>1203</v>
      </c>
      <c r="C1388" s="1"/>
      <c r="E1388" s="1">
        <v>80</v>
      </c>
      <c r="J1388" s="1"/>
      <c r="M1388" s="15" t="s">
        <v>2886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388" s="15" t="str">
        <f>_xlfn.TEXTBEFORE(_xlfn.TEXTAFTER(CantoralDB[[#This Row],[index.html]],"&gt;"),"&gt;")&amp;"&gt;"</f>
        <v>&lt;a href="canciones/nsb/depende_de_ti_y_de_mi.html"&gt;</v>
      </c>
    </row>
    <row r="1389" spans="1:23" x14ac:dyDescent="0.3">
      <c r="A1389" s="1">
        <f>ROW(CantoralDB[[#This Row],[Título]])-1</f>
        <v>1388</v>
      </c>
      <c r="B1389" s="1" t="s">
        <v>1308</v>
      </c>
      <c r="C1389" s="1"/>
      <c r="E1389" s="1">
        <v>218</v>
      </c>
      <c r="J1389" s="1"/>
      <c r="M1389" s="15" t="s">
        <v>2886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389" s="1"/>
      <c r="T1389" s="1"/>
      <c r="U1389" s="15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389" s="15" t="str">
        <f>_xlfn.TEXTBEFORE(_xlfn.TEXTAFTER(CantoralDB[[#This Row],[index.html]],"&gt;"),"&gt;")&amp;"&gt;"</f>
        <v>&lt;a href="canciones/nsb/quien_mas_amigo_que_tu.html"&gt;</v>
      </c>
    </row>
    <row r="1390" spans="1:23" x14ac:dyDescent="0.3">
      <c r="A1390" s="1">
        <f>ROW(CantoralDB[[#This Row],[Título]])-1</f>
        <v>1389</v>
      </c>
      <c r="B1390" s="1" t="s">
        <v>1</v>
      </c>
      <c r="C1390" s="1" t="s">
        <v>476</v>
      </c>
      <c r="D1390" s="1" t="s">
        <v>1358</v>
      </c>
      <c r="E1390" s="1">
        <v>1</v>
      </c>
      <c r="G1390" s="1" t="s">
        <v>209</v>
      </c>
      <c r="H1390" s="1" t="s">
        <v>1028</v>
      </c>
      <c r="J1390" s="1" t="s">
        <v>608</v>
      </c>
      <c r="M1390" s="15" t="s">
        <v>487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390" s="1"/>
      <c r="T1390" s="1"/>
      <c r="U1390" s="15"/>
      <c r="V1390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390" s="15" t="str">
        <f>_xlfn.TEXTBEFORE(_xlfn.TEXTAFTER(CantoralDB[[#This Row],[index.html]],"&gt;"),"&gt;")&amp;"&gt;"</f>
        <v>&lt;a href="canciones/miguel_manzano/a_belen_se_va_y_se_viene.html"&gt;</v>
      </c>
    </row>
    <row r="1391" spans="1:23" x14ac:dyDescent="0.3">
      <c r="A1391" s="1">
        <f>ROW(CantoralDB[[#This Row],[Título]])-1</f>
        <v>1390</v>
      </c>
      <c r="B1391" s="1" t="s">
        <v>1159</v>
      </c>
      <c r="C1391" s="1"/>
      <c r="E1391" s="1">
        <v>11</v>
      </c>
      <c r="H1391" s="1" t="s">
        <v>1028</v>
      </c>
      <c r="J1391" s="1" t="s">
        <v>608</v>
      </c>
      <c r="M1391" s="15" t="s">
        <v>487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391" s="15" t="str">
        <f>_xlfn.TEXTBEFORE(_xlfn.TEXTAFTER(CantoralDB[[#This Row],[index.html]],"&gt;"),"&gt;")&amp;"&gt;"</f>
        <v>&lt;a href="canciones/miguel_manzano/aclama_al_señor_tierra_entera.html"&gt;</v>
      </c>
    </row>
    <row r="1392" spans="1:23" x14ac:dyDescent="0.3">
      <c r="A1392" s="1">
        <f>ROW(CantoralDB[[#This Row],[Título]])-1</f>
        <v>1391</v>
      </c>
      <c r="B1392" s="1" t="s">
        <v>18</v>
      </c>
      <c r="C1392" s="1" t="s">
        <v>194</v>
      </c>
      <c r="D1392" s="1" t="s">
        <v>1378</v>
      </c>
      <c r="E1392" s="1">
        <v>14</v>
      </c>
      <c r="G1392" s="1" t="s">
        <v>209</v>
      </c>
      <c r="H1392" s="1" t="s">
        <v>1028</v>
      </c>
      <c r="J1392" s="1" t="s">
        <v>608</v>
      </c>
      <c r="M1392" s="15" t="s">
        <v>487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392" s="1" t="s">
        <v>801</v>
      </c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392" s="15" t="str">
        <f>_xlfn.TEXTBEFORE(_xlfn.TEXTAFTER(CantoralDB[[#This Row],[index.html]],"&gt;"),"&gt;")&amp;"&gt;"</f>
        <v>&lt;a href="canciones/miguel_manzano/aleluya_el_señor_es_nuestro_rey.html"&gt;</v>
      </c>
    </row>
    <row r="1393" spans="1:23" x14ac:dyDescent="0.3">
      <c r="A1393" s="1">
        <f>ROW(CantoralDB[[#This Row],[Título]])-1</f>
        <v>1392</v>
      </c>
      <c r="B1393" s="1" t="s">
        <v>1166</v>
      </c>
      <c r="C1393" s="1"/>
      <c r="E1393" s="1">
        <v>25</v>
      </c>
      <c r="H1393" s="1" t="s">
        <v>1028</v>
      </c>
      <c r="J1393" s="1" t="s">
        <v>608</v>
      </c>
      <c r="M1393" s="15" t="s">
        <v>487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393" s="15" t="str">
        <f>_xlfn.TEXTBEFORE(_xlfn.TEXTAFTER(CantoralDB[[#This Row],[index.html]],"&gt;"),"&gt;")&amp;"&gt;"</f>
        <v>&lt;a href="canciones/miguel_manzano/a_ti_levanto_mis_ojos.html"&gt;</v>
      </c>
    </row>
    <row r="1394" spans="1:23" x14ac:dyDescent="0.3">
      <c r="A1394" s="1">
        <f>ROW(CantoralDB[[#This Row],[Título]])-1</f>
        <v>1393</v>
      </c>
      <c r="B1394" s="1" t="s">
        <v>1170</v>
      </c>
      <c r="C1394" s="1"/>
      <c r="E1394" s="1">
        <v>33</v>
      </c>
      <c r="H1394" s="1" t="s">
        <v>531</v>
      </c>
      <c r="J1394" s="1" t="s">
        <v>608</v>
      </c>
      <c r="M1394" s="15" t="s">
        <v>487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394" s="15" t="str">
        <f>_xlfn.TEXTBEFORE(_xlfn.TEXTAFTER(CantoralDB[[#This Row],[index.html]],"&gt;"),"&gt;")&amp;"&gt;"</f>
        <v>&lt;a href="canciones/miguel_manzano/alma_mia_recobra_tu_calma.html"&gt;</v>
      </c>
    </row>
    <row r="1395" spans="1:23" x14ac:dyDescent="0.3">
      <c r="A1395" s="1">
        <f>ROW(CantoralDB[[#This Row],[Título]])-1</f>
        <v>1394</v>
      </c>
      <c r="B1395" s="1" t="s">
        <v>36</v>
      </c>
      <c r="C1395" s="1" t="s">
        <v>993</v>
      </c>
      <c r="D1395" s="1" t="s">
        <v>689</v>
      </c>
      <c r="E1395" s="1">
        <v>60</v>
      </c>
      <c r="G1395" s="1" t="s">
        <v>209</v>
      </c>
      <c r="H1395" s="1" t="s">
        <v>1030</v>
      </c>
      <c r="I1395" s="1" t="s">
        <v>2958</v>
      </c>
      <c r="J1395" s="1" t="s">
        <v>608</v>
      </c>
      <c r="M1395" s="15" t="s">
        <v>487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395" s="1" t="s">
        <v>816</v>
      </c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395" s="15" t="str">
        <f>_xlfn.TEXTBEFORE(_xlfn.TEXTAFTER(CantoralDB[[#This Row],[index.html]],"&gt;"),"&gt;")&amp;"&gt;"</f>
        <v>&lt;a href="canciones/miguel_manzano/con_vosotros_esta.html"&gt;</v>
      </c>
    </row>
    <row r="1396" spans="1:23" x14ac:dyDescent="0.3">
      <c r="A1396" s="1">
        <f>ROW(CantoralDB[[#This Row],[Título]])-1</f>
        <v>1395</v>
      </c>
      <c r="B1396" s="1" t="s">
        <v>1193</v>
      </c>
      <c r="C1396" s="1"/>
      <c r="E1396" s="1">
        <v>66</v>
      </c>
      <c r="H1396" s="1" t="s">
        <v>1028</v>
      </c>
      <c r="J1396" s="1" t="s">
        <v>608</v>
      </c>
      <c r="M1396" s="15" t="s">
        <v>487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396" s="15" t="str">
        <f>_xlfn.TEXTBEFORE(_xlfn.TEXTAFTER(CantoralDB[[#This Row],[index.html]],"&gt;"),"&gt;")&amp;"&gt;"</f>
        <v>&lt;a href="canciones/miguel_manzano/cuando_vendras_señor.html"&gt;</v>
      </c>
    </row>
    <row r="1397" spans="1:23" x14ac:dyDescent="0.3">
      <c r="A1397" s="1">
        <f>ROW(CantoralDB[[#This Row],[Título]])-1</f>
        <v>1396</v>
      </c>
      <c r="B1397" s="1" t="s">
        <v>42</v>
      </c>
      <c r="C1397" s="1" t="s">
        <v>195</v>
      </c>
      <c r="D1397" s="1" t="s">
        <v>1407</v>
      </c>
      <c r="E1397" s="1">
        <v>67</v>
      </c>
      <c r="G1397" s="1" t="s">
        <v>209</v>
      </c>
      <c r="H1397" s="1" t="s">
        <v>531</v>
      </c>
      <c r="I1397" s="1" t="s">
        <v>2961</v>
      </c>
      <c r="J1397" s="1" t="s">
        <v>608</v>
      </c>
      <c r="M1397" s="15" t="s">
        <v>487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397" s="15" t="str">
        <f>_xlfn.TEXTBEFORE(_xlfn.TEXTAFTER(CantoralDB[[#This Row],[index.html]],"&gt;"),"&gt;")&amp;"&gt;"</f>
        <v>&lt;a href="canciones/miguel_manzano/cuando_el_pobre_nada_tiene.html"&gt;</v>
      </c>
    </row>
    <row r="1398" spans="1:23" x14ac:dyDescent="0.3">
      <c r="A1398" s="1">
        <f>ROW(CantoralDB[[#This Row],[Título]])-1</f>
        <v>1397</v>
      </c>
      <c r="B1398" s="1" t="s">
        <v>2120</v>
      </c>
      <c r="C1398" s="1"/>
      <c r="E1398" s="1">
        <v>79</v>
      </c>
      <c r="H1398" s="1" t="s">
        <v>1028</v>
      </c>
      <c r="J1398" s="1" t="s">
        <v>608</v>
      </c>
      <c r="M1398" s="15" t="s">
        <v>487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398" s="15" t="str">
        <f>_xlfn.TEXTBEFORE(_xlfn.TEXTAFTER(CantoralDB[[#This Row],[index.html]],"&gt;"),"&gt;")&amp;"&gt;"</f>
        <v>&lt;a href="canciones/miguel_manzano/desde_lo_hondo.html"&gt;</v>
      </c>
    </row>
    <row r="1399" spans="1:23" x14ac:dyDescent="0.3">
      <c r="A1399" s="1">
        <f>ROW(CantoralDB[[#This Row],[Título]])-1</f>
        <v>1398</v>
      </c>
      <c r="B1399" s="1" t="s">
        <v>1212</v>
      </c>
      <c r="C1399" s="1"/>
      <c r="E1399" s="1">
        <v>90</v>
      </c>
      <c r="H1399" s="1" t="s">
        <v>1030</v>
      </c>
      <c r="J1399" s="1" t="s">
        <v>608</v>
      </c>
      <c r="M1399" s="15" t="s">
        <v>487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399" s="15" t="str">
        <f>_xlfn.TEXTBEFORE(_xlfn.TEXTAFTER(CantoralDB[[#This Row],[index.html]],"&gt;"),"&gt;")&amp;"&gt;"</f>
        <v>&lt;a href="canciones/miguel_manzano/el_pueblo_gime_en_el_dolor.html"&gt;</v>
      </c>
    </row>
    <row r="1400" spans="1:23" x14ac:dyDescent="0.3">
      <c r="A1400" s="1">
        <f>ROW(CantoralDB[[#This Row],[Título]])-1</f>
        <v>1399</v>
      </c>
      <c r="B1400" s="1" t="s">
        <v>66</v>
      </c>
      <c r="C1400" s="1" t="s">
        <v>201</v>
      </c>
      <c r="D1400" s="1" t="s">
        <v>656</v>
      </c>
      <c r="E1400" s="1">
        <v>113</v>
      </c>
      <c r="G1400" s="1" t="s">
        <v>209</v>
      </c>
      <c r="H1400" s="1" t="s">
        <v>531</v>
      </c>
      <c r="I1400" s="1" t="s">
        <v>2961</v>
      </c>
      <c r="J1400" s="1" t="s">
        <v>608</v>
      </c>
      <c r="M1400" s="15" t="s">
        <v>487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400" s="1" t="s">
        <v>834</v>
      </c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400" s="15" t="str">
        <f>_xlfn.TEXTBEFORE(_xlfn.TEXTAFTER(CantoralDB[[#This Row],[index.html]],"&gt;"),"&gt;")&amp;"&gt;"</f>
        <v>&lt;a href="canciones/miguel_manzano/este_es_el_dia_en_que_actuo_el_señor.html"&gt;</v>
      </c>
    </row>
    <row r="1401" spans="1:23" x14ac:dyDescent="0.3">
      <c r="A1401" s="1">
        <f>ROW(CantoralDB[[#This Row],[Título]])-1</f>
        <v>1400</v>
      </c>
      <c r="B1401" s="1" t="s">
        <v>1271</v>
      </c>
      <c r="C1401" s="1"/>
      <c r="E1401" s="1">
        <v>151</v>
      </c>
      <c r="J1401" s="1"/>
      <c r="M1401" s="15" t="s">
        <v>487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401" s="15" t="str">
        <f>_xlfn.TEXTBEFORE(_xlfn.TEXTAFTER(CantoralDB[[#This Row],[index.html]],"&gt;"),"&gt;")&amp;"&gt;"</f>
        <v>&lt;a href="canciones/miguel_manzano/levanto_mis_ojos_a_los_montes.html"&gt;</v>
      </c>
    </row>
    <row r="1402" spans="1:23" x14ac:dyDescent="0.3">
      <c r="A1402" s="1">
        <f>ROW(CantoralDB[[#This Row],[Título]])-1</f>
        <v>1401</v>
      </c>
      <c r="B1402" s="1" t="s">
        <v>1274</v>
      </c>
      <c r="C1402" s="1"/>
      <c r="E1402" s="1">
        <v>155</v>
      </c>
      <c r="J1402" s="1"/>
      <c r="M1402" s="15" t="s">
        <v>487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402" s="15" t="str">
        <f>_xlfn.TEXTBEFORE(_xlfn.TEXTAFTER(CantoralDB[[#This Row],[index.html]],"&gt;"),"&gt;")&amp;"&gt;"</f>
        <v>&lt;a href="canciones/miguel_manzano/la_tierra_que_hoy_pisamos.html"&gt;</v>
      </c>
    </row>
    <row r="1403" spans="1:23" x14ac:dyDescent="0.3">
      <c r="A1403" s="1">
        <f>ROW(CantoralDB[[#This Row],[Título]])-1</f>
        <v>1402</v>
      </c>
      <c r="B1403" s="1" t="s">
        <v>94</v>
      </c>
      <c r="C1403" s="1" t="s">
        <v>993</v>
      </c>
      <c r="D1403" s="1" t="s">
        <v>719</v>
      </c>
      <c r="E1403" s="1">
        <v>166</v>
      </c>
      <c r="G1403" s="1" t="s">
        <v>209</v>
      </c>
      <c r="H1403" s="1" t="s">
        <v>1027</v>
      </c>
      <c r="J1403" s="1" t="s">
        <v>608</v>
      </c>
      <c r="M1403" s="15" t="s">
        <v>487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403" s="1" t="s">
        <v>844</v>
      </c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403" s="15" t="str">
        <f>_xlfn.TEXTBEFORE(_xlfn.TEXTAFTER(CantoralDB[[#This Row],[index.html]],"&gt;"),"&gt;")&amp;"&gt;"</f>
        <v>&lt;a href="canciones/miguel_manzano/mirad_al_suelo.html"&gt;</v>
      </c>
    </row>
    <row r="1404" spans="1:23" x14ac:dyDescent="0.3">
      <c r="A1404" s="1">
        <f>ROW(CantoralDB[[#This Row],[Título]])-1</f>
        <v>1403</v>
      </c>
      <c r="B1404" s="1" t="s">
        <v>1302</v>
      </c>
      <c r="C1404" s="1"/>
      <c r="E1404" s="1">
        <v>206</v>
      </c>
      <c r="J1404" s="1"/>
      <c r="M1404" s="15" t="s">
        <v>487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404" s="15" t="str">
        <f>_xlfn.TEXTBEFORE(_xlfn.TEXTAFTER(CantoralDB[[#This Row],[index.html]],"&gt;"),"&gt;")&amp;"&gt;"</f>
        <v>&lt;a href="canciones/miguel_manzano/porque_el_mundo_esta_lleno_de_misterios.html"&gt;</v>
      </c>
    </row>
    <row r="1405" spans="1:23" x14ac:dyDescent="0.3">
      <c r="A1405" s="1">
        <f>ROW(CantoralDB[[#This Row],[Título]])-1</f>
        <v>1404</v>
      </c>
      <c r="B1405" s="1" t="s">
        <v>119</v>
      </c>
      <c r="C1405" s="1" t="s">
        <v>191</v>
      </c>
      <c r="D1405" s="1" t="s">
        <v>748</v>
      </c>
      <c r="E1405" s="1">
        <v>221</v>
      </c>
      <c r="G1405" s="1" t="s">
        <v>209</v>
      </c>
      <c r="H1405" s="1" t="s">
        <v>1029</v>
      </c>
      <c r="J1405" s="1" t="s">
        <v>608</v>
      </c>
      <c r="M1405" s="15" t="s">
        <v>487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405" s="1" t="s">
        <v>857</v>
      </c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405" s="15" t="str">
        <f>_xlfn.TEXTBEFORE(_xlfn.TEXTAFTER(CantoralDB[[#This Row],[index.html]],"&gt;"),"&gt;")&amp;"&gt;"</f>
        <v>&lt;a href="canciones/miguel_manzano/que_alegria_cuando_me_dijeron.html"&gt;</v>
      </c>
    </row>
    <row r="1406" spans="1:23" x14ac:dyDescent="0.3">
      <c r="A1406" s="1">
        <f>ROW(CantoralDB[[#This Row],[Título]])-1</f>
        <v>1405</v>
      </c>
      <c r="B1406" s="1" t="s">
        <v>1317</v>
      </c>
      <c r="C1406" s="1"/>
      <c r="E1406" s="1">
        <v>236</v>
      </c>
      <c r="J1406" s="1"/>
      <c r="M1406" s="15" t="s">
        <v>487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406" s="1"/>
      <c r="T1406" s="1"/>
      <c r="U1406" s="15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406" s="15" t="str">
        <f>_xlfn.TEXTBEFORE(_xlfn.TEXTAFTER(CantoralDB[[#This Row],[index.html]],"&gt;"),"&gt;")&amp;"&gt;"</f>
        <v>&lt;a href="canciones/miguel_manzano/sacareis_aguas_con_gozo.html"&gt;</v>
      </c>
    </row>
    <row r="1407" spans="1:23" x14ac:dyDescent="0.3">
      <c r="A1407" s="1">
        <f>ROW(CantoralDB[[#This Row],[Título]])-1</f>
        <v>1406</v>
      </c>
      <c r="B1407" s="1" t="s">
        <v>149</v>
      </c>
      <c r="C1407" s="1" t="s">
        <v>201</v>
      </c>
      <c r="D1407" s="1" t="s">
        <v>676</v>
      </c>
      <c r="E1407" s="1">
        <v>264</v>
      </c>
      <c r="G1407" s="1" t="s">
        <v>209</v>
      </c>
      <c r="H1407" s="1" t="s">
        <v>1028</v>
      </c>
      <c r="I1407" s="1" t="s">
        <v>2961</v>
      </c>
      <c r="J1407" s="1" t="s">
        <v>608</v>
      </c>
      <c r="M1407" s="15" t="s">
        <v>487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407" s="15" t="str">
        <f>_xlfn.TEXTBEFORE(_xlfn.TEXTAFTER(CantoralDB[[#This Row],[index.html]],"&gt;"),"&gt;")&amp;"&gt;"</f>
        <v>&lt;a href="canciones/miguel_manzano/tu_reino_es_vida.html"&gt;</v>
      </c>
    </row>
    <row r="1408" spans="1:23" x14ac:dyDescent="0.3">
      <c r="A1408" s="1">
        <f>ROW(CantoralDB[[#This Row],[Título]])-1</f>
        <v>1407</v>
      </c>
      <c r="B1408" s="1" t="s">
        <v>250</v>
      </c>
      <c r="C1408" s="1" t="s">
        <v>202</v>
      </c>
      <c r="D1408" s="1" t="s">
        <v>1404</v>
      </c>
      <c r="G1408" s="1" t="s">
        <v>248</v>
      </c>
      <c r="H1408" s="1" t="s">
        <v>1027</v>
      </c>
      <c r="J1408" s="1" t="s">
        <v>608</v>
      </c>
      <c r="M1408" s="15" t="s">
        <v>487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408" s="15" t="str">
        <f>_xlfn.TEXTBEFORE(_xlfn.TEXTAFTER(CantoralDB[[#This Row],[index.html]],"&gt;"),"&gt;")&amp;"&gt;"</f>
        <v>&lt;a href="canciones/miguel_manzano/cordero_de_dios_(manzano).html"&gt;</v>
      </c>
    </row>
    <row r="1409" spans="1:23" x14ac:dyDescent="0.3">
      <c r="A1409" s="1">
        <f>ROW(CantoralDB[[#This Row],[Título]])-1</f>
        <v>1408</v>
      </c>
      <c r="B1409" s="1" t="s">
        <v>72</v>
      </c>
      <c r="C1409" s="1" t="s">
        <v>200</v>
      </c>
      <c r="D1409" s="1" t="s">
        <v>1428</v>
      </c>
      <c r="E1409" s="1">
        <v>428</v>
      </c>
      <c r="G1409" s="1" t="s">
        <v>209</v>
      </c>
      <c r="H1409" s="1" t="s">
        <v>531</v>
      </c>
      <c r="I1409" s="1" t="s">
        <v>2961</v>
      </c>
      <c r="J1409" s="1" t="s">
        <v>608</v>
      </c>
      <c r="M1409" s="15" t="s">
        <v>258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409" s="1" t="s">
        <v>836</v>
      </c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409" s="15" t="str">
        <f>_xlfn.TEXTBEFORE(_xlfn.TEXTAFTER(CantoralDB[[#This Row],[index.html]],"&gt;"),"&gt;")&amp;"&gt;"</f>
        <v>&lt;a href="canciones/nsb/hagase.html"&gt;</v>
      </c>
    </row>
    <row r="1410" spans="1:23" x14ac:dyDescent="0.3">
      <c r="A1410" s="1">
        <f>ROW(CantoralDB[[#This Row],[Título]])-1</f>
        <v>1409</v>
      </c>
      <c r="B1410" s="1" t="s">
        <v>99</v>
      </c>
      <c r="C1410" s="1" t="s">
        <v>198</v>
      </c>
      <c r="D1410" s="1" t="s">
        <v>1442</v>
      </c>
      <c r="E1410" s="1">
        <v>442</v>
      </c>
      <c r="G1410" s="1" t="s">
        <v>209</v>
      </c>
      <c r="H1410" s="1" t="s">
        <v>1029</v>
      </c>
      <c r="J1410" s="1" t="s">
        <v>608</v>
      </c>
      <c r="M1410" s="15" t="s">
        <v>258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410" s="15" t="str">
        <f>_xlfn.TEXTBEFORE(_xlfn.TEXTAFTER(CantoralDB[[#This Row],[index.html]],"&gt;"),"&gt;")&amp;"&gt;"</f>
        <v>&lt;a href="canciones/nsb/no_se_canso_de_hacer_el_bien.html"&gt;</v>
      </c>
    </row>
    <row r="1411" spans="1:23" x14ac:dyDescent="0.3">
      <c r="A1411" s="1">
        <f>ROW(CantoralDB[[#This Row],[Título]])-1</f>
        <v>1410</v>
      </c>
      <c r="B1411" s="1" t="s">
        <v>534</v>
      </c>
      <c r="C1411" s="1" t="s">
        <v>200</v>
      </c>
      <c r="D1411" s="1" t="s">
        <v>1044</v>
      </c>
      <c r="G1411" s="1" t="s">
        <v>258</v>
      </c>
      <c r="H1411" s="1" t="s">
        <v>531</v>
      </c>
      <c r="I1411" s="1" t="s">
        <v>2959</v>
      </c>
      <c r="J1411" s="1" t="s">
        <v>608</v>
      </c>
      <c r="M1411" s="15" t="s">
        <v>258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411" s="15" t="str">
        <f>_xlfn.TEXTBEFORE(_xlfn.TEXTAFTER(CantoralDB[[#This Row],[index.html]],"&gt;"),"&gt;")&amp;"&gt;"</f>
        <v>&lt;a href="canciones/nsb/maria_de_nazaret.html"&gt;</v>
      </c>
    </row>
    <row r="1412" spans="1:23" x14ac:dyDescent="0.3">
      <c r="A1412" s="1">
        <f>ROW(CantoralDB[[#This Row],[Título]])-1</f>
        <v>1411</v>
      </c>
      <c r="B1412" s="1" t="s">
        <v>257</v>
      </c>
      <c r="C1412" s="1" t="s">
        <v>201</v>
      </c>
      <c r="D1412" s="1" t="s">
        <v>681</v>
      </c>
      <c r="G1412" s="1" t="s">
        <v>258</v>
      </c>
      <c r="H1412" s="1" t="s">
        <v>1027</v>
      </c>
      <c r="J1412" s="1" t="s">
        <v>608</v>
      </c>
      <c r="M1412" s="15" t="s">
        <v>258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412" s="15" t="str">
        <f>_xlfn.TEXTBEFORE(_xlfn.TEXTAFTER(CantoralDB[[#This Row],[index.html]],"&gt;"),"&gt;")&amp;"&gt;"</f>
        <v>&lt;a href="canciones/nsb/yendo_contigo.html"&gt;</v>
      </c>
    </row>
    <row r="1413" spans="1:23" x14ac:dyDescent="0.3">
      <c r="A1413" s="1">
        <f>ROW(CantoralDB[[#This Row],[Título]])-1</f>
        <v>1412</v>
      </c>
      <c r="B1413" s="1" t="s">
        <v>1189</v>
      </c>
      <c r="C1413" s="1"/>
      <c r="E1413" s="1">
        <v>61</v>
      </c>
      <c r="H1413" s="1" t="s">
        <v>531</v>
      </c>
      <c r="J1413" s="1" t="s">
        <v>608</v>
      </c>
      <c r="M1413" s="15" t="s">
        <v>2086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413" s="15" t="str">
        <f>_xlfn.TEXTBEFORE(_xlfn.TEXTAFTER(CantoralDB[[#This Row],[index.html]],"&gt;"),"&gt;")&amp;"&gt;"</f>
        <v>&lt;a href="canciones/nsb/creo_señor_firmemente.html"&gt;</v>
      </c>
    </row>
    <row r="1414" spans="1:23" x14ac:dyDescent="0.3">
      <c r="A1414" s="1">
        <f>ROW(CantoralDB[[#This Row],[Título]])-1</f>
        <v>1413</v>
      </c>
      <c r="B1414" s="1" t="s">
        <v>1286</v>
      </c>
      <c r="C1414" s="1"/>
      <c r="E1414" s="1">
        <v>176</v>
      </c>
      <c r="H1414" s="1" t="s">
        <v>473</v>
      </c>
      <c r="J1414" s="1" t="s">
        <v>608</v>
      </c>
      <c r="M1414" s="15" t="s">
        <v>2086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414" s="15" t="str">
        <f>_xlfn.TEXTBEFORE(_xlfn.TEXTAFTER(CantoralDB[[#This Row],[index.html]],"&gt;"),"&gt;")&amp;"&gt;"</f>
        <v>&lt;a href="canciones/nsb/no_hay_cosa_mas_bonita_que_mirar.html"&gt;</v>
      </c>
    </row>
    <row r="1415" spans="1:23" x14ac:dyDescent="0.3">
      <c r="A1415" s="1">
        <f>ROW(CantoralDB[[#This Row],[Título]])-1</f>
        <v>1414</v>
      </c>
      <c r="B1415" s="1" t="s">
        <v>1341</v>
      </c>
      <c r="C1415" s="1"/>
      <c r="E1415" s="1">
        <v>279</v>
      </c>
      <c r="J1415" s="1"/>
      <c r="M1415" s="15" t="s">
        <v>2086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415" s="15" t="str">
        <f>_xlfn.TEXTBEFORE(_xlfn.TEXTAFTER(CantoralDB[[#This Row],[index.html]],"&gt;"),"&gt;")&amp;"&gt;"</f>
        <v>&lt;a href="canciones/nsb/vamos_a_la_cena.html"&gt;</v>
      </c>
    </row>
    <row r="1416" spans="1:23" x14ac:dyDescent="0.3">
      <c r="A1416" s="1">
        <f>ROW(CantoralDB[[#This Row],[Título]])-1</f>
        <v>1415</v>
      </c>
      <c r="B1416" s="1" t="s">
        <v>527</v>
      </c>
      <c r="C1416" s="1" t="s">
        <v>196</v>
      </c>
      <c r="D1416" s="1" t="s">
        <v>777</v>
      </c>
      <c r="E1416" s="1">
        <v>231</v>
      </c>
      <c r="G1416" s="1" t="s">
        <v>209</v>
      </c>
      <c r="H1416" s="1" t="s">
        <v>1027</v>
      </c>
      <c r="I1416" s="1" t="s">
        <v>2961</v>
      </c>
      <c r="J1416" s="1" t="s">
        <v>608</v>
      </c>
      <c r="M1416" s="15" t="s">
        <v>518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416" s="15" t="str">
        <f>_xlfn.TEXTBEFORE(_xlfn.TEXTAFTER(CantoralDB[[#This Row],[index.html]],"&gt;"),"&gt;")&amp;"&gt;"</f>
        <v>&lt;a href="canciones/nsb/santo_salvadoreño.html"&gt;</v>
      </c>
    </row>
    <row r="1417" spans="1:23" x14ac:dyDescent="0.3">
      <c r="A1417" s="1">
        <f>ROW(CantoralDB[[#This Row],[Título]])-1</f>
        <v>1416</v>
      </c>
      <c r="B1417" s="1" t="s">
        <v>158</v>
      </c>
      <c r="C1417" s="1" t="s">
        <v>191</v>
      </c>
      <c r="D1417" s="1" t="s">
        <v>758</v>
      </c>
      <c r="E1417" s="1">
        <v>285</v>
      </c>
      <c r="G1417" s="1" t="s">
        <v>209</v>
      </c>
      <c r="H1417" s="1" t="s">
        <v>1030</v>
      </c>
      <c r="J1417" s="1" t="s">
        <v>608</v>
      </c>
      <c r="M1417" s="15" t="s">
        <v>518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417" s="15" t="str">
        <f>_xlfn.TEXTBEFORE(_xlfn.TEXTAFTER(CantoralDB[[#This Row],[index.html]],"&gt;"),"&gt;")&amp;"&gt;"</f>
        <v>&lt;a href="canciones/nsb/vamos_todos_al_banquete.html"&gt;</v>
      </c>
    </row>
    <row r="1418" spans="1:23" x14ac:dyDescent="0.3">
      <c r="A1418" s="1">
        <f>ROW(CantoralDB[[#This Row],[Título]])-1</f>
        <v>1417</v>
      </c>
      <c r="B1418" s="1" t="s">
        <v>622</v>
      </c>
      <c r="C1418" s="1" t="s">
        <v>202</v>
      </c>
      <c r="D1418" s="1" t="s">
        <v>1406</v>
      </c>
      <c r="G1418" s="1" t="s">
        <v>553</v>
      </c>
      <c r="H1418" s="1" t="s">
        <v>531</v>
      </c>
      <c r="J1418" s="1" t="s">
        <v>608</v>
      </c>
      <c r="M1418" s="15" t="s">
        <v>623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418" s="15" t="str">
        <f>_xlfn.TEXTBEFORE(_xlfn.TEXTAFTER(CantoralDB[[#This Row],[index.html]],"&gt;"),"&gt;")&amp;"&gt;"</f>
        <v>&lt;a href="canciones/nsb/cordero_de_dios_(mies).html"&gt;</v>
      </c>
    </row>
    <row r="1419" spans="1:23" x14ac:dyDescent="0.3">
      <c r="A1419" s="1">
        <f>ROW(CantoralDB[[#This Row],[Título]])-1</f>
        <v>1418</v>
      </c>
      <c r="B1419" s="1" t="s">
        <v>232</v>
      </c>
      <c r="C1419" s="1" t="s">
        <v>196</v>
      </c>
      <c r="D1419" s="1" t="s">
        <v>1466</v>
      </c>
      <c r="G1419" s="1" t="s">
        <v>216</v>
      </c>
      <c r="H1419" s="1" t="s">
        <v>531</v>
      </c>
      <c r="J1419" s="1" t="s">
        <v>608</v>
      </c>
      <c r="M1419" s="15" t="s">
        <v>524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419" s="15" t="str">
        <f>_xlfn.TEXTBEFORE(_xlfn.TEXTAFTER(CantoralDB[[#This Row],[index.html]],"&gt;"),"&gt;")&amp;"&gt;"</f>
        <v>&lt;a href="canciones/nsb/santo_(mocedades).html"&gt;</v>
      </c>
    </row>
    <row r="1420" spans="1:23" x14ac:dyDescent="0.3">
      <c r="A1420" s="1">
        <f>ROW(CantoralDB[[#This Row],[Título]])-1</f>
        <v>1419</v>
      </c>
      <c r="B1420" s="1" t="s">
        <v>14</v>
      </c>
      <c r="C1420" s="1" t="s">
        <v>194</v>
      </c>
      <c r="D1420" s="1" t="s">
        <v>1373</v>
      </c>
      <c r="E1420" s="1">
        <v>403</v>
      </c>
      <c r="G1420" s="1" t="s">
        <v>209</v>
      </c>
      <c r="H1420" s="1" t="s">
        <v>1029</v>
      </c>
      <c r="J1420" s="1" t="s">
        <v>608</v>
      </c>
      <c r="M1420" s="15" t="s">
        <v>511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420" s="15" t="str">
        <f>_xlfn.TEXTBEFORE(_xlfn.TEXTAFTER(CantoralDB[[#This Row],[index.html]],"&gt;"),"&gt;")&amp;"&gt;"</f>
        <v>&lt;a href="canciones/nsb/aleluya_(santiago).html"&gt;</v>
      </c>
    </row>
    <row r="1421" spans="1:23" x14ac:dyDescent="0.3">
      <c r="A1421" s="1">
        <f>ROW(CantoralDB[[#This Row],[Título]])-1</f>
        <v>1420</v>
      </c>
      <c r="B1421" s="1" t="s">
        <v>188</v>
      </c>
      <c r="C1421" s="1" t="s">
        <v>191</v>
      </c>
      <c r="D1421" s="1" t="s">
        <v>754</v>
      </c>
      <c r="G1421" s="1" t="s">
        <v>209</v>
      </c>
      <c r="H1421" s="1" t="s">
        <v>1027</v>
      </c>
      <c r="I1421" s="1" t="s">
        <v>2960</v>
      </c>
      <c r="J1421" s="1" t="s">
        <v>608</v>
      </c>
      <c r="M1421" s="15" t="s">
        <v>492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421" s="1" t="s">
        <v>867</v>
      </c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421" s="15" t="str">
        <f>_xlfn.TEXTBEFORE(_xlfn.TEXTAFTER(CantoralDB[[#This Row],[index.html]],"&gt;"),"&gt;")&amp;"&gt;"</f>
        <v>&lt;a href="canciones/nsb/una_voz_clama_en_el_desierto.html"&gt;</v>
      </c>
    </row>
    <row r="1422" spans="1:23" x14ac:dyDescent="0.3">
      <c r="A1422" s="1">
        <f>ROW(CantoralDB[[#This Row],[Título]])-1</f>
        <v>1421</v>
      </c>
      <c r="B1422" s="1" t="s">
        <v>71</v>
      </c>
      <c r="C1422" s="1" t="s">
        <v>201</v>
      </c>
      <c r="D1422" s="1" t="s">
        <v>657</v>
      </c>
      <c r="E1422" s="1">
        <v>124</v>
      </c>
      <c r="G1422" s="1" t="s">
        <v>209</v>
      </c>
      <c r="H1422" s="1" t="s">
        <v>531</v>
      </c>
      <c r="I1422" s="1" t="s">
        <v>2961</v>
      </c>
      <c r="J1422" s="1" t="s">
        <v>608</v>
      </c>
      <c r="M1422" s="15" t="s">
        <v>2094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422" s="1" t="s">
        <v>835</v>
      </c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422" s="15" t="str">
        <f>_xlfn.TEXTBEFORE(_xlfn.TEXTAFTER(CantoralDB[[#This Row],[index.html]],"&gt;"),"&gt;")&amp;"&gt;"</f>
        <v>&lt;a href="canciones/nsb/gritad_que_dios_es_grande.html"&gt;</v>
      </c>
    </row>
    <row r="1423" spans="1:23" x14ac:dyDescent="0.3">
      <c r="A1423" s="1">
        <f>ROW(CantoralDB[[#This Row],[Título]])-1</f>
        <v>1422</v>
      </c>
      <c r="B1423" s="1" t="s">
        <v>1270</v>
      </c>
      <c r="C1423" s="1"/>
      <c r="E1423" s="1">
        <v>150</v>
      </c>
      <c r="H1423" s="1" t="s">
        <v>473</v>
      </c>
      <c r="J1423" s="1" t="s">
        <v>608</v>
      </c>
      <c r="M1423" s="15" t="s">
        <v>2094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423" s="15" t="str">
        <f>_xlfn.TEXTBEFORE(_xlfn.TEXTAFTER(CantoralDB[[#This Row],[index.html]],"&gt;"),"&gt;")&amp;"&gt;"</f>
        <v>&lt;a href="canciones/nsb/la_noticia_es_amor.html"&gt;</v>
      </c>
    </row>
    <row r="1424" spans="1:23" x14ac:dyDescent="0.3">
      <c r="A1424" s="1">
        <f>ROW(CantoralDB[[#This Row],[Título]])-1</f>
        <v>1423</v>
      </c>
      <c r="B1424" s="1" t="s">
        <v>2860</v>
      </c>
      <c r="C1424" s="1"/>
      <c r="H1424" s="1" t="s">
        <v>1030</v>
      </c>
      <c r="J1424" s="1" t="s">
        <v>608</v>
      </c>
      <c r="M1424" s="15" t="s">
        <v>2863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24" s="1"/>
      <c r="T1424" s="1"/>
      <c r="U1424" s="33" t="s">
        <v>3005</v>
      </c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424" s="15" t="str">
        <f>_xlfn.TEXTBEFORE(_xlfn.TEXTAFTER(CantoralDB[[#This Row],[index.html]],"&gt;"),"&gt;")&amp;"&gt;"</f>
        <v>&lt;a href="canciones/nuevas/alza_la_mirada.html"&gt;</v>
      </c>
    </row>
    <row r="1425" spans="1:23" x14ac:dyDescent="0.3">
      <c r="A1425" s="1">
        <f>ROW(CantoralDB[[#This Row],[Título]])-1</f>
        <v>1424</v>
      </c>
      <c r="B1425" s="1" t="s">
        <v>568</v>
      </c>
      <c r="C1425" s="1" t="s">
        <v>195</v>
      </c>
      <c r="D1425" s="1" t="s">
        <v>765</v>
      </c>
      <c r="G1425" s="1" t="s">
        <v>553</v>
      </c>
      <c r="H1425" s="1" t="s">
        <v>1030</v>
      </c>
      <c r="I1425" s="1" t="s">
        <v>2962</v>
      </c>
      <c r="J1425" s="1" t="s">
        <v>608</v>
      </c>
      <c r="M1425" s="15" t="s">
        <v>617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425" s="15" t="str">
        <f>_xlfn.TEXTBEFORE(_xlfn.TEXTAFTER(CantoralDB[[#This Row],[index.html]],"&gt;"),"&gt;")&amp;"&gt;"</f>
        <v>&lt;a href="canciones/nsb/juntos_nos_acercamos.html"&gt;</v>
      </c>
    </row>
    <row r="1426" spans="1:23" x14ac:dyDescent="0.3">
      <c r="A1426" s="1">
        <f>ROW(CantoralDB[[#This Row],[Título]])-1</f>
        <v>1425</v>
      </c>
      <c r="B1426" s="1" t="s">
        <v>552</v>
      </c>
      <c r="C1426" s="1" t="s">
        <v>195</v>
      </c>
      <c r="D1426" s="1" t="s">
        <v>1386</v>
      </c>
      <c r="G1426" s="1" t="s">
        <v>553</v>
      </c>
      <c r="H1426" s="1" t="s">
        <v>1030</v>
      </c>
      <c r="J1426" s="1" t="s">
        <v>608</v>
      </c>
      <c r="M1426" s="15" t="s">
        <v>794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426" s="15" t="str">
        <f>_xlfn.TEXTBEFORE(_xlfn.TEXTAFTER(CantoralDB[[#This Row],[index.html]],"&gt;"),"&gt;")&amp;"&gt;"</f>
        <v>&lt;a href="canciones/nsb/aqui_tienes_el_pan.html"&gt;</v>
      </c>
    </row>
    <row r="1427" spans="1:23" x14ac:dyDescent="0.3">
      <c r="A1427" s="1">
        <f>ROW(CantoralDB[[#This Row],[Título]])-1</f>
        <v>1426</v>
      </c>
      <c r="B1427" s="1" t="s">
        <v>73</v>
      </c>
      <c r="C1427" s="1" t="s">
        <v>993</v>
      </c>
      <c r="D1427" s="1" t="s">
        <v>708</v>
      </c>
      <c r="E1427" s="1">
        <v>429</v>
      </c>
      <c r="G1427" s="1" t="s">
        <v>209</v>
      </c>
      <c r="H1427" s="1" t="s">
        <v>1029</v>
      </c>
      <c r="J1427" s="1" t="s">
        <v>608</v>
      </c>
      <c r="M1427" s="15" t="s">
        <v>632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427" s="15" t="str">
        <f>_xlfn.TEXTBEFORE(_xlfn.TEXTAFTER(CantoralDB[[#This Row],[index.html]],"&gt;"),"&gt;")&amp;"&gt;"</f>
        <v>&lt;a href="canciones/nsb/hay_un_corazon_que_late.html"&gt;</v>
      </c>
    </row>
    <row r="1428" spans="1:23" x14ac:dyDescent="0.3">
      <c r="A1428" s="1">
        <f>ROW(CantoralDB[[#This Row],[Título]])-1</f>
        <v>1427</v>
      </c>
      <c r="B1428" s="1" t="s">
        <v>592</v>
      </c>
      <c r="C1428" s="1" t="s">
        <v>993</v>
      </c>
      <c r="D1428" s="1" t="s">
        <v>1034</v>
      </c>
      <c r="G1428" s="1" t="s">
        <v>533</v>
      </c>
      <c r="H1428" s="1" t="s">
        <v>1027</v>
      </c>
      <c r="J1428" s="1" t="s">
        <v>608</v>
      </c>
      <c r="M1428" s="15" t="s">
        <v>624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428" s="15" t="str">
        <f>_xlfn.TEXTBEFORE(_xlfn.TEXTAFTER(CantoralDB[[#This Row],[index.html]],"&gt;"),"&gt;")&amp;"&gt;"</f>
        <v>&lt;a href="canciones/nsb/adorando.html"&gt;</v>
      </c>
    </row>
    <row r="1429" spans="1:23" x14ac:dyDescent="0.3">
      <c r="A1429" s="1">
        <f>ROW(CantoralDB[[#This Row],[Título]])-1</f>
        <v>1428</v>
      </c>
      <c r="B1429" s="1" t="s">
        <v>262</v>
      </c>
      <c r="C1429" s="1" t="s">
        <v>197</v>
      </c>
      <c r="D1429" s="1" t="s">
        <v>1446</v>
      </c>
      <c r="G1429" s="1" t="s">
        <v>263</v>
      </c>
      <c r="H1429" s="1" t="s">
        <v>1030</v>
      </c>
      <c r="J1429" s="1" t="s">
        <v>608</v>
      </c>
      <c r="M1429" s="15" t="s">
        <v>536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429" s="15" t="str">
        <f>_xlfn.TEXTBEFORE(_xlfn.TEXTAFTER(CantoralDB[[#This Row],[index.html]],"&gt;"),"&gt;")&amp;"&gt;"</f>
        <v>&lt;a href="canciones/nsb/padre_nuestro_zaragozano.html"&gt;</v>
      </c>
    </row>
    <row r="1430" spans="1:23" x14ac:dyDescent="0.3">
      <c r="A1430" s="1">
        <f>ROW(CantoralDB[[#This Row],[Título]])-1</f>
        <v>1429</v>
      </c>
      <c r="B1430" s="1" t="s">
        <v>3</v>
      </c>
      <c r="C1430" s="1" t="s">
        <v>201</v>
      </c>
      <c r="D1430" s="1" t="s">
        <v>1362</v>
      </c>
      <c r="E1430" s="1">
        <v>28</v>
      </c>
      <c r="G1430" s="1" t="s">
        <v>209</v>
      </c>
      <c r="H1430" s="1" t="s">
        <v>1027</v>
      </c>
      <c r="J1430" s="1" t="s">
        <v>608</v>
      </c>
      <c r="M1430" s="15" t="s">
        <v>498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430" s="15" t="str">
        <f>_xlfn.TEXTBEFORE(_xlfn.TEXTAFTER(CantoralDB[[#This Row],[index.html]],"&gt;"),"&gt;")&amp;"&gt;"</f>
        <v>&lt;a href="canciones/nsb/a_ti_acudo.html"&gt;</v>
      </c>
    </row>
    <row r="1431" spans="1:23" x14ac:dyDescent="0.3">
      <c r="A1431" s="1">
        <f>ROW(CantoralDB[[#This Row],[Título]])-1</f>
        <v>1430</v>
      </c>
      <c r="B1431" s="1" t="s">
        <v>30</v>
      </c>
      <c r="C1431" s="1" t="s">
        <v>201</v>
      </c>
      <c r="D1431" s="1" t="s">
        <v>1395</v>
      </c>
      <c r="E1431" s="1">
        <v>45</v>
      </c>
      <c r="G1431" s="1" t="s">
        <v>209</v>
      </c>
      <c r="H1431" s="1" t="s">
        <v>1030</v>
      </c>
      <c r="J1431" s="1" t="s">
        <v>608</v>
      </c>
      <c r="M1431" s="15" t="s">
        <v>498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431" s="1" t="s">
        <v>812</v>
      </c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431" s="15" t="str">
        <f>_xlfn.TEXTBEFORE(_xlfn.TEXTAFTER(CantoralDB[[#This Row],[index.html]],"&gt;"),"&gt;")&amp;"&gt;"</f>
        <v>&lt;a href="canciones/nsb/cantad_a_dios.html"&gt;</v>
      </c>
    </row>
    <row r="1432" spans="1:23" x14ac:dyDescent="0.3">
      <c r="A1432" s="1">
        <f>ROW(CantoralDB[[#This Row],[Título]])-1</f>
        <v>1431</v>
      </c>
      <c r="B1432" s="1" t="s">
        <v>1258</v>
      </c>
      <c r="C1432" s="1"/>
      <c r="E1432" s="1">
        <v>129</v>
      </c>
      <c r="J1432" s="1"/>
      <c r="M1432" s="15" t="s">
        <v>498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432" s="15" t="str">
        <f>_xlfn.TEXTBEFORE(_xlfn.TEXTAFTER(CantoralDB[[#This Row],[index.html]],"&gt;"),"&gt;")&amp;"&gt;"</f>
        <v>&lt;a href="canciones/nsb/gracias_señor_por_mis_hermanos.html"&gt;</v>
      </c>
    </row>
    <row r="1433" spans="1:23" x14ac:dyDescent="0.3">
      <c r="A1433" s="1">
        <f>ROW(CantoralDB[[#This Row],[Título]])-1</f>
        <v>1432</v>
      </c>
      <c r="B1433" s="1" t="s">
        <v>2122</v>
      </c>
      <c r="C1433" s="1"/>
      <c r="E1433" s="1">
        <v>162</v>
      </c>
      <c r="H1433" s="1" t="s">
        <v>1030</v>
      </c>
      <c r="J1433" s="1" t="s">
        <v>608</v>
      </c>
      <c r="M1433" s="15" t="s">
        <v>498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433" s="1"/>
      <c r="T1433" s="1"/>
      <c r="U1433" s="33" t="s">
        <v>2995</v>
      </c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433" s="15" t="str">
        <f>_xlfn.TEXTBEFORE(_xlfn.TEXTAFTER(CantoralDB[[#This Row],[index.html]],"&gt;"),"&gt;")&amp;"&gt;"</f>
        <v>&lt;a href="canciones/nsb/maria_fuiste_siempre_pobre_de_yahve.html"&gt;</v>
      </c>
    </row>
    <row r="1434" spans="1:23" x14ac:dyDescent="0.3">
      <c r="A1434" s="1">
        <f>ROW(CantoralDB[[#This Row],[Título]])-1</f>
        <v>1433</v>
      </c>
      <c r="B1434" s="1" t="s">
        <v>1281</v>
      </c>
      <c r="C1434" s="1"/>
      <c r="E1434" s="1">
        <v>169</v>
      </c>
      <c r="H1434" s="1" t="s">
        <v>1027</v>
      </c>
      <c r="J1434" s="1" t="s">
        <v>608</v>
      </c>
      <c r="M1434" s="15" t="s">
        <v>498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434" s="1"/>
      <c r="T1434" s="1"/>
      <c r="U1434" s="33" t="s">
        <v>2996</v>
      </c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434" s="15" t="str">
        <f>_xlfn.TEXTBEFORE(_xlfn.TEXTAFTER(CantoralDB[[#This Row],[index.html]],"&gt;"),"&gt;")&amp;"&gt;"</f>
        <v>&lt;a href="canciones/nsb/nacera_una_nueva_hermandad.html"&gt;</v>
      </c>
    </row>
    <row r="1435" spans="1:23" x14ac:dyDescent="0.3">
      <c r="A1435" s="1">
        <f>ROW(CantoralDB[[#This Row],[Título]])-1</f>
        <v>1434</v>
      </c>
      <c r="B1435" s="1" t="s">
        <v>1156</v>
      </c>
      <c r="C1435" s="1"/>
      <c r="E1435" s="1">
        <v>5</v>
      </c>
      <c r="H1435" s="1" t="s">
        <v>473</v>
      </c>
      <c r="J1435" s="1" t="s">
        <v>608</v>
      </c>
      <c r="M1435" s="15" t="s">
        <v>2145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435" s="15" t="str">
        <f>_xlfn.TEXTBEFORE(_xlfn.TEXTAFTER(CantoralDB[[#This Row],[index.html]],"&gt;"),"&gt;")&amp;"&gt;"</f>
        <v>&lt;a href="canciones/perpetuo_socorro/abrid_de_par_en_par.html"&gt;</v>
      </c>
    </row>
    <row r="1436" spans="1:23" x14ac:dyDescent="0.3">
      <c r="A1436" s="1">
        <f>ROW(CantoralDB[[#This Row],[Título]])-1</f>
        <v>1435</v>
      </c>
      <c r="B1436" s="1" t="s">
        <v>2887</v>
      </c>
      <c r="C1436" s="1"/>
      <c r="E1436" s="1">
        <v>7</v>
      </c>
      <c r="H1436" s="1" t="s">
        <v>1028</v>
      </c>
      <c r="J1436" s="1" t="s">
        <v>608</v>
      </c>
      <c r="M1436" s="15" t="s">
        <v>2145</v>
      </c>
      <c r="N1436" s="15"/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436" s="15" t="str">
        <f>_xlfn.TEXTBEFORE(_xlfn.TEXTAFTER(CantoralDB[[#This Row],[index.html]],"&gt;"),"&gt;")&amp;"&gt;"</f>
        <v>&lt;a href="canciones/perpetuo_socorro/amaras_al_señor_tu_dios.html"&gt;</v>
      </c>
    </row>
    <row r="1437" spans="1:23" x14ac:dyDescent="0.3">
      <c r="A1437" s="1">
        <f>ROW(CantoralDB[[#This Row],[Título]])-1</f>
        <v>1436</v>
      </c>
      <c r="B1437" s="1" t="s">
        <v>1250</v>
      </c>
      <c r="C1437" s="1"/>
      <c r="E1437" s="1">
        <v>112</v>
      </c>
      <c r="J1437" s="1"/>
      <c r="M1437" s="15" t="s">
        <v>2145</v>
      </c>
      <c r="N1437" s="15"/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437" s="15" t="str">
        <f>_xlfn.TEXTBEFORE(_xlfn.TEXTAFTER(CantoralDB[[#This Row],[index.html]],"&gt;"),"&gt;")&amp;"&gt;"</f>
        <v>&lt;a href="canciones/perpetuo_socorro/escuchad_escuchad.html"&gt;</v>
      </c>
    </row>
    <row r="1438" spans="1:23" x14ac:dyDescent="0.3">
      <c r="A1438" s="1">
        <f>ROW(CantoralDB[[#This Row],[Título]])-1</f>
        <v>1437</v>
      </c>
      <c r="B1438" s="1" t="s">
        <v>1315</v>
      </c>
      <c r="C1438" s="1"/>
      <c r="E1438" s="1">
        <v>230</v>
      </c>
      <c r="H1438" s="1" t="s">
        <v>1030</v>
      </c>
      <c r="J1438" s="1" t="s">
        <v>608</v>
      </c>
      <c r="M1438" s="15" t="s">
        <v>2145</v>
      </c>
      <c r="N1438" s="15"/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438" s="15" t="str">
        <f>_xlfn.TEXTBEFORE(_xlfn.TEXTAFTER(CantoralDB[[#This Row],[index.html]],"&gt;"),"&gt;")&amp;"&gt;"</f>
        <v>&lt;a href="canciones/perpetuo_socorro/señor_guiame_por_el_sendero.html"&gt;</v>
      </c>
    </row>
    <row r="1439" spans="1:23" x14ac:dyDescent="0.3">
      <c r="A1439" s="1">
        <f>ROW(CantoralDB[[#This Row],[Título]])-1</f>
        <v>1438</v>
      </c>
      <c r="B1439" s="1" t="s">
        <v>1335</v>
      </c>
      <c r="C1439" s="1"/>
      <c r="E1439" s="1">
        <v>263</v>
      </c>
      <c r="H1439" s="1" t="s">
        <v>1030</v>
      </c>
      <c r="J1439" s="1" t="s">
        <v>608</v>
      </c>
      <c r="M1439" s="15" t="s">
        <v>2145</v>
      </c>
      <c r="N1439" s="15"/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439" s="15" t="str">
        <f>_xlfn.TEXTBEFORE(_xlfn.TEXTAFTER(CantoralDB[[#This Row],[index.html]],"&gt;"),"&gt;")&amp;"&gt;"</f>
        <v>&lt;a href="canciones/perpetuo_socorro/todavia_cantamos.html"&gt;</v>
      </c>
    </row>
    <row r="1440" spans="1:23" x14ac:dyDescent="0.3">
      <c r="A1440" s="1">
        <f>ROW(CantoralDB[[#This Row],[Título]])-1</f>
        <v>1439</v>
      </c>
      <c r="B1440" s="1" t="s">
        <v>4</v>
      </c>
      <c r="C1440" s="1" t="s">
        <v>200</v>
      </c>
      <c r="D1440" s="1" t="s">
        <v>1363</v>
      </c>
      <c r="E1440" s="1">
        <v>31</v>
      </c>
      <c r="G1440" s="1" t="s">
        <v>209</v>
      </c>
      <c r="H1440" s="1" t="s">
        <v>531</v>
      </c>
      <c r="J1440" s="1" t="s">
        <v>608</v>
      </c>
      <c r="M1440" s="15" t="s">
        <v>569</v>
      </c>
      <c r="N1440" s="15"/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440" s="15" t="str">
        <f>_xlfn.TEXTBEFORE(_xlfn.TEXTAFTER(CantoralDB[[#This Row],[index.html]],"&gt;"),"&gt;")&amp;"&gt;"</f>
        <v>&lt;a href="canciones/nsb/a_ti_que_eres_el_signo.html"&gt;</v>
      </c>
    </row>
    <row r="1441" spans="1:23" x14ac:dyDescent="0.3">
      <c r="A1441" s="1">
        <f>ROW(CantoralDB[[#This Row],[Título]])-1</f>
        <v>1440</v>
      </c>
      <c r="B1441" s="1" t="s">
        <v>1183</v>
      </c>
      <c r="C1441" s="1"/>
      <c r="E1441" s="1">
        <v>54</v>
      </c>
      <c r="H1441" s="1" t="s">
        <v>531</v>
      </c>
      <c r="J1441" s="1" t="s">
        <v>608</v>
      </c>
      <c r="M1441" s="15" t="s">
        <v>569</v>
      </c>
      <c r="N1441" s="15"/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441" s="15" t="str">
        <f>_xlfn.TEXTBEFORE(_xlfn.TEXTAFTER(CantoralDB[[#This Row],[index.html]],"&gt;"),"&gt;")&amp;"&gt;"</f>
        <v>&lt;a href="canciones/nsb/como_lo_habia_anunciado.html"&gt;</v>
      </c>
    </row>
    <row r="1442" spans="1:23" x14ac:dyDescent="0.3">
      <c r="A1442" s="1">
        <f>ROW(CantoralDB[[#This Row],[Título]])-1</f>
        <v>1441</v>
      </c>
      <c r="B1442" s="1" t="s">
        <v>1279</v>
      </c>
      <c r="C1442" s="1"/>
      <c r="E1442" s="1">
        <v>165</v>
      </c>
      <c r="J1442" s="1" t="s">
        <v>608</v>
      </c>
      <c r="L1442" s="1" t="s">
        <v>2968</v>
      </c>
      <c r="M1442" s="15" t="s">
        <v>569</v>
      </c>
      <c r="N1442" s="15"/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442" s="15" t="str">
        <f>_xlfn.TEXTBEFORE(_xlfn.TEXTAFTER(CantoralDB[[#This Row],[index.html]],"&gt;"),"&gt;")&amp;"&gt;"</f>
        <v>&lt;a href="canciones/nsb/maria_guardabas_todo.html"&gt;</v>
      </c>
    </row>
    <row r="1443" spans="1:23" x14ac:dyDescent="0.3">
      <c r="A1443" s="1">
        <f>ROW(CantoralDB[[#This Row],[Título]])-1</f>
        <v>1442</v>
      </c>
      <c r="B1443" s="1" t="s">
        <v>1345</v>
      </c>
      <c r="C1443" s="1"/>
      <c r="E1443" s="1">
        <v>288</v>
      </c>
      <c r="J1443" s="1"/>
      <c r="M1443" s="15" t="s">
        <v>569</v>
      </c>
      <c r="N1443" s="15"/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443" s="15" t="str">
        <f>_xlfn.TEXTBEFORE(_xlfn.TEXTAFTER(CantoralDB[[#This Row],[index.html]],"&gt;"),"&gt;")&amp;"&gt;"</f>
        <v>&lt;a href="canciones/nsb/veo_en_tus_ojos_maria.html"&gt;</v>
      </c>
    </row>
    <row r="1444" spans="1:23" x14ac:dyDescent="0.3">
      <c r="A1444" s="1">
        <f>ROW(CantoralDB[[#This Row],[Título]])-1</f>
        <v>1443</v>
      </c>
      <c r="B1444" s="1" t="s">
        <v>2862</v>
      </c>
      <c r="C1444" s="1"/>
      <c r="H1444" s="1" t="s">
        <v>531</v>
      </c>
      <c r="J1444" s="1" t="s">
        <v>608</v>
      </c>
      <c r="M1444" s="15" t="s">
        <v>2176</v>
      </c>
      <c r="N1444" s="15"/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44" s="15" t="str">
        <f>_xlfn.TEXTBEFORE(_xlfn.TEXTAFTER(CantoralDB[[#This Row],[index.html]],"&gt;"),"&gt;")&amp;"&gt;"</f>
        <v>&lt;a href="canciones/nuevas/pregon_pascual_(neocatecumenal).html"&gt;</v>
      </c>
    </row>
    <row r="1445" spans="1:23" x14ac:dyDescent="0.3">
      <c r="A1445" s="1">
        <f>ROW(CantoralDB[[#This Row],[Título]])-1</f>
        <v>1444</v>
      </c>
      <c r="B1445" s="1" t="s">
        <v>1173</v>
      </c>
      <c r="C1445" s="1"/>
      <c r="E1445" s="1">
        <v>37</v>
      </c>
      <c r="H1445" s="1" t="s">
        <v>1028</v>
      </c>
      <c r="J1445" s="1" t="s">
        <v>608</v>
      </c>
      <c r="M1445" s="15" t="s">
        <v>509</v>
      </c>
      <c r="N1445" s="15"/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445" s="15" t="str">
        <f>_xlfn.TEXTBEFORE(_xlfn.TEXTAFTER(CantoralDB[[#This Row],[index.html]],"&gt;"),"&gt;")&amp;"&gt;"</f>
        <v>&lt;a href="canciones/ricardo_cantalapiedra/con_su_muerte_nos_justificara.html"&gt;</v>
      </c>
    </row>
    <row r="1446" spans="1:23" x14ac:dyDescent="0.3">
      <c r="A1446" s="1">
        <f>ROW(CantoralDB[[#This Row],[Título]])-1</f>
        <v>1445</v>
      </c>
      <c r="B1446" s="1" t="s">
        <v>1181</v>
      </c>
      <c r="C1446" s="1"/>
      <c r="E1446" s="1">
        <v>53</v>
      </c>
      <c r="H1446" s="1" t="s">
        <v>531</v>
      </c>
      <c r="J1446" s="1" t="s">
        <v>608</v>
      </c>
      <c r="M1446" s="15" t="s">
        <v>509</v>
      </c>
      <c r="N1446" s="15"/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446" s="15" t="str">
        <f>_xlfn.TEXTBEFORE(_xlfn.TEXTAFTER(CantoralDB[[#This Row],[index.html]],"&gt;"),"&gt;")&amp;"&gt;"</f>
        <v>&lt;a href="canciones/ricardo_cantalapiedra/como_le_cantare_al_señor.html"&gt;</v>
      </c>
    </row>
    <row r="1447" spans="1:23" x14ac:dyDescent="0.3">
      <c r="A1447" s="1">
        <f>ROW(CantoralDB[[#This Row],[Título]])-1</f>
        <v>1446</v>
      </c>
      <c r="B1447" s="1" t="s">
        <v>1201</v>
      </c>
      <c r="C1447" s="1"/>
      <c r="E1447" s="1">
        <v>76</v>
      </c>
      <c r="J1447" s="1"/>
      <c r="M1447" s="15" t="s">
        <v>509</v>
      </c>
      <c r="N1447" s="15"/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447" s="15" t="str">
        <f>_xlfn.TEXTBEFORE(_xlfn.TEXTAFTER(CantoralDB[[#This Row],[index.html]],"&gt;"),"&gt;")&amp;"&gt;"</f>
        <v>&lt;a href="canciones/ricardo_cantalapiedra/donde_tu_dices_ley.html"&gt;</v>
      </c>
    </row>
    <row r="1448" spans="1:23" x14ac:dyDescent="0.3">
      <c r="A1448" s="1">
        <f>ROW(CantoralDB[[#This Row],[Título]])-1</f>
        <v>1447</v>
      </c>
      <c r="B1448" s="1" t="s">
        <v>1202</v>
      </c>
      <c r="C1448" s="1"/>
      <c r="E1448" s="1">
        <v>78</v>
      </c>
      <c r="H1448" s="1" t="s">
        <v>1027</v>
      </c>
      <c r="J1448" s="1" t="s">
        <v>608</v>
      </c>
      <c r="M1448" s="15" t="s">
        <v>509</v>
      </c>
      <c r="N1448" s="15"/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448" s="15" t="str">
        <f>_xlfn.TEXTBEFORE(_xlfn.TEXTAFTER(CantoralDB[[#This Row],[index.html]],"&gt;"),"&gt;")&amp;"&gt;"</f>
        <v>&lt;a href="canciones/ricardo_cantalapiedra/donde_hay_amor_alli_esta_dios.html"&gt;</v>
      </c>
    </row>
    <row r="1449" spans="1:23" x14ac:dyDescent="0.3">
      <c r="A1449" s="1">
        <f>ROW(CantoralDB[[#This Row],[Título]])-1</f>
        <v>1448</v>
      </c>
      <c r="B1449" s="1" t="s">
        <v>1283</v>
      </c>
      <c r="C1449" s="1"/>
      <c r="E1449" s="1">
        <v>172</v>
      </c>
      <c r="H1449" s="1" t="s">
        <v>1030</v>
      </c>
      <c r="J1449" s="1" t="s">
        <v>608</v>
      </c>
      <c r="M1449" s="15" t="s">
        <v>509</v>
      </c>
      <c r="N1449" s="15"/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449" s="15" t="str">
        <f>_xlfn.TEXTBEFORE(_xlfn.TEXTAFTER(CantoralDB[[#This Row],[index.html]],"&gt;"),"&gt;")&amp;"&gt;"</f>
        <v>&lt;a href="canciones/ricardo_cantalapiedra/no_queremos_a_los_grandes_palabreros.html"&gt;</v>
      </c>
    </row>
    <row r="1450" spans="1:23" x14ac:dyDescent="0.3">
      <c r="A1450" s="1">
        <f>ROW(CantoralDB[[#This Row],[Título]])-1</f>
        <v>1449</v>
      </c>
      <c r="B1450" s="1" t="s">
        <v>1296</v>
      </c>
      <c r="C1450" s="1"/>
      <c r="E1450" s="1">
        <v>188</v>
      </c>
      <c r="H1450" s="1" t="s">
        <v>531</v>
      </c>
      <c r="J1450" s="1" t="s">
        <v>608</v>
      </c>
      <c r="M1450" s="15" t="s">
        <v>509</v>
      </c>
      <c r="N1450" s="15"/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450" s="15" t="str">
        <f>_xlfn.TEXTBEFORE(_xlfn.TEXTAFTER(CantoralDB[[#This Row],[index.html]],"&gt;"),"&gt;")&amp;"&gt;"</f>
        <v>&lt;a href="canciones/ricardo_cantalapiedra/oh_dios_por_que_nos_has_abandonado.html"&gt;</v>
      </c>
    </row>
    <row r="1451" spans="1:23" x14ac:dyDescent="0.3">
      <c r="A1451" s="1">
        <f>ROW(CantoralDB[[#This Row],[Título]])-1</f>
        <v>1450</v>
      </c>
      <c r="B1451" s="1" t="s">
        <v>104</v>
      </c>
      <c r="C1451" s="1" t="s">
        <v>201</v>
      </c>
      <c r="D1451" s="1" t="s">
        <v>670</v>
      </c>
      <c r="E1451" s="1">
        <v>192</v>
      </c>
      <c r="G1451" s="1" t="s">
        <v>209</v>
      </c>
      <c r="H1451" s="1" t="s">
        <v>531</v>
      </c>
      <c r="I1451" s="1" t="s">
        <v>2961</v>
      </c>
      <c r="J1451" s="1" t="s">
        <v>608</v>
      </c>
      <c r="M1451" s="15" t="s">
        <v>509</v>
      </c>
      <c r="N1451" s="15"/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51" s="1" t="s">
        <v>851</v>
      </c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451" s="15" t="str">
        <f>_xlfn.TEXTBEFORE(_xlfn.TEXTAFTER(CantoralDB[[#This Row],[index.html]],"&gt;"),"&gt;")&amp;"&gt;"</f>
        <v>&lt;a href="canciones/ricardo_cantalapiedra/os_doy_un_mandato_nuevo.html"&gt;</v>
      </c>
    </row>
    <row r="1452" spans="1:23" x14ac:dyDescent="0.3">
      <c r="A1452" s="1">
        <f>ROW(CantoralDB[[#This Row],[Título]])-1</f>
        <v>1451</v>
      </c>
      <c r="B1452" s="1" t="s">
        <v>116</v>
      </c>
      <c r="C1452" s="1" t="s">
        <v>993</v>
      </c>
      <c r="D1452" s="1" t="s">
        <v>729</v>
      </c>
      <c r="E1452" s="1">
        <v>202</v>
      </c>
      <c r="G1452" s="1" t="s">
        <v>209</v>
      </c>
      <c r="H1452" s="1" t="s">
        <v>531</v>
      </c>
      <c r="J1452" s="1" t="s">
        <v>608</v>
      </c>
      <c r="M1452" s="15" t="s">
        <v>509</v>
      </c>
      <c r="N1452" s="15"/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452" s="15" t="str">
        <f>_xlfn.TEXTBEFORE(_xlfn.TEXTAFTER(CantoralDB[[#This Row],[index.html]],"&gt;"),"&gt;")&amp;"&gt;"</f>
        <v>&lt;a href="canciones/ricardo_cantalapiedra/protegeme_dios_mio.html"&gt;</v>
      </c>
    </row>
    <row r="1453" spans="1:23" x14ac:dyDescent="0.3">
      <c r="A1453" s="1">
        <f>ROW(CantoralDB[[#This Row],[Título]])-1</f>
        <v>1452</v>
      </c>
      <c r="B1453" s="1" t="s">
        <v>117</v>
      </c>
      <c r="C1453" s="1" t="s">
        <v>993</v>
      </c>
      <c r="D1453" s="1" t="s">
        <v>994</v>
      </c>
      <c r="E1453" s="1">
        <v>205</v>
      </c>
      <c r="G1453" s="1" t="s">
        <v>209</v>
      </c>
      <c r="H1453" s="1" t="s">
        <v>531</v>
      </c>
      <c r="I1453" s="1" t="s">
        <v>2958</v>
      </c>
      <c r="J1453" s="1" t="s">
        <v>608</v>
      </c>
      <c r="M1453" s="15" t="s">
        <v>509</v>
      </c>
      <c r="N1453" s="15"/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53" s="1" t="s">
        <v>856</v>
      </c>
      <c r="T1453" s="1"/>
      <c r="U1453" s="33" t="s">
        <v>3014</v>
      </c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453" s="15" t="str">
        <f>_xlfn.TEXTBEFORE(_xlfn.TEXTAFTER(CantoralDB[[#This Row],[index.html]],"&gt;"),"&gt;")&amp;"&gt;"</f>
        <v>&lt;a href="canciones/ricardo_cantalapiedra/pueblo_mio.html"&gt;</v>
      </c>
    </row>
    <row r="1454" spans="1:23" x14ac:dyDescent="0.3">
      <c r="A1454" s="1">
        <f>ROW(CantoralDB[[#This Row],[Título]])-1</f>
        <v>1453</v>
      </c>
      <c r="B1454" s="1" t="s">
        <v>1314</v>
      </c>
      <c r="C1454" s="1"/>
      <c r="E1454" s="1">
        <v>229</v>
      </c>
      <c r="J1454" s="1"/>
      <c r="M1454" s="15" t="s">
        <v>509</v>
      </c>
      <c r="N1454" s="15"/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454" s="15" t="str">
        <f>_xlfn.TEXTBEFORE(_xlfn.TEXTAFTER(CantoralDB[[#This Row],[index.html]],"&gt;"),"&gt;")&amp;"&gt;"</f>
        <v>&lt;a href="canciones/ricardo_cantalapiedra/si_no_encuentro_la_alegria.html"&gt;</v>
      </c>
    </row>
    <row r="1455" spans="1:23" x14ac:dyDescent="0.3">
      <c r="A1455" s="1">
        <f>ROW(CantoralDB[[#This Row],[Título]])-1</f>
        <v>1454</v>
      </c>
      <c r="B1455" s="1" t="s">
        <v>141</v>
      </c>
      <c r="C1455" s="1" t="s">
        <v>201</v>
      </c>
      <c r="D1455" s="1" t="s">
        <v>674</v>
      </c>
      <c r="E1455" s="1">
        <v>257</v>
      </c>
      <c r="G1455" s="1" t="s">
        <v>209</v>
      </c>
      <c r="H1455" s="1" t="s">
        <v>531</v>
      </c>
      <c r="J1455" s="1" t="s">
        <v>608</v>
      </c>
      <c r="M1455" s="15" t="s">
        <v>509</v>
      </c>
      <c r="N1455" s="15"/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55" s="1" t="s">
        <v>862</v>
      </c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455" s="15" t="str">
        <f>_xlfn.TEXTBEFORE(_xlfn.TEXTAFTER(CantoralDB[[#This Row],[index.html]],"&gt;"),"&gt;")&amp;"&gt;"</f>
        <v>&lt;a href="canciones/ricardo_cantalapiedra/te_ensalzare_señor.html"&gt;</v>
      </c>
    </row>
    <row r="1456" spans="1:23" x14ac:dyDescent="0.3">
      <c r="A1456" s="1">
        <f>ROW(CantoralDB[[#This Row],[Título]])-1</f>
        <v>1455</v>
      </c>
      <c r="B1456" s="1" t="s">
        <v>1350</v>
      </c>
      <c r="C1456" s="1"/>
      <c r="E1456" s="1">
        <v>295</v>
      </c>
      <c r="H1456" s="1" t="s">
        <v>1030</v>
      </c>
      <c r="J1456" s="1" t="s">
        <v>608</v>
      </c>
      <c r="M1456" s="15" t="s">
        <v>509</v>
      </c>
      <c r="N1456" s="15"/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456" s="15" t="str">
        <f>_xlfn.TEXTBEFORE(_xlfn.TEXTAFTER(CantoralDB[[#This Row],[index.html]],"&gt;"),"&gt;")&amp;"&gt;"</f>
        <v>&lt;a href="canciones/ricardo_cantalapiedra/yo_volvere_a_cantar.html"&gt;</v>
      </c>
    </row>
    <row r="1457" spans="1:23" x14ac:dyDescent="0.3">
      <c r="A1457" s="1">
        <f>ROW(CantoralDB[[#This Row],[Título]])-1</f>
        <v>1456</v>
      </c>
      <c r="B1457" s="1" t="s">
        <v>70</v>
      </c>
      <c r="C1457" s="1" t="s">
        <v>199</v>
      </c>
      <c r="D1457" s="1" t="s">
        <v>1427</v>
      </c>
      <c r="E1457" s="1">
        <v>427</v>
      </c>
      <c r="G1457" s="1" t="s">
        <v>213</v>
      </c>
      <c r="H1457" s="1" t="s">
        <v>531</v>
      </c>
      <c r="J1457" s="1" t="s">
        <v>608</v>
      </c>
      <c r="M1457" s="15" t="s">
        <v>634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457" s="15" t="str">
        <f>_xlfn.TEXTBEFORE(_xlfn.TEXTAFTER(CantoralDB[[#This Row],[index.html]],"&gt;"),"&gt;")&amp;"&gt;"</f>
        <v>&lt;a href="canciones/nsb/gracias_señor.html"&gt;</v>
      </c>
    </row>
    <row r="1458" spans="1:23" x14ac:dyDescent="0.3">
      <c r="A1458" s="1">
        <f>ROW(CantoralDB[[#This Row],[Título]])-1</f>
        <v>1457</v>
      </c>
      <c r="B1458" s="1" t="s">
        <v>1866</v>
      </c>
      <c r="C1458" s="1"/>
      <c r="H1458" s="1" t="s">
        <v>531</v>
      </c>
      <c r="J1458" s="1" t="s">
        <v>608</v>
      </c>
      <c r="M1458" s="15" t="s">
        <v>1758</v>
      </c>
      <c r="N1458" s="15" t="s">
        <v>1902</v>
      </c>
      <c r="O1458" s="15">
        <v>1</v>
      </c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458" s="15" t="str">
        <f>_xlfn.TEXTBEFORE(_xlfn.TEXTAFTER(CantoralDB[[#This Row],[index.html]],"&gt;"),"&gt;")&amp;"&gt;"</f>
        <v>&lt;a href="canciones/ruah/adentrate.html"&gt;</v>
      </c>
    </row>
    <row r="1459" spans="1:23" x14ac:dyDescent="0.3">
      <c r="A1459" s="1">
        <f>ROW(CantoralDB[[#This Row],[Título]])-1</f>
        <v>1458</v>
      </c>
      <c r="B1459" s="1" t="s">
        <v>1867</v>
      </c>
      <c r="C1459" s="1"/>
      <c r="H1459" s="1" t="s">
        <v>473</v>
      </c>
      <c r="J1459" s="1" t="s">
        <v>608</v>
      </c>
      <c r="M1459" s="15" t="s">
        <v>1758</v>
      </c>
      <c r="N1459" s="15" t="s">
        <v>1902</v>
      </c>
      <c r="O1459" s="15">
        <v>2</v>
      </c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459" s="15" t="str">
        <f>_xlfn.TEXTBEFORE(_xlfn.TEXTAFTER(CantoralDB[[#This Row],[index.html]],"&gt;"),"&gt;")&amp;"&gt;"</f>
        <v>&lt;a href="canciones/ruah/pedid_y_se_os_dara.html"&gt;</v>
      </c>
    </row>
    <row r="1460" spans="1:23" x14ac:dyDescent="0.3">
      <c r="A1460" s="1">
        <f>ROW(CantoralDB[[#This Row],[Título]])-1</f>
        <v>1459</v>
      </c>
      <c r="B1460" s="1" t="s">
        <v>1868</v>
      </c>
      <c r="C1460" s="1"/>
      <c r="H1460" s="1" t="s">
        <v>531</v>
      </c>
      <c r="J1460" s="1" t="s">
        <v>608</v>
      </c>
      <c r="M1460" s="15" t="s">
        <v>1758</v>
      </c>
      <c r="N1460" s="15" t="s">
        <v>1902</v>
      </c>
      <c r="O1460" s="15">
        <v>3</v>
      </c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460" s="15" t="str">
        <f>_xlfn.TEXTBEFORE(_xlfn.TEXTAFTER(CantoralDB[[#This Row],[index.html]],"&gt;"),"&gt;")&amp;"&gt;"</f>
        <v>&lt;a href="canciones/ruah/cada_mañana.html"&gt;</v>
      </c>
    </row>
    <row r="1461" spans="1:23" x14ac:dyDescent="0.3">
      <c r="A1461" s="1">
        <f>ROW(CantoralDB[[#This Row],[Título]])-1</f>
        <v>1460</v>
      </c>
      <c r="B1461" s="1" t="s">
        <v>1869</v>
      </c>
      <c r="C1461" s="1"/>
      <c r="H1461" s="1" t="s">
        <v>1027</v>
      </c>
      <c r="J1461" s="1" t="s">
        <v>608</v>
      </c>
      <c r="M1461" s="15" t="s">
        <v>1758</v>
      </c>
      <c r="N1461" s="15" t="s">
        <v>1902</v>
      </c>
      <c r="O1461" s="15">
        <v>4</v>
      </c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461" s="15" t="str">
        <f>_xlfn.TEXTBEFORE(_xlfn.TEXTAFTER(CantoralDB[[#This Row],[index.html]],"&gt;"),"&gt;")&amp;"&gt;"</f>
        <v>&lt;a href="canciones/ruah/fija_en_ti.html"&gt;</v>
      </c>
    </row>
    <row r="1462" spans="1:23" x14ac:dyDescent="0.3">
      <c r="A1462" s="1">
        <f>ROW(CantoralDB[[#This Row],[Título]])-1</f>
        <v>1461</v>
      </c>
      <c r="B1462" s="1" t="s">
        <v>1870</v>
      </c>
      <c r="C1462" s="1"/>
      <c r="H1462" s="1" t="s">
        <v>531</v>
      </c>
      <c r="J1462" s="1" t="s">
        <v>608</v>
      </c>
      <c r="M1462" s="15" t="s">
        <v>1758</v>
      </c>
      <c r="N1462" s="15" t="s">
        <v>1902</v>
      </c>
      <c r="O1462" s="15">
        <v>5</v>
      </c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462" s="15" t="str">
        <f>_xlfn.TEXTBEFORE(_xlfn.TEXTAFTER(CantoralDB[[#This Row],[index.html]],"&gt;"),"&gt;")&amp;"&gt;"</f>
        <v>&lt;a href="canciones/ruah/tu_y_no_yo.html"&gt;</v>
      </c>
    </row>
    <row r="1463" spans="1:23" x14ac:dyDescent="0.3">
      <c r="A1463" s="1">
        <f>ROW(CantoralDB[[#This Row],[Título]])-1</f>
        <v>1462</v>
      </c>
      <c r="B1463" s="1" t="s">
        <v>1539</v>
      </c>
      <c r="C1463" s="1"/>
      <c r="H1463" s="1" t="s">
        <v>1027</v>
      </c>
      <c r="J1463" s="1" t="s">
        <v>608</v>
      </c>
      <c r="M1463" s="15" t="s">
        <v>1758</v>
      </c>
      <c r="N1463" s="15" t="s">
        <v>1902</v>
      </c>
      <c r="O1463" s="15">
        <v>6</v>
      </c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463" s="15" t="str">
        <f>_xlfn.TEXTBEFORE(_xlfn.TEXTAFTER(CantoralDB[[#This Row],[index.html]],"&gt;"),"&gt;")&amp;"&gt;"</f>
        <v>&lt;a href="canciones/ruah/tu_me_sondeas.html"&gt;</v>
      </c>
    </row>
    <row r="1464" spans="1:23" x14ac:dyDescent="0.3">
      <c r="A1464" s="1">
        <f>ROW(CantoralDB[[#This Row],[Título]])-1</f>
        <v>1463</v>
      </c>
      <c r="B1464" s="1" t="s">
        <v>1871</v>
      </c>
      <c r="C1464" s="1"/>
      <c r="H1464" s="1" t="s">
        <v>1030</v>
      </c>
      <c r="J1464" s="1" t="s">
        <v>608</v>
      </c>
      <c r="M1464" s="15" t="s">
        <v>1758</v>
      </c>
      <c r="N1464" s="15" t="s">
        <v>1902</v>
      </c>
      <c r="O1464" s="15">
        <v>7</v>
      </c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64" s="1"/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464" s="15" t="str">
        <f>_xlfn.TEXTBEFORE(_xlfn.TEXTAFTER(CantoralDB[[#This Row],[index.html]],"&gt;"),"&gt;")&amp;"&gt;"</f>
        <v>&lt;a href="canciones/ruah/ten_compasion.html"&gt;</v>
      </c>
    </row>
    <row r="1465" spans="1:23" x14ac:dyDescent="0.3">
      <c r="A1465" s="1">
        <f>ROW(CantoralDB[[#This Row],[Título]])-1</f>
        <v>1464</v>
      </c>
      <c r="B1465" s="1" t="s">
        <v>1872</v>
      </c>
      <c r="C1465" s="1"/>
      <c r="H1465" s="1" t="s">
        <v>531</v>
      </c>
      <c r="J1465" s="1" t="s">
        <v>608</v>
      </c>
      <c r="M1465" s="15" t="s">
        <v>1758</v>
      </c>
      <c r="N1465" s="15" t="s">
        <v>1902</v>
      </c>
      <c r="O1465" s="15">
        <v>8</v>
      </c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465" s="15" t="str">
        <f>_xlfn.TEXTBEFORE(_xlfn.TEXTAFTER(CantoralDB[[#This Row],[index.html]],"&gt;"),"&gt;")&amp;"&gt;"</f>
        <v>&lt;a href="canciones/ruah/a_fuego.html"&gt;</v>
      </c>
    </row>
    <row r="1466" spans="1:23" x14ac:dyDescent="0.3">
      <c r="A1466" s="1">
        <f>ROW(CantoralDB[[#This Row],[Título]])-1</f>
        <v>1465</v>
      </c>
      <c r="B1466" s="1" t="s">
        <v>1873</v>
      </c>
      <c r="C1466" s="1"/>
      <c r="H1466" s="1" t="s">
        <v>531</v>
      </c>
      <c r="J1466" s="1" t="s">
        <v>608</v>
      </c>
      <c r="M1466" s="15" t="s">
        <v>1758</v>
      </c>
      <c r="N1466" s="15" t="s">
        <v>1902</v>
      </c>
      <c r="O1466" s="15">
        <v>9</v>
      </c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466" s="15" t="str">
        <f>_xlfn.TEXTBEFORE(_xlfn.TEXTAFTER(CantoralDB[[#This Row],[index.html]],"&gt;"),"&gt;")&amp;"&gt;"</f>
        <v>&lt;a href="canciones/ruah/aprendiendo.html"&gt;</v>
      </c>
    </row>
    <row r="1467" spans="1:23" x14ac:dyDescent="0.3">
      <c r="A1467" s="1">
        <f>ROW(CantoralDB[[#This Row],[Título]])-1</f>
        <v>1466</v>
      </c>
      <c r="B1467" s="1" t="s">
        <v>1874</v>
      </c>
      <c r="C1467" s="1"/>
      <c r="H1467" s="1" t="s">
        <v>531</v>
      </c>
      <c r="J1467" s="1" t="s">
        <v>608</v>
      </c>
      <c r="M1467" s="15" t="s">
        <v>1758</v>
      </c>
      <c r="N1467" s="15" t="s">
        <v>1902</v>
      </c>
      <c r="O1467" s="15">
        <v>10</v>
      </c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467" s="15" t="str">
        <f>_xlfn.TEXTBEFORE(_xlfn.TEXTAFTER(CantoralDB[[#This Row],[index.html]],"&gt;"),"&gt;")&amp;"&gt;"</f>
        <v>&lt;a href="canciones/ruah/alianza.html"&gt;</v>
      </c>
    </row>
    <row r="1468" spans="1:23" x14ac:dyDescent="0.3">
      <c r="A1468" s="1">
        <f>ROW(CantoralDB[[#This Row],[Título]])-1</f>
        <v>1467</v>
      </c>
      <c r="B1468" s="1" t="s">
        <v>1875</v>
      </c>
      <c r="C1468" s="1"/>
      <c r="H1468" s="1" t="s">
        <v>1027</v>
      </c>
      <c r="J1468" s="1" t="s">
        <v>608</v>
      </c>
      <c r="M1468" s="15" t="s">
        <v>1758</v>
      </c>
      <c r="N1468" s="15" t="s">
        <v>1902</v>
      </c>
      <c r="O1468" s="15">
        <v>11</v>
      </c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468" s="15" t="str">
        <f>_xlfn.TEXTBEFORE(_xlfn.TEXTAFTER(CantoralDB[[#This Row],[index.html]],"&gt;"),"&gt;")&amp;"&gt;"</f>
        <v>&lt;a href="canciones/ruah/gracias.html"&gt;</v>
      </c>
    </row>
    <row r="1469" spans="1:23" x14ac:dyDescent="0.3">
      <c r="A1469" s="1">
        <f>ROW(CantoralDB[[#This Row],[Título]])-1</f>
        <v>1468</v>
      </c>
      <c r="B1469" s="1" t="s">
        <v>1918</v>
      </c>
      <c r="C1469" s="1"/>
      <c r="H1469" s="1" t="s">
        <v>473</v>
      </c>
      <c r="J1469" s="1" t="s">
        <v>608</v>
      </c>
      <c r="M1469" s="15" t="s">
        <v>1758</v>
      </c>
      <c r="N1469" s="15" t="s">
        <v>1902</v>
      </c>
      <c r="O1469" s="15">
        <v>12</v>
      </c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469" s="15" t="str">
        <f>_xlfn.TEXTBEFORE(_xlfn.TEXTAFTER(CantoralDB[[#This Row],[index.html]],"&gt;"),"&gt;")&amp;"&gt;"</f>
        <v>&lt;a href="canciones/ruah/dios_de_la_historia.html"&gt;</v>
      </c>
    </row>
    <row r="1470" spans="1:23" x14ac:dyDescent="0.3">
      <c r="A1470" s="1">
        <f>ROW(CantoralDB[[#This Row],[Título]])-1</f>
        <v>1469</v>
      </c>
      <c r="B1470" s="1" t="s">
        <v>1773</v>
      </c>
      <c r="C1470" s="1"/>
      <c r="H1470" s="1" t="s">
        <v>531</v>
      </c>
      <c r="J1470" s="1" t="s">
        <v>608</v>
      </c>
      <c r="M1470" s="15" t="s">
        <v>1758</v>
      </c>
      <c r="N1470" s="15" t="s">
        <v>1902</v>
      </c>
      <c r="O1470" s="15">
        <v>13</v>
      </c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470" s="15" t="str">
        <f>_xlfn.TEXTBEFORE(_xlfn.TEXTAFTER(CantoralDB[[#This Row],[index.html]],"&gt;"),"&gt;")&amp;"&gt;"</f>
        <v>&lt;a href="canciones/ruah/para_estar_contigo.html"&gt;</v>
      </c>
    </row>
    <row r="1471" spans="1:23" x14ac:dyDescent="0.3">
      <c r="A1471" s="1">
        <f>ROW(CantoralDB[[#This Row],[Título]])-1</f>
        <v>1470</v>
      </c>
      <c r="B1471" s="1" t="s">
        <v>2022</v>
      </c>
      <c r="C1471" s="1"/>
      <c r="H1471" s="1" t="s">
        <v>531</v>
      </c>
      <c r="J1471" s="1" t="s">
        <v>608</v>
      </c>
      <c r="M1471" s="15" t="s">
        <v>1758</v>
      </c>
      <c r="N1471" s="15" t="s">
        <v>1902</v>
      </c>
      <c r="O1471" s="15">
        <v>14</v>
      </c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471" s="15" t="str">
        <f>_xlfn.TEXTBEFORE(_xlfn.TEXTAFTER(CantoralDB[[#This Row],[index.html]],"&gt;"),"&gt;")&amp;"&gt;"</f>
        <v>&lt;a href="canciones/ruah/no_lo_notais.html"&gt;</v>
      </c>
    </row>
    <row r="1472" spans="1:23" x14ac:dyDescent="0.3">
      <c r="A1472" s="1">
        <f>ROW(CantoralDB[[#This Row],[Título]])-1</f>
        <v>1471</v>
      </c>
      <c r="B1472" s="1" t="s">
        <v>1876</v>
      </c>
      <c r="C1472" s="1"/>
      <c r="H1472" s="1" t="s">
        <v>531</v>
      </c>
      <c r="J1472" s="1" t="s">
        <v>608</v>
      </c>
      <c r="M1472" s="15" t="s">
        <v>1758</v>
      </c>
      <c r="N1472" s="15" t="s">
        <v>1902</v>
      </c>
      <c r="O1472" s="15">
        <v>15</v>
      </c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72" s="1"/>
      <c r="T1472" s="1"/>
      <c r="U1472" s="15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472" s="15" t="str">
        <f>_xlfn.TEXTBEFORE(_xlfn.TEXTAFTER(CantoralDB[[#This Row],[index.html]],"&gt;"),"&gt;")&amp;"&gt;"</f>
        <v>&lt;a href="canciones/ruah/mirame.html"&gt;</v>
      </c>
    </row>
    <row r="1473" spans="1:23" x14ac:dyDescent="0.3">
      <c r="A1473" s="1">
        <f>ROW(CantoralDB[[#This Row],[Título]])-1</f>
        <v>1472</v>
      </c>
      <c r="B1473" s="1" t="s">
        <v>1856</v>
      </c>
      <c r="C1473" s="1"/>
      <c r="H1473" s="1" t="s">
        <v>531</v>
      </c>
      <c r="J1473" s="1" t="s">
        <v>608</v>
      </c>
      <c r="M1473" s="15" t="s">
        <v>1758</v>
      </c>
      <c r="N1473" s="15" t="s">
        <v>1901</v>
      </c>
      <c r="O1473" s="15">
        <v>1</v>
      </c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473" s="15" t="str">
        <f>_xlfn.TEXTBEFORE(_xlfn.TEXTAFTER(CantoralDB[[#This Row],[index.html]],"&gt;"),"&gt;")&amp;"&gt;"</f>
        <v>&lt;a href="canciones/ruah/suelta_el_timon.html"&gt;</v>
      </c>
    </row>
    <row r="1474" spans="1:23" x14ac:dyDescent="0.3">
      <c r="A1474" s="1">
        <f>ROW(CantoralDB[[#This Row],[Título]])-1</f>
        <v>1473</v>
      </c>
      <c r="B1474" s="1" t="s">
        <v>1857</v>
      </c>
      <c r="C1474" s="1"/>
      <c r="H1474" s="1" t="s">
        <v>1030</v>
      </c>
      <c r="I1474" s="1" t="s">
        <v>2961</v>
      </c>
      <c r="J1474" s="1" t="s">
        <v>608</v>
      </c>
      <c r="M1474" s="15" t="s">
        <v>1758</v>
      </c>
      <c r="N1474" s="15" t="s">
        <v>1901</v>
      </c>
      <c r="O1474" s="15">
        <v>2</v>
      </c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474" s="15" t="str">
        <f>_xlfn.TEXTBEFORE(_xlfn.TEXTAFTER(CantoralDB[[#This Row],[index.html]],"&gt;"),"&gt;")&amp;"&gt;"</f>
        <v>&lt;a href="canciones/ruah/quiero_confiar.html"&gt;</v>
      </c>
    </row>
    <row r="1475" spans="1:23" x14ac:dyDescent="0.3">
      <c r="A1475" s="1">
        <f>ROW(CantoralDB[[#This Row],[Título]])-1</f>
        <v>1474</v>
      </c>
      <c r="B1475" s="1" t="s">
        <v>1858</v>
      </c>
      <c r="C1475" s="1"/>
      <c r="H1475" s="1" t="s">
        <v>1030</v>
      </c>
      <c r="J1475" s="1" t="s">
        <v>608</v>
      </c>
      <c r="M1475" s="15" t="s">
        <v>1758</v>
      </c>
      <c r="N1475" s="15" t="s">
        <v>1901</v>
      </c>
      <c r="O1475" s="15">
        <v>3</v>
      </c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475" s="15" t="str">
        <f>_xlfn.TEXTBEFORE(_xlfn.TEXTAFTER(CantoralDB[[#This Row],[index.html]],"&gt;"),"&gt;")&amp;"&gt;"</f>
        <v>&lt;a href="canciones/ruah/soy_de_ti.html"&gt;</v>
      </c>
    </row>
    <row r="1476" spans="1:23" x14ac:dyDescent="0.3">
      <c r="A1476" s="1">
        <f>ROW(CantoralDB[[#This Row],[Título]])-1</f>
        <v>1475</v>
      </c>
      <c r="B1476" s="1" t="s">
        <v>1859</v>
      </c>
      <c r="C1476" s="1"/>
      <c r="H1476" s="1" t="s">
        <v>531</v>
      </c>
      <c r="I1476" s="1" t="s">
        <v>2961</v>
      </c>
      <c r="J1476" s="1"/>
      <c r="M1476" s="15" t="s">
        <v>1758</v>
      </c>
      <c r="N1476" s="15" t="s">
        <v>1901</v>
      </c>
      <c r="O1476" s="15">
        <v>4</v>
      </c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476" s="15" t="str">
        <f>_xlfn.TEXTBEFORE(_xlfn.TEXTAFTER(CantoralDB[[#This Row],[index.html]],"&gt;"),"&gt;")&amp;"&gt;"</f>
        <v>&lt;a href="canciones/ruah/el_boleto.html"&gt;</v>
      </c>
    </row>
    <row r="1477" spans="1:23" x14ac:dyDescent="0.3">
      <c r="A1477" s="1">
        <f>ROW(CantoralDB[[#This Row],[Título]])-1</f>
        <v>1476</v>
      </c>
      <c r="B1477" s="1" t="s">
        <v>490</v>
      </c>
      <c r="C1477" s="1"/>
      <c r="H1477" s="1" t="s">
        <v>1030</v>
      </c>
      <c r="J1477" s="1"/>
      <c r="M1477" s="15" t="s">
        <v>1758</v>
      </c>
      <c r="N1477" s="15" t="s">
        <v>1901</v>
      </c>
      <c r="O1477" s="15">
        <v>5</v>
      </c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477" s="15" t="str">
        <f>_xlfn.TEXTBEFORE(_xlfn.TEXTAFTER(CantoralDB[[#This Row],[index.html]],"&gt;"),"&gt;")&amp;"&gt;"</f>
        <v>&lt;a href="canciones/ruah/maranatha.html"&gt;</v>
      </c>
    </row>
    <row r="1478" spans="1:23" x14ac:dyDescent="0.3">
      <c r="A1478" s="1">
        <f>ROW(CantoralDB[[#This Row],[Título]])-1</f>
        <v>1477</v>
      </c>
      <c r="B1478" s="1" t="s">
        <v>1860</v>
      </c>
      <c r="C1478" s="1"/>
      <c r="H1478" s="1" t="s">
        <v>531</v>
      </c>
      <c r="I1478" s="1" t="s">
        <v>2962</v>
      </c>
      <c r="J1478" s="1" t="s">
        <v>608</v>
      </c>
      <c r="M1478" s="15" t="s">
        <v>1758</v>
      </c>
      <c r="N1478" s="15" t="s">
        <v>1901</v>
      </c>
      <c r="O1478" s="15">
        <v>6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478" s="15" t="str">
        <f>_xlfn.TEXTBEFORE(_xlfn.TEXTAFTER(CantoralDB[[#This Row],[index.html]],"&gt;"),"&gt;")&amp;"&gt;"</f>
        <v>&lt;a href="canciones/ruah/tuya_y_nueva.html"&gt;</v>
      </c>
    </row>
    <row r="1479" spans="1:23" x14ac:dyDescent="0.3">
      <c r="A1479" s="1">
        <f>ROW(CantoralDB[[#This Row],[Título]])-1</f>
        <v>1478</v>
      </c>
      <c r="B1479" s="1" t="s">
        <v>1861</v>
      </c>
      <c r="C1479" s="1"/>
      <c r="H1479" s="1" t="s">
        <v>1030</v>
      </c>
      <c r="J1479" s="1" t="s">
        <v>608</v>
      </c>
      <c r="M1479" s="15" t="s">
        <v>1758</v>
      </c>
      <c r="N1479" s="15" t="s">
        <v>1901</v>
      </c>
      <c r="O1479" s="15">
        <v>7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479" s="15" t="str">
        <f>_xlfn.TEXTBEFORE(_xlfn.TEXTAFTER(CantoralDB[[#This Row],[index.html]],"&gt;"),"&gt;")&amp;"&gt;"</f>
        <v>&lt;a href="canciones/ruah/no_os_preocupeis.html"&gt;</v>
      </c>
    </row>
    <row r="1480" spans="1:23" x14ac:dyDescent="0.3">
      <c r="A1480" s="1">
        <f>ROW(CantoralDB[[#This Row],[Título]])-1</f>
        <v>1479</v>
      </c>
      <c r="B1480" s="1" t="s">
        <v>1862</v>
      </c>
      <c r="C1480" s="1"/>
      <c r="H1480" s="1" t="s">
        <v>1028</v>
      </c>
      <c r="J1480" s="1" t="s">
        <v>608</v>
      </c>
      <c r="L1480" s="1" t="s">
        <v>2184</v>
      </c>
      <c r="M1480" s="15" t="s">
        <v>1758</v>
      </c>
      <c r="N1480" s="15" t="s">
        <v>1901</v>
      </c>
      <c r="O1480" s="15">
        <v>8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480" s="15" t="str">
        <f>_xlfn.TEXTBEFORE(_xlfn.TEXTAFTER(CantoralDB[[#This Row],[index.html]],"&gt;"),"&gt;")&amp;"&gt;"</f>
        <v>&lt;a href="canciones/ruah/sabes_bien.html"&gt;</v>
      </c>
    </row>
    <row r="1481" spans="1:23" x14ac:dyDescent="0.3">
      <c r="A1481" s="1">
        <f>ROW(CantoralDB[[#This Row],[Título]])-1</f>
        <v>1480</v>
      </c>
      <c r="B1481" s="1" t="s">
        <v>1863</v>
      </c>
      <c r="C1481" s="1"/>
      <c r="H1481" s="1" t="s">
        <v>473</v>
      </c>
      <c r="J1481" s="1" t="s">
        <v>608</v>
      </c>
      <c r="M1481" s="15" t="s">
        <v>1758</v>
      </c>
      <c r="N1481" s="15" t="s">
        <v>1901</v>
      </c>
      <c r="O1481" s="15">
        <v>9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481" s="1"/>
      <c r="T1481" s="1"/>
      <c r="U1481" s="15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481" s="15" t="str">
        <f>_xlfn.TEXTBEFORE(_xlfn.TEXTAFTER(CantoralDB[[#This Row],[index.html]],"&gt;"),"&gt;")&amp;"&gt;"</f>
        <v>&lt;a href="canciones/ruah/alegraos.html"&gt;</v>
      </c>
    </row>
    <row r="1482" spans="1:23" x14ac:dyDescent="0.3">
      <c r="A1482" s="1">
        <f>ROW(CantoralDB[[#This Row],[Título]])-1</f>
        <v>1481</v>
      </c>
      <c r="B1482" s="1" t="s">
        <v>1864</v>
      </c>
      <c r="C1482" s="1"/>
      <c r="H1482" s="1" t="s">
        <v>1027</v>
      </c>
      <c r="J1482" s="1" t="s">
        <v>608</v>
      </c>
      <c r="M1482" s="15" t="s">
        <v>1758</v>
      </c>
      <c r="N1482" s="15" t="s">
        <v>1901</v>
      </c>
      <c r="O1482" s="15">
        <v>10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482" s="15" t="str">
        <f>_xlfn.TEXTBEFORE(_xlfn.TEXTAFTER(CantoralDB[[#This Row],[index.html]],"&gt;"),"&gt;")&amp;"&gt;"</f>
        <v>&lt;a href="canciones/ruah/envianos_sin_miedo.html"&gt;</v>
      </c>
    </row>
    <row r="1483" spans="1:23" x14ac:dyDescent="0.3">
      <c r="A1483" s="1">
        <f>ROW(CantoralDB[[#This Row],[Título]])-1</f>
        <v>1482</v>
      </c>
      <c r="B1483" s="1" t="s">
        <v>1865</v>
      </c>
      <c r="C1483" s="1"/>
      <c r="H1483" s="1" t="s">
        <v>1027</v>
      </c>
      <c r="J1483" s="1" t="s">
        <v>608</v>
      </c>
      <c r="M1483" s="15" t="s">
        <v>1758</v>
      </c>
      <c r="N1483" s="15" t="s">
        <v>1901</v>
      </c>
      <c r="O1483" s="15">
        <v>11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483" s="15" t="str">
        <f>_xlfn.TEXTBEFORE(_xlfn.TEXTAFTER(CantoralDB[[#This Row],[index.html]],"&gt;"),"&gt;")&amp;"&gt;"</f>
        <v>&lt;a href="canciones/ruah/aqui_y_ahora.html"&gt;</v>
      </c>
    </row>
    <row r="1484" spans="1:23" x14ac:dyDescent="0.3">
      <c r="A1484" s="1">
        <f>ROW(CantoralDB[[#This Row],[Título]])-1</f>
        <v>1483</v>
      </c>
      <c r="B1484" s="1" t="s">
        <v>1890</v>
      </c>
      <c r="C1484" s="1"/>
      <c r="H1484" s="1" t="s">
        <v>531</v>
      </c>
      <c r="I1484" s="1" t="s">
        <v>2961</v>
      </c>
      <c r="J1484" s="1" t="s">
        <v>608</v>
      </c>
      <c r="M1484" s="15" t="s">
        <v>1758</v>
      </c>
      <c r="N1484" s="15" t="s">
        <v>1896</v>
      </c>
      <c r="O1484" s="15">
        <v>1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484" s="15" t="str">
        <f>_xlfn.TEXTBEFORE(_xlfn.TEXTAFTER(CantoralDB[[#This Row],[index.html]],"&gt;"),"&gt;")&amp;"&gt;"</f>
        <v>&lt;a href="canciones/ruah/te_seguire_llamando.html"&gt;</v>
      </c>
    </row>
    <row r="1485" spans="1:23" x14ac:dyDescent="0.3">
      <c r="A1485" s="1">
        <f>ROW(CantoralDB[[#This Row],[Título]])-1</f>
        <v>1484</v>
      </c>
      <c r="B1485" s="1" t="s">
        <v>1891</v>
      </c>
      <c r="C1485" s="1"/>
      <c r="H1485" s="1" t="s">
        <v>1030</v>
      </c>
      <c r="I1485" s="1" t="s">
        <v>2959</v>
      </c>
      <c r="J1485" s="1" t="s">
        <v>608</v>
      </c>
      <c r="M1485" s="15" t="s">
        <v>1758</v>
      </c>
      <c r="N1485" s="15" t="s">
        <v>1896</v>
      </c>
      <c r="O1485" s="15">
        <v>2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485" s="15" t="str">
        <f>_xlfn.TEXTBEFORE(_xlfn.TEXTAFTER(CantoralDB[[#This Row],[index.html]],"&gt;"),"&gt;")&amp;"&gt;"</f>
        <v>&lt;a href="canciones/ruah/no_volvera_vacia.html"&gt;</v>
      </c>
    </row>
    <row r="1486" spans="1:23" x14ac:dyDescent="0.3">
      <c r="A1486" s="1">
        <f>ROW(CantoralDB[[#This Row],[Título]])-1</f>
        <v>1485</v>
      </c>
      <c r="B1486" s="1" t="s">
        <v>1892</v>
      </c>
      <c r="C1486" s="1"/>
      <c r="H1486" s="1" t="s">
        <v>1030</v>
      </c>
      <c r="J1486" s="1" t="s">
        <v>608</v>
      </c>
      <c r="M1486" s="15" t="s">
        <v>1758</v>
      </c>
      <c r="N1486" s="15" t="s">
        <v>1896</v>
      </c>
      <c r="O1486" s="15">
        <v>3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486" s="15" t="str">
        <f>_xlfn.TEXTBEFORE(_xlfn.TEXTAFTER(CantoralDB[[#This Row],[index.html]],"&gt;"),"&gt;")&amp;"&gt;"</f>
        <v>&lt;a href="canciones/ruah/grietas.html"&gt;</v>
      </c>
    </row>
    <row r="1487" spans="1:23" x14ac:dyDescent="0.3">
      <c r="A1487" s="1">
        <f>ROW(CantoralDB[[#This Row],[Título]])-1</f>
        <v>1486</v>
      </c>
      <c r="B1487" s="1" t="s">
        <v>1893</v>
      </c>
      <c r="C1487" s="1"/>
      <c r="H1487" s="1" t="s">
        <v>473</v>
      </c>
      <c r="J1487" s="1" t="s">
        <v>608</v>
      </c>
      <c r="M1487" s="15" t="s">
        <v>1758</v>
      </c>
      <c r="N1487" s="15" t="s">
        <v>1896</v>
      </c>
      <c r="O1487" s="15">
        <v>4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487" s="15" t="str">
        <f>_xlfn.TEXTBEFORE(_xlfn.TEXTAFTER(CantoralDB[[#This Row],[index.html]],"&gt;"),"&gt;")&amp;"&gt;"</f>
        <v>&lt;a href="canciones/ruah/en_parabolas.html"&gt;</v>
      </c>
    </row>
    <row r="1488" spans="1:23" x14ac:dyDescent="0.3">
      <c r="A1488" s="1">
        <f>ROW(CantoralDB[[#This Row],[Título]])-1</f>
        <v>1487</v>
      </c>
      <c r="B1488" s="1" t="s">
        <v>1894</v>
      </c>
      <c r="C1488" s="1"/>
      <c r="H1488" s="1" t="s">
        <v>1028</v>
      </c>
      <c r="J1488" s="1" t="s">
        <v>608</v>
      </c>
      <c r="M1488" s="15" t="s">
        <v>1758</v>
      </c>
      <c r="N1488" s="15" t="s">
        <v>1896</v>
      </c>
      <c r="O1488" s="15">
        <v>5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488" s="15" t="str">
        <f>_xlfn.TEXTBEFORE(_xlfn.TEXTAFTER(CantoralDB[[#This Row],[index.html]],"&gt;"),"&gt;")&amp;"&gt;"</f>
        <v>&lt;a href="canciones/ruah/oyeme.html"&gt;</v>
      </c>
    </row>
    <row r="1489" spans="1:23" x14ac:dyDescent="0.3">
      <c r="A1489" s="1">
        <f>ROW(CantoralDB[[#This Row],[Título]])-1</f>
        <v>1488</v>
      </c>
      <c r="B1489" s="1" t="s">
        <v>1895</v>
      </c>
      <c r="C1489" s="1"/>
      <c r="H1489" s="1" t="s">
        <v>531</v>
      </c>
      <c r="I1489" s="1" t="s">
        <v>2958</v>
      </c>
      <c r="J1489" s="1" t="s">
        <v>608</v>
      </c>
      <c r="M1489" s="15" t="s">
        <v>1758</v>
      </c>
      <c r="N1489" s="15" t="s">
        <v>1896</v>
      </c>
      <c r="O1489" s="15">
        <v>6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489" s="1"/>
      <c r="T1489" s="1"/>
      <c r="U1489" s="15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489" s="15" t="str">
        <f>_xlfn.TEXTBEFORE(_xlfn.TEXTAFTER(CantoralDB[[#This Row],[index.html]],"&gt;"),"&gt;")&amp;"&gt;"</f>
        <v>&lt;a href="canciones/ruah/bosque.html"&gt;</v>
      </c>
    </row>
    <row r="1490" spans="1:23" x14ac:dyDescent="0.3">
      <c r="A1490" s="1">
        <f>ROW(CantoralDB[[#This Row],[Título]])-1</f>
        <v>1489</v>
      </c>
      <c r="B1490" s="1" t="s">
        <v>1896</v>
      </c>
      <c r="C1490" s="1"/>
      <c r="H1490" s="1" t="s">
        <v>1027</v>
      </c>
      <c r="J1490" s="1" t="s">
        <v>608</v>
      </c>
      <c r="M1490" s="15" t="s">
        <v>1758</v>
      </c>
      <c r="N1490" s="15" t="s">
        <v>1896</v>
      </c>
      <c r="O1490" s="15">
        <v>7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490" s="1"/>
      <c r="T1490" s="1"/>
      <c r="U1490" s="15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490" s="15" t="str">
        <f>_xlfn.TEXTBEFORE(_xlfn.TEXTAFTER(CantoralDB[[#This Row],[index.html]],"&gt;"),"&gt;")&amp;"&gt;"</f>
        <v>&lt;a href="canciones/ruah/nuestro_lugar.html"&gt;</v>
      </c>
    </row>
    <row r="1491" spans="1:23" x14ac:dyDescent="0.3">
      <c r="A1491" s="1">
        <f>ROW(CantoralDB[[#This Row],[Título]])-1</f>
        <v>1490</v>
      </c>
      <c r="B1491" s="1" t="s">
        <v>1897</v>
      </c>
      <c r="C1491" s="1"/>
      <c r="H1491" s="1" t="s">
        <v>1027</v>
      </c>
      <c r="J1491" s="1" t="s">
        <v>608</v>
      </c>
      <c r="M1491" s="15" t="s">
        <v>1758</v>
      </c>
      <c r="N1491" s="15" t="s">
        <v>1896</v>
      </c>
      <c r="O1491" s="15">
        <v>8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491" s="15" t="str">
        <f>_xlfn.TEXTBEFORE(_xlfn.TEXTAFTER(CantoralDB[[#This Row],[index.html]],"&gt;"),"&gt;")&amp;"&gt;"</f>
        <v>&lt;a href="canciones/ruah/a_tu_medida.html"&gt;</v>
      </c>
    </row>
    <row r="1492" spans="1:23" x14ac:dyDescent="0.3">
      <c r="A1492" s="1">
        <f>ROW(CantoralDB[[#This Row],[Título]])-1</f>
        <v>1491</v>
      </c>
      <c r="B1492" s="1" t="s">
        <v>1898</v>
      </c>
      <c r="C1492" s="1"/>
      <c r="H1492" s="1" t="s">
        <v>1027</v>
      </c>
      <c r="J1492" s="1" t="s">
        <v>608</v>
      </c>
      <c r="M1492" s="15" t="s">
        <v>1758</v>
      </c>
      <c r="N1492" s="15" t="s">
        <v>1896</v>
      </c>
      <c r="O1492" s="15">
        <v>9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492" s="1"/>
      <c r="T1492" s="1"/>
      <c r="U1492" s="15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492" s="15" t="str">
        <f>_xlfn.TEXTBEFORE(_xlfn.TEXTAFTER(CantoralDB[[#This Row],[index.html]],"&gt;"),"&gt;")&amp;"&gt;"</f>
        <v>&lt;a href="canciones/ruah/mayor_que_todo.html"&gt;</v>
      </c>
    </row>
    <row r="1493" spans="1:23" x14ac:dyDescent="0.3">
      <c r="A1493" s="1">
        <f>ROW(CantoralDB[[#This Row],[Título]])-1</f>
        <v>1492</v>
      </c>
      <c r="B1493" s="1" t="s">
        <v>1899</v>
      </c>
      <c r="C1493" s="1"/>
      <c r="H1493" s="1" t="s">
        <v>1030</v>
      </c>
      <c r="I1493" s="1" t="s">
        <v>2959</v>
      </c>
      <c r="J1493" s="1" t="s">
        <v>608</v>
      </c>
      <c r="M1493" s="15" t="s">
        <v>1758</v>
      </c>
      <c r="N1493" s="15" t="s">
        <v>1896</v>
      </c>
      <c r="O1493" s="15">
        <v>10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493" s="15" t="str">
        <f>_xlfn.TEXTBEFORE(_xlfn.TEXTAFTER(CantoralDB[[#This Row],[index.html]],"&gt;"),"&gt;")&amp;"&gt;"</f>
        <v>&lt;a href="canciones/ruah/seas.html"&gt;</v>
      </c>
    </row>
    <row r="1494" spans="1:23" x14ac:dyDescent="0.3">
      <c r="A1494" s="1">
        <f>ROW(CantoralDB[[#This Row],[Título]])-1</f>
        <v>1493</v>
      </c>
      <c r="B1494" s="1" t="s">
        <v>1900</v>
      </c>
      <c r="C1494" s="1"/>
      <c r="H1494" s="1" t="s">
        <v>531</v>
      </c>
      <c r="J1494" s="1" t="s">
        <v>608</v>
      </c>
      <c r="M1494" s="15" t="s">
        <v>1758</v>
      </c>
      <c r="N1494" s="15" t="s">
        <v>1896</v>
      </c>
      <c r="O1494" s="15">
        <v>11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494" s="15" t="str">
        <f>_xlfn.TEXTBEFORE(_xlfn.TEXTAFTER(CantoralDB[[#This Row],[index.html]],"&gt;"),"&gt;")&amp;"&gt;"</f>
        <v>&lt;a href="canciones/ruah/brasas.html"&gt;</v>
      </c>
    </row>
    <row r="1495" spans="1:23" x14ac:dyDescent="0.3">
      <c r="A1495" s="1">
        <f>ROW(CantoralDB[[#This Row],[Título]])-1</f>
        <v>1494</v>
      </c>
      <c r="B1495" s="1" t="s">
        <v>1877</v>
      </c>
      <c r="C1495" s="1"/>
      <c r="J1495" s="1"/>
      <c r="M1495" s="15" t="s">
        <v>1758</v>
      </c>
      <c r="N1495" s="15" t="s">
        <v>1903</v>
      </c>
      <c r="O1495" s="15">
        <v>1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495" s="15" t="str">
        <f>_xlfn.TEXTBEFORE(_xlfn.TEXTAFTER(CantoralDB[[#This Row],[index.html]],"&gt;"),"&gt;")&amp;"&gt;"</f>
        <v>&lt;a href="canciones/ruah/a_buscarme.html"&gt;</v>
      </c>
    </row>
    <row r="1496" spans="1:23" x14ac:dyDescent="0.3">
      <c r="A1496" s="1">
        <f>ROW(CantoralDB[[#This Row],[Título]])-1</f>
        <v>1495</v>
      </c>
      <c r="B1496" s="1" t="s">
        <v>1878</v>
      </c>
      <c r="C1496" s="1"/>
      <c r="H1496" s="1" t="s">
        <v>531</v>
      </c>
      <c r="J1496" s="1" t="s">
        <v>608</v>
      </c>
      <c r="M1496" s="15" t="s">
        <v>1758</v>
      </c>
      <c r="N1496" s="15" t="s">
        <v>1903</v>
      </c>
      <c r="O1496" s="15">
        <v>2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496" s="15" t="str">
        <f>_xlfn.TEXTBEFORE(_xlfn.TEXTAFTER(CantoralDB[[#This Row],[index.html]],"&gt;"),"&gt;")&amp;"&gt;"</f>
        <v>&lt;a href="canciones/ruah/si_tu_quieres.html"&gt;</v>
      </c>
    </row>
    <row r="1497" spans="1:23" x14ac:dyDescent="0.3">
      <c r="A1497" s="1">
        <f>ROW(CantoralDB[[#This Row],[Título]])-1</f>
        <v>1496</v>
      </c>
      <c r="B1497" s="1" t="s">
        <v>1879</v>
      </c>
      <c r="C1497" s="1"/>
      <c r="H1497" s="1" t="s">
        <v>1030</v>
      </c>
      <c r="I1497" s="1" t="s">
        <v>2958</v>
      </c>
      <c r="J1497" s="1" t="s">
        <v>608</v>
      </c>
      <c r="M1497" s="15" t="s">
        <v>1758</v>
      </c>
      <c r="N1497" s="15" t="s">
        <v>1903</v>
      </c>
      <c r="O1497" s="15">
        <v>3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497" s="15" t="str">
        <f>_xlfn.TEXTBEFORE(_xlfn.TEXTAFTER(CantoralDB[[#This Row],[index.html]],"&gt;"),"&gt;")&amp;"&gt;"</f>
        <v>&lt;a href="canciones/ruah/donde.html"&gt;</v>
      </c>
    </row>
    <row r="1498" spans="1:23" x14ac:dyDescent="0.3">
      <c r="A1498" s="1">
        <f>ROW(CantoralDB[[#This Row],[Título]])-1</f>
        <v>1497</v>
      </c>
      <c r="B1498" s="1" t="s">
        <v>1880</v>
      </c>
      <c r="C1498" s="1"/>
      <c r="H1498" s="1" t="s">
        <v>473</v>
      </c>
      <c r="J1498" s="1" t="s">
        <v>608</v>
      </c>
      <c r="M1498" s="15" t="s">
        <v>1758</v>
      </c>
      <c r="N1498" s="15" t="s">
        <v>1903</v>
      </c>
      <c r="O1498" s="15">
        <v>4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498" s="15" t="str">
        <f>_xlfn.TEXTBEFORE(_xlfn.TEXTAFTER(CantoralDB[[#This Row],[index.html]],"&gt;"),"&gt;")&amp;"&gt;"</f>
        <v>&lt;a href="canciones/ruah/escuchame.html"&gt;</v>
      </c>
    </row>
    <row r="1499" spans="1:23" x14ac:dyDescent="0.3">
      <c r="A1499" s="1">
        <f>ROW(CantoralDB[[#This Row],[Título]])-1</f>
        <v>1498</v>
      </c>
      <c r="B1499" s="1" t="s">
        <v>1881</v>
      </c>
      <c r="C1499" s="1"/>
      <c r="H1499" s="1" t="s">
        <v>1030</v>
      </c>
      <c r="J1499" s="1" t="s">
        <v>608</v>
      </c>
      <c r="M1499" s="15" t="s">
        <v>1758</v>
      </c>
      <c r="N1499" s="15" t="s">
        <v>1903</v>
      </c>
      <c r="O1499" s="15">
        <v>5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499" s="15" t="str">
        <f>_xlfn.TEXTBEFORE(_xlfn.TEXTAFTER(CantoralDB[[#This Row],[index.html]],"&gt;"),"&gt;")&amp;"&gt;"</f>
        <v>&lt;a href="canciones/ruah/a_la_puerta.html"&gt;</v>
      </c>
    </row>
    <row r="1500" spans="1:23" x14ac:dyDescent="0.3">
      <c r="A1500" s="1">
        <f>ROW(CantoralDB[[#This Row],[Título]])-1</f>
        <v>1499</v>
      </c>
      <c r="B1500" s="1" t="s">
        <v>1882</v>
      </c>
      <c r="C1500" s="1"/>
      <c r="H1500" s="1" t="s">
        <v>1030</v>
      </c>
      <c r="J1500" s="1" t="s">
        <v>608</v>
      </c>
      <c r="M1500" s="15" t="s">
        <v>1758</v>
      </c>
      <c r="N1500" s="15" t="s">
        <v>1903</v>
      </c>
      <c r="O1500" s="15">
        <v>6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500" s="15" t="str">
        <f>_xlfn.TEXTBEFORE(_xlfn.TEXTAFTER(CantoralDB[[#This Row],[index.html]],"&gt;"),"&gt;")&amp;"&gt;"</f>
        <v>&lt;a href="canciones/ruah/en_quien_si_no.html"&gt;</v>
      </c>
    </row>
    <row r="1501" spans="1:23" x14ac:dyDescent="0.3">
      <c r="A1501" s="1">
        <f>ROW(CantoralDB[[#This Row],[Título]])-1</f>
        <v>1500</v>
      </c>
      <c r="B1501" s="1" t="s">
        <v>1883</v>
      </c>
      <c r="C1501" s="1"/>
      <c r="H1501" s="1" t="s">
        <v>531</v>
      </c>
      <c r="I1501" s="1" t="s">
        <v>2961</v>
      </c>
      <c r="J1501" s="1" t="s">
        <v>608</v>
      </c>
      <c r="M1501" s="15" t="s">
        <v>1758</v>
      </c>
      <c r="N1501" s="15" t="s">
        <v>1903</v>
      </c>
      <c r="O1501" s="15">
        <v>7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501" s="15" t="str">
        <f>_xlfn.TEXTBEFORE(_xlfn.TEXTAFTER(CantoralDB[[#This Row],[index.html]],"&gt;"),"&gt;")&amp;"&gt;"</f>
        <v>&lt;a href="canciones/ruah/silencio.html"&gt;</v>
      </c>
    </row>
    <row r="1502" spans="1:23" x14ac:dyDescent="0.3">
      <c r="A1502" s="1">
        <f>ROW(CantoralDB[[#This Row],[Título]])-1</f>
        <v>1501</v>
      </c>
      <c r="B1502" s="1" t="s">
        <v>1884</v>
      </c>
      <c r="C1502" s="1"/>
      <c r="H1502" s="1" t="s">
        <v>1027</v>
      </c>
      <c r="J1502" s="1" t="s">
        <v>608</v>
      </c>
      <c r="M1502" s="15" t="s">
        <v>1758</v>
      </c>
      <c r="N1502" s="15" t="s">
        <v>1903</v>
      </c>
      <c r="O1502" s="15">
        <v>8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502" s="15" t="str">
        <f>_xlfn.TEXTBEFORE(_xlfn.TEXTAFTER(CantoralDB[[#This Row],[index.html]],"&gt;"),"&gt;")&amp;"&gt;"</f>
        <v>&lt;a href="canciones/ruah/de_repente.html"&gt;</v>
      </c>
    </row>
    <row r="1503" spans="1:23" x14ac:dyDescent="0.3">
      <c r="A1503" s="1">
        <f>ROW(CantoralDB[[#This Row],[Título]])-1</f>
        <v>1502</v>
      </c>
      <c r="B1503" s="1" t="s">
        <v>2150</v>
      </c>
      <c r="C1503" s="1"/>
      <c r="H1503" s="1" t="s">
        <v>1030</v>
      </c>
      <c r="I1503" s="1" t="s">
        <v>2962</v>
      </c>
      <c r="J1503" s="1" t="s">
        <v>608</v>
      </c>
      <c r="M1503" s="15" t="s">
        <v>1758</v>
      </c>
      <c r="N1503" s="15" t="s">
        <v>1903</v>
      </c>
      <c r="O1503" s="15">
        <v>9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503" s="15" t="str">
        <f>_xlfn.TEXTBEFORE(_xlfn.TEXTAFTER(CantoralDB[[#This Row],[index.html]],"&gt;"),"&gt;")&amp;"&gt;"</f>
        <v>&lt;a href="canciones/ruah/quien_amo_primero.html"&gt;</v>
      </c>
    </row>
    <row r="1504" spans="1:23" x14ac:dyDescent="0.3">
      <c r="A1504" s="1">
        <f>ROW(CantoralDB[[#This Row],[Título]])-1</f>
        <v>1503</v>
      </c>
      <c r="B1504" s="1" t="s">
        <v>1885</v>
      </c>
      <c r="C1504" s="1"/>
      <c r="H1504" s="1" t="s">
        <v>1030</v>
      </c>
      <c r="I1504" s="1" t="s">
        <v>2960</v>
      </c>
      <c r="J1504" s="1" t="s">
        <v>608</v>
      </c>
      <c r="M1504" s="15" t="s">
        <v>1758</v>
      </c>
      <c r="N1504" s="15" t="s">
        <v>1903</v>
      </c>
      <c r="O1504" s="15">
        <v>10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504" s="15" t="str">
        <f>_xlfn.TEXTBEFORE(_xlfn.TEXTAFTER(CantoralDB[[#This Row],[index.html]],"&gt;"),"&gt;")&amp;"&gt;"</f>
        <v>&lt;a href="canciones/ruah/alabarte.html"&gt;</v>
      </c>
    </row>
    <row r="1505" spans="1:23" x14ac:dyDescent="0.3">
      <c r="A1505" s="1">
        <f>ROW(CantoralDB[[#This Row],[Título]])-1</f>
        <v>1504</v>
      </c>
      <c r="B1505" s="1" t="s">
        <v>1904</v>
      </c>
      <c r="C1505" s="1"/>
      <c r="H1505" s="1" t="s">
        <v>1028</v>
      </c>
      <c r="J1505" s="1" t="s">
        <v>608</v>
      </c>
      <c r="M1505" s="15" t="s">
        <v>1758</v>
      </c>
      <c r="N1505" s="15" t="s">
        <v>1903</v>
      </c>
      <c r="O1505" s="15">
        <v>11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505" s="15" t="str">
        <f>_xlfn.TEXTBEFORE(_xlfn.TEXTAFTER(CantoralDB[[#This Row],[index.html]],"&gt;"),"&gt;")&amp;"&gt;"</f>
        <v>&lt;a href="canciones/ruah/bailare.html"&gt;</v>
      </c>
    </row>
    <row r="1506" spans="1:23" x14ac:dyDescent="0.3">
      <c r="A1506" s="1">
        <f>ROW(CantoralDB[[#This Row],[Título]])-1</f>
        <v>1505</v>
      </c>
      <c r="B1506" s="1" t="s">
        <v>1917</v>
      </c>
      <c r="C1506" s="1"/>
      <c r="H1506" s="1" t="s">
        <v>531</v>
      </c>
      <c r="I1506" s="1" t="s">
        <v>2961</v>
      </c>
      <c r="J1506" s="1" t="s">
        <v>608</v>
      </c>
      <c r="M1506" s="15" t="s">
        <v>1758</v>
      </c>
      <c r="N1506" s="15" t="s">
        <v>1903</v>
      </c>
      <c r="O1506" s="15">
        <v>12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506" s="15" t="str">
        <f>_xlfn.TEXTBEFORE(_xlfn.TEXTAFTER(CantoralDB[[#This Row],[index.html]],"&gt;"),"&gt;")&amp;"&gt;"</f>
        <v>&lt;a href="canciones/ruah/por_ti_jerusalen.html"&gt;</v>
      </c>
    </row>
    <row r="1507" spans="1:23" x14ac:dyDescent="0.3">
      <c r="A1507" s="1">
        <f>ROW(CantoralDB[[#This Row],[Título]])-1</f>
        <v>1506</v>
      </c>
      <c r="B1507" s="1" t="s">
        <v>1886</v>
      </c>
      <c r="C1507" s="1"/>
      <c r="H1507" s="1" t="s">
        <v>531</v>
      </c>
      <c r="J1507" s="1" t="s">
        <v>608</v>
      </c>
      <c r="M1507" s="15" t="s">
        <v>1758</v>
      </c>
      <c r="N1507" s="15" t="s">
        <v>1903</v>
      </c>
      <c r="O1507" s="15">
        <v>13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507" s="15" t="str">
        <f>_xlfn.TEXTBEFORE(_xlfn.TEXTAFTER(CantoralDB[[#This Row],[index.html]],"&gt;"),"&gt;")&amp;"&gt;"</f>
        <v>&lt;a href="canciones/ruah/frontera.html"&gt;</v>
      </c>
    </row>
    <row r="1508" spans="1:23" x14ac:dyDescent="0.3">
      <c r="A1508" s="1">
        <f>ROW(CantoralDB[[#This Row],[Título]])-1</f>
        <v>1507</v>
      </c>
      <c r="B1508" s="1" t="s">
        <v>1887</v>
      </c>
      <c r="C1508" s="1"/>
      <c r="H1508" s="1" t="s">
        <v>531</v>
      </c>
      <c r="J1508" s="1" t="s">
        <v>608</v>
      </c>
      <c r="M1508" s="15" t="s">
        <v>1758</v>
      </c>
      <c r="N1508" s="15" t="s">
        <v>1903</v>
      </c>
      <c r="O1508" s="15">
        <v>14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08" s="1"/>
      <c r="T1508" s="1"/>
      <c r="U1508" s="15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508" s="15" t="str">
        <f>_xlfn.TEXTBEFORE(_xlfn.TEXTAFTER(CantoralDB[[#This Row],[index.html]],"&gt;"),"&gt;")&amp;"&gt;"</f>
        <v>&lt;a href="canciones/ruah/despierto.html"&gt;</v>
      </c>
    </row>
    <row r="1509" spans="1:23" x14ac:dyDescent="0.3">
      <c r="A1509" s="1">
        <f>ROW(CantoralDB[[#This Row],[Título]])-1</f>
        <v>1508</v>
      </c>
      <c r="B1509" s="1" t="s">
        <v>1888</v>
      </c>
      <c r="C1509" s="1"/>
      <c r="H1509" s="1" t="s">
        <v>1027</v>
      </c>
      <c r="I1509" s="1" t="s">
        <v>2961</v>
      </c>
      <c r="J1509" s="1" t="s">
        <v>608</v>
      </c>
      <c r="M1509" s="15" t="s">
        <v>1758</v>
      </c>
      <c r="N1509" s="15" t="s">
        <v>1903</v>
      </c>
      <c r="O1509" s="15">
        <v>15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509" s="15" t="str">
        <f>_xlfn.TEXTBEFORE(_xlfn.TEXTAFTER(CantoralDB[[#This Row],[index.html]],"&gt;"),"&gt;")&amp;"&gt;"</f>
        <v>&lt;a href="canciones/ruah/como_niños.html"&gt;</v>
      </c>
    </row>
    <row r="1510" spans="1:23" x14ac:dyDescent="0.3">
      <c r="A1510" s="1">
        <f>ROW(CantoralDB[[#This Row],[Título]])-1</f>
        <v>1509</v>
      </c>
      <c r="B1510" s="1" t="s">
        <v>1889</v>
      </c>
      <c r="C1510" s="1"/>
      <c r="H1510" s="1" t="s">
        <v>1027</v>
      </c>
      <c r="J1510" s="1" t="s">
        <v>608</v>
      </c>
      <c r="M1510" s="15" t="s">
        <v>1758</v>
      </c>
      <c r="N1510" s="15" t="s">
        <v>1903</v>
      </c>
      <c r="O1510" s="15">
        <v>16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510" s="15" t="str">
        <f>_xlfn.TEXTBEFORE(_xlfn.TEXTAFTER(CantoralDB[[#This Row],[index.html]],"&gt;"),"&gt;")&amp;"&gt;"</f>
        <v>&lt;a href="canciones/ruah/vivir.html"&gt;</v>
      </c>
    </row>
    <row r="1511" spans="1:23" x14ac:dyDescent="0.3">
      <c r="A1511" s="1">
        <f>ROW(CantoralDB[[#This Row],[Título]])-1</f>
        <v>1510</v>
      </c>
      <c r="B1511" s="1" t="s">
        <v>2168</v>
      </c>
      <c r="C1511" s="15"/>
      <c r="H1511" s="1" t="s">
        <v>531</v>
      </c>
      <c r="I1511" s="1" t="s">
        <v>2961</v>
      </c>
      <c r="J1511" s="1" t="s">
        <v>608</v>
      </c>
      <c r="M1511" s="15" t="s">
        <v>2182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511" s="15" t="str">
        <f>_xlfn.TEXTBEFORE(_xlfn.TEXTAFTER(CantoralDB[[#This Row],[index.html]],"&gt;"),"&gt;")&amp;"&gt;"</f>
        <v>&lt;a href="canciones/nuevas/haz_de_tu_casa_un_nazaret.html"&gt;</v>
      </c>
    </row>
    <row r="1512" spans="1:23" x14ac:dyDescent="0.3">
      <c r="A1512" s="1">
        <f>ROW(CantoralDB[[#This Row],[Título]])-1</f>
        <v>1511</v>
      </c>
      <c r="B1512" s="1" t="s">
        <v>2166</v>
      </c>
      <c r="C1512" s="15"/>
      <c r="H1512" s="1" t="s">
        <v>531</v>
      </c>
      <c r="J1512" s="1" t="s">
        <v>608</v>
      </c>
      <c r="M1512" s="15" t="s">
        <v>573</v>
      </c>
      <c r="N1512" s="15"/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512" s="15" t="str">
        <f>_xlfn.TEXTBEFORE(_xlfn.TEXTAFTER(CantoralDB[[#This Row],[index.html]],"&gt;"),"&gt;")&amp;"&gt;"</f>
        <v>&lt;a href="canciones/nuevas/estas_aqui_jesus.html"&gt;</v>
      </c>
    </row>
    <row r="1513" spans="1:23" x14ac:dyDescent="0.3">
      <c r="A1513" s="1">
        <f>ROW(CantoralDB[[#This Row],[Título]])-1</f>
        <v>1512</v>
      </c>
      <c r="B1513" s="1" t="s">
        <v>176</v>
      </c>
      <c r="C1513" s="1" t="s">
        <v>993</v>
      </c>
      <c r="D1513" s="1" t="s">
        <v>693</v>
      </c>
      <c r="G1513" s="1" t="s">
        <v>209</v>
      </c>
      <c r="H1513" s="1" t="s">
        <v>473</v>
      </c>
      <c r="J1513" s="1" t="s">
        <v>608</v>
      </c>
      <c r="M1513" s="15" t="s">
        <v>573</v>
      </c>
      <c r="N1513" s="15"/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513" s="15" t="str">
        <f>_xlfn.TEXTBEFORE(_xlfn.TEXTAFTER(CantoralDB[[#This Row],[index.html]],"&gt;"),"&gt;")&amp;"&gt;"</f>
        <v>&lt;a href="canciones/nsb/dime_como_ser_pan.html"&gt;</v>
      </c>
    </row>
    <row r="1514" spans="1:23" x14ac:dyDescent="0.3">
      <c r="A1514" s="1">
        <f>ROW(CantoralDB[[#This Row],[Título]])-1</f>
        <v>1513</v>
      </c>
      <c r="B1514" s="1" t="s">
        <v>175</v>
      </c>
      <c r="C1514" s="1" t="s">
        <v>993</v>
      </c>
      <c r="D1514" s="1" t="s">
        <v>687</v>
      </c>
      <c r="G1514" s="1" t="s">
        <v>209</v>
      </c>
      <c r="H1514" s="1" t="s">
        <v>1027</v>
      </c>
      <c r="J1514" s="1" t="s">
        <v>608</v>
      </c>
      <c r="M1514" s="15" t="s">
        <v>571</v>
      </c>
      <c r="N1514" s="15"/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514" s="15" t="str">
        <f>_xlfn.TEXTBEFORE(_xlfn.TEXTAFTER(CantoralDB[[#This Row],[index.html]],"&gt;"),"&gt;")&amp;"&gt;"</f>
        <v>&lt;a href="canciones/nsb/cerca_de_ti_señor.html"&gt;</v>
      </c>
    </row>
    <row r="1515" spans="1:23" x14ac:dyDescent="0.3">
      <c r="A1515" s="1">
        <f>ROW(CantoralDB[[#This Row],[Título]])-1</f>
        <v>1514</v>
      </c>
      <c r="B1515" s="1" t="s">
        <v>556</v>
      </c>
      <c r="C1515" s="1" t="s">
        <v>201</v>
      </c>
      <c r="D1515" s="1" t="s">
        <v>671</v>
      </c>
      <c r="G1515" s="1" t="s">
        <v>553</v>
      </c>
      <c r="H1515" s="1" t="s">
        <v>1027</v>
      </c>
      <c r="J1515" s="1" t="s">
        <v>608</v>
      </c>
      <c r="M1515" s="15" t="s">
        <v>612</v>
      </c>
      <c r="N1515" s="15"/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515" s="1"/>
      <c r="T1515" s="1"/>
      <c r="U1515" s="15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515" s="15" t="str">
        <f>_xlfn.TEXTBEFORE(_xlfn.TEXTAFTER(CantoralDB[[#This Row],[index.html]],"&gt;"),"&gt;")&amp;"&gt;"</f>
        <v>&lt;a href="canciones/nsb/quiero_caminar.html"&gt;</v>
      </c>
    </row>
    <row r="1516" spans="1:23" x14ac:dyDescent="0.3">
      <c r="A1516" s="1">
        <f>ROW(CantoralDB[[#This Row],[Título]])-1</f>
        <v>1515</v>
      </c>
      <c r="B1516" s="1" t="s">
        <v>39</v>
      </c>
      <c r="C1516" s="1" t="s">
        <v>993</v>
      </c>
      <c r="D1516" s="1" t="s">
        <v>690</v>
      </c>
      <c r="E1516" s="1">
        <v>65</v>
      </c>
      <c r="G1516" s="1" t="s">
        <v>209</v>
      </c>
      <c r="H1516" s="1" t="s">
        <v>473</v>
      </c>
      <c r="I1516" s="1" t="s">
        <v>2958</v>
      </c>
      <c r="J1516" s="1" t="s">
        <v>608</v>
      </c>
      <c r="M1516" s="15" t="s">
        <v>268</v>
      </c>
      <c r="N1516" s="15"/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516" s="15" t="str">
        <f>_xlfn.TEXTBEFORE(_xlfn.TEXTAFTER(CantoralDB[[#This Row],[index.html]],"&gt;"),"&gt;")&amp;"&gt;"</f>
        <v>&lt;a href="canciones/taize/cristo_ha_resucitado.html"&gt;</v>
      </c>
    </row>
    <row r="1517" spans="1:23" x14ac:dyDescent="0.3">
      <c r="A1517" s="1">
        <f>ROW(CantoralDB[[#This Row],[Título]])-1</f>
        <v>1516</v>
      </c>
      <c r="B1517" s="1" t="s">
        <v>421</v>
      </c>
      <c r="C1517" s="1" t="s">
        <v>1022</v>
      </c>
      <c r="E1517" s="1">
        <v>187</v>
      </c>
      <c r="H1517" s="1" t="s">
        <v>1027</v>
      </c>
      <c r="J1517" s="1" t="s">
        <v>608</v>
      </c>
      <c r="M1517" s="15" t="s">
        <v>268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17" s="1"/>
      <c r="T1517" s="1" t="s">
        <v>421</v>
      </c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517" s="15" t="str">
        <f>_xlfn.TEXTBEFORE(_xlfn.TEXTAFTER(CantoralDB[[#This Row],[index.html]],"&gt;"),"&gt;")&amp;"&gt;"</f>
        <v>&lt;a href="canciones/taize/o_christe_domine_jesu.html"&gt;</v>
      </c>
    </row>
    <row r="1518" spans="1:23" x14ac:dyDescent="0.3">
      <c r="A1518" s="1">
        <f>ROW(CantoralDB[[#This Row],[Título]])-1</f>
        <v>1517</v>
      </c>
      <c r="B1518" s="1" t="s">
        <v>929</v>
      </c>
      <c r="C1518" s="1" t="s">
        <v>1021</v>
      </c>
      <c r="D1518" s="1" t="s">
        <v>1138</v>
      </c>
      <c r="E1518" s="1">
        <v>157</v>
      </c>
      <c r="H1518" s="1" t="s">
        <v>531</v>
      </c>
      <c r="I1518" s="1" t="s">
        <v>2959</v>
      </c>
      <c r="J1518" s="1" t="s">
        <v>608</v>
      </c>
      <c r="M1518" s="15" t="s">
        <v>1940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18" s="1" t="s">
        <v>977</v>
      </c>
      <c r="T1518" s="1" t="s">
        <v>413</v>
      </c>
      <c r="U1518" s="15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518" s="15" t="str">
        <f>_xlfn.TEXTBEFORE(_xlfn.TEXTAFTER(CantoralDB[[#This Row],[index.html]],"&gt;"),"&gt;")&amp;"&gt;"</f>
        <v>&lt;a href="canciones/taize/misericordias_domini.html"&gt;</v>
      </c>
    </row>
    <row r="1519" spans="1:23" x14ac:dyDescent="0.3">
      <c r="A1519" s="1">
        <f>ROW(CantoralDB[[#This Row],[Título]])-1</f>
        <v>1518</v>
      </c>
      <c r="B1519" s="1" t="s">
        <v>2864</v>
      </c>
      <c r="C1519" s="1" t="s">
        <v>1021</v>
      </c>
      <c r="E1519" s="1">
        <v>187</v>
      </c>
      <c r="H1519" s="1" t="s">
        <v>1027</v>
      </c>
      <c r="J1519" s="1" t="s">
        <v>608</v>
      </c>
      <c r="M1519" s="15" t="s">
        <v>1940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19" s="1"/>
      <c r="T1519" s="1" t="s">
        <v>421</v>
      </c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519" s="15" t="str">
        <f>_xlfn.TEXTBEFORE(_xlfn.TEXTAFTER(CantoralDB[[#This Row],[index.html]],"&gt;"),"&gt;")&amp;"&gt;"</f>
        <v>&lt;a href="canciones/taize/o_christe_domine_jesu.html"&gt;</v>
      </c>
    </row>
    <row r="1520" spans="1:23" x14ac:dyDescent="0.3">
      <c r="A1520" s="1">
        <f>ROW(CantoralDB[[#This Row],[Título]])-1</f>
        <v>1519</v>
      </c>
      <c r="B1520" s="1" t="s">
        <v>942</v>
      </c>
      <c r="C1520" s="1" t="s">
        <v>1021</v>
      </c>
      <c r="D1520" s="1" t="s">
        <v>1117</v>
      </c>
      <c r="E1520" s="1">
        <v>466</v>
      </c>
      <c r="H1520" s="1" t="s">
        <v>531</v>
      </c>
      <c r="I1520" s="1" t="s">
        <v>2959</v>
      </c>
      <c r="J1520" s="1" t="s">
        <v>608</v>
      </c>
      <c r="M1520" s="15" t="s">
        <v>1940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20" s="1"/>
      <c r="T1520" s="1" t="s">
        <v>456</v>
      </c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520" s="15" t="str">
        <f>_xlfn.TEXTBEFORE(_xlfn.TEXTAFTER(CantoralDB[[#This Row],[index.html]],"&gt;"),"&gt;")&amp;"&gt;"</f>
        <v>&lt;a href="canciones/taize/ubi_caritas.html"&gt;</v>
      </c>
    </row>
    <row r="1521" spans="1:23" x14ac:dyDescent="0.3">
      <c r="A1521" s="1">
        <f>ROW(CantoralDB[[#This Row],[Título]])-1</f>
        <v>1520</v>
      </c>
      <c r="B1521" s="1" t="s">
        <v>914</v>
      </c>
      <c r="C1521" s="1" t="s">
        <v>1021</v>
      </c>
      <c r="D1521" s="1" t="s">
        <v>1077</v>
      </c>
      <c r="H1521" s="1" t="s">
        <v>531</v>
      </c>
      <c r="I1521" s="1" t="s">
        <v>2961</v>
      </c>
      <c r="J1521" s="1" t="s">
        <v>608</v>
      </c>
      <c r="M1521" s="15" t="s">
        <v>1940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21" s="1"/>
      <c r="T1521" s="1" t="s">
        <v>371</v>
      </c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21" s="15" t="str">
        <f>_xlfn.TEXTBEFORE(_xlfn.TEXTAFTER(CantoralDB[[#This Row],[index.html]],"&gt;"),"&gt;")&amp;"&gt;"</f>
        <v>&lt;a href="canciones/taize/in_resurrectione_tua.html"&gt;</v>
      </c>
    </row>
    <row r="1522" spans="1:23" x14ac:dyDescent="0.3">
      <c r="A1522" s="1">
        <f>ROW(CantoralDB[[#This Row],[Título]])-1</f>
        <v>1521</v>
      </c>
      <c r="B1522" s="1" t="s">
        <v>885</v>
      </c>
      <c r="C1522" s="1" t="s">
        <v>1021</v>
      </c>
      <c r="D1522" s="1" t="s">
        <v>1087</v>
      </c>
      <c r="H1522" s="1" t="s">
        <v>531</v>
      </c>
      <c r="I1522" s="1" t="s">
        <v>2961</v>
      </c>
      <c r="J1522" s="1" t="s">
        <v>608</v>
      </c>
      <c r="M1522" s="15" t="s">
        <v>1940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22" s="1" t="s">
        <v>951</v>
      </c>
      <c r="T1522" s="1" t="s">
        <v>316</v>
      </c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22" s="15" t="str">
        <f>_xlfn.TEXTBEFORE(_xlfn.TEXTAFTER(CantoralDB[[#This Row],[index.html]],"&gt;"),"&gt;")&amp;"&gt;"</f>
        <v>&lt;a href="canciones/taize/benissez_le_seigneur.html"&gt;</v>
      </c>
    </row>
    <row r="1523" spans="1:23" x14ac:dyDescent="0.3">
      <c r="A1523" s="1">
        <f>ROW(CantoralDB[[#This Row],[Título]])-1</f>
        <v>1522</v>
      </c>
      <c r="B1523" s="1" t="s">
        <v>937</v>
      </c>
      <c r="C1523" s="1" t="s">
        <v>1021</v>
      </c>
      <c r="D1523" s="1" t="s">
        <v>1101</v>
      </c>
      <c r="H1523" s="1" t="s">
        <v>531</v>
      </c>
      <c r="I1523" s="1" t="s">
        <v>2961</v>
      </c>
      <c r="J1523" s="1" t="s">
        <v>608</v>
      </c>
      <c r="M1523" s="15" t="s">
        <v>1940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23" s="1"/>
      <c r="T1523" s="1" t="s">
        <v>444</v>
      </c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23" s="15" t="str">
        <f>_xlfn.TEXTBEFORE(_xlfn.TEXTAFTER(CantoralDB[[#This Row],[index.html]],"&gt;"),"&gt;")&amp;"&gt;"</f>
        <v>&lt;a href="canciones/taize/surrexit_christus.html"&gt;</v>
      </c>
    </row>
    <row r="1524" spans="1:23" x14ac:dyDescent="0.3">
      <c r="A1524" s="1">
        <f>ROW(CantoralDB[[#This Row],[Título]])-1</f>
        <v>1523</v>
      </c>
      <c r="B1524" s="1" t="s">
        <v>901</v>
      </c>
      <c r="C1524" s="1" t="s">
        <v>1021</v>
      </c>
      <c r="D1524" s="1" t="s">
        <v>1115</v>
      </c>
      <c r="H1524" s="1" t="s">
        <v>531</v>
      </c>
      <c r="I1524" s="1" t="s">
        <v>2961</v>
      </c>
      <c r="J1524" s="1" t="s">
        <v>608</v>
      </c>
      <c r="M1524" s="15" t="s">
        <v>1940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24" s="1"/>
      <c r="T1524" s="1" t="s">
        <v>340</v>
      </c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24" s="15" t="str">
        <f>_xlfn.TEXTBEFORE(_xlfn.TEXTAFTER(CantoralDB[[#This Row],[index.html]],"&gt;"),"&gt;")&amp;"&gt;"</f>
        <v>&lt;a href="canciones/taize/dieu_ne_peut_que_donner.html"&gt;</v>
      </c>
    </row>
    <row r="1525" spans="1:23" x14ac:dyDescent="0.3">
      <c r="A1525" s="1">
        <f>ROW(CantoralDB[[#This Row],[Título]])-1</f>
        <v>1524</v>
      </c>
      <c r="B1525" s="1" t="s">
        <v>917</v>
      </c>
      <c r="C1525" s="1" t="s">
        <v>1021</v>
      </c>
      <c r="D1525" s="1" t="s">
        <v>1130</v>
      </c>
      <c r="H1525" s="1" t="s">
        <v>531</v>
      </c>
      <c r="I1525" s="1" t="s">
        <v>2960</v>
      </c>
      <c r="J1525" s="1" t="s">
        <v>608</v>
      </c>
      <c r="M1525" s="15" t="s">
        <v>1940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25" s="1" t="s">
        <v>970</v>
      </c>
      <c r="T1525" s="1" t="s">
        <v>379</v>
      </c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25" s="15" t="str">
        <f>_xlfn.TEXTBEFORE(_xlfn.TEXTAFTER(CantoralDB[[#This Row],[index.html]],"&gt;"),"&gt;")&amp;"&gt;"</f>
        <v>&lt;a href="canciones/taize/jesus_remember_me.html"&gt;</v>
      </c>
    </row>
    <row r="1526" spans="1:23" x14ac:dyDescent="0.3">
      <c r="A1526" s="1">
        <f>ROW(CantoralDB[[#This Row],[Título]])-1</f>
        <v>1525</v>
      </c>
      <c r="B1526" s="1" t="s">
        <v>919</v>
      </c>
      <c r="C1526" s="1" t="s">
        <v>1021</v>
      </c>
      <c r="D1526" s="1" t="s">
        <v>1132</v>
      </c>
      <c r="H1526" s="1" t="s">
        <v>531</v>
      </c>
      <c r="I1526" s="1" t="s">
        <v>2961</v>
      </c>
      <c r="J1526" s="1" t="s">
        <v>608</v>
      </c>
      <c r="M1526" s="15" t="s">
        <v>1940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26" s="1"/>
      <c r="T1526" s="1" t="s">
        <v>382</v>
      </c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26" s="15" t="str">
        <f>_xlfn.TEXTBEFORE(_xlfn.TEXTAFTER(CantoralDB[[#This Row],[index.html]],"&gt;"),"&gt;")&amp;"&gt;"</f>
        <v>&lt;a href="canciones/taize/jubilate_coeli_(canon).html"&gt;</v>
      </c>
    </row>
    <row r="1527" spans="1:23" x14ac:dyDescent="0.3">
      <c r="A1527" s="1">
        <f>ROW(CantoralDB[[#This Row],[Título]])-1</f>
        <v>1526</v>
      </c>
      <c r="B1527" s="1" t="s">
        <v>872</v>
      </c>
      <c r="C1527" s="1" t="s">
        <v>1021</v>
      </c>
      <c r="D1527" s="1" t="s">
        <v>1071</v>
      </c>
      <c r="H1527" s="1" t="s">
        <v>531</v>
      </c>
      <c r="I1527" s="1" t="s">
        <v>2962</v>
      </c>
      <c r="J1527" s="1" t="s">
        <v>608</v>
      </c>
      <c r="M1527" s="15" t="s">
        <v>1940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27" s="1" t="s">
        <v>946</v>
      </c>
      <c r="T1527" s="1" t="s">
        <v>277</v>
      </c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27" s="15" t="str">
        <f>_xlfn.TEXTBEFORE(_xlfn.TEXTAFTER(CantoralDB[[#This Row],[index.html]],"&gt;"),"&gt;")&amp;"&gt;"</f>
        <v>&lt;a href="canciones/taize/aber_du_weisst_den_weg_für_mich.html"&gt;</v>
      </c>
    </row>
    <row r="1528" spans="1:23" x14ac:dyDescent="0.3">
      <c r="A1528" s="1">
        <f>ROW(CantoralDB[[#This Row],[Título]])-1</f>
        <v>1527</v>
      </c>
      <c r="B1528" s="1" t="s">
        <v>913</v>
      </c>
      <c r="C1528" s="1" t="s">
        <v>1021</v>
      </c>
      <c r="D1528" s="1" t="s">
        <v>1129</v>
      </c>
      <c r="H1528" s="1" t="s">
        <v>531</v>
      </c>
      <c r="I1528" s="1" t="s">
        <v>2961</v>
      </c>
      <c r="J1528" s="1" t="s">
        <v>608</v>
      </c>
      <c r="M1528" s="15" t="s">
        <v>1940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28" s="1" t="s">
        <v>969</v>
      </c>
      <c r="T1528" s="1" t="s">
        <v>370</v>
      </c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28" s="15" t="str">
        <f>_xlfn.TEXTBEFORE(_xlfn.TEXTAFTER(CantoralDB[[#This Row],[index.html]],"&gt;"),"&gt;")&amp;"&gt;"</f>
        <v>&lt;a href="canciones/taize/in_manus_tuas.html"&gt;</v>
      </c>
    </row>
    <row r="1529" spans="1:23" x14ac:dyDescent="0.3">
      <c r="A1529" s="1">
        <f>ROW(CantoralDB[[#This Row],[Título]])-1</f>
        <v>1528</v>
      </c>
      <c r="B1529" s="1" t="s">
        <v>931</v>
      </c>
      <c r="C1529" s="1" t="s">
        <v>1021</v>
      </c>
      <c r="D1529" s="1" t="s">
        <v>1144</v>
      </c>
      <c r="H1529" s="1" t="s">
        <v>531</v>
      </c>
      <c r="J1529" s="1" t="s">
        <v>608</v>
      </c>
      <c r="M1529" s="15" t="s">
        <v>1940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29" s="1"/>
      <c r="T1529" s="1" t="s">
        <v>425</v>
      </c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29" s="15" t="str">
        <f>_xlfn.TEXTBEFORE(_xlfn.TEXTAFTER(CantoralDB[[#This Row],[index.html]],"&gt;"),"&gt;")&amp;"&gt;"</f>
        <v>&lt;a href="canciones/taize/para_mim_ser_feliz.html"&gt;</v>
      </c>
    </row>
    <row r="1530" spans="1:23" x14ac:dyDescent="0.3">
      <c r="A1530" s="1">
        <f>ROW(CantoralDB[[#This Row],[Título]])-1</f>
        <v>1529</v>
      </c>
      <c r="B1530" s="1" t="s">
        <v>883</v>
      </c>
      <c r="C1530" s="1" t="s">
        <v>1021</v>
      </c>
      <c r="D1530" s="1" t="s">
        <v>1086</v>
      </c>
      <c r="H1530" s="1" t="s">
        <v>531</v>
      </c>
      <c r="I1530" s="1" t="s">
        <v>2960</v>
      </c>
      <c r="J1530" s="1" t="s">
        <v>608</v>
      </c>
      <c r="M1530" s="15" t="s">
        <v>1940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30" s="1" t="s">
        <v>949</v>
      </c>
      <c r="T1530" s="1" t="s">
        <v>312</v>
      </c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30" s="15" t="str">
        <f>_xlfn.TEXTBEFORE(_xlfn.TEXTAFTER(CantoralDB[[#This Row],[index.html]],"&gt;"),"&gt;")&amp;"&gt;"</f>
        <v>&lt;a href="canciones/taize/behüte_mich_gott.html"&gt;</v>
      </c>
    </row>
    <row r="1531" spans="1:23" x14ac:dyDescent="0.3">
      <c r="A1531" s="1">
        <f>ROW(CantoralDB[[#This Row],[Título]])-1</f>
        <v>1530</v>
      </c>
      <c r="B1531" s="1" t="s">
        <v>928</v>
      </c>
      <c r="C1531" s="1" t="s">
        <v>1021</v>
      </c>
      <c r="D1531" s="1" t="s">
        <v>1141</v>
      </c>
      <c r="H1531" s="1" t="s">
        <v>531</v>
      </c>
      <c r="I1531" s="1" t="s">
        <v>2961</v>
      </c>
      <c r="J1531" s="1" t="s">
        <v>608</v>
      </c>
      <c r="M1531" s="15" t="s">
        <v>1940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31" s="1" t="s">
        <v>975</v>
      </c>
      <c r="T1531" s="1" t="s">
        <v>408</v>
      </c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31" s="15" t="str">
        <f>_xlfn.TEXTBEFORE(_xlfn.TEXTAFTER(CantoralDB[[#This Row],[index.html]],"&gt;"),"&gt;")&amp;"&gt;"</f>
        <v>&lt;a href="canciones/taize/let_all_who_are_thirsty_come.html"&gt;</v>
      </c>
    </row>
    <row r="1532" spans="1:23" x14ac:dyDescent="0.3">
      <c r="A1532" s="1">
        <f>ROW(CantoralDB[[#This Row],[Título]])-1</f>
        <v>1531</v>
      </c>
      <c r="B1532" s="1" t="s">
        <v>940</v>
      </c>
      <c r="C1532" s="1" t="s">
        <v>1021</v>
      </c>
      <c r="D1532" s="1" t="s">
        <v>1149</v>
      </c>
      <c r="H1532" s="1" t="s">
        <v>531</v>
      </c>
      <c r="I1532" s="1" t="s">
        <v>2960</v>
      </c>
      <c r="J1532" s="1" t="s">
        <v>608</v>
      </c>
      <c r="M1532" s="15" t="s">
        <v>1940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32" s="1"/>
      <c r="T1532" s="1" t="s">
        <v>454</v>
      </c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32" s="15" t="str">
        <f>_xlfn.TEXTBEFORE(_xlfn.TEXTAFTER(CantoralDB[[#This Row],[index.html]],"&gt;"),"&gt;")&amp;"&gt;"</f>
        <v>&lt;a href="canciones/taize/tu_sei_sorgente_viva.html"&gt;</v>
      </c>
    </row>
    <row r="1533" spans="1:23" x14ac:dyDescent="0.3">
      <c r="A1533" s="1">
        <f>ROW(CantoralDB[[#This Row],[Título]])-1</f>
        <v>1532</v>
      </c>
      <c r="B1533" s="1" t="s">
        <v>905</v>
      </c>
      <c r="C1533" s="1" t="s">
        <v>1021</v>
      </c>
      <c r="D1533" s="1" t="s">
        <v>1098</v>
      </c>
      <c r="H1533" s="1" t="s">
        <v>1028</v>
      </c>
      <c r="I1533" s="1" t="s">
        <v>2961</v>
      </c>
      <c r="J1533" s="1" t="s">
        <v>608</v>
      </c>
      <c r="M1533" s="15" t="s">
        <v>1940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33" s="1" t="s">
        <v>869</v>
      </c>
      <c r="T1533" s="1" t="s">
        <v>345</v>
      </c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33" s="15" t="str">
        <f>_xlfn.TEXTBEFORE(_xlfn.TEXTAFTER(CantoralDB[[#This Row],[index.html]],"&gt;"),"&gt;")&amp;"&gt;"</f>
        <v>&lt;a href="canciones/taize/eat_this_bread.html"&gt;</v>
      </c>
    </row>
    <row r="1534" spans="1:23" x14ac:dyDescent="0.3">
      <c r="A1534" s="1">
        <f>ROW(CantoralDB[[#This Row],[Título]])-1</f>
        <v>1533</v>
      </c>
      <c r="B1534" s="1" t="s">
        <v>935</v>
      </c>
      <c r="C1534" s="1" t="s">
        <v>1021</v>
      </c>
      <c r="D1534" s="1" t="s">
        <v>1123</v>
      </c>
      <c r="H1534" s="1" t="s">
        <v>1028</v>
      </c>
      <c r="I1534" s="1" t="s">
        <v>2959</v>
      </c>
      <c r="J1534" s="1" t="s">
        <v>608</v>
      </c>
      <c r="M1534" s="15" t="s">
        <v>1940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34" s="1"/>
      <c r="T1534" s="1" t="s">
        <v>442</v>
      </c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34" s="15" t="str">
        <f>_xlfn.TEXTBEFORE(_xlfn.TEXTAFTER(CantoralDB[[#This Row],[index.html]],"&gt;"),"&gt;")&amp;"&gt;"</f>
        <v>&lt;a href="canciones/taize/spiritus_jesu_christi.html"&gt;</v>
      </c>
    </row>
    <row r="1535" spans="1:23" x14ac:dyDescent="0.3">
      <c r="A1535" s="1">
        <f>ROW(CantoralDB[[#This Row],[Título]])-1</f>
        <v>1534</v>
      </c>
      <c r="B1535" s="1" t="s">
        <v>873</v>
      </c>
      <c r="C1535" s="1" t="s">
        <v>1021</v>
      </c>
      <c r="D1535" s="1" t="s">
        <v>1073</v>
      </c>
      <c r="H1535" s="1" t="s">
        <v>1028</v>
      </c>
      <c r="I1535" s="1" t="s">
        <v>2961</v>
      </c>
      <c r="J1535" s="1" t="s">
        <v>608</v>
      </c>
      <c r="M1535" s="15" t="s">
        <v>1940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35" s="1"/>
      <c r="T1535" s="1" t="s">
        <v>281</v>
      </c>
      <c r="U1535" s="15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35" s="15" t="str">
        <f>_xlfn.TEXTBEFORE(_xlfn.TEXTAFTER(CantoralDB[[#This Row],[index.html]],"&gt;"),"&gt;")&amp;"&gt;"</f>
        <v>&lt;a href="canciones/taize/adoramus_te_o_christe.html"&gt;</v>
      </c>
    </row>
    <row r="1536" spans="1:23" x14ac:dyDescent="0.3">
      <c r="A1536" s="1">
        <f>ROW(CantoralDB[[#This Row],[Título]])-1</f>
        <v>1535</v>
      </c>
      <c r="B1536" s="1" t="s">
        <v>918</v>
      </c>
      <c r="C1536" s="1" t="s">
        <v>1021</v>
      </c>
      <c r="D1536" s="1" t="s">
        <v>1076</v>
      </c>
      <c r="H1536" s="1" t="s">
        <v>473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36" s="1" t="s">
        <v>971</v>
      </c>
      <c r="T1536" s="1" t="s">
        <v>380</v>
      </c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36" s="15" t="str">
        <f>_xlfn.TEXTBEFORE(_xlfn.TEXTAFTER(CantoralDB[[#This Row],[index.html]],"&gt;"),"&gt;")&amp;"&gt;"</f>
        <v>&lt;a href="canciones/taize/jubelt_und_freut_euch.html"&gt;</v>
      </c>
    </row>
    <row r="1537" spans="1:23" x14ac:dyDescent="0.3">
      <c r="A1537" s="1">
        <f>ROW(CantoralDB[[#This Row],[Título]])-1</f>
        <v>1536</v>
      </c>
      <c r="B1537" s="1" t="s">
        <v>877</v>
      </c>
      <c r="C1537" s="1" t="s">
        <v>1021</v>
      </c>
      <c r="D1537" s="1" t="s">
        <v>1080</v>
      </c>
      <c r="H1537" s="1" t="s">
        <v>473</v>
      </c>
      <c r="I1537" s="1" t="s">
        <v>2960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37" s="1"/>
      <c r="T1537" s="1" t="s">
        <v>303</v>
      </c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37" s="15" t="str">
        <f>_xlfn.TEXTBEFORE(_xlfn.TEXTAFTER(CantoralDB[[#This Row],[index.html]],"&gt;"),"&gt;")&amp;"&gt;"</f>
        <v>&lt;a href="canciones/taize/alleluia_22.html"&gt;</v>
      </c>
    </row>
    <row r="1538" spans="1:23" x14ac:dyDescent="0.3">
      <c r="A1538" s="1">
        <f>ROW(CantoralDB[[#This Row],[Título]])-1</f>
        <v>1537</v>
      </c>
      <c r="B1538" s="1" t="s">
        <v>879</v>
      </c>
      <c r="C1538" s="1" t="s">
        <v>1021</v>
      </c>
      <c r="D1538" s="1" t="s">
        <v>1082</v>
      </c>
      <c r="H1538" s="1" t="s">
        <v>473</v>
      </c>
      <c r="I1538" s="1" t="s">
        <v>2958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38" s="1"/>
      <c r="T1538" s="1" t="s">
        <v>786</v>
      </c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38" s="15" t="str">
        <f>_xlfn.TEXTBEFORE(_xlfn.TEXTAFTER(CantoralDB[[#This Row],[index.html]],"&gt;"),"&gt;")&amp;"&gt;"</f>
        <v>&lt;a href="canciones/taize/alleluia_94.html"&gt;</v>
      </c>
    </row>
    <row r="1539" spans="1:23" x14ac:dyDescent="0.3">
      <c r="A1539" s="1">
        <f>ROW(CantoralDB[[#This Row],[Título]])-1</f>
        <v>1538</v>
      </c>
      <c r="B1539" s="1" t="s">
        <v>938</v>
      </c>
      <c r="C1539" s="1" t="s">
        <v>1021</v>
      </c>
      <c r="D1539" s="1" t="s">
        <v>1102</v>
      </c>
      <c r="H1539" s="1" t="s">
        <v>473</v>
      </c>
      <c r="I1539" s="1" t="s">
        <v>2960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39" s="1" t="s">
        <v>984</v>
      </c>
      <c r="T1539" s="1" t="s">
        <v>445</v>
      </c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39" s="15" t="str">
        <f>_xlfn.TEXTBEFORE(_xlfn.TEXTAFTER(CantoralDB[[#This Row],[index.html]],"&gt;"),"&gt;")&amp;"&gt;"</f>
        <v>&lt;a href="canciones/taize/surrexit_dominus_vere_(canon).html"&gt;</v>
      </c>
    </row>
    <row r="1540" spans="1:23" x14ac:dyDescent="0.3">
      <c r="A1540" s="1">
        <f>ROW(CantoralDB[[#This Row],[Título]])-1</f>
        <v>1539</v>
      </c>
      <c r="B1540" s="1" t="s">
        <v>882</v>
      </c>
      <c r="C1540" s="1" t="s">
        <v>1021</v>
      </c>
      <c r="D1540" s="1" t="s">
        <v>1085</v>
      </c>
      <c r="H1540" s="1" t="s">
        <v>473</v>
      </c>
      <c r="I1540" s="1" t="s">
        <v>2960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40" s="1" t="s">
        <v>948</v>
      </c>
      <c r="T1540" s="1" t="s">
        <v>310</v>
      </c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40" s="15" t="str">
        <f>_xlfn.TEXTBEFORE(_xlfn.TEXTAFTER(CantoralDB[[#This Row],[index.html]],"&gt;"),"&gt;")&amp;"&gt;"</f>
        <v>&lt;a href="canciones/taize/beati_voi_poveri.html"&gt;</v>
      </c>
    </row>
    <row r="1541" spans="1:23" x14ac:dyDescent="0.3">
      <c r="A1541" s="1">
        <f>ROW(CantoralDB[[#This Row],[Título]])-1</f>
        <v>1540</v>
      </c>
      <c r="B1541" s="1" t="s">
        <v>899</v>
      </c>
      <c r="C1541" s="1" t="s">
        <v>1021</v>
      </c>
      <c r="D1541" s="1" t="s">
        <v>1109</v>
      </c>
      <c r="H1541" s="1" t="s">
        <v>473</v>
      </c>
      <c r="I1541" s="1" t="s">
        <v>2961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41" s="1"/>
      <c r="T1541" s="1" t="s">
        <v>336</v>
      </c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41" s="15" t="str">
        <f>_xlfn.TEXTBEFORE(_xlfn.TEXTAFTER(CantoralDB[[#This Row],[index.html]],"&gt;"),"&gt;")&amp;"&gt;"</f>
        <v>&lt;a href="canciones/taize/dans_nos_obscurites.html"&gt;</v>
      </c>
    </row>
    <row r="1542" spans="1:23" x14ac:dyDescent="0.3">
      <c r="A1542" s="1">
        <f>ROW(CantoralDB[[#This Row],[Título]])-1</f>
        <v>1541</v>
      </c>
      <c r="B1542" s="1" t="s">
        <v>936</v>
      </c>
      <c r="C1542" s="1" t="s">
        <v>1021</v>
      </c>
      <c r="D1542" s="1" t="s">
        <v>1147</v>
      </c>
      <c r="H1542" s="1" t="s">
        <v>473</v>
      </c>
      <c r="I1542" s="1" t="s">
        <v>2959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42" s="1" t="s">
        <v>983</v>
      </c>
      <c r="T1542" s="1" t="s">
        <v>443</v>
      </c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42" s="15" t="str">
        <f>_xlfn.TEXTBEFORE(_xlfn.TEXTAFTER(CantoralDB[[#This Row],[index.html]],"&gt;"),"&gt;")&amp;"&gt;"</f>
        <v>&lt;a href="canciones/taize/staňte_se_soli.html"&gt;</v>
      </c>
    </row>
    <row r="1543" spans="1:23" x14ac:dyDescent="0.3">
      <c r="A1543" s="1">
        <f>ROW(CantoralDB[[#This Row],[Título]])-1</f>
        <v>1542</v>
      </c>
      <c r="B1543" s="1" t="s">
        <v>987</v>
      </c>
      <c r="C1543" s="1" t="s">
        <v>1021</v>
      </c>
      <c r="D1543" s="1" t="s">
        <v>1070</v>
      </c>
      <c r="H1543" s="1" t="s">
        <v>531</v>
      </c>
      <c r="I1543" s="1" t="s">
        <v>2961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43" s="1" t="s">
        <v>988</v>
      </c>
      <c r="T1543" s="1" t="s">
        <v>472</v>
      </c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43" s="15" t="str">
        <f>_xlfn.TEXTBEFORE(_xlfn.TEXTAFTER(CantoralDB[[#This Row],[index.html]],"&gt;"),"&gt;")&amp;"&gt;"</f>
        <v>&lt;a href="canciones/taize/zu_wem_sollen_wir_gehen.html"&gt;</v>
      </c>
    </row>
    <row r="1544" spans="1:23" x14ac:dyDescent="0.3">
      <c r="A1544" s="1">
        <f>ROW(CantoralDB[[#This Row],[Título]])-1</f>
        <v>1543</v>
      </c>
      <c r="B1544" s="1" t="s">
        <v>902</v>
      </c>
      <c r="C1544" s="1" t="s">
        <v>1021</v>
      </c>
      <c r="D1544" s="1" t="s">
        <v>1100</v>
      </c>
      <c r="H1544" s="1" t="s">
        <v>531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44" s="1" t="s">
        <v>961</v>
      </c>
      <c r="T1544" s="1" t="s">
        <v>342</v>
      </c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44" s="15" t="str">
        <f>_xlfn.TEXTBEFORE(_xlfn.TEXTAFTER(CantoralDB[[#This Row],[index.html]],"&gt;"),"&gt;")&amp;"&gt;"</f>
        <v>&lt;a href="canciones/taize/dominus_spiritus_est.html"&gt;</v>
      </c>
    </row>
    <row r="1545" spans="1:23" x14ac:dyDescent="0.3">
      <c r="A1545" s="1">
        <f>ROW(CantoralDB[[#This Row],[Título]])-1</f>
        <v>1544</v>
      </c>
      <c r="B1545" s="1" t="s">
        <v>915</v>
      </c>
      <c r="C1545" s="1" t="s">
        <v>1021</v>
      </c>
      <c r="D1545" s="1" t="s">
        <v>1103</v>
      </c>
      <c r="H1545" s="1" t="s">
        <v>531</v>
      </c>
      <c r="I1545" s="1" t="s">
        <v>2961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45" s="1"/>
      <c r="T1545" s="1" t="s">
        <v>377</v>
      </c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45" s="15" t="str">
        <f>_xlfn.TEXTBEFORE(_xlfn.TEXTAFTER(CantoralDB[[#This Row],[index.html]],"&gt;"),"&gt;")&amp;"&gt;"</f>
        <v>&lt;a href="canciones/taize/jesus_le_christ.html"&gt;</v>
      </c>
    </row>
    <row r="1546" spans="1:23" x14ac:dyDescent="0.3">
      <c r="A1546" s="1">
        <f>ROW(CantoralDB[[#This Row],[Título]])-1</f>
        <v>1545</v>
      </c>
      <c r="B1546" s="1" t="s">
        <v>897</v>
      </c>
      <c r="C1546" s="1" t="s">
        <v>1021</v>
      </c>
      <c r="D1546" s="1" t="s">
        <v>1105</v>
      </c>
      <c r="H1546" s="1" t="s">
        <v>531</v>
      </c>
      <c r="I1546" s="1" t="s">
        <v>2960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46" s="1"/>
      <c r="T1546" s="1" t="s">
        <v>334</v>
      </c>
      <c r="U1546" s="15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46" s="15" t="str">
        <f>_xlfn.TEXTBEFORE(_xlfn.TEXTAFTER(CantoralDB[[#This Row],[index.html]],"&gt;"),"&gt;")&amp;"&gt;"</f>
        <v>&lt;a href="canciones/taize/da_pacem_cordium_(canon).html"&gt;</v>
      </c>
    </row>
    <row r="1547" spans="1:23" x14ac:dyDescent="0.3">
      <c r="A1547" s="1">
        <f>ROW(CantoralDB[[#This Row],[Título]])-1</f>
        <v>1546</v>
      </c>
      <c r="B1547" s="1" t="s">
        <v>893</v>
      </c>
      <c r="C1547" s="1" t="s">
        <v>1021</v>
      </c>
      <c r="D1547" s="1" t="s">
        <v>1096</v>
      </c>
      <c r="H1547" s="1" t="s">
        <v>531</v>
      </c>
      <c r="I1547" s="1" t="s">
        <v>2960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47" s="1"/>
      <c r="T1547" s="1" t="s">
        <v>330</v>
      </c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547" s="15" t="str">
        <f>_xlfn.TEXTBEFORE(_xlfn.TEXTAFTER(CantoralDB[[#This Row],[index.html]],"&gt;"),"&gt;")&amp;"&gt;"</f>
        <v>&lt;a href="canciones/taize/christe_salvator.html"&gt;</v>
      </c>
    </row>
    <row r="1548" spans="1:23" x14ac:dyDescent="0.3">
      <c r="A1548" s="1">
        <f>ROW(CantoralDB[[#This Row],[Título]])-1</f>
        <v>1547</v>
      </c>
      <c r="B1548" s="1" t="s">
        <v>906</v>
      </c>
      <c r="C1548" s="1" t="s">
        <v>1021</v>
      </c>
      <c r="D1548" s="1" t="s">
        <v>1120</v>
      </c>
      <c r="H1548" s="1" t="s">
        <v>531</v>
      </c>
      <c r="I1548" s="1" t="s">
        <v>2959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48" s="1" t="s">
        <v>963</v>
      </c>
      <c r="T1548" s="1" t="s">
        <v>347</v>
      </c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548" s="15" t="str">
        <f>_xlfn.TEXTBEFORE(_xlfn.TEXTAFTER(CantoralDB[[#This Row],[index.html]],"&gt;"),"&gt;")&amp;"&gt;"</f>
        <v>&lt;a href="canciones/taize/el_senyor.html"&gt;</v>
      </c>
    </row>
    <row r="1549" spans="1:23" x14ac:dyDescent="0.3">
      <c r="A1549" s="1">
        <f>ROW(CantoralDB[[#This Row],[Título]])-1</f>
        <v>1548</v>
      </c>
      <c r="B1549" s="1" t="s">
        <v>944</v>
      </c>
      <c r="C1549" s="1" t="s">
        <v>1021</v>
      </c>
      <c r="D1549" s="1" t="s">
        <v>1122</v>
      </c>
      <c r="H1549" s="1" t="s">
        <v>531</v>
      </c>
      <c r="I1549" s="1" t="s">
        <v>2960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49" s="1" t="s">
        <v>986</v>
      </c>
      <c r="T1549" s="1" t="s">
        <v>468</v>
      </c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549" s="15" t="str">
        <f>_xlfn.TEXTBEFORE(_xlfn.TEXTAFTER(CantoralDB[[#This Row],[index.html]],"&gt;"),"&gt;")&amp;"&gt;"</f>
        <v>&lt;a href="canciones/taize/voici_dieu_qui_vient_à_mon_secours.html"&gt;</v>
      </c>
    </row>
    <row r="1550" spans="1:23" x14ac:dyDescent="0.3">
      <c r="A1550" s="1">
        <f>ROW(CantoralDB[[#This Row],[Título]])-1</f>
        <v>1549</v>
      </c>
      <c r="B1550" s="1" t="s">
        <v>886</v>
      </c>
      <c r="C1550" s="1" t="s">
        <v>1021</v>
      </c>
      <c r="D1550" s="1" t="s">
        <v>1089</v>
      </c>
      <c r="H1550" s="1" t="s">
        <v>531</v>
      </c>
      <c r="I1550" s="1" t="s">
        <v>2959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50" s="1" t="s">
        <v>952</v>
      </c>
      <c r="T1550" s="1" t="s">
        <v>318</v>
      </c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550" s="15" t="str">
        <f>_xlfn.TEXTBEFORE(_xlfn.TEXTAFTER(CantoralDB[[#This Row],[index.html]],"&gt;"),"&gt;")&amp;"&gt;"</f>
        <v>&lt;a href="canciones/taize/bleibet_hier.html"&gt;</v>
      </c>
    </row>
    <row r="1551" spans="1:23" x14ac:dyDescent="0.3">
      <c r="A1551" s="1">
        <f>ROW(CantoralDB[[#This Row],[Título]])-1</f>
        <v>1550</v>
      </c>
      <c r="B1551" s="1" t="s">
        <v>932</v>
      </c>
      <c r="C1551" s="1" t="s">
        <v>1021</v>
      </c>
      <c r="D1551" s="1" t="s">
        <v>1145</v>
      </c>
      <c r="H1551" s="1" t="s">
        <v>531</v>
      </c>
      <c r="I1551" s="1" t="s">
        <v>2959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51" s="1"/>
      <c r="T1551" s="1" t="s">
        <v>426</v>
      </c>
      <c r="U1551" s="15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551" s="15" t="str">
        <f>_xlfn.TEXTBEFORE(_xlfn.TEXTAFTER(CantoralDB[[#This Row],[index.html]],"&gt;"),"&gt;")&amp;"&gt;"</f>
        <v>&lt;a href="canciones/taize/per_crucem.html"&gt;</v>
      </c>
    </row>
    <row r="1552" spans="1:23" x14ac:dyDescent="0.3">
      <c r="A1552" s="1">
        <f>ROW(CantoralDB[[#This Row],[Título]])-1</f>
        <v>1551</v>
      </c>
      <c r="B1552" s="1" t="s">
        <v>890</v>
      </c>
      <c r="C1552" s="1" t="s">
        <v>1021</v>
      </c>
      <c r="D1552" s="1" t="s">
        <v>1093</v>
      </c>
      <c r="H1552" s="1" t="s">
        <v>531</v>
      </c>
      <c r="I1552" s="1" t="s">
        <v>2959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52" s="1" t="s">
        <v>954</v>
      </c>
      <c r="T1552" s="1" t="s">
        <v>323</v>
      </c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552" s="15" t="str">
        <f>_xlfn.TEXTBEFORE(_xlfn.TEXTAFTER(CantoralDB[[#This Row],[index.html]],"&gt;"),"&gt;")&amp;"&gt;"</f>
        <v>&lt;a href="canciones/taize/bonum_est_confidere.html"&gt;</v>
      </c>
    </row>
    <row r="1553" spans="1:23" x14ac:dyDescent="0.3">
      <c r="A1553" s="1">
        <f>ROW(CantoralDB[[#This Row],[Título]])-1</f>
        <v>1552</v>
      </c>
      <c r="B1553" s="1" t="s">
        <v>922</v>
      </c>
      <c r="C1553" s="1" t="s">
        <v>1021</v>
      </c>
      <c r="D1553" s="1" t="s">
        <v>1134</v>
      </c>
      <c r="H1553" s="1" t="s">
        <v>531</v>
      </c>
      <c r="I1553" s="1" t="s">
        <v>2960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53" s="1"/>
      <c r="T1553" s="1" t="s">
        <v>399</v>
      </c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553" s="15" t="str">
        <f>_xlfn.TEXTBEFORE(_xlfn.TEXTAFTER(CantoralDB[[#This Row],[index.html]],"&gt;"),"&gt;")&amp;"&gt;"</f>
        <v>&lt;a href="canciones/taize/kyrie_20.html"&gt;</v>
      </c>
    </row>
    <row r="1554" spans="1:23" x14ac:dyDescent="0.3">
      <c r="A1554" s="1">
        <f>ROW(CantoralDB[[#This Row],[Título]])-1</f>
        <v>1553</v>
      </c>
      <c r="B1554" s="1" t="s">
        <v>924</v>
      </c>
      <c r="C1554" s="1" t="s">
        <v>1021</v>
      </c>
      <c r="D1554" s="1" t="s">
        <v>1136</v>
      </c>
      <c r="H1554" s="1" t="s">
        <v>531</v>
      </c>
      <c r="I1554" s="1" t="s">
        <v>2961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54" s="1"/>
      <c r="T1554" s="1" t="s">
        <v>390</v>
      </c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554" s="15" t="str">
        <f>_xlfn.TEXTBEFORE(_xlfn.TEXTAFTER(CantoralDB[[#This Row],[index.html]],"&gt;"),"&gt;")&amp;"&gt;"</f>
        <v>&lt;a href="canciones/taize/kyrie_8.html"&gt;</v>
      </c>
    </row>
    <row r="1555" spans="1:23" x14ac:dyDescent="0.3">
      <c r="A1555" s="1">
        <f>ROW(CantoralDB[[#This Row],[Título]])-1</f>
        <v>1554</v>
      </c>
      <c r="B1555" s="1" t="s">
        <v>887</v>
      </c>
      <c r="C1555" s="1" t="s">
        <v>1021</v>
      </c>
      <c r="D1555" s="1" t="s">
        <v>1090</v>
      </c>
      <c r="H1555" s="1" t="s">
        <v>531</v>
      </c>
      <c r="I1555" s="1" t="s">
        <v>2959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55" s="1" t="s">
        <v>953</v>
      </c>
      <c r="T1555" s="1" t="s">
        <v>319</v>
      </c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555" s="15" t="str">
        <f>_xlfn.TEXTBEFORE(_xlfn.TEXTAFTER(CantoralDB[[#This Row],[index.html]],"&gt;"),"&gt;")&amp;"&gt;"</f>
        <v>&lt;a href="canciones/taize/bless_the_lord.html"&gt;</v>
      </c>
    </row>
    <row r="1556" spans="1:23" x14ac:dyDescent="0.3">
      <c r="A1556" s="1">
        <f>ROW(CantoralDB[[#This Row],[Título]])-1</f>
        <v>1555</v>
      </c>
      <c r="B1556" s="1" t="s">
        <v>934</v>
      </c>
      <c r="C1556" s="1" t="s">
        <v>1021</v>
      </c>
      <c r="D1556" s="1" t="s">
        <v>1146</v>
      </c>
      <c r="H1556" s="1" t="s">
        <v>531</v>
      </c>
      <c r="I1556" s="1" t="s">
        <v>2959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56" s="1" t="s">
        <v>981</v>
      </c>
      <c r="T1556" s="1" t="s">
        <v>433</v>
      </c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556" s="15" t="str">
        <f>_xlfn.TEXTBEFORE(_xlfn.TEXTAFTER(CantoralDB[[#This Row],[index.html]],"&gt;"),"&gt;")&amp;"&gt;"</f>
        <v>&lt;a href="canciones/taize/sanasi_on_lamppu.html"&gt;</v>
      </c>
    </row>
    <row r="1557" spans="1:23" x14ac:dyDescent="0.3">
      <c r="A1557" s="1">
        <f>ROW(CantoralDB[[#This Row],[Título]])-1</f>
        <v>1556</v>
      </c>
      <c r="B1557" s="1" t="s">
        <v>898</v>
      </c>
      <c r="C1557" s="1" t="s">
        <v>1021</v>
      </c>
      <c r="D1557" s="1" t="s">
        <v>1106</v>
      </c>
      <c r="H1557" s="1" t="s">
        <v>1029</v>
      </c>
      <c r="I1557" s="1" t="s">
        <v>2960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57" s="1" t="s">
        <v>958</v>
      </c>
      <c r="T1557" s="1" t="s">
        <v>335</v>
      </c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557" s="15" t="str">
        <f>_xlfn.TEXTBEFORE(_xlfn.TEXTAFTER(CantoralDB[[#This Row],[index.html]],"&gt;"),"&gt;")&amp;"&gt;"</f>
        <v>&lt;a href="canciones/taize/da_pacem..._in_diebus.html"&gt;</v>
      </c>
    </row>
    <row r="1558" spans="1:23" x14ac:dyDescent="0.3">
      <c r="A1558" s="1">
        <f>ROW(CantoralDB[[#This Row],[Título]])-1</f>
        <v>1557</v>
      </c>
      <c r="B1558" s="1" t="s">
        <v>925</v>
      </c>
      <c r="C1558" s="1" t="s">
        <v>1021</v>
      </c>
      <c r="D1558" s="1" t="s">
        <v>1137</v>
      </c>
      <c r="H1558" s="1" t="s">
        <v>1029</v>
      </c>
      <c r="I1558" s="1" t="s">
        <v>2960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58" s="1" t="s">
        <v>973</v>
      </c>
      <c r="T1558" s="1" t="s">
        <v>401</v>
      </c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558" s="15" t="str">
        <f>_xlfn.TEXTBEFORE(_xlfn.TEXTAFTER(CantoralDB[[#This Row],[index.html]],"&gt;"),"&gt;")&amp;"&gt;"</f>
        <v>&lt;a href="canciones/taize/l’ajuda_em_vindrà.html"&gt;</v>
      </c>
    </row>
    <row r="1559" spans="1:23" x14ac:dyDescent="0.3">
      <c r="A1559" s="1">
        <f>ROW(CantoralDB[[#This Row],[Título]])-1</f>
        <v>1558</v>
      </c>
      <c r="B1559" s="1" t="s">
        <v>876</v>
      </c>
      <c r="C1559" s="1" t="s">
        <v>1021</v>
      </c>
      <c r="D1559" s="1" t="s">
        <v>1079</v>
      </c>
      <c r="H1559" s="1" t="s">
        <v>1030</v>
      </c>
      <c r="I1559" s="1" t="s">
        <v>2961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59" s="1"/>
      <c r="T1559" s="1" t="s">
        <v>299</v>
      </c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559" s="15" t="str">
        <f>_xlfn.TEXTBEFORE(_xlfn.TEXTAFTER(CantoralDB[[#This Row],[index.html]],"&gt;"),"&gt;")&amp;"&gt;"</f>
        <v>&lt;a href="canciones/taize/alleluia_17.html"&gt;</v>
      </c>
    </row>
    <row r="1560" spans="1:23" x14ac:dyDescent="0.3">
      <c r="A1560" s="1">
        <f>ROW(CantoralDB[[#This Row],[Título]])-1</f>
        <v>1559</v>
      </c>
      <c r="B1560" s="1" t="s">
        <v>880</v>
      </c>
      <c r="C1560" s="1" t="s">
        <v>1021</v>
      </c>
      <c r="D1560" s="1" t="s">
        <v>1083</v>
      </c>
      <c r="H1560" s="1" t="s">
        <v>1030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60" s="1"/>
      <c r="T1560" s="1" t="s">
        <v>787</v>
      </c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560" s="15" t="str">
        <f>_xlfn.TEXTBEFORE(_xlfn.TEXTAFTER(CantoralDB[[#This Row],[index.html]],"&gt;"),"&gt;")&amp;"&gt;"</f>
        <v>&lt;a href="canciones/taize/alleluia_96.html"&gt;</v>
      </c>
    </row>
    <row r="1561" spans="1:23" x14ac:dyDescent="0.3">
      <c r="A1561" s="1">
        <f>ROW(CantoralDB[[#This Row],[Título]])-1</f>
        <v>1560</v>
      </c>
      <c r="B1561" s="1" t="s">
        <v>881</v>
      </c>
      <c r="C1561" s="1" t="s">
        <v>1021</v>
      </c>
      <c r="D1561" s="1" t="s">
        <v>1084</v>
      </c>
      <c r="H1561" s="1" t="s">
        <v>1030</v>
      </c>
      <c r="I1561" s="1" t="s">
        <v>2960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61" s="1"/>
      <c r="T1561" s="1" t="s">
        <v>788</v>
      </c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561" s="15" t="str">
        <f>_xlfn.TEXTBEFORE(_xlfn.TEXTAFTER(CantoralDB[[#This Row],[index.html]],"&gt;"),"&gt;")&amp;"&gt;"</f>
        <v>&lt;a href="canciones/taize/alleluia_97.html"&gt;</v>
      </c>
    </row>
    <row r="1562" spans="1:23" x14ac:dyDescent="0.3">
      <c r="A1562" s="1">
        <f>ROW(CantoralDB[[#This Row],[Título]])-1</f>
        <v>1561</v>
      </c>
      <c r="B1562" s="1" t="s">
        <v>891</v>
      </c>
      <c r="C1562" s="1" t="s">
        <v>1021</v>
      </c>
      <c r="D1562" s="1" t="s">
        <v>1094</v>
      </c>
      <c r="H1562" s="1" t="s">
        <v>1030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62" s="1" t="s">
        <v>955</v>
      </c>
      <c r="T1562" s="1" t="s">
        <v>325</v>
      </c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562" s="15" t="str">
        <f>_xlfn.TEXTBEFORE(_xlfn.TEXTAFTER(CantoralDB[[#This Row],[index.html]],"&gt;"),"&gt;")&amp;"&gt;"</f>
        <v>&lt;a href="canciones/taize/cantarei_ao_senhor.html"&gt;</v>
      </c>
    </row>
    <row r="1563" spans="1:23" x14ac:dyDescent="0.3">
      <c r="A1563" s="1">
        <f>ROW(CantoralDB[[#This Row],[Título]])-1</f>
        <v>1562</v>
      </c>
      <c r="B1563" s="1" t="s">
        <v>904</v>
      </c>
      <c r="C1563" s="1" t="s">
        <v>1021</v>
      </c>
      <c r="D1563" s="1" t="s">
        <v>1107</v>
      </c>
      <c r="H1563" s="1" t="s">
        <v>1030</v>
      </c>
      <c r="I1563" s="1" t="s">
        <v>2959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63" s="1"/>
      <c r="T1563" s="1" t="s">
        <v>344</v>
      </c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563" s="15" t="str">
        <f>_xlfn.TEXTBEFORE(_xlfn.TEXTAFTER(CantoralDB[[#This Row],[index.html]],"&gt;"),"&gt;")&amp;"&gt;"</f>
        <v>&lt;a href="canciones/taize/dona_nobis_pacem.html"&gt;</v>
      </c>
    </row>
    <row r="1564" spans="1:23" x14ac:dyDescent="0.3">
      <c r="A1564" s="1">
        <f>ROW(CantoralDB[[#This Row],[Título]])-1</f>
        <v>1563</v>
      </c>
      <c r="B1564" s="1" t="s">
        <v>903</v>
      </c>
      <c r="C1564" s="1" t="s">
        <v>1021</v>
      </c>
      <c r="D1564" s="1" t="s">
        <v>1108</v>
      </c>
      <c r="H1564" s="1" t="s">
        <v>1030</v>
      </c>
      <c r="I1564" s="1" t="s">
        <v>2959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64" s="1"/>
      <c r="T1564" s="1" t="s">
        <v>343</v>
      </c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564" s="15" t="str">
        <f>_xlfn.TEXTBEFORE(_xlfn.TEXTAFTER(CantoralDB[[#This Row],[index.html]],"&gt;"),"&gt;")&amp;"&gt;"</f>
        <v>&lt;a href="canciones/taize/dona_la_pace.html"&gt;</v>
      </c>
    </row>
    <row r="1565" spans="1:23" x14ac:dyDescent="0.3">
      <c r="A1565" s="1">
        <f>ROW(CantoralDB[[#This Row],[Título]])-1</f>
        <v>1564</v>
      </c>
      <c r="B1565" s="1" t="s">
        <v>2128</v>
      </c>
      <c r="C1565" s="1" t="s">
        <v>1021</v>
      </c>
      <c r="D1565" s="1" t="s">
        <v>1125</v>
      </c>
      <c r="H1565" s="1" t="s">
        <v>1030</v>
      </c>
      <c r="I1565" s="1" t="s">
        <v>2960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65" s="1" t="s">
        <v>980</v>
      </c>
      <c r="T1565" s="1" t="s">
        <v>428</v>
      </c>
      <c r="U1565" s="15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565" s="15" t="str">
        <f>_xlfn.TEXTBEFORE(_xlfn.TEXTAFTER(CantoralDB[[#This Row],[index.html]],"&gt;"),"&gt;")&amp;"&gt;"</f>
        <v>&lt;a href="canciones/taize/psallite_deo.html"&gt;</v>
      </c>
    </row>
    <row r="1566" spans="1:23" x14ac:dyDescent="0.3">
      <c r="A1566" s="1">
        <f>ROW(CantoralDB[[#This Row],[Título]])-1</f>
        <v>1565</v>
      </c>
      <c r="B1566" s="1" t="s">
        <v>916</v>
      </c>
      <c r="C1566" s="1" t="s">
        <v>1021</v>
      </c>
      <c r="D1566" s="1" t="s">
        <v>1131</v>
      </c>
      <c r="H1566" s="1" t="s">
        <v>1030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66" s="1"/>
      <c r="T1566" s="1" t="s">
        <v>378</v>
      </c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566" s="15" t="str">
        <f>_xlfn.TEXTBEFORE(_xlfn.TEXTAFTER(CantoralDB[[#This Row],[index.html]],"&gt;"),"&gt;")&amp;"&gt;"</f>
        <v>&lt;a href="canciones/taize/jesus_ma_joie.html"&gt;</v>
      </c>
    </row>
    <row r="1567" spans="1:23" x14ac:dyDescent="0.3">
      <c r="A1567" s="1">
        <f>ROW(CantoralDB[[#This Row],[Título]])-1</f>
        <v>1566</v>
      </c>
      <c r="B1567" s="1" t="s">
        <v>907</v>
      </c>
      <c r="C1567" s="1" t="s">
        <v>1021</v>
      </c>
      <c r="D1567" s="1" t="s">
        <v>1124</v>
      </c>
      <c r="H1567" s="1" t="s">
        <v>1030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67" s="1"/>
      <c r="T1567" s="1" t="s">
        <v>349</v>
      </c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567" s="15" t="str">
        <f>_xlfn.TEXTBEFORE(_xlfn.TEXTAFTER(CantoralDB[[#This Row],[index.html]],"&gt;"),"&gt;")&amp;"&gt;"</f>
        <v>&lt;a href="canciones/taize/esprit_consolateur.html"&gt;</v>
      </c>
    </row>
    <row r="1568" spans="1:23" x14ac:dyDescent="0.3">
      <c r="A1568" s="1">
        <f>ROW(CantoralDB[[#This Row],[Título]])-1</f>
        <v>1567</v>
      </c>
      <c r="B1568" s="1" t="s">
        <v>900</v>
      </c>
      <c r="C1568" s="1" t="s">
        <v>1021</v>
      </c>
      <c r="D1568" s="1" t="s">
        <v>1114</v>
      </c>
      <c r="H1568" s="1" t="s">
        <v>1030</v>
      </c>
      <c r="I1568" s="1" t="s">
        <v>2958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68" s="1" t="s">
        <v>962</v>
      </c>
      <c r="T1568" s="1" t="s">
        <v>339</v>
      </c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568" s="15" t="str">
        <f>_xlfn.TEXTBEFORE(_xlfn.TEXTAFTER(CantoralDB[[#This Row],[index.html]],"&gt;"),"&gt;")&amp;"&gt;"</f>
        <v>&lt;a href="canciones/taize/deus_deus_meus_(canon).html"&gt;</v>
      </c>
    </row>
    <row r="1569" spans="1:23" x14ac:dyDescent="0.3">
      <c r="A1569" s="1">
        <f>ROW(CantoralDB[[#This Row],[Título]])-1</f>
        <v>1568</v>
      </c>
      <c r="B1569" s="1" t="s">
        <v>926</v>
      </c>
      <c r="C1569" s="1" t="s">
        <v>1021</v>
      </c>
      <c r="D1569" s="1" t="s">
        <v>1139</v>
      </c>
      <c r="H1569" s="1" t="s">
        <v>1030</v>
      </c>
      <c r="I1569" s="1" t="s">
        <v>2960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69" s="1" t="s">
        <v>974</v>
      </c>
      <c r="T1569" s="1" t="s">
        <v>784</v>
      </c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569" s="15" t="str">
        <f>_xlfn.TEXTBEFORE(_xlfn.TEXTAFTER(CantoralDB[[#This Row],[index.html]],"&gt;"),"&gt;")&amp;"&gt;"</f>
        <v>&lt;a href="canciones/taize/laudate_dominum.html"&gt;</v>
      </c>
    </row>
    <row r="1570" spans="1:23" x14ac:dyDescent="0.3">
      <c r="A1570" s="1">
        <f>ROW(CantoralDB[[#This Row],[Título]])-1</f>
        <v>1569</v>
      </c>
      <c r="B1570" s="1" t="s">
        <v>923</v>
      </c>
      <c r="C1570" s="1" t="s">
        <v>1021</v>
      </c>
      <c r="D1570" s="1" t="s">
        <v>1135</v>
      </c>
      <c r="H1570" s="1" t="s">
        <v>1030</v>
      </c>
      <c r="I1570" s="1" t="s">
        <v>2958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70" s="1"/>
      <c r="T1570" s="1" t="s">
        <v>388</v>
      </c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570" s="15" t="str">
        <f>_xlfn.TEXTBEFORE(_xlfn.TEXTAFTER(CantoralDB[[#This Row],[index.html]],"&gt;"),"&gt;")&amp;"&gt;"</f>
        <v>&lt;a href="canciones/taize/kyrie_6.html"&gt;</v>
      </c>
    </row>
    <row r="1571" spans="1:23" x14ac:dyDescent="0.3">
      <c r="A1571" s="1">
        <f>ROW(CantoralDB[[#This Row],[Título]])-1</f>
        <v>1570</v>
      </c>
      <c r="B1571" s="1" t="s">
        <v>920</v>
      </c>
      <c r="C1571" s="1" t="s">
        <v>1021</v>
      </c>
      <c r="D1571" s="1" t="s">
        <v>1074</v>
      </c>
      <c r="H1571" s="1" t="s">
        <v>1027</v>
      </c>
      <c r="I1571" s="1" t="s">
        <v>2960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71" s="1" t="s">
        <v>972</v>
      </c>
      <c r="T1571" s="1" t="s">
        <v>383</v>
      </c>
      <c r="U1571" s="15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571" s="15" t="str">
        <f>_xlfn.TEXTBEFORE(_xlfn.TEXTAFTER(CantoralDB[[#This Row],[index.html]],"&gt;"),"&gt;")&amp;"&gt;"</f>
        <v>&lt;a href="canciones/taize/jubilate_deo.html"&gt;</v>
      </c>
    </row>
    <row r="1572" spans="1:23" x14ac:dyDescent="0.3">
      <c r="A1572" s="1">
        <f>ROW(CantoralDB[[#This Row],[Título]])-1</f>
        <v>1571</v>
      </c>
      <c r="B1572" s="1" t="s">
        <v>945</v>
      </c>
      <c r="C1572" s="1" t="s">
        <v>1021</v>
      </c>
      <c r="D1572" s="1" t="s">
        <v>1075</v>
      </c>
      <c r="H1572" s="1" t="s">
        <v>1027</v>
      </c>
      <c r="I1572" s="1" t="s">
        <v>2961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72" s="1"/>
      <c r="T1572" s="1" t="s">
        <v>471</v>
      </c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572" s="15" t="str">
        <f>_xlfn.TEXTBEFORE(_xlfn.TEXTAFTER(CantoralDB[[#This Row],[index.html]],"&gt;"),"&gt;")&amp;"&gt;"</f>
        <v>&lt;a href="canciones/taize/wysławiajcie_pana.html"&gt;</v>
      </c>
    </row>
    <row r="1573" spans="1:23" x14ac:dyDescent="0.3">
      <c r="A1573" s="1">
        <f>ROW(CantoralDB[[#This Row],[Título]])-1</f>
        <v>1572</v>
      </c>
      <c r="B1573" s="1" t="s">
        <v>1025</v>
      </c>
      <c r="C1573" s="1" t="s">
        <v>1021</v>
      </c>
      <c r="D1573" s="1" t="s">
        <v>1112</v>
      </c>
      <c r="H1573" s="1" t="s">
        <v>1027</v>
      </c>
      <c r="I1573" s="1" t="s">
        <v>2961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73" s="1"/>
      <c r="T1573" s="1" t="s">
        <v>1026</v>
      </c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573" s="15" t="str">
        <f>_xlfn.TEXTBEFORE(_xlfn.TEXTAFTER(CantoralDB[[#This Row],[index.html]],"&gt;"),"&gt;")&amp;"&gt;"</f>
        <v>&lt;a href="canciones/taize/v_tebi_je_izvir_življenja.html"&gt;</v>
      </c>
    </row>
    <row r="1574" spans="1:23" x14ac:dyDescent="0.3">
      <c r="A1574" s="1">
        <f>ROW(CantoralDB[[#This Row],[Título]])-1</f>
        <v>1573</v>
      </c>
      <c r="B1574" s="1" t="s">
        <v>943</v>
      </c>
      <c r="C1574" s="1" t="s">
        <v>1021</v>
      </c>
      <c r="D1574" s="1" t="s">
        <v>1152</v>
      </c>
      <c r="H1574" s="1" t="s">
        <v>1027</v>
      </c>
      <c r="I1574" s="1" t="s">
        <v>2961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74" s="1"/>
      <c r="T1574" s="1" t="s">
        <v>466</v>
      </c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574" s="15" t="str">
        <f>_xlfn.TEXTBEFORE(_xlfn.TEXTAFTER(CantoralDB[[#This Row],[index.html]],"&gt;"),"&gt;")&amp;"&gt;"</f>
        <v>&lt;a href="canciones/taize/vieni_spirito_creatore_(canon).html"&gt;</v>
      </c>
    </row>
    <row r="1575" spans="1:23" x14ac:dyDescent="0.3">
      <c r="A1575" s="1">
        <f>ROW(CantoralDB[[#This Row],[Título]])-1</f>
        <v>1574</v>
      </c>
      <c r="B1575" s="1" t="s">
        <v>910</v>
      </c>
      <c r="C1575" s="1" t="s">
        <v>1021</v>
      </c>
      <c r="D1575" s="1" t="s">
        <v>1127</v>
      </c>
      <c r="H1575" s="1" t="s">
        <v>1027</v>
      </c>
      <c r="I1575" s="1" t="s">
        <v>2961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75" s="1" t="s">
        <v>966</v>
      </c>
      <c r="T1575" s="1" t="s">
        <v>367</v>
      </c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575" s="15" t="str">
        <f>_xlfn.TEXTBEFORE(_xlfn.TEXTAFTER(CantoralDB[[#This Row],[index.html]],"&gt;"),"&gt;")&amp;"&gt;"</f>
        <v>&lt;a href="canciones/taize/i_am_sure_i_shall_see.html"&gt;</v>
      </c>
    </row>
    <row r="1576" spans="1:23" x14ac:dyDescent="0.3">
      <c r="A1576" s="1">
        <f>ROW(CantoralDB[[#This Row],[Título]])-1</f>
        <v>1575</v>
      </c>
      <c r="B1576" s="1" t="s">
        <v>878</v>
      </c>
      <c r="C1576" s="1" t="s">
        <v>1021</v>
      </c>
      <c r="D1576" s="1" t="s">
        <v>1081</v>
      </c>
      <c r="H1576" s="1" t="s">
        <v>1028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76" s="1"/>
      <c r="T1576" s="1" t="s">
        <v>294</v>
      </c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576" s="15" t="str">
        <f>_xlfn.TEXTBEFORE(_xlfn.TEXTAFTER(CantoralDB[[#This Row],[index.html]],"&gt;"),"&gt;")&amp;"&gt;"</f>
        <v>&lt;a href="canciones/taize/alleluia_7.html"&gt;</v>
      </c>
    </row>
    <row r="1577" spans="1:23" x14ac:dyDescent="0.3">
      <c r="A1577" s="1">
        <f>ROW(CantoralDB[[#This Row],[Título]])-1</f>
        <v>1576</v>
      </c>
      <c r="B1577" s="1" t="s">
        <v>884</v>
      </c>
      <c r="C1577" s="1" t="s">
        <v>1021</v>
      </c>
      <c r="D1577" s="1" t="s">
        <v>1088</v>
      </c>
      <c r="H1577" s="1" t="s">
        <v>1028</v>
      </c>
      <c r="I1577" s="1" t="s">
        <v>2961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77" s="1" t="s">
        <v>950</v>
      </c>
      <c r="T1577" s="1" t="s">
        <v>314</v>
      </c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577" s="15" t="str">
        <f>_xlfn.TEXTBEFORE(_xlfn.TEXTAFTER(CantoralDB[[#This Row],[index.html]],"&gt;"),"&gt;")&amp;"&gt;"</f>
        <v>&lt;a href="canciones/taize/benedictus_qui_venit_(canon).html"&gt;</v>
      </c>
    </row>
    <row r="1578" spans="1:23" x14ac:dyDescent="0.3">
      <c r="A1578" s="1">
        <f>ROW(CantoralDB[[#This Row],[Título]])-1</f>
        <v>1577</v>
      </c>
      <c r="B1578" s="1" t="s">
        <v>939</v>
      </c>
      <c r="C1578" s="1" t="s">
        <v>1021</v>
      </c>
      <c r="D1578" s="1" t="s">
        <v>1119</v>
      </c>
      <c r="H1578" s="1" t="s">
        <v>1028</v>
      </c>
      <c r="I1578" s="1" t="s">
        <v>2961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78" s="1" t="s">
        <v>806</v>
      </c>
      <c r="T1578" s="1" t="s">
        <v>449</v>
      </c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578" s="15" t="str">
        <f>_xlfn.TEXTBEFORE(_xlfn.TEXTAFTER(CantoralDB[[#This Row],[index.html]],"&gt;"),"&gt;")&amp;"&gt;"</f>
        <v>&lt;a href="canciones/taize/the_kingdom_of_god.html"&gt;</v>
      </c>
    </row>
    <row r="1579" spans="1:23" x14ac:dyDescent="0.3">
      <c r="A1579" s="1">
        <f>ROW(CantoralDB[[#This Row],[Título]])-1</f>
        <v>1578</v>
      </c>
      <c r="B1579" s="1" t="s">
        <v>911</v>
      </c>
      <c r="C1579" s="1" t="s">
        <v>1021</v>
      </c>
      <c r="D1579" s="1" t="s">
        <v>1128</v>
      </c>
      <c r="H1579" s="1" t="s">
        <v>1028</v>
      </c>
      <c r="I1579" s="1" t="s">
        <v>2961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79" s="1" t="s">
        <v>967</v>
      </c>
      <c r="T1579" s="1" t="s">
        <v>368</v>
      </c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579" s="15" t="str">
        <f>_xlfn.TEXTBEFORE(_xlfn.TEXTAFTER(CantoralDB[[#This Row],[index.html]],"&gt;"),"&gt;")&amp;"&gt;"</f>
        <v>&lt;a href="canciones/taize/iedere_nacht_verlang_ik.html"&gt;</v>
      </c>
    </row>
    <row r="1580" spans="1:23" x14ac:dyDescent="0.3">
      <c r="A1580" s="1">
        <f>ROW(CantoralDB[[#This Row],[Título]])-1</f>
        <v>1579</v>
      </c>
      <c r="B1580" s="1" t="s">
        <v>896</v>
      </c>
      <c r="C1580" s="1" t="s">
        <v>1021</v>
      </c>
      <c r="D1580" s="1" t="s">
        <v>1104</v>
      </c>
      <c r="H1580" s="1" t="s">
        <v>1028</v>
      </c>
      <c r="I1580" s="1" t="s">
        <v>2961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80" s="1"/>
      <c r="T1580" s="1" t="s">
        <v>333</v>
      </c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580" s="15" t="str">
        <f>_xlfn.TEXTBEFORE(_xlfn.TEXTAFTER(CantoralDB[[#This Row],[index.html]],"&gt;"),"&gt;")&amp;"&gt;"</f>
        <v>&lt;a href="canciones/taize/crucem_tuam.html"&gt;</v>
      </c>
    </row>
    <row r="1581" spans="1:23" x14ac:dyDescent="0.3">
      <c r="A1581" s="1">
        <f>ROW(CantoralDB[[#This Row],[Título]])-1</f>
        <v>1580</v>
      </c>
      <c r="B1581" s="1" t="s">
        <v>941</v>
      </c>
      <c r="C1581" s="1" t="s">
        <v>1021</v>
      </c>
      <c r="D1581" s="1" t="s">
        <v>1151</v>
      </c>
      <c r="H1581" s="1" t="s">
        <v>1028</v>
      </c>
      <c r="I1581" s="1" t="s">
        <v>2961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81" s="1"/>
      <c r="T1581" s="1" t="s">
        <v>455</v>
      </c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581" s="15" t="str">
        <f>_xlfn.TEXTBEFORE(_xlfn.TEXTAFTER(CantoralDB[[#This Row],[index.html]],"&gt;"),"&gt;")&amp;"&gt;"</f>
        <v>&lt;a href="canciones/taize/tui_amoris.html"&gt;</v>
      </c>
    </row>
    <row r="1582" spans="1:23" x14ac:dyDescent="0.3">
      <c r="A1582" s="1">
        <f>ROW(CantoralDB[[#This Row],[Título]])-1</f>
        <v>1581</v>
      </c>
      <c r="B1582" s="1" t="s">
        <v>912</v>
      </c>
      <c r="C1582" s="1" t="s">
        <v>1021</v>
      </c>
      <c r="D1582" s="1" t="s">
        <v>1121</v>
      </c>
      <c r="H1582" s="1" t="s">
        <v>1027</v>
      </c>
      <c r="I1582" s="1" t="s">
        <v>2961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82" s="1" t="s">
        <v>968</v>
      </c>
      <c r="T1582" s="1" t="s">
        <v>369</v>
      </c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582" s="15" t="str">
        <f>_xlfn.TEXTBEFORE(_xlfn.TEXTAFTER(CantoralDB[[#This Row],[index.html]],"&gt;"),"&gt;")&amp;"&gt;"</f>
        <v>&lt;a href="canciones/taize/il_signore_ti_ristora.html"&gt;</v>
      </c>
    </row>
    <row r="1583" spans="1:23" x14ac:dyDescent="0.3">
      <c r="A1583" s="1">
        <f>ROW(CantoralDB[[#This Row],[Título]])-1</f>
        <v>1582</v>
      </c>
      <c r="B1583" s="1" t="s">
        <v>894</v>
      </c>
      <c r="C1583" s="1" t="s">
        <v>1021</v>
      </c>
      <c r="D1583" s="1" t="s">
        <v>1097</v>
      </c>
      <c r="H1583" s="1" t="s">
        <v>1027</v>
      </c>
      <c r="I1583" s="1" t="s">
        <v>2960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83" s="1" t="s">
        <v>870</v>
      </c>
      <c r="T1583" s="1" t="s">
        <v>329</v>
      </c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583" s="15" t="str">
        <f>_xlfn.TEXTBEFORE(_xlfn.TEXTAFTER(CantoralDB[[#This Row],[index.html]],"&gt;"),"&gt;")&amp;"&gt;"</f>
        <v>&lt;a href="canciones/taize/christe_lux_mundi.html"&gt;</v>
      </c>
    </row>
    <row r="1584" spans="1:23" x14ac:dyDescent="0.3">
      <c r="A1584" s="1">
        <f>ROW(CantoralDB[[#This Row],[Título]])-1</f>
        <v>1583</v>
      </c>
      <c r="B1584" s="1" t="s">
        <v>875</v>
      </c>
      <c r="C1584" s="1" t="s">
        <v>1021</v>
      </c>
      <c r="D1584" s="1" t="s">
        <v>1078</v>
      </c>
      <c r="H1584" s="1" t="s">
        <v>1030</v>
      </c>
      <c r="I1584" s="1" t="s">
        <v>2958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84" s="1"/>
      <c r="T1584" s="1" t="s">
        <v>297</v>
      </c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584" s="15" t="str">
        <f>_xlfn.TEXTBEFORE(_xlfn.TEXTAFTER(CantoralDB[[#This Row],[index.html]],"&gt;"),"&gt;")&amp;"&gt;"</f>
        <v>&lt;a href="canciones/taize/alleluia_11.html"&gt;</v>
      </c>
    </row>
    <row r="1585" spans="1:23" x14ac:dyDescent="0.3">
      <c r="A1585" s="1">
        <f>ROW(CantoralDB[[#This Row],[Título]])-1</f>
        <v>1584</v>
      </c>
      <c r="B1585" s="1" t="s">
        <v>930</v>
      </c>
      <c r="C1585" s="1" t="s">
        <v>1021</v>
      </c>
      <c r="D1585" s="1" t="s">
        <v>1111</v>
      </c>
      <c r="H1585" s="1" t="s">
        <v>1030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585" s="1" t="s">
        <v>979</v>
      </c>
      <c r="T1585" s="1" t="s">
        <v>420</v>
      </c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585" s="15" t="str">
        <f>_xlfn.TEXTBEFORE(_xlfn.TEXTAFTER(CantoralDB[[#This Row],[index.html]],"&gt;"),"&gt;")&amp;"&gt;"</f>
        <v>&lt;a href="canciones/taize/nunc_dimittis.html"&gt;</v>
      </c>
    </row>
    <row r="1586" spans="1:23" x14ac:dyDescent="0.3">
      <c r="A1586" s="1">
        <f>ROW(CantoralDB[[#This Row],[Título]])-1</f>
        <v>1585</v>
      </c>
      <c r="B1586" s="1" t="s">
        <v>888</v>
      </c>
      <c r="C1586" s="1" t="s">
        <v>1021</v>
      </c>
      <c r="D1586" s="1" t="s">
        <v>1091</v>
      </c>
      <c r="H1586" s="1" t="s">
        <v>1030</v>
      </c>
      <c r="I1586" s="1" t="s">
        <v>2961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86" s="1"/>
      <c r="T1586" s="1" t="s">
        <v>320</v>
      </c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586" s="15" t="str">
        <f>_xlfn.TEXTBEFORE(_xlfn.TEXTAFTER(CantoralDB[[#This Row],[index.html]],"&gt;"),"&gt;")&amp;"&gt;"</f>
        <v>&lt;a href="canciones/taize/bog_jest_miłością.html"&gt;</v>
      </c>
    </row>
    <row r="1587" spans="1:23" x14ac:dyDescent="0.3">
      <c r="A1587" s="1">
        <f>ROW(CantoralDB[[#This Row],[Título]])-1</f>
        <v>1586</v>
      </c>
      <c r="B1587" s="1" t="s">
        <v>889</v>
      </c>
      <c r="C1587" s="1" t="s">
        <v>1021</v>
      </c>
      <c r="D1587" s="1" t="s">
        <v>1092</v>
      </c>
      <c r="H1587" s="1" t="s">
        <v>1030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87" s="1"/>
      <c r="T1587" s="1" t="s">
        <v>321</v>
      </c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587" s="15" t="str">
        <f>_xlfn.TEXTBEFORE(_xlfn.TEXTAFTER(CantoralDB[[#This Row],[index.html]],"&gt;"),"&gt;")&amp;"&gt;"</f>
        <v>&lt;a href="canciones/taize/bogoroditse_dievo_1.html"&gt;</v>
      </c>
    </row>
    <row r="1588" spans="1:23" x14ac:dyDescent="0.3">
      <c r="A1588" s="1">
        <f>ROW(CantoralDB[[#This Row],[Título]])-1</f>
        <v>1587</v>
      </c>
      <c r="B1588" s="1" t="s">
        <v>908</v>
      </c>
      <c r="C1588" s="1" t="s">
        <v>1021</v>
      </c>
      <c r="D1588" s="1" t="s">
        <v>1116</v>
      </c>
      <c r="H1588" s="1" t="s">
        <v>1030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88" s="1" t="s">
        <v>964</v>
      </c>
      <c r="T1588" s="1" t="s">
        <v>276</v>
      </c>
      <c r="U1588" s="15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588" s="15" t="str">
        <f>_xlfn.TEXTBEFORE(_xlfn.TEXTAFTER(CantoralDB[[#This Row],[index.html]],"&gt;"),"&gt;")&amp;"&gt;"</f>
        <v>&lt;a href="canciones/taize/herre_visa_mig_vägen.html"&gt;</v>
      </c>
    </row>
    <row r="1589" spans="1:23" x14ac:dyDescent="0.3">
      <c r="A1589" s="1">
        <f>ROW(CantoralDB[[#This Row],[Título]])-1</f>
        <v>1588</v>
      </c>
      <c r="B1589" s="1" t="s">
        <v>909</v>
      </c>
      <c r="C1589" s="1" t="s">
        <v>1021</v>
      </c>
      <c r="D1589" s="1" t="s">
        <v>1126</v>
      </c>
      <c r="H1589" s="1" t="s">
        <v>1030</v>
      </c>
      <c r="I1589" s="1" t="s">
        <v>2959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89" s="1" t="s">
        <v>965</v>
      </c>
      <c r="T1589" s="1" t="s">
        <v>363</v>
      </c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589" s="15" t="str">
        <f>_xlfn.TEXTBEFORE(_xlfn.TEXTAFTER(CantoralDB[[#This Row],[index.html]],"&gt;"),"&gt;")&amp;"&gt;"</f>
        <v>&lt;a href="canciones/taize/heureux_qui_s’abandonne_à_toi.html"&gt;</v>
      </c>
    </row>
    <row r="1590" spans="1:23" x14ac:dyDescent="0.3">
      <c r="A1590" s="1">
        <f>ROW(CantoralDB[[#This Row],[Título]])-1</f>
        <v>1589</v>
      </c>
      <c r="B1590" s="1" t="s">
        <v>921</v>
      </c>
      <c r="C1590" s="1" t="s">
        <v>1021</v>
      </c>
      <c r="D1590" s="1" t="s">
        <v>1133</v>
      </c>
      <c r="H1590" s="1" t="s">
        <v>1030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590" s="1"/>
      <c r="T1590" s="1" t="s">
        <v>386</v>
      </c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590" s="15" t="str">
        <f>_xlfn.TEXTBEFORE(_xlfn.TEXTAFTER(CantoralDB[[#This Row],[index.html]],"&gt;"),"&gt;")&amp;"&gt;"</f>
        <v>&lt;a href="canciones/taize/kyrie_1.html"&gt;</v>
      </c>
    </row>
    <row r="1591" spans="1:23" x14ac:dyDescent="0.3">
      <c r="A1591" s="1">
        <f>ROW(CantoralDB[[#This Row],[Título]])-1</f>
        <v>1590</v>
      </c>
      <c r="B1591" s="1" t="s">
        <v>892</v>
      </c>
      <c r="C1591" s="1" t="s">
        <v>1021</v>
      </c>
      <c r="D1591" s="1" t="s">
        <v>1095</v>
      </c>
      <c r="H1591" s="1" t="s">
        <v>1030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591" s="1" t="s">
        <v>956</v>
      </c>
      <c r="T1591" s="1" t="s">
        <v>327</v>
      </c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591" s="15" t="str">
        <f>_xlfn.TEXTBEFORE(_xlfn.TEXTAFTER(CantoralDB[[#This Row],[index.html]],"&gt;"),"&gt;")&amp;"&gt;"</f>
        <v>&lt;a href="canciones/taize/cantate_domino_canticum_novum.html"&gt;</v>
      </c>
    </row>
    <row r="1592" spans="1:23" x14ac:dyDescent="0.3">
      <c r="A1592" s="1">
        <f>ROW(CantoralDB[[#This Row],[Título]])-1</f>
        <v>1591</v>
      </c>
      <c r="B1592" s="1" t="s">
        <v>874</v>
      </c>
      <c r="C1592" s="1" t="s">
        <v>1021</v>
      </c>
      <c r="D1592" s="1" t="s">
        <v>1072</v>
      </c>
      <c r="H1592" s="1" t="s">
        <v>1043</v>
      </c>
      <c r="I1592" s="1" t="s">
        <v>2961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592" s="1" t="s">
        <v>947</v>
      </c>
      <c r="T1592" s="1" t="s">
        <v>278</v>
      </c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592" s="15" t="str">
        <f>_xlfn.TEXTBEFORE(_xlfn.TEXTAFTER(CantoralDB[[#This Row],[index.html]],"&gt;"),"&gt;")&amp;"&gt;"</f>
        <v>&lt;a href="canciones/taize/ad_te_jesu_christe.html"&gt;</v>
      </c>
    </row>
    <row r="1593" spans="1:23" x14ac:dyDescent="0.3">
      <c r="A1593" s="1">
        <f>ROW(CantoralDB[[#This Row],[Título]])-1</f>
        <v>1592</v>
      </c>
      <c r="B1593" s="1" t="s">
        <v>413</v>
      </c>
      <c r="C1593" s="1" t="s">
        <v>1022</v>
      </c>
      <c r="D1593" s="1" t="s">
        <v>1138</v>
      </c>
      <c r="E1593" s="1">
        <v>157</v>
      </c>
      <c r="H1593" s="1" t="s">
        <v>531</v>
      </c>
      <c r="I1593" s="1" t="s">
        <v>2959</v>
      </c>
      <c r="J1593" s="1" t="s">
        <v>608</v>
      </c>
      <c r="M1593" s="15" t="s">
        <v>2140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93" s="1"/>
      <c r="T1593" s="1"/>
      <c r="U1593" s="15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593" s="15" t="str">
        <f>_xlfn.TEXTBEFORE(_xlfn.TEXTAFTER(CantoralDB[[#This Row],[index.html]],"&gt;"),"&gt;")&amp;"&gt;"</f>
        <v>&lt;a href="canciones/taize/misericordias_domini.html"&gt;</v>
      </c>
    </row>
    <row r="1594" spans="1:23" x14ac:dyDescent="0.3">
      <c r="A1594" s="1">
        <f>ROW(CantoralDB[[#This Row],[Título]])-1</f>
        <v>1593</v>
      </c>
      <c r="B1594" s="1" t="s">
        <v>456</v>
      </c>
      <c r="C1594" s="1" t="s">
        <v>1022</v>
      </c>
      <c r="D1594" s="1" t="s">
        <v>1117</v>
      </c>
      <c r="E1594" s="1">
        <v>466</v>
      </c>
      <c r="H1594" s="1" t="s">
        <v>531</v>
      </c>
      <c r="I1594" s="1" t="s">
        <v>2959</v>
      </c>
      <c r="J1594" s="1" t="s">
        <v>608</v>
      </c>
      <c r="M1594" s="15" t="s">
        <v>2140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94" s="1"/>
      <c r="T1594" s="1"/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594" s="15" t="str">
        <f>_xlfn.TEXTBEFORE(_xlfn.TEXTAFTER(CantoralDB[[#This Row],[index.html]],"&gt;"),"&gt;")&amp;"&gt;"</f>
        <v>&lt;a href="canciones/taize/ubi_caritas.html"&gt;</v>
      </c>
    </row>
    <row r="1595" spans="1:23" x14ac:dyDescent="0.3">
      <c r="A1595" s="1">
        <f>ROW(CantoralDB[[#This Row],[Título]])-1</f>
        <v>1594</v>
      </c>
      <c r="B1595" s="1" t="s">
        <v>277</v>
      </c>
      <c r="C1595" s="1" t="s">
        <v>1022</v>
      </c>
      <c r="D1595" s="1" t="s">
        <v>1071</v>
      </c>
      <c r="H1595" s="1" t="s">
        <v>531</v>
      </c>
      <c r="I1595" s="1" t="s">
        <v>2962</v>
      </c>
      <c r="J1595" s="1" t="s">
        <v>608</v>
      </c>
      <c r="M1595" s="15" t="s">
        <v>2140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95" s="1"/>
      <c r="T1595" s="1"/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595" s="15" t="str">
        <f>_xlfn.TEXTBEFORE(_xlfn.TEXTAFTER(CantoralDB[[#This Row],[index.html]],"&gt;"),"&gt;")&amp;"&gt;"</f>
        <v>&lt;a href="canciones/taize/aber_du_weisst_den_weg_für_mich.html"&gt;</v>
      </c>
    </row>
    <row r="1596" spans="1:23" x14ac:dyDescent="0.3">
      <c r="A1596" s="1">
        <f>ROW(CantoralDB[[#This Row],[Título]])-1</f>
        <v>1595</v>
      </c>
      <c r="B1596" s="1" t="s">
        <v>312</v>
      </c>
      <c r="C1596" s="1" t="s">
        <v>1022</v>
      </c>
      <c r="D1596" s="1" t="s">
        <v>1086</v>
      </c>
      <c r="H1596" s="1" t="s">
        <v>531</v>
      </c>
      <c r="I1596" s="1" t="s">
        <v>2960</v>
      </c>
      <c r="J1596" s="1" t="s">
        <v>608</v>
      </c>
      <c r="M1596" s="15" t="s">
        <v>2140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96" s="1"/>
      <c r="T1596" s="1"/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596" s="15" t="str">
        <f>_xlfn.TEXTBEFORE(_xlfn.TEXTAFTER(CantoralDB[[#This Row],[index.html]],"&gt;"),"&gt;")&amp;"&gt;"</f>
        <v>&lt;a href="canciones/taize/behüte_mich_gott.html"&gt;</v>
      </c>
    </row>
    <row r="1597" spans="1:23" x14ac:dyDescent="0.3">
      <c r="A1597" s="1">
        <f>ROW(CantoralDB[[#This Row],[Título]])-1</f>
        <v>1596</v>
      </c>
      <c r="B1597" s="1" t="s">
        <v>316</v>
      </c>
      <c r="C1597" s="1" t="s">
        <v>1022</v>
      </c>
      <c r="D1597" s="1" t="s">
        <v>1087</v>
      </c>
      <c r="H1597" s="1" t="s">
        <v>531</v>
      </c>
      <c r="I1597" s="1" t="s">
        <v>2961</v>
      </c>
      <c r="J1597" s="1" t="s">
        <v>608</v>
      </c>
      <c r="M1597" s="15" t="s">
        <v>2140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97" s="1"/>
      <c r="T1597" s="1"/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597" s="15" t="str">
        <f>_xlfn.TEXTBEFORE(_xlfn.TEXTAFTER(CantoralDB[[#This Row],[index.html]],"&gt;"),"&gt;")&amp;"&gt;"</f>
        <v>&lt;a href="canciones/taize/benissez_le_seigneur.html"&gt;</v>
      </c>
    </row>
    <row r="1598" spans="1:23" x14ac:dyDescent="0.3">
      <c r="A1598" s="1">
        <f>ROW(CantoralDB[[#This Row],[Título]])-1</f>
        <v>1597</v>
      </c>
      <c r="B1598" s="1" t="s">
        <v>338</v>
      </c>
      <c r="C1598" s="1" t="s">
        <v>1022</v>
      </c>
      <c r="D1598" s="1" t="s">
        <v>1113</v>
      </c>
      <c r="H1598" s="1" t="s">
        <v>531</v>
      </c>
      <c r="I1598" s="1" t="s">
        <v>2961</v>
      </c>
      <c r="J1598" s="1" t="s">
        <v>608</v>
      </c>
      <c r="M1598" s="15" t="s">
        <v>2140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598" s="1" t="s">
        <v>960</v>
      </c>
      <c r="T1598" s="1"/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598" s="15" t="str">
        <f>_xlfn.TEXTBEFORE(_xlfn.TEXTAFTER(CantoralDB[[#This Row],[index.html]],"&gt;"),"&gt;")&amp;"&gt;"</f>
        <v>&lt;a href="canciones/taize/despierta_tu_que_duermes.html"&gt;</v>
      </c>
    </row>
    <row r="1599" spans="1:23" x14ac:dyDescent="0.3">
      <c r="A1599" s="1">
        <f>ROW(CantoralDB[[#This Row],[Título]])-1</f>
        <v>1598</v>
      </c>
      <c r="B1599" s="1" t="s">
        <v>340</v>
      </c>
      <c r="C1599" s="1" t="s">
        <v>1022</v>
      </c>
      <c r="D1599" s="1" t="s">
        <v>1115</v>
      </c>
      <c r="H1599" s="1" t="s">
        <v>531</v>
      </c>
      <c r="I1599" s="1" t="s">
        <v>2961</v>
      </c>
      <c r="J1599" s="1" t="s">
        <v>608</v>
      </c>
      <c r="M1599" s="15" t="s">
        <v>2140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99" s="1"/>
      <c r="T1599" s="1"/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599" s="15" t="str">
        <f>_xlfn.TEXTBEFORE(_xlfn.TEXTAFTER(CantoralDB[[#This Row],[index.html]],"&gt;"),"&gt;")&amp;"&gt;"</f>
        <v>&lt;a href="canciones/taize/dieu_ne_peut_que_donner.html"&gt;</v>
      </c>
    </row>
    <row r="1600" spans="1:23" x14ac:dyDescent="0.3">
      <c r="A1600" s="1">
        <f>ROW(CantoralDB[[#This Row],[Título]])-1</f>
        <v>1599</v>
      </c>
      <c r="B1600" s="1" t="s">
        <v>370</v>
      </c>
      <c r="C1600" s="1" t="s">
        <v>1022</v>
      </c>
      <c r="D1600" s="1" t="s">
        <v>1129</v>
      </c>
      <c r="H1600" s="1" t="s">
        <v>531</v>
      </c>
      <c r="I1600" s="1" t="s">
        <v>2961</v>
      </c>
      <c r="J1600" s="1" t="s">
        <v>608</v>
      </c>
      <c r="M1600" s="15" t="s">
        <v>2140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600" s="1"/>
      <c r="T1600" s="1"/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600" s="15" t="str">
        <f>_xlfn.TEXTBEFORE(_xlfn.TEXTAFTER(CantoralDB[[#This Row],[index.html]],"&gt;"),"&gt;")&amp;"&gt;"</f>
        <v>&lt;a href="canciones/taize/in_manus_tuas.html"&gt;</v>
      </c>
    </row>
    <row r="1601" spans="1:23" x14ac:dyDescent="0.3">
      <c r="A1601" s="1">
        <f>ROW(CantoralDB[[#This Row],[Título]])-1</f>
        <v>1600</v>
      </c>
      <c r="B1601" s="1" t="s">
        <v>371</v>
      </c>
      <c r="C1601" s="1" t="s">
        <v>1022</v>
      </c>
      <c r="D1601" s="1" t="s">
        <v>1077</v>
      </c>
      <c r="H1601" s="1" t="s">
        <v>531</v>
      </c>
      <c r="I1601" s="1" t="s">
        <v>2961</v>
      </c>
      <c r="J1601" s="1" t="s">
        <v>608</v>
      </c>
      <c r="M1601" s="15" t="s">
        <v>2140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601" s="1"/>
      <c r="T1601" s="1"/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601" s="15" t="str">
        <f>_xlfn.TEXTBEFORE(_xlfn.TEXTAFTER(CantoralDB[[#This Row],[index.html]],"&gt;"),"&gt;")&amp;"&gt;"</f>
        <v>&lt;a href="canciones/taize/in_resurrectione_tua.html"&gt;</v>
      </c>
    </row>
    <row r="1602" spans="1:23" x14ac:dyDescent="0.3">
      <c r="A1602" s="1">
        <f>ROW(CantoralDB[[#This Row],[Título]])-1</f>
        <v>1601</v>
      </c>
      <c r="B1602" s="1" t="s">
        <v>379</v>
      </c>
      <c r="C1602" s="1" t="s">
        <v>1022</v>
      </c>
      <c r="D1602" s="1" t="s">
        <v>1130</v>
      </c>
      <c r="H1602" s="1" t="s">
        <v>531</v>
      </c>
      <c r="I1602" s="1" t="s">
        <v>2960</v>
      </c>
      <c r="J1602" s="1" t="s">
        <v>608</v>
      </c>
      <c r="M1602" s="15" t="s">
        <v>2140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02" s="1"/>
      <c r="T1602" s="1"/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602" s="15" t="str">
        <f>_xlfn.TEXTBEFORE(_xlfn.TEXTAFTER(CantoralDB[[#This Row],[index.html]],"&gt;"),"&gt;")&amp;"&gt;"</f>
        <v>&lt;a href="canciones/taize/jesus_remember_me.html"&gt;</v>
      </c>
    </row>
    <row r="1603" spans="1:23" x14ac:dyDescent="0.3">
      <c r="A1603" s="1">
        <f>ROW(CantoralDB[[#This Row],[Título]])-1</f>
        <v>1602</v>
      </c>
      <c r="B1603" s="1" t="s">
        <v>382</v>
      </c>
      <c r="C1603" s="1" t="s">
        <v>1022</v>
      </c>
      <c r="D1603" s="1" t="s">
        <v>1132</v>
      </c>
      <c r="H1603" s="1" t="s">
        <v>531</v>
      </c>
      <c r="I1603" s="1" t="s">
        <v>2961</v>
      </c>
      <c r="J1603" s="1" t="s">
        <v>608</v>
      </c>
      <c r="M1603" s="15" t="s">
        <v>2140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03" s="1"/>
      <c r="T1603" s="1"/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603" s="15" t="str">
        <f>_xlfn.TEXTBEFORE(_xlfn.TEXTAFTER(CantoralDB[[#This Row],[index.html]],"&gt;"),"&gt;")&amp;"&gt;"</f>
        <v>&lt;a href="canciones/taize/jubilate_coeli_(canon).html"&gt;</v>
      </c>
    </row>
    <row r="1604" spans="1:23" x14ac:dyDescent="0.3">
      <c r="A1604" s="1">
        <f>ROW(CantoralDB[[#This Row],[Título]])-1</f>
        <v>1603</v>
      </c>
      <c r="B1604" s="1" t="s">
        <v>408</v>
      </c>
      <c r="C1604" s="1" t="s">
        <v>1022</v>
      </c>
      <c r="D1604" s="1" t="s">
        <v>1141</v>
      </c>
      <c r="H1604" s="1" t="s">
        <v>531</v>
      </c>
      <c r="I1604" s="1" t="s">
        <v>2961</v>
      </c>
      <c r="J1604" s="1" t="s">
        <v>608</v>
      </c>
      <c r="M1604" s="15" t="s">
        <v>2140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04" s="1"/>
      <c r="T1604" s="1"/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04" s="15" t="str">
        <f>_xlfn.TEXTBEFORE(_xlfn.TEXTAFTER(CantoralDB[[#This Row],[index.html]],"&gt;"),"&gt;")&amp;"&gt;"</f>
        <v>&lt;a href="canciones/taize/let_all_who_are_thirsty_come.html"&gt;</v>
      </c>
    </row>
    <row r="1605" spans="1:23" x14ac:dyDescent="0.3">
      <c r="A1605" s="1">
        <f>ROW(CantoralDB[[#This Row],[Título]])-1</f>
        <v>1604</v>
      </c>
      <c r="B1605" s="1" t="s">
        <v>425</v>
      </c>
      <c r="C1605" s="1" t="s">
        <v>1022</v>
      </c>
      <c r="D1605" s="1" t="s">
        <v>1144</v>
      </c>
      <c r="H1605" s="1" t="s">
        <v>531</v>
      </c>
      <c r="J1605" s="1" t="s">
        <v>608</v>
      </c>
      <c r="M1605" s="15" t="s">
        <v>2140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05" s="1"/>
      <c r="T1605" s="1"/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05" s="15" t="str">
        <f>_xlfn.TEXTBEFORE(_xlfn.TEXTAFTER(CantoralDB[[#This Row],[index.html]],"&gt;"),"&gt;")&amp;"&gt;"</f>
        <v>&lt;a href="canciones/taize/para_mim_ser_feliz.html"&gt;</v>
      </c>
    </row>
    <row r="1606" spans="1:23" x14ac:dyDescent="0.3">
      <c r="A1606" s="1">
        <f>ROW(CantoralDB[[#This Row],[Título]])-1</f>
        <v>1605</v>
      </c>
      <c r="B1606" s="1" t="s">
        <v>444</v>
      </c>
      <c r="C1606" s="1" t="s">
        <v>1022</v>
      </c>
      <c r="D1606" s="1" t="s">
        <v>1101</v>
      </c>
      <c r="H1606" s="1" t="s">
        <v>531</v>
      </c>
      <c r="I1606" s="1" t="s">
        <v>2961</v>
      </c>
      <c r="J1606" s="1" t="s">
        <v>608</v>
      </c>
      <c r="M1606" s="15" t="s">
        <v>2140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06" s="1"/>
      <c r="T1606" s="1"/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06" s="15" t="str">
        <f>_xlfn.TEXTBEFORE(_xlfn.TEXTAFTER(CantoralDB[[#This Row],[index.html]],"&gt;"),"&gt;")&amp;"&gt;"</f>
        <v>&lt;a href="canciones/taize/surrexit_christus.html"&gt;</v>
      </c>
    </row>
    <row r="1607" spans="1:23" x14ac:dyDescent="0.3">
      <c r="A1607" s="1">
        <f>ROW(CantoralDB[[#This Row],[Título]])-1</f>
        <v>1606</v>
      </c>
      <c r="B1607" s="1" t="s">
        <v>454</v>
      </c>
      <c r="C1607" s="1" t="s">
        <v>1022</v>
      </c>
      <c r="D1607" s="1" t="s">
        <v>1149</v>
      </c>
      <c r="H1607" s="1" t="s">
        <v>531</v>
      </c>
      <c r="I1607" s="1" t="s">
        <v>2960</v>
      </c>
      <c r="J1607" s="1" t="s">
        <v>608</v>
      </c>
      <c r="M1607" s="15" t="s">
        <v>2140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07" s="1"/>
      <c r="T1607" s="1"/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07" s="15" t="str">
        <f>_xlfn.TEXTBEFORE(_xlfn.TEXTAFTER(CantoralDB[[#This Row],[index.html]],"&gt;"),"&gt;")&amp;"&gt;"</f>
        <v>&lt;a href="canciones/taize/tu_sei_sorgente_viva.html"&gt;</v>
      </c>
    </row>
    <row r="1608" spans="1:23" x14ac:dyDescent="0.3">
      <c r="A1608" s="1">
        <f>ROW(CantoralDB[[#This Row],[Título]])-1</f>
        <v>1607</v>
      </c>
      <c r="B1608" s="1" t="s">
        <v>281</v>
      </c>
      <c r="C1608" s="1" t="s">
        <v>1022</v>
      </c>
      <c r="D1608" s="1" t="s">
        <v>1073</v>
      </c>
      <c r="H1608" s="1" t="s">
        <v>1028</v>
      </c>
      <c r="I1608" s="1" t="s">
        <v>2961</v>
      </c>
      <c r="J1608" s="1" t="s">
        <v>608</v>
      </c>
      <c r="M1608" s="15" t="s">
        <v>2140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08" s="15" t="str">
        <f>_xlfn.TEXTBEFORE(_xlfn.TEXTAFTER(CantoralDB[[#This Row],[index.html]],"&gt;"),"&gt;")&amp;"&gt;"</f>
        <v>&lt;a href="canciones/taize/adoramus_te_o_christe.html"&gt;</v>
      </c>
    </row>
    <row r="1609" spans="1:23" x14ac:dyDescent="0.3">
      <c r="A1609" s="1">
        <f>ROW(CantoralDB[[#This Row],[Título]])-1</f>
        <v>1608</v>
      </c>
      <c r="B1609" s="1" t="s">
        <v>345</v>
      </c>
      <c r="C1609" s="1" t="s">
        <v>1022</v>
      </c>
      <c r="D1609" s="1" t="s">
        <v>1098</v>
      </c>
      <c r="H1609" s="1" t="s">
        <v>1028</v>
      </c>
      <c r="I1609" s="1" t="s">
        <v>2961</v>
      </c>
      <c r="J1609" s="1" t="s">
        <v>608</v>
      </c>
      <c r="M1609" s="15" t="s">
        <v>2140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09" s="15" t="str">
        <f>_xlfn.TEXTBEFORE(_xlfn.TEXTAFTER(CantoralDB[[#This Row],[index.html]],"&gt;"),"&gt;")&amp;"&gt;"</f>
        <v>&lt;a href="canciones/taize/eat_this_bread.html"&gt;</v>
      </c>
    </row>
    <row r="1610" spans="1:23" x14ac:dyDescent="0.3">
      <c r="A1610" s="1">
        <f>ROW(CantoralDB[[#This Row],[Título]])-1</f>
        <v>1609</v>
      </c>
      <c r="B1610" s="1" t="s">
        <v>1023</v>
      </c>
      <c r="C1610" s="1" t="s">
        <v>1022</v>
      </c>
      <c r="D1610" s="1" t="s">
        <v>1098</v>
      </c>
      <c r="H1610" s="1" t="s">
        <v>1028</v>
      </c>
      <c r="I1610" s="1" t="s">
        <v>2961</v>
      </c>
      <c r="J1610" s="1" t="s">
        <v>608</v>
      </c>
      <c r="M1610" s="15" t="s">
        <v>2140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10" s="15" t="str">
        <f>_xlfn.TEXTBEFORE(_xlfn.TEXTAFTER(CantoralDB[[#This Row],[index.html]],"&gt;"),"&gt;")&amp;"&gt;"</f>
        <v>&lt;a href="canciones/taize/jesus_christ_bread_of_life.html"&gt;</v>
      </c>
    </row>
    <row r="1611" spans="1:23" x14ac:dyDescent="0.3">
      <c r="A1611" s="1">
        <f>ROW(CantoralDB[[#This Row],[Título]])-1</f>
        <v>1610</v>
      </c>
      <c r="B1611" s="1" t="s">
        <v>442</v>
      </c>
      <c r="C1611" s="1" t="s">
        <v>1022</v>
      </c>
      <c r="D1611" s="1" t="s">
        <v>1123</v>
      </c>
      <c r="H1611" s="1" t="s">
        <v>1028</v>
      </c>
      <c r="I1611" s="1" t="s">
        <v>2959</v>
      </c>
      <c r="J1611" s="1" t="s">
        <v>608</v>
      </c>
      <c r="M1611" s="15" t="s">
        <v>2140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11" s="1"/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11" s="15" t="str">
        <f>_xlfn.TEXTBEFORE(_xlfn.TEXTAFTER(CantoralDB[[#This Row],[index.html]],"&gt;"),"&gt;")&amp;"&gt;"</f>
        <v>&lt;a href="canciones/taize/spiritus_jesu_christi.html"&gt;</v>
      </c>
    </row>
    <row r="1612" spans="1:23" x14ac:dyDescent="0.3">
      <c r="A1612" s="1">
        <f>ROW(CantoralDB[[#This Row],[Título]])-1</f>
        <v>1611</v>
      </c>
      <c r="B1612" s="1" t="s">
        <v>453</v>
      </c>
      <c r="C1612" s="1" t="s">
        <v>1022</v>
      </c>
      <c r="D1612" s="1" t="s">
        <v>1150</v>
      </c>
      <c r="H1612" s="1" t="s">
        <v>1028</v>
      </c>
      <c r="J1612" s="1" t="s">
        <v>608</v>
      </c>
      <c r="M1612" s="15" t="s">
        <v>2140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12" s="1" t="s">
        <v>985</v>
      </c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12" s="15" t="str">
        <f>_xlfn.TEXTBEFORE(_xlfn.TEXTAFTER(CantoralDB[[#This Row],[index.html]],"&gt;"),"&gt;")&amp;"&gt;"</f>
        <v>&lt;a href="canciones/taize/tu_palabra_señor.html"&gt;</v>
      </c>
    </row>
    <row r="1613" spans="1:23" x14ac:dyDescent="0.3">
      <c r="A1613" s="1">
        <f>ROW(CantoralDB[[#This Row],[Título]])-1</f>
        <v>1612</v>
      </c>
      <c r="B1613" s="1" t="s">
        <v>303</v>
      </c>
      <c r="C1613" s="1" t="s">
        <v>1022</v>
      </c>
      <c r="D1613" s="1" t="s">
        <v>1080</v>
      </c>
      <c r="H1613" s="1" t="s">
        <v>473</v>
      </c>
      <c r="I1613" s="1" t="s">
        <v>2960</v>
      </c>
      <c r="J1613" s="1" t="s">
        <v>608</v>
      </c>
      <c r="M1613" s="15" t="s">
        <v>2140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13" s="15" t="str">
        <f>_xlfn.TEXTBEFORE(_xlfn.TEXTAFTER(CantoralDB[[#This Row],[index.html]],"&gt;"),"&gt;")&amp;"&gt;"</f>
        <v>&lt;a href="canciones/taize/alleluia_22.html"&gt;</v>
      </c>
    </row>
    <row r="1614" spans="1:23" x14ac:dyDescent="0.3">
      <c r="A1614" s="1">
        <f>ROW(CantoralDB[[#This Row],[Título]])-1</f>
        <v>1613</v>
      </c>
      <c r="B1614" s="1" t="s">
        <v>786</v>
      </c>
      <c r="C1614" s="1" t="s">
        <v>1022</v>
      </c>
      <c r="D1614" s="1" t="s">
        <v>1082</v>
      </c>
      <c r="H1614" s="1" t="s">
        <v>473</v>
      </c>
      <c r="I1614" s="1" t="s">
        <v>2958</v>
      </c>
      <c r="J1614" s="1" t="s">
        <v>608</v>
      </c>
      <c r="M1614" s="15" t="s">
        <v>2140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14" s="15" t="str">
        <f>_xlfn.TEXTBEFORE(_xlfn.TEXTAFTER(CantoralDB[[#This Row],[index.html]],"&gt;"),"&gt;")&amp;"&gt;"</f>
        <v>&lt;a href="canciones/taize/alleluia_94.html"&gt;</v>
      </c>
    </row>
    <row r="1615" spans="1:23" x14ac:dyDescent="0.3">
      <c r="A1615" s="1">
        <f>ROW(CantoralDB[[#This Row],[Título]])-1</f>
        <v>1614</v>
      </c>
      <c r="B1615" s="1" t="s">
        <v>310</v>
      </c>
      <c r="C1615" s="1" t="s">
        <v>1022</v>
      </c>
      <c r="D1615" s="1" t="s">
        <v>1085</v>
      </c>
      <c r="H1615" s="1" t="s">
        <v>473</v>
      </c>
      <c r="I1615" s="1" t="s">
        <v>2960</v>
      </c>
      <c r="J1615" s="1" t="s">
        <v>608</v>
      </c>
      <c r="M1615" s="15" t="s">
        <v>2140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15" s="1"/>
      <c r="T1615" s="1"/>
      <c r="U1615" s="15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15" s="15" t="str">
        <f>_xlfn.TEXTBEFORE(_xlfn.TEXTAFTER(CantoralDB[[#This Row],[index.html]],"&gt;"),"&gt;")&amp;"&gt;"</f>
        <v>&lt;a href="canciones/taize/beati_voi_poveri.html"&gt;</v>
      </c>
    </row>
    <row r="1616" spans="1:23" x14ac:dyDescent="0.3">
      <c r="A1616" s="1">
        <f>ROW(CantoralDB[[#This Row],[Título]])-1</f>
        <v>1615</v>
      </c>
      <c r="B1616" s="1" t="s">
        <v>336</v>
      </c>
      <c r="C1616" s="1" t="s">
        <v>1022</v>
      </c>
      <c r="D1616" s="1" t="s">
        <v>1109</v>
      </c>
      <c r="H1616" s="1" t="s">
        <v>473</v>
      </c>
      <c r="I1616" s="1" t="s">
        <v>2961</v>
      </c>
      <c r="J1616" s="1" t="s">
        <v>608</v>
      </c>
      <c r="M1616" s="15" t="s">
        <v>2140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16" s="15" t="str">
        <f>_xlfn.TEXTBEFORE(_xlfn.TEXTAFTER(CantoralDB[[#This Row],[index.html]],"&gt;"),"&gt;")&amp;"&gt;"</f>
        <v>&lt;a href="canciones/taize/dans_nos_obscurites.html"&gt;</v>
      </c>
    </row>
    <row r="1617" spans="1:23" x14ac:dyDescent="0.3">
      <c r="A1617" s="1">
        <f>ROW(CantoralDB[[#This Row],[Título]])-1</f>
        <v>1616</v>
      </c>
      <c r="B1617" s="1" t="s">
        <v>380</v>
      </c>
      <c r="C1617" s="1" t="s">
        <v>1022</v>
      </c>
      <c r="D1617" s="1" t="s">
        <v>1076</v>
      </c>
      <c r="H1617" s="1" t="s">
        <v>473</v>
      </c>
      <c r="J1617" s="1" t="s">
        <v>608</v>
      </c>
      <c r="M1617" s="15" t="s">
        <v>2140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17" s="15" t="str">
        <f>_xlfn.TEXTBEFORE(_xlfn.TEXTAFTER(CantoralDB[[#This Row],[index.html]],"&gt;"),"&gt;")&amp;"&gt;"</f>
        <v>&lt;a href="canciones/taize/jubelt_und_freut_euch.html"&gt;</v>
      </c>
    </row>
    <row r="1618" spans="1:23" x14ac:dyDescent="0.3">
      <c r="A1618" s="1">
        <f>ROW(CantoralDB[[#This Row],[Título]])-1</f>
        <v>1617</v>
      </c>
      <c r="B1618" s="1" t="s">
        <v>443</v>
      </c>
      <c r="C1618" s="1" t="s">
        <v>1022</v>
      </c>
      <c r="D1618" s="1" t="s">
        <v>1147</v>
      </c>
      <c r="H1618" s="1" t="s">
        <v>473</v>
      </c>
      <c r="I1618" s="1" t="s">
        <v>2959</v>
      </c>
      <c r="J1618" s="1" t="s">
        <v>608</v>
      </c>
      <c r="M1618" s="15" t="s">
        <v>2140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18" s="15" t="str">
        <f>_xlfn.TEXTBEFORE(_xlfn.TEXTAFTER(CantoralDB[[#This Row],[index.html]],"&gt;"),"&gt;")&amp;"&gt;"</f>
        <v>&lt;a href="canciones/taize/staňte_se_soli.html"&gt;</v>
      </c>
    </row>
    <row r="1619" spans="1:23" x14ac:dyDescent="0.3">
      <c r="A1619" s="1">
        <f>ROW(CantoralDB[[#This Row],[Título]])-1</f>
        <v>1618</v>
      </c>
      <c r="B1619" s="1" t="s">
        <v>445</v>
      </c>
      <c r="C1619" s="1" t="s">
        <v>1022</v>
      </c>
      <c r="D1619" s="1" t="s">
        <v>1102</v>
      </c>
      <c r="H1619" s="1" t="s">
        <v>473</v>
      </c>
      <c r="I1619" s="1" t="s">
        <v>2960</v>
      </c>
      <c r="J1619" s="1" t="s">
        <v>608</v>
      </c>
      <c r="M1619" s="15" t="s">
        <v>2140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19" s="15" t="str">
        <f>_xlfn.TEXTBEFORE(_xlfn.TEXTAFTER(CantoralDB[[#This Row],[index.html]],"&gt;"),"&gt;")&amp;"&gt;"</f>
        <v>&lt;a href="canciones/taize/surrexit_dominus_vere_(canon).html"&gt;</v>
      </c>
    </row>
    <row r="1620" spans="1:23" x14ac:dyDescent="0.3">
      <c r="A1620" s="1">
        <f>ROW(CantoralDB[[#This Row],[Título]])-1</f>
        <v>1619</v>
      </c>
      <c r="B1620" s="1" t="s">
        <v>318</v>
      </c>
      <c r="C1620" s="1" t="s">
        <v>1022</v>
      </c>
      <c r="D1620" s="1" t="s">
        <v>1089</v>
      </c>
      <c r="H1620" s="1" t="s">
        <v>531</v>
      </c>
      <c r="I1620" s="1" t="s">
        <v>2959</v>
      </c>
      <c r="J1620" s="1" t="s">
        <v>608</v>
      </c>
      <c r="M1620" s="15" t="s">
        <v>2140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20" s="15" t="str">
        <f>_xlfn.TEXTBEFORE(_xlfn.TEXTAFTER(CantoralDB[[#This Row],[index.html]],"&gt;"),"&gt;")&amp;"&gt;"</f>
        <v>&lt;a href="canciones/taize/bleibet_hier.html"&gt;</v>
      </c>
    </row>
    <row r="1621" spans="1:23" x14ac:dyDescent="0.3">
      <c r="A1621" s="1">
        <f>ROW(CantoralDB[[#This Row],[Título]])-1</f>
        <v>1620</v>
      </c>
      <c r="B1621" s="1" t="s">
        <v>319</v>
      </c>
      <c r="C1621" s="1" t="s">
        <v>1022</v>
      </c>
      <c r="D1621" s="1" t="s">
        <v>1090</v>
      </c>
      <c r="H1621" s="1" t="s">
        <v>531</v>
      </c>
      <c r="I1621" s="1" t="s">
        <v>2959</v>
      </c>
      <c r="J1621" s="1" t="s">
        <v>608</v>
      </c>
      <c r="M1621" s="15" t="s">
        <v>2140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21" s="15" t="str">
        <f>_xlfn.TEXTBEFORE(_xlfn.TEXTAFTER(CantoralDB[[#This Row],[index.html]],"&gt;"),"&gt;")&amp;"&gt;"</f>
        <v>&lt;a href="canciones/taize/bless_the_lord.html"&gt;</v>
      </c>
    </row>
    <row r="1622" spans="1:23" x14ac:dyDescent="0.3">
      <c r="A1622" s="1">
        <f>ROW(CantoralDB[[#This Row],[Título]])-1</f>
        <v>1621</v>
      </c>
      <c r="B1622" s="1" t="s">
        <v>323</v>
      </c>
      <c r="C1622" s="1" t="s">
        <v>1022</v>
      </c>
      <c r="D1622" s="1" t="s">
        <v>1093</v>
      </c>
      <c r="H1622" s="1" t="s">
        <v>531</v>
      </c>
      <c r="I1622" s="1" t="s">
        <v>2959</v>
      </c>
      <c r="J1622" s="1" t="s">
        <v>608</v>
      </c>
      <c r="M1622" s="15" t="s">
        <v>2140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22" s="15" t="str">
        <f>_xlfn.TEXTBEFORE(_xlfn.TEXTAFTER(CantoralDB[[#This Row],[index.html]],"&gt;"),"&gt;")&amp;"&gt;"</f>
        <v>&lt;a href="canciones/taize/bonum_est_confidere.html"&gt;</v>
      </c>
    </row>
    <row r="1623" spans="1:23" x14ac:dyDescent="0.3">
      <c r="A1623" s="1">
        <f>ROW(CantoralDB[[#This Row],[Título]])-1</f>
        <v>1622</v>
      </c>
      <c r="B1623" s="1" t="s">
        <v>330</v>
      </c>
      <c r="C1623" s="1" t="s">
        <v>1022</v>
      </c>
      <c r="D1623" s="1" t="s">
        <v>1096</v>
      </c>
      <c r="H1623" s="1" t="s">
        <v>531</v>
      </c>
      <c r="I1623" s="1" t="s">
        <v>2960</v>
      </c>
      <c r="J1623" s="1" t="s">
        <v>608</v>
      </c>
      <c r="M1623" s="15" t="s">
        <v>2140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23" s="1"/>
      <c r="T1623" s="1"/>
      <c r="U1623" s="15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23" s="15" t="str">
        <f>_xlfn.TEXTBEFORE(_xlfn.TEXTAFTER(CantoralDB[[#This Row],[index.html]],"&gt;"),"&gt;")&amp;"&gt;"</f>
        <v>&lt;a href="canciones/taize/christe_salvator.html"&gt;</v>
      </c>
    </row>
    <row r="1624" spans="1:23" x14ac:dyDescent="0.3">
      <c r="A1624" s="1">
        <f>ROW(CantoralDB[[#This Row],[Título]])-1</f>
        <v>1623</v>
      </c>
      <c r="B1624" s="1" t="s">
        <v>334</v>
      </c>
      <c r="C1624" s="1" t="s">
        <v>1022</v>
      </c>
      <c r="D1624" s="1" t="s">
        <v>1105</v>
      </c>
      <c r="H1624" s="1" t="s">
        <v>531</v>
      </c>
      <c r="I1624" s="1" t="s">
        <v>2960</v>
      </c>
      <c r="J1624" s="1" t="s">
        <v>608</v>
      </c>
      <c r="M1624" s="15" t="s">
        <v>2140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24" s="15" t="str">
        <f>_xlfn.TEXTBEFORE(_xlfn.TEXTAFTER(CantoralDB[[#This Row],[index.html]],"&gt;"),"&gt;")&amp;"&gt;"</f>
        <v>&lt;a href="canciones/taize/da_pacem_cordium_(canon).html"&gt;</v>
      </c>
    </row>
    <row r="1625" spans="1:23" x14ac:dyDescent="0.3">
      <c r="A1625" s="1">
        <f>ROW(CantoralDB[[#This Row],[Título]])-1</f>
        <v>1624</v>
      </c>
      <c r="B1625" s="1" t="s">
        <v>342</v>
      </c>
      <c r="C1625" s="1" t="s">
        <v>1022</v>
      </c>
      <c r="D1625" s="1" t="s">
        <v>1100</v>
      </c>
      <c r="H1625" s="1" t="s">
        <v>531</v>
      </c>
      <c r="J1625" s="1" t="s">
        <v>608</v>
      </c>
      <c r="M1625" s="15" t="s">
        <v>2140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25" s="1"/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25" s="15" t="str">
        <f>_xlfn.TEXTBEFORE(_xlfn.TEXTAFTER(CantoralDB[[#This Row],[index.html]],"&gt;"),"&gt;")&amp;"&gt;"</f>
        <v>&lt;a href="canciones/taize/dominus_spiritus_est.html"&gt;</v>
      </c>
    </row>
    <row r="1626" spans="1:23" x14ac:dyDescent="0.3">
      <c r="A1626" s="1">
        <f>ROW(CantoralDB[[#This Row],[Título]])-1</f>
        <v>1625</v>
      </c>
      <c r="B1626" s="1" t="s">
        <v>347</v>
      </c>
      <c r="C1626" s="1" t="s">
        <v>1022</v>
      </c>
      <c r="D1626" s="1" t="s">
        <v>1120</v>
      </c>
      <c r="H1626" s="1" t="s">
        <v>531</v>
      </c>
      <c r="I1626" s="1" t="s">
        <v>2959</v>
      </c>
      <c r="J1626" s="1" t="s">
        <v>608</v>
      </c>
      <c r="M1626" s="15" t="s">
        <v>2140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26" s="15" t="str">
        <f>_xlfn.TEXTBEFORE(_xlfn.TEXTAFTER(CantoralDB[[#This Row],[index.html]],"&gt;"),"&gt;")&amp;"&gt;"</f>
        <v>&lt;a href="canciones/taize/el_senyor.html"&gt;</v>
      </c>
    </row>
    <row r="1627" spans="1:23" x14ac:dyDescent="0.3">
      <c r="A1627" s="1">
        <f>ROW(CantoralDB[[#This Row],[Título]])-1</f>
        <v>1626</v>
      </c>
      <c r="B1627" s="1" t="s">
        <v>377</v>
      </c>
      <c r="C1627" s="1" t="s">
        <v>1022</v>
      </c>
      <c r="D1627" s="1" t="s">
        <v>1103</v>
      </c>
      <c r="H1627" s="1" t="s">
        <v>531</v>
      </c>
      <c r="I1627" s="1" t="s">
        <v>2961</v>
      </c>
      <c r="J1627" s="1" t="s">
        <v>608</v>
      </c>
      <c r="M1627" s="15" t="s">
        <v>2140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27" s="15" t="str">
        <f>_xlfn.TEXTBEFORE(_xlfn.TEXTAFTER(CantoralDB[[#This Row],[index.html]],"&gt;"),"&gt;")&amp;"&gt;"</f>
        <v>&lt;a href="canciones/taize/jesus_le_christ.html"&gt;</v>
      </c>
    </row>
    <row r="1628" spans="1:23" x14ac:dyDescent="0.3">
      <c r="A1628" s="1">
        <f>ROW(CantoralDB[[#This Row],[Título]])-1</f>
        <v>1627</v>
      </c>
      <c r="B1628" s="1" t="s">
        <v>399</v>
      </c>
      <c r="C1628" s="1" t="s">
        <v>1022</v>
      </c>
      <c r="D1628" s="1" t="s">
        <v>1134</v>
      </c>
      <c r="H1628" s="1" t="s">
        <v>531</v>
      </c>
      <c r="I1628" s="1" t="s">
        <v>2960</v>
      </c>
      <c r="J1628" s="1" t="s">
        <v>608</v>
      </c>
      <c r="M1628" s="15" t="s">
        <v>2140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28" s="15" t="str">
        <f>_xlfn.TEXTBEFORE(_xlfn.TEXTAFTER(CantoralDB[[#This Row],[index.html]],"&gt;"),"&gt;")&amp;"&gt;"</f>
        <v>&lt;a href="canciones/taize/kyrie_20.html"&gt;</v>
      </c>
    </row>
    <row r="1629" spans="1:23" x14ac:dyDescent="0.3">
      <c r="A1629" s="1">
        <f>ROW(CantoralDB[[#This Row],[Título]])-1</f>
        <v>1628</v>
      </c>
      <c r="B1629" s="1" t="s">
        <v>390</v>
      </c>
      <c r="C1629" s="1" t="s">
        <v>1022</v>
      </c>
      <c r="D1629" s="1" t="s">
        <v>1136</v>
      </c>
      <c r="H1629" s="1" t="s">
        <v>531</v>
      </c>
      <c r="I1629" s="1" t="s">
        <v>2961</v>
      </c>
      <c r="J1629" s="1" t="s">
        <v>608</v>
      </c>
      <c r="M1629" s="15" t="s">
        <v>2140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29" s="15" t="str">
        <f>_xlfn.TEXTBEFORE(_xlfn.TEXTAFTER(CantoralDB[[#This Row],[index.html]],"&gt;"),"&gt;")&amp;"&gt;"</f>
        <v>&lt;a href="canciones/taize/kyrie_8.html"&gt;</v>
      </c>
    </row>
    <row r="1630" spans="1:23" x14ac:dyDescent="0.3">
      <c r="A1630" s="1">
        <f>ROW(CantoralDB[[#This Row],[Título]])-1</f>
        <v>1629</v>
      </c>
      <c r="B1630" s="1" t="s">
        <v>426</v>
      </c>
      <c r="C1630" s="1" t="s">
        <v>1022</v>
      </c>
      <c r="D1630" s="1" t="s">
        <v>1145</v>
      </c>
      <c r="H1630" s="1" t="s">
        <v>531</v>
      </c>
      <c r="I1630" s="1" t="s">
        <v>2959</v>
      </c>
      <c r="J1630" s="1" t="s">
        <v>608</v>
      </c>
      <c r="M1630" s="15" t="s">
        <v>2140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30" s="15" t="str">
        <f>_xlfn.TEXTBEFORE(_xlfn.TEXTAFTER(CantoralDB[[#This Row],[index.html]],"&gt;"),"&gt;")&amp;"&gt;"</f>
        <v>&lt;a href="canciones/taize/per_crucem.html"&gt;</v>
      </c>
    </row>
    <row r="1631" spans="1:23" x14ac:dyDescent="0.3">
      <c r="A1631" s="1">
        <f>ROW(CantoralDB[[#This Row],[Título]])-1</f>
        <v>1630</v>
      </c>
      <c r="B1631" s="1" t="s">
        <v>433</v>
      </c>
      <c r="C1631" s="1" t="s">
        <v>1022</v>
      </c>
      <c r="D1631" s="1" t="s">
        <v>1146</v>
      </c>
      <c r="H1631" s="1" t="s">
        <v>531</v>
      </c>
      <c r="I1631" s="1" t="s">
        <v>2959</v>
      </c>
      <c r="J1631" s="1" t="s">
        <v>608</v>
      </c>
      <c r="M1631" s="15" t="s">
        <v>2140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31" s="15" t="str">
        <f>_xlfn.TEXTBEFORE(_xlfn.TEXTAFTER(CantoralDB[[#This Row],[index.html]],"&gt;"),"&gt;")&amp;"&gt;"</f>
        <v>&lt;a href="canciones/taize/sanasi_on_lamppu.html"&gt;</v>
      </c>
    </row>
    <row r="1632" spans="1:23" x14ac:dyDescent="0.3">
      <c r="A1632" s="1">
        <f>ROW(CantoralDB[[#This Row],[Título]])-1</f>
        <v>1631</v>
      </c>
      <c r="B1632" s="1" t="s">
        <v>468</v>
      </c>
      <c r="C1632" s="1" t="s">
        <v>1022</v>
      </c>
      <c r="D1632" s="1" t="s">
        <v>1122</v>
      </c>
      <c r="H1632" s="1" t="s">
        <v>531</v>
      </c>
      <c r="I1632" s="1" t="s">
        <v>2960</v>
      </c>
      <c r="J1632" s="1" t="s">
        <v>608</v>
      </c>
      <c r="M1632" s="15" t="s">
        <v>2140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32" s="15" t="str">
        <f>_xlfn.TEXTBEFORE(_xlfn.TEXTAFTER(CantoralDB[[#This Row],[index.html]],"&gt;"),"&gt;")&amp;"&gt;"</f>
        <v>&lt;a href="canciones/taize/voici_dieu_qui_vient_à_mon_secours.html"&gt;</v>
      </c>
    </row>
    <row r="1633" spans="1:23" x14ac:dyDescent="0.3">
      <c r="A1633" s="1">
        <f>ROW(CantoralDB[[#This Row],[Título]])-1</f>
        <v>1632</v>
      </c>
      <c r="B1633" s="1" t="s">
        <v>472</v>
      </c>
      <c r="C1633" s="1" t="s">
        <v>1022</v>
      </c>
      <c r="D1633" s="1" t="s">
        <v>1070</v>
      </c>
      <c r="H1633" s="1" t="s">
        <v>531</v>
      </c>
      <c r="I1633" s="1" t="s">
        <v>2961</v>
      </c>
      <c r="J1633" s="1" t="s">
        <v>608</v>
      </c>
      <c r="M1633" s="15" t="s">
        <v>2140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33" s="15" t="str">
        <f>_xlfn.TEXTBEFORE(_xlfn.TEXTAFTER(CantoralDB[[#This Row],[index.html]],"&gt;"),"&gt;")&amp;"&gt;"</f>
        <v>&lt;a href="canciones/taize/zu_wem_sollen_wir_gehen.html"&gt;</v>
      </c>
    </row>
    <row r="1634" spans="1:23" x14ac:dyDescent="0.3">
      <c r="A1634" s="1">
        <f>ROW(CantoralDB[[#This Row],[Título]])-1</f>
        <v>1633</v>
      </c>
      <c r="B1634" s="1" t="s">
        <v>335</v>
      </c>
      <c r="C1634" s="1" t="s">
        <v>1022</v>
      </c>
      <c r="D1634" s="1" t="s">
        <v>1106</v>
      </c>
      <c r="H1634" s="1" t="s">
        <v>1029</v>
      </c>
      <c r="I1634" s="1" t="s">
        <v>2960</v>
      </c>
      <c r="J1634" s="1" t="s">
        <v>608</v>
      </c>
      <c r="M1634" s="15" t="s">
        <v>2140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34" s="15" t="str">
        <f>_xlfn.TEXTBEFORE(_xlfn.TEXTAFTER(CantoralDB[[#This Row],[index.html]],"&gt;"),"&gt;")&amp;"&gt;"</f>
        <v>&lt;a href="canciones/taize/da_pacem..._in_diebus.html"&gt;</v>
      </c>
    </row>
    <row r="1635" spans="1:23" x14ac:dyDescent="0.3">
      <c r="A1635" s="1">
        <f>ROW(CantoralDB[[#This Row],[Título]])-1</f>
        <v>1634</v>
      </c>
      <c r="B1635" s="1" t="s">
        <v>401</v>
      </c>
      <c r="C1635" s="1" t="s">
        <v>1022</v>
      </c>
      <c r="D1635" s="1" t="s">
        <v>1137</v>
      </c>
      <c r="H1635" s="1" t="s">
        <v>1029</v>
      </c>
      <c r="I1635" s="1" t="s">
        <v>2960</v>
      </c>
      <c r="J1635" s="1" t="s">
        <v>608</v>
      </c>
      <c r="M1635" s="15" t="s">
        <v>2140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35" s="15" t="str">
        <f>_xlfn.TEXTBEFORE(_xlfn.TEXTAFTER(CantoralDB[[#This Row],[index.html]],"&gt;"),"&gt;")&amp;"&gt;"</f>
        <v>&lt;a href="canciones/taize/l’ajuda_em_vindrà.html"&gt;</v>
      </c>
    </row>
    <row r="1636" spans="1:23" x14ac:dyDescent="0.3">
      <c r="A1636" s="1">
        <f>ROW(CantoralDB[[#This Row],[Título]])-1</f>
        <v>1635</v>
      </c>
      <c r="B1636" s="1" t="s">
        <v>299</v>
      </c>
      <c r="C1636" s="1" t="s">
        <v>1022</v>
      </c>
      <c r="D1636" s="1" t="s">
        <v>1079</v>
      </c>
      <c r="H1636" s="1" t="s">
        <v>1030</v>
      </c>
      <c r="I1636" s="1" t="s">
        <v>2961</v>
      </c>
      <c r="J1636" s="1" t="s">
        <v>608</v>
      </c>
      <c r="M1636" s="15" t="s">
        <v>2140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36" s="15" t="str">
        <f>_xlfn.TEXTBEFORE(_xlfn.TEXTAFTER(CantoralDB[[#This Row],[index.html]],"&gt;"),"&gt;")&amp;"&gt;"</f>
        <v>&lt;a href="canciones/taize/alleluia_17.html"&gt;</v>
      </c>
    </row>
    <row r="1637" spans="1:23" x14ac:dyDescent="0.3">
      <c r="A1637" s="1">
        <f>ROW(CantoralDB[[#This Row],[Título]])-1</f>
        <v>1636</v>
      </c>
      <c r="B1637" s="1" t="s">
        <v>787</v>
      </c>
      <c r="C1637" s="1" t="s">
        <v>1022</v>
      </c>
      <c r="D1637" s="1" t="s">
        <v>1083</v>
      </c>
      <c r="H1637" s="1" t="s">
        <v>1030</v>
      </c>
      <c r="J1637" s="1" t="s">
        <v>608</v>
      </c>
      <c r="M1637" s="15" t="s">
        <v>2140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37" s="15" t="str">
        <f>_xlfn.TEXTBEFORE(_xlfn.TEXTAFTER(CantoralDB[[#This Row],[index.html]],"&gt;"),"&gt;")&amp;"&gt;"</f>
        <v>&lt;a href="canciones/taize/alleluia_96.html"&gt;</v>
      </c>
    </row>
    <row r="1638" spans="1:23" x14ac:dyDescent="0.3">
      <c r="A1638" s="1">
        <f>ROW(CantoralDB[[#This Row],[Título]])-1</f>
        <v>1637</v>
      </c>
      <c r="B1638" s="1" t="s">
        <v>788</v>
      </c>
      <c r="C1638" s="1" t="s">
        <v>1022</v>
      </c>
      <c r="D1638" s="1" t="s">
        <v>1084</v>
      </c>
      <c r="H1638" s="1" t="s">
        <v>1030</v>
      </c>
      <c r="I1638" s="1" t="s">
        <v>2960</v>
      </c>
      <c r="J1638" s="1" t="s">
        <v>608</v>
      </c>
      <c r="M1638" s="15" t="s">
        <v>2140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38" s="15" t="str">
        <f>_xlfn.TEXTBEFORE(_xlfn.TEXTAFTER(CantoralDB[[#This Row],[index.html]],"&gt;"),"&gt;")&amp;"&gt;"</f>
        <v>&lt;a href="canciones/taize/alleluia_97.html"&gt;</v>
      </c>
    </row>
    <row r="1639" spans="1:23" x14ac:dyDescent="0.3">
      <c r="A1639" s="1">
        <f>ROW(CantoralDB[[#This Row],[Título]])-1</f>
        <v>1638</v>
      </c>
      <c r="B1639" s="1" t="s">
        <v>325</v>
      </c>
      <c r="C1639" s="1" t="s">
        <v>1022</v>
      </c>
      <c r="D1639" s="1" t="s">
        <v>1094</v>
      </c>
      <c r="H1639" s="1" t="s">
        <v>1030</v>
      </c>
      <c r="J1639" s="1" t="s">
        <v>608</v>
      </c>
      <c r="M1639" s="15" t="s">
        <v>2140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39" s="15" t="str">
        <f>_xlfn.TEXTBEFORE(_xlfn.TEXTAFTER(CantoralDB[[#This Row],[index.html]],"&gt;"),"&gt;")&amp;"&gt;"</f>
        <v>&lt;a href="canciones/taize/cantarei_ao_senhor.html"&gt;</v>
      </c>
    </row>
    <row r="1640" spans="1:23" x14ac:dyDescent="0.3">
      <c r="A1640" s="1">
        <f>ROW(CantoralDB[[#This Row],[Título]])-1</f>
        <v>1639</v>
      </c>
      <c r="B1640" s="1" t="s">
        <v>339</v>
      </c>
      <c r="C1640" s="1" t="s">
        <v>1022</v>
      </c>
      <c r="D1640" s="1" t="s">
        <v>1114</v>
      </c>
      <c r="H1640" s="1" t="s">
        <v>1030</v>
      </c>
      <c r="I1640" s="1" t="s">
        <v>2958</v>
      </c>
      <c r="J1640" s="1" t="s">
        <v>608</v>
      </c>
      <c r="M1640" s="15" t="s">
        <v>2140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40" s="15" t="str">
        <f>_xlfn.TEXTBEFORE(_xlfn.TEXTAFTER(CantoralDB[[#This Row],[index.html]],"&gt;"),"&gt;")&amp;"&gt;"</f>
        <v>&lt;a href="canciones/taize/deus_deus_meus_(canon).html"&gt;</v>
      </c>
    </row>
    <row r="1641" spans="1:23" x14ac:dyDescent="0.3">
      <c r="A1641" s="1">
        <f>ROW(CantoralDB[[#This Row],[Título]])-1</f>
        <v>1640</v>
      </c>
      <c r="B1641" s="1" t="s">
        <v>343</v>
      </c>
      <c r="C1641" s="1" t="s">
        <v>1022</v>
      </c>
      <c r="D1641" s="1" t="s">
        <v>1108</v>
      </c>
      <c r="H1641" s="1" t="s">
        <v>1030</v>
      </c>
      <c r="I1641" s="1" t="s">
        <v>2959</v>
      </c>
      <c r="J1641" s="1" t="s">
        <v>608</v>
      </c>
      <c r="M1641" s="15" t="s">
        <v>2140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41" s="15" t="str">
        <f>_xlfn.TEXTBEFORE(_xlfn.TEXTAFTER(CantoralDB[[#This Row],[index.html]],"&gt;"),"&gt;")&amp;"&gt;"</f>
        <v>&lt;a href="canciones/taize/dona_la_pace.html"&gt;</v>
      </c>
    </row>
    <row r="1642" spans="1:23" x14ac:dyDescent="0.3">
      <c r="A1642" s="1">
        <f>ROW(CantoralDB[[#This Row],[Título]])-1</f>
        <v>1641</v>
      </c>
      <c r="B1642" s="1" t="s">
        <v>344</v>
      </c>
      <c r="C1642" s="1" t="s">
        <v>1022</v>
      </c>
      <c r="D1642" s="1" t="s">
        <v>1107</v>
      </c>
      <c r="H1642" s="1" t="s">
        <v>1030</v>
      </c>
      <c r="I1642" s="1" t="s">
        <v>2959</v>
      </c>
      <c r="J1642" s="1" t="s">
        <v>608</v>
      </c>
      <c r="M1642" s="15" t="s">
        <v>2140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642" s="15" t="str">
        <f>_xlfn.TEXTBEFORE(_xlfn.TEXTAFTER(CantoralDB[[#This Row],[index.html]],"&gt;"),"&gt;")&amp;"&gt;"</f>
        <v>&lt;a href="canciones/taize/dona_nobis_pacem.html"&gt;</v>
      </c>
    </row>
    <row r="1643" spans="1:23" x14ac:dyDescent="0.3">
      <c r="A1643" s="1">
        <f>ROW(CantoralDB[[#This Row],[Título]])-1</f>
        <v>1642</v>
      </c>
      <c r="B1643" s="1" t="s">
        <v>346</v>
      </c>
      <c r="C1643" s="1" t="s">
        <v>1022</v>
      </c>
      <c r="D1643" s="1" t="s">
        <v>1118</v>
      </c>
      <c r="H1643" s="1" t="s">
        <v>1030</v>
      </c>
      <c r="I1643" s="1" t="s">
        <v>2961</v>
      </c>
      <c r="J1643" s="1" t="s">
        <v>608</v>
      </c>
      <c r="M1643" s="15" t="s">
        <v>2140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43" s="1" t="s">
        <v>798</v>
      </c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643" s="15" t="str">
        <f>_xlfn.TEXTBEFORE(_xlfn.TEXTAFTER(CantoralDB[[#This Row],[index.html]],"&gt;"),"&gt;")&amp;"&gt;"</f>
        <v>&lt;a href="canciones/taize/el_alma_que_anda_en_amor.html"&gt;</v>
      </c>
    </row>
    <row r="1644" spans="1:23" x14ac:dyDescent="0.3">
      <c r="A1644" s="1">
        <f>ROW(CantoralDB[[#This Row],[Título]])-1</f>
        <v>1643</v>
      </c>
      <c r="B1644" s="1" t="s">
        <v>349</v>
      </c>
      <c r="C1644" s="1" t="s">
        <v>1022</v>
      </c>
      <c r="D1644" s="1" t="s">
        <v>1124</v>
      </c>
      <c r="H1644" s="1" t="s">
        <v>1030</v>
      </c>
      <c r="J1644" s="1" t="s">
        <v>608</v>
      </c>
      <c r="M1644" s="15" t="s">
        <v>2140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644" s="15" t="str">
        <f>_xlfn.TEXTBEFORE(_xlfn.TEXTAFTER(CantoralDB[[#This Row],[index.html]],"&gt;"),"&gt;")&amp;"&gt;"</f>
        <v>&lt;a href="canciones/taize/esprit_consolateur.html"&gt;</v>
      </c>
    </row>
    <row r="1645" spans="1:23" x14ac:dyDescent="0.3">
      <c r="A1645" s="1">
        <f>ROW(CantoralDB[[#This Row],[Título]])-1</f>
        <v>1644</v>
      </c>
      <c r="B1645" s="1" t="s">
        <v>378</v>
      </c>
      <c r="C1645" s="1" t="s">
        <v>1022</v>
      </c>
      <c r="D1645" s="1" t="s">
        <v>1131</v>
      </c>
      <c r="H1645" s="1" t="s">
        <v>1030</v>
      </c>
      <c r="J1645" s="1" t="s">
        <v>608</v>
      </c>
      <c r="M1645" s="15" t="s">
        <v>2140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645" s="15" t="str">
        <f>_xlfn.TEXTBEFORE(_xlfn.TEXTAFTER(CantoralDB[[#This Row],[index.html]],"&gt;"),"&gt;")&amp;"&gt;"</f>
        <v>&lt;a href="canciones/taize/jesus_ma_joie.html"&gt;</v>
      </c>
    </row>
    <row r="1646" spans="1:23" x14ac:dyDescent="0.3">
      <c r="A1646" s="1">
        <f>ROW(CantoralDB[[#This Row],[Título]])-1</f>
        <v>1645</v>
      </c>
      <c r="B1646" s="1" t="s">
        <v>388</v>
      </c>
      <c r="C1646" s="1" t="s">
        <v>1022</v>
      </c>
      <c r="D1646" s="1" t="s">
        <v>1135</v>
      </c>
      <c r="H1646" s="1" t="s">
        <v>1030</v>
      </c>
      <c r="I1646" s="1" t="s">
        <v>2958</v>
      </c>
      <c r="J1646" s="1" t="s">
        <v>608</v>
      </c>
      <c r="M1646" s="15" t="s">
        <v>2140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46" s="1"/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646" s="15" t="str">
        <f>_xlfn.TEXTBEFORE(_xlfn.TEXTAFTER(CantoralDB[[#This Row],[index.html]],"&gt;"),"&gt;")&amp;"&gt;"</f>
        <v>&lt;a href="canciones/taize/kyrie_6.html"&gt;</v>
      </c>
    </row>
    <row r="1647" spans="1:23" x14ac:dyDescent="0.3">
      <c r="A1647" s="1">
        <f>ROW(CantoralDB[[#This Row],[Título]])-1</f>
        <v>1646</v>
      </c>
      <c r="B1647" s="1" t="s">
        <v>784</v>
      </c>
      <c r="C1647" s="1" t="s">
        <v>1022</v>
      </c>
      <c r="D1647" s="1" t="s">
        <v>1139</v>
      </c>
      <c r="H1647" s="1" t="s">
        <v>1030</v>
      </c>
      <c r="I1647" s="1" t="s">
        <v>2960</v>
      </c>
      <c r="J1647" s="1" t="s">
        <v>608</v>
      </c>
      <c r="M1647" s="15" t="s">
        <v>2140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647" s="15" t="str">
        <f>_xlfn.TEXTBEFORE(_xlfn.TEXTAFTER(CantoralDB[[#This Row],[index.html]],"&gt;"),"&gt;")&amp;"&gt;"</f>
        <v>&lt;a href="canciones/taize/laudate_dominum.html"&gt;</v>
      </c>
    </row>
    <row r="1648" spans="1:23" x14ac:dyDescent="0.3">
      <c r="A1648" s="1">
        <f>ROW(CantoralDB[[#This Row],[Título]])-1</f>
        <v>1647</v>
      </c>
      <c r="B1648" s="1" t="s">
        <v>428</v>
      </c>
      <c r="C1648" s="1" t="s">
        <v>1022</v>
      </c>
      <c r="D1648" s="1" t="s">
        <v>1125</v>
      </c>
      <c r="H1648" s="1" t="s">
        <v>1030</v>
      </c>
      <c r="I1648" s="1" t="s">
        <v>2960</v>
      </c>
      <c r="J1648" s="1" t="s">
        <v>608</v>
      </c>
      <c r="M1648" s="15" t="s">
        <v>2140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648" s="15" t="str">
        <f>_xlfn.TEXTBEFORE(_xlfn.TEXTAFTER(CantoralDB[[#This Row],[index.html]],"&gt;"),"&gt;")&amp;"&gt;"</f>
        <v>&lt;a href="canciones/taize/psallite_deo.html"&gt;</v>
      </c>
    </row>
    <row r="1649" spans="1:23" x14ac:dyDescent="0.3">
      <c r="A1649" s="1">
        <f>ROW(CantoralDB[[#This Row],[Título]])-1</f>
        <v>1648</v>
      </c>
      <c r="B1649" s="1" t="s">
        <v>367</v>
      </c>
      <c r="C1649" s="1" t="s">
        <v>1022</v>
      </c>
      <c r="D1649" s="1" t="s">
        <v>1127</v>
      </c>
      <c r="H1649" s="1" t="s">
        <v>1027</v>
      </c>
      <c r="I1649" s="1" t="s">
        <v>2961</v>
      </c>
      <c r="J1649" s="1" t="s">
        <v>608</v>
      </c>
      <c r="M1649" s="15" t="s">
        <v>2140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649" s="15" t="str">
        <f>_xlfn.TEXTBEFORE(_xlfn.TEXTAFTER(CantoralDB[[#This Row],[index.html]],"&gt;"),"&gt;")&amp;"&gt;"</f>
        <v>&lt;a href="canciones/taize/i_am_sure_i_shall_see.html"&gt;</v>
      </c>
    </row>
    <row r="1650" spans="1:23" x14ac:dyDescent="0.3">
      <c r="A1650" s="1">
        <f>ROW(CantoralDB[[#This Row],[Título]])-1</f>
        <v>1649</v>
      </c>
      <c r="B1650" s="1" t="s">
        <v>383</v>
      </c>
      <c r="C1650" s="1" t="s">
        <v>1022</v>
      </c>
      <c r="D1650" s="1" t="s">
        <v>1074</v>
      </c>
      <c r="H1650" s="1" t="s">
        <v>1027</v>
      </c>
      <c r="I1650" s="1" t="s">
        <v>2960</v>
      </c>
      <c r="J1650" s="1" t="s">
        <v>608</v>
      </c>
      <c r="M1650" s="15" t="s">
        <v>2140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650" s="15" t="str">
        <f>_xlfn.TEXTBEFORE(_xlfn.TEXTAFTER(CantoralDB[[#This Row],[index.html]],"&gt;"),"&gt;")&amp;"&gt;"</f>
        <v>&lt;a href="canciones/taize/jubilate_deo.html"&gt;</v>
      </c>
    </row>
    <row r="1651" spans="1:23" x14ac:dyDescent="0.3">
      <c r="A1651" s="1">
        <f>ROW(CantoralDB[[#This Row],[Título]])-1</f>
        <v>1650</v>
      </c>
      <c r="B1651" s="1" t="s">
        <v>1026</v>
      </c>
      <c r="C1651" s="1" t="s">
        <v>1022</v>
      </c>
      <c r="D1651" s="1" t="s">
        <v>1112</v>
      </c>
      <c r="H1651" s="1" t="s">
        <v>1027</v>
      </c>
      <c r="I1651" s="1" t="s">
        <v>2961</v>
      </c>
      <c r="J1651" s="1" t="s">
        <v>608</v>
      </c>
      <c r="M1651" s="15" t="s">
        <v>2140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651" s="15" t="str">
        <f>_xlfn.TEXTBEFORE(_xlfn.TEXTAFTER(CantoralDB[[#This Row],[index.html]],"&gt;"),"&gt;")&amp;"&gt;"</f>
        <v>&lt;a href="canciones/taize/v_tebi_je_izvir_življenja.html"&gt;</v>
      </c>
    </row>
    <row r="1652" spans="1:23" x14ac:dyDescent="0.3">
      <c r="A1652" s="1">
        <f>ROW(CantoralDB[[#This Row],[Título]])-1</f>
        <v>1651</v>
      </c>
      <c r="B1652" s="1" t="s">
        <v>466</v>
      </c>
      <c r="C1652" s="1" t="s">
        <v>1022</v>
      </c>
      <c r="D1652" s="1" t="s">
        <v>1152</v>
      </c>
      <c r="H1652" s="1" t="s">
        <v>1027</v>
      </c>
      <c r="I1652" s="1" t="s">
        <v>2961</v>
      </c>
      <c r="J1652" s="1" t="s">
        <v>608</v>
      </c>
      <c r="M1652" s="15" t="s">
        <v>2140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652" s="15" t="str">
        <f>_xlfn.TEXTBEFORE(_xlfn.TEXTAFTER(CantoralDB[[#This Row],[index.html]],"&gt;"),"&gt;")&amp;"&gt;"</f>
        <v>&lt;a href="canciones/taize/vieni_spirito_creatore_(canon).html"&gt;</v>
      </c>
    </row>
    <row r="1653" spans="1:23" x14ac:dyDescent="0.3">
      <c r="A1653" s="1">
        <f>ROW(CantoralDB[[#This Row],[Título]])-1</f>
        <v>1652</v>
      </c>
      <c r="B1653" s="1" t="s">
        <v>471</v>
      </c>
      <c r="C1653" s="1" t="s">
        <v>1022</v>
      </c>
      <c r="D1653" s="1" t="s">
        <v>1075</v>
      </c>
      <c r="H1653" s="1" t="s">
        <v>1027</v>
      </c>
      <c r="I1653" s="1" t="s">
        <v>2961</v>
      </c>
      <c r="J1653" s="1" t="s">
        <v>608</v>
      </c>
      <c r="M1653" s="15" t="s">
        <v>2140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653" s="15" t="str">
        <f>_xlfn.TEXTBEFORE(_xlfn.TEXTAFTER(CantoralDB[[#This Row],[index.html]],"&gt;"),"&gt;")&amp;"&gt;"</f>
        <v>&lt;a href="canciones/taize/wysławiajcie_pana.html"&gt;</v>
      </c>
    </row>
    <row r="1654" spans="1:23" x14ac:dyDescent="0.3">
      <c r="A1654" s="1">
        <f>ROW(CantoralDB[[#This Row],[Título]])-1</f>
        <v>1653</v>
      </c>
      <c r="B1654" s="1" t="s">
        <v>294</v>
      </c>
      <c r="C1654" s="1" t="s">
        <v>1022</v>
      </c>
      <c r="D1654" s="1" t="s">
        <v>1081</v>
      </c>
      <c r="H1654" s="1" t="s">
        <v>1028</v>
      </c>
      <c r="J1654" s="1" t="s">
        <v>608</v>
      </c>
      <c r="M1654" s="15" t="s">
        <v>2140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654" s="15" t="str">
        <f>_xlfn.TEXTBEFORE(_xlfn.TEXTAFTER(CantoralDB[[#This Row],[index.html]],"&gt;"),"&gt;")&amp;"&gt;"</f>
        <v>&lt;a href="canciones/taize/alleluia_7.html"&gt;</v>
      </c>
    </row>
    <row r="1655" spans="1:23" x14ac:dyDescent="0.3">
      <c r="A1655" s="1">
        <f>ROW(CantoralDB[[#This Row],[Título]])-1</f>
        <v>1654</v>
      </c>
      <c r="B1655" s="1" t="s">
        <v>314</v>
      </c>
      <c r="C1655" s="1" t="s">
        <v>1022</v>
      </c>
      <c r="D1655" s="1" t="s">
        <v>1088</v>
      </c>
      <c r="H1655" s="1" t="s">
        <v>1028</v>
      </c>
      <c r="I1655" s="1" t="s">
        <v>2961</v>
      </c>
      <c r="J1655" s="1" t="s">
        <v>608</v>
      </c>
      <c r="M1655" s="15" t="s">
        <v>2140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655" s="15" t="str">
        <f>_xlfn.TEXTBEFORE(_xlfn.TEXTAFTER(CantoralDB[[#This Row],[index.html]],"&gt;"),"&gt;")&amp;"&gt;"</f>
        <v>&lt;a href="canciones/taize/benedictus_qui_venit_(canon).html"&gt;</v>
      </c>
    </row>
    <row r="1656" spans="1:23" x14ac:dyDescent="0.3">
      <c r="A1656" s="1">
        <f>ROW(CantoralDB[[#This Row],[Título]])-1</f>
        <v>1655</v>
      </c>
      <c r="B1656" s="1" t="s">
        <v>333</v>
      </c>
      <c r="C1656" s="1" t="s">
        <v>1022</v>
      </c>
      <c r="D1656" s="1" t="s">
        <v>1104</v>
      </c>
      <c r="H1656" s="1" t="s">
        <v>1028</v>
      </c>
      <c r="I1656" s="1" t="s">
        <v>2961</v>
      </c>
      <c r="J1656" s="1" t="s">
        <v>608</v>
      </c>
      <c r="M1656" s="15" t="s">
        <v>2140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56" s="1"/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656" s="15" t="str">
        <f>_xlfn.TEXTBEFORE(_xlfn.TEXTAFTER(CantoralDB[[#This Row],[index.html]],"&gt;"),"&gt;")&amp;"&gt;"</f>
        <v>&lt;a href="canciones/taize/crucem_tuam.html"&gt;</v>
      </c>
    </row>
    <row r="1657" spans="1:23" x14ac:dyDescent="0.3">
      <c r="A1657" s="1">
        <f>ROW(CantoralDB[[#This Row],[Título]])-1</f>
        <v>1656</v>
      </c>
      <c r="B1657" s="1" t="s">
        <v>368</v>
      </c>
      <c r="C1657" s="1" t="s">
        <v>1022</v>
      </c>
      <c r="D1657" s="1" t="s">
        <v>1128</v>
      </c>
      <c r="H1657" s="1" t="s">
        <v>1028</v>
      </c>
      <c r="I1657" s="1" t="s">
        <v>2961</v>
      </c>
      <c r="J1657" s="1" t="s">
        <v>608</v>
      </c>
      <c r="M1657" s="15" t="s">
        <v>2140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657" s="15" t="str">
        <f>_xlfn.TEXTBEFORE(_xlfn.TEXTAFTER(CantoralDB[[#This Row],[index.html]],"&gt;"),"&gt;")&amp;"&gt;"</f>
        <v>&lt;a href="canciones/taize/iedere_nacht_verlang_ik.html"&gt;</v>
      </c>
    </row>
    <row r="1658" spans="1:23" x14ac:dyDescent="0.3">
      <c r="A1658" s="1">
        <f>ROW(CantoralDB[[#This Row],[Título]])-1</f>
        <v>1657</v>
      </c>
      <c r="B1658" s="1" t="s">
        <v>437</v>
      </c>
      <c r="C1658" s="1" t="s">
        <v>1022</v>
      </c>
      <c r="D1658" s="1" t="s">
        <v>1148</v>
      </c>
      <c r="H1658" s="1" t="s">
        <v>1028</v>
      </c>
      <c r="I1658" s="1" t="s">
        <v>2961</v>
      </c>
      <c r="J1658" s="1" t="s">
        <v>608</v>
      </c>
      <c r="M1658" s="15" t="s">
        <v>2140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58" s="1" t="s">
        <v>982</v>
      </c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658" s="15" t="str">
        <f>_xlfn.TEXTBEFORE(_xlfn.TEXTAFTER(CantoralDB[[#This Row],[index.html]],"&gt;"),"&gt;")&amp;"&gt;"</f>
        <v>&lt;a href="canciones/taize/señor_que_florezca_tu_justicia.html"&gt;</v>
      </c>
    </row>
    <row r="1659" spans="1:23" x14ac:dyDescent="0.3">
      <c r="A1659" s="1">
        <f>ROW(CantoralDB[[#This Row],[Título]])-1</f>
        <v>1658</v>
      </c>
      <c r="B1659" s="1" t="s">
        <v>449</v>
      </c>
      <c r="C1659" s="1" t="s">
        <v>1022</v>
      </c>
      <c r="D1659" s="1" t="s">
        <v>1119</v>
      </c>
      <c r="H1659" s="1" t="s">
        <v>1028</v>
      </c>
      <c r="I1659" s="1" t="s">
        <v>2961</v>
      </c>
      <c r="J1659" s="1" t="s">
        <v>608</v>
      </c>
      <c r="M1659" s="15" t="s">
        <v>2140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659" s="15" t="str">
        <f>_xlfn.TEXTBEFORE(_xlfn.TEXTAFTER(CantoralDB[[#This Row],[index.html]],"&gt;"),"&gt;")&amp;"&gt;"</f>
        <v>&lt;a href="canciones/taize/the_kingdom_of_god.html"&gt;</v>
      </c>
    </row>
    <row r="1660" spans="1:23" x14ac:dyDescent="0.3">
      <c r="A1660" s="1">
        <f>ROW(CantoralDB[[#This Row],[Título]])-1</f>
        <v>1659</v>
      </c>
      <c r="B1660" s="1" t="s">
        <v>455</v>
      </c>
      <c r="C1660" s="1" t="s">
        <v>1022</v>
      </c>
      <c r="D1660" s="1" t="s">
        <v>1151</v>
      </c>
      <c r="H1660" s="1" t="s">
        <v>1028</v>
      </c>
      <c r="I1660" s="1" t="s">
        <v>2961</v>
      </c>
      <c r="J1660" s="1" t="s">
        <v>608</v>
      </c>
      <c r="M1660" s="15" t="s">
        <v>2140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660" s="15" t="str">
        <f>_xlfn.TEXTBEFORE(_xlfn.TEXTAFTER(CantoralDB[[#This Row],[index.html]],"&gt;"),"&gt;")&amp;"&gt;"</f>
        <v>&lt;a href="canciones/taize/tui_amoris.html"&gt;</v>
      </c>
    </row>
    <row r="1661" spans="1:23" x14ac:dyDescent="0.3">
      <c r="A1661" s="1">
        <f>ROW(CantoralDB[[#This Row],[Título]])-1</f>
        <v>1660</v>
      </c>
      <c r="B1661" s="1" t="s">
        <v>329</v>
      </c>
      <c r="C1661" s="1" t="s">
        <v>1022</v>
      </c>
      <c r="D1661" s="1" t="s">
        <v>1097</v>
      </c>
      <c r="H1661" s="1" t="s">
        <v>1027</v>
      </c>
      <c r="I1661" s="1" t="s">
        <v>2960</v>
      </c>
      <c r="J1661" s="1" t="s">
        <v>608</v>
      </c>
      <c r="M1661" s="15" t="s">
        <v>2140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661" s="15" t="str">
        <f>_xlfn.TEXTBEFORE(_xlfn.TEXTAFTER(CantoralDB[[#This Row],[index.html]],"&gt;"),"&gt;")&amp;"&gt;"</f>
        <v>&lt;a href="canciones/taize/christe_lux_mundi.html"&gt;</v>
      </c>
    </row>
    <row r="1662" spans="1:23" x14ac:dyDescent="0.3">
      <c r="A1662" s="1">
        <f>ROW(CantoralDB[[#This Row],[Título]])-1</f>
        <v>1661</v>
      </c>
      <c r="B1662" s="1" t="s">
        <v>369</v>
      </c>
      <c r="C1662" s="1" t="s">
        <v>1022</v>
      </c>
      <c r="D1662" s="1" t="s">
        <v>1121</v>
      </c>
      <c r="H1662" s="1" t="s">
        <v>1027</v>
      </c>
      <c r="I1662" s="1" t="s">
        <v>2961</v>
      </c>
      <c r="J1662" s="1" t="s">
        <v>608</v>
      </c>
      <c r="M1662" s="15" t="s">
        <v>2140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662" s="15" t="str">
        <f>_xlfn.TEXTBEFORE(_xlfn.TEXTAFTER(CantoralDB[[#This Row],[index.html]],"&gt;"),"&gt;")&amp;"&gt;"</f>
        <v>&lt;a href="canciones/taize/il_signore_ti_ristora.html"&gt;</v>
      </c>
    </row>
    <row r="1663" spans="1:23" x14ac:dyDescent="0.3">
      <c r="A1663" s="1">
        <f>ROW(CantoralDB[[#This Row],[Título]])-1</f>
        <v>1662</v>
      </c>
      <c r="B1663" s="1" t="s">
        <v>297</v>
      </c>
      <c r="C1663" s="1" t="s">
        <v>1022</v>
      </c>
      <c r="D1663" s="1" t="s">
        <v>1078</v>
      </c>
      <c r="H1663" s="1" t="s">
        <v>1030</v>
      </c>
      <c r="I1663" s="1" t="s">
        <v>2958</v>
      </c>
      <c r="J1663" s="1" t="s">
        <v>608</v>
      </c>
      <c r="M1663" s="15" t="s">
        <v>2140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663" s="15" t="str">
        <f>_xlfn.TEXTBEFORE(_xlfn.TEXTAFTER(CantoralDB[[#This Row],[index.html]],"&gt;"),"&gt;")&amp;"&gt;"</f>
        <v>&lt;a href="canciones/taize/alleluia_11.html"&gt;</v>
      </c>
    </row>
    <row r="1664" spans="1:23" x14ac:dyDescent="0.3">
      <c r="A1664" s="1">
        <f>ROW(CantoralDB[[#This Row],[Título]])-1</f>
        <v>1663</v>
      </c>
      <c r="B1664" s="1" t="s">
        <v>320</v>
      </c>
      <c r="C1664" s="1" t="s">
        <v>1022</v>
      </c>
      <c r="D1664" s="1" t="s">
        <v>1091</v>
      </c>
      <c r="H1664" s="1" t="s">
        <v>1030</v>
      </c>
      <c r="I1664" s="1" t="s">
        <v>2961</v>
      </c>
      <c r="J1664" s="1" t="s">
        <v>608</v>
      </c>
      <c r="M1664" s="15" t="s">
        <v>2140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664" s="15" t="str">
        <f>_xlfn.TEXTBEFORE(_xlfn.TEXTAFTER(CantoralDB[[#This Row],[index.html]],"&gt;"),"&gt;")&amp;"&gt;"</f>
        <v>&lt;a href="canciones/taize/bog_jest_miłością.html"&gt;</v>
      </c>
    </row>
    <row r="1665" spans="1:23" x14ac:dyDescent="0.3">
      <c r="A1665" s="1">
        <f>ROW(CantoralDB[[#This Row],[Título]])-1</f>
        <v>1664</v>
      </c>
      <c r="B1665" s="1" t="s">
        <v>321</v>
      </c>
      <c r="C1665" s="1" t="s">
        <v>1022</v>
      </c>
      <c r="D1665" s="1" t="s">
        <v>1092</v>
      </c>
      <c r="H1665" s="1" t="s">
        <v>1030</v>
      </c>
      <c r="J1665" s="1" t="s">
        <v>608</v>
      </c>
      <c r="M1665" s="15" t="s">
        <v>2140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665" s="15" t="str">
        <f>_xlfn.TEXTBEFORE(_xlfn.TEXTAFTER(CantoralDB[[#This Row],[index.html]],"&gt;"),"&gt;")&amp;"&gt;"</f>
        <v>&lt;a href="canciones/taize/bogoroditse_dievo_1.html"&gt;</v>
      </c>
    </row>
    <row r="1666" spans="1:23" x14ac:dyDescent="0.3">
      <c r="A1666" s="1">
        <f>ROW(CantoralDB[[#This Row],[Título]])-1</f>
        <v>1665</v>
      </c>
      <c r="B1666" s="1" t="s">
        <v>327</v>
      </c>
      <c r="C1666" s="1" t="s">
        <v>1022</v>
      </c>
      <c r="D1666" s="1" t="s">
        <v>1095</v>
      </c>
      <c r="H1666" s="1" t="s">
        <v>1030</v>
      </c>
      <c r="J1666" s="1" t="s">
        <v>608</v>
      </c>
      <c r="M1666" s="15" t="s">
        <v>2140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66" s="1"/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666" s="15" t="str">
        <f>_xlfn.TEXTBEFORE(_xlfn.TEXTAFTER(CantoralDB[[#This Row],[index.html]],"&gt;"),"&gt;")&amp;"&gt;"</f>
        <v>&lt;a href="canciones/taize/cantate_domino_canticum_novum.html"&gt;</v>
      </c>
    </row>
    <row r="1667" spans="1:23" x14ac:dyDescent="0.3">
      <c r="A1667" s="1">
        <f>ROW(CantoralDB[[#This Row],[Título]])-1</f>
        <v>1666</v>
      </c>
      <c r="B1667" s="1" t="s">
        <v>276</v>
      </c>
      <c r="C1667" s="1" t="s">
        <v>1022</v>
      </c>
      <c r="D1667" s="1" t="s">
        <v>1116</v>
      </c>
      <c r="H1667" s="1" t="s">
        <v>1030</v>
      </c>
      <c r="J1667" s="1" t="s">
        <v>608</v>
      </c>
      <c r="M1667" s="15" t="s">
        <v>2140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667" s="15" t="str">
        <f>_xlfn.TEXTBEFORE(_xlfn.TEXTAFTER(CantoralDB[[#This Row],[index.html]],"&gt;"),"&gt;")&amp;"&gt;"</f>
        <v>&lt;a href="canciones/taize/herre_visa_mig_vägen.html"&gt;</v>
      </c>
    </row>
    <row r="1668" spans="1:23" x14ac:dyDescent="0.3">
      <c r="A1668" s="1">
        <f>ROW(CantoralDB[[#This Row],[Título]])-1</f>
        <v>1667</v>
      </c>
      <c r="B1668" s="1" t="s">
        <v>363</v>
      </c>
      <c r="C1668" s="1" t="s">
        <v>1022</v>
      </c>
      <c r="D1668" s="1" t="s">
        <v>1126</v>
      </c>
      <c r="H1668" s="1" t="s">
        <v>1030</v>
      </c>
      <c r="I1668" s="1" t="s">
        <v>2959</v>
      </c>
      <c r="J1668" s="1" t="s">
        <v>608</v>
      </c>
      <c r="M1668" s="15" t="s">
        <v>2140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68" s="1"/>
      <c r="T1668" s="1"/>
      <c r="U1668" s="15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668" s="15" t="str">
        <f>_xlfn.TEXTBEFORE(_xlfn.TEXTAFTER(CantoralDB[[#This Row],[index.html]],"&gt;"),"&gt;")&amp;"&gt;"</f>
        <v>&lt;a href="canciones/taize/heureux_qui_s’abandonne_à_toi.html"&gt;</v>
      </c>
    </row>
    <row r="1669" spans="1:23" x14ac:dyDescent="0.3">
      <c r="A1669" s="1">
        <f>ROW(CantoralDB[[#This Row],[Título]])-1</f>
        <v>1668</v>
      </c>
      <c r="B1669" s="1" t="s">
        <v>386</v>
      </c>
      <c r="C1669" s="1" t="s">
        <v>1022</v>
      </c>
      <c r="D1669" s="1" t="s">
        <v>1133</v>
      </c>
      <c r="H1669" s="1" t="s">
        <v>1030</v>
      </c>
      <c r="J1669" s="1" t="s">
        <v>608</v>
      </c>
      <c r="M1669" s="15" t="s">
        <v>2140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669" s="15" t="str">
        <f>_xlfn.TEXTBEFORE(_xlfn.TEXTAFTER(CantoralDB[[#This Row],[index.html]],"&gt;"),"&gt;")&amp;"&gt;"</f>
        <v>&lt;a href="canciones/taize/kyrie_1.html"&gt;</v>
      </c>
    </row>
    <row r="1670" spans="1:23" x14ac:dyDescent="0.3">
      <c r="A1670" s="1">
        <f>ROW(CantoralDB[[#This Row],[Título]])-1</f>
        <v>1669</v>
      </c>
      <c r="B1670" s="1" t="s">
        <v>420</v>
      </c>
      <c r="C1670" s="1" t="s">
        <v>1022</v>
      </c>
      <c r="D1670" s="1" t="s">
        <v>1111</v>
      </c>
      <c r="H1670" s="1" t="s">
        <v>1030</v>
      </c>
      <c r="J1670" s="1" t="s">
        <v>608</v>
      </c>
      <c r="M1670" s="15" t="s">
        <v>2140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70" s="1"/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670" s="15" t="str">
        <f>_xlfn.TEXTBEFORE(_xlfn.TEXTAFTER(CantoralDB[[#This Row],[index.html]],"&gt;"),"&gt;")&amp;"&gt;"</f>
        <v>&lt;a href="canciones/taize/nunc_dimittis.html"&gt;</v>
      </c>
    </row>
    <row r="1671" spans="1:23" x14ac:dyDescent="0.3">
      <c r="A1671" s="1">
        <f>ROW(CantoralDB[[#This Row],[Título]])-1</f>
        <v>1670</v>
      </c>
      <c r="B1671" s="1" t="s">
        <v>278</v>
      </c>
      <c r="C1671" s="1" t="s">
        <v>1022</v>
      </c>
      <c r="D1671" s="1" t="s">
        <v>1072</v>
      </c>
      <c r="H1671" s="1" t="s">
        <v>1043</v>
      </c>
      <c r="I1671" s="1" t="s">
        <v>2961</v>
      </c>
      <c r="J1671" s="1" t="s">
        <v>608</v>
      </c>
      <c r="M1671" s="15" t="s">
        <v>2140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71" s="1"/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671" s="15" t="str">
        <f>_xlfn.TEXTBEFORE(_xlfn.TEXTAFTER(CantoralDB[[#This Row],[index.html]],"&gt;"),"&gt;")&amp;"&gt;"</f>
        <v>&lt;a href="canciones/taize/ad_te_jesu_christe.html"&gt;</v>
      </c>
    </row>
    <row r="1672" spans="1:23" x14ac:dyDescent="0.3">
      <c r="A1672" s="1">
        <f>ROW(CantoralDB[[#This Row],[Título]])-1</f>
        <v>1671</v>
      </c>
      <c r="B1672" s="1" t="s">
        <v>130</v>
      </c>
      <c r="C1672" s="1" t="s">
        <v>196</v>
      </c>
      <c r="D1672" s="1" t="s">
        <v>1462</v>
      </c>
      <c r="E1672" s="1">
        <v>457</v>
      </c>
      <c r="G1672" s="1" t="s">
        <v>209</v>
      </c>
      <c r="H1672" s="1" t="s">
        <v>531</v>
      </c>
      <c r="I1672" s="1" t="s">
        <v>2961</v>
      </c>
      <c r="J1672" s="1" t="s">
        <v>608</v>
      </c>
      <c r="M1672" s="15" t="s">
        <v>525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672" s="15" t="str">
        <f>_xlfn.TEXTBEFORE(_xlfn.TEXTAFTER(CantoralDB[[#This Row],[index.html]],"&gt;"),"&gt;")&amp;"&gt;"</f>
        <v>&lt;a href="canciones/nsb/santo_(the_beatles).html"&gt;</v>
      </c>
    </row>
    <row r="1673" spans="1:23" x14ac:dyDescent="0.3">
      <c r="A1673" s="1">
        <f>ROW(CantoralDB[[#This Row],[Título]])-1</f>
        <v>1672</v>
      </c>
      <c r="B1673" s="1" t="s">
        <v>1266</v>
      </c>
      <c r="C1673" s="1"/>
      <c r="E1673" s="1">
        <v>146</v>
      </c>
      <c r="H1673" s="1" t="s">
        <v>1027</v>
      </c>
      <c r="J1673" s="1" t="s">
        <v>608</v>
      </c>
      <c r="M1673" s="15" t="s">
        <v>538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673" s="15" t="str">
        <f>_xlfn.TEXTBEFORE(_xlfn.TEXTAFTER(CantoralDB[[#This Row],[index.html]],"&gt;"),"&gt;")&amp;"&gt;"</f>
        <v>&lt;a href="canciones/nsb/junto_a_ti_al_caer_de_la_tarde.html"&gt;</v>
      </c>
    </row>
    <row r="1674" spans="1:23" x14ac:dyDescent="0.3">
      <c r="A1674" s="1">
        <f>ROW(CantoralDB[[#This Row],[Título]])-1</f>
        <v>1673</v>
      </c>
      <c r="B1674" s="1" t="s">
        <v>249</v>
      </c>
      <c r="C1674" s="1" t="s">
        <v>202</v>
      </c>
      <c r="D1674" s="1" t="s">
        <v>1402</v>
      </c>
      <c r="G1674" s="1" t="s">
        <v>248</v>
      </c>
      <c r="H1674" s="1" t="s">
        <v>1030</v>
      </c>
      <c r="I1674" s="1" t="s">
        <v>2959</v>
      </c>
      <c r="J1674" s="1" t="s">
        <v>608</v>
      </c>
      <c r="M1674" s="15" t="s">
        <v>538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674" s="15" t="str">
        <f>_xlfn.TEXTBEFORE(_xlfn.TEXTAFTER(CantoralDB[[#This Row],[index.html]],"&gt;"),"&gt;")&amp;"&gt;"</f>
        <v>&lt;a href="canciones/nsb/cordero_de_dios_(aragües).html"&gt;</v>
      </c>
    </row>
    <row r="1675" spans="1:23" x14ac:dyDescent="0.3">
      <c r="A1675" s="1">
        <f>ROW(CantoralDB[[#This Row],[Título]])-1</f>
        <v>1674</v>
      </c>
      <c r="B1675" s="1" t="s">
        <v>203</v>
      </c>
      <c r="C1675" s="1" t="s">
        <v>191</v>
      </c>
      <c r="D1675" s="1" t="s">
        <v>760</v>
      </c>
      <c r="G1675" s="1" t="s">
        <v>209</v>
      </c>
      <c r="H1675" s="1" t="s">
        <v>1029</v>
      </c>
      <c r="J1675" s="1" t="s">
        <v>608</v>
      </c>
      <c r="M1675" s="15" t="s">
        <v>482</v>
      </c>
      <c r="N1675" s="15" t="s">
        <v>1844</v>
      </c>
      <c r="O1675" s="15">
        <v>1</v>
      </c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675" s="15" t="str">
        <f>_xlfn.TEXTBEFORE(_xlfn.TEXTAFTER(CantoralDB[[#This Row],[index.html]],"&gt;"),"&gt;")&amp;"&gt;"</f>
        <v>&lt;a href="canciones/toño_casado/ven_a_la_fiesta.html"&gt;</v>
      </c>
    </row>
    <row r="1676" spans="1:23" x14ac:dyDescent="0.3">
      <c r="A1676" s="1">
        <f>ROW(CantoralDB[[#This Row],[Título]])-1</f>
        <v>1675</v>
      </c>
      <c r="B1676" s="1" t="s">
        <v>1852</v>
      </c>
      <c r="C1676" s="1"/>
      <c r="H1676" s="1" t="s">
        <v>1027</v>
      </c>
      <c r="J1676" s="1" t="s">
        <v>608</v>
      </c>
      <c r="M1676" s="15" t="s">
        <v>482</v>
      </c>
      <c r="N1676" s="15" t="s">
        <v>1844</v>
      </c>
      <c r="O1676" s="15">
        <v>2</v>
      </c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676" s="15" t="str">
        <f>_xlfn.TEXTBEFORE(_xlfn.TEXTAFTER(CantoralDB[[#This Row],[index.html]],"&gt;"),"&gt;")&amp;"&gt;"</f>
        <v>&lt;a href="canciones/toño_casado/señor_ten_piedad_i.html"&gt;</v>
      </c>
    </row>
    <row r="1677" spans="1:23" x14ac:dyDescent="0.3">
      <c r="A1677" s="1">
        <f>ROW(CantoralDB[[#This Row],[Título]])-1</f>
        <v>1676</v>
      </c>
      <c r="B1677" s="1" t="s">
        <v>239</v>
      </c>
      <c r="C1677" s="1" t="s">
        <v>193</v>
      </c>
      <c r="D1677" s="1" t="s">
        <v>1425</v>
      </c>
      <c r="G1677" s="1" t="s">
        <v>220</v>
      </c>
      <c r="H1677" s="1" t="s">
        <v>1027</v>
      </c>
      <c r="I1677" s="1" t="s">
        <v>2961</v>
      </c>
      <c r="J1677" s="1" t="s">
        <v>608</v>
      </c>
      <c r="M1677" s="15" t="s">
        <v>482</v>
      </c>
      <c r="N1677" s="15" t="s">
        <v>1844</v>
      </c>
      <c r="O1677" s="15">
        <v>3</v>
      </c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677" s="15" t="str">
        <f>_xlfn.TEXTBEFORE(_xlfn.TEXTAFTER(CantoralDB[[#This Row],[index.html]],"&gt;"),"&gt;")&amp;"&gt;"</f>
        <v>&lt;a href="canciones/toño_casado/gloria_gloria_a_dios.html"&gt;</v>
      </c>
    </row>
    <row r="1678" spans="1:23" x14ac:dyDescent="0.3">
      <c r="A1678" s="1">
        <f>ROW(CantoralDB[[#This Row],[Título]])-1</f>
        <v>1677</v>
      </c>
      <c r="B1678" s="1" t="s">
        <v>240</v>
      </c>
      <c r="C1678" s="1" t="s">
        <v>993</v>
      </c>
      <c r="D1678" s="1" t="s">
        <v>997</v>
      </c>
      <c r="G1678" s="1" t="s">
        <v>220</v>
      </c>
      <c r="H1678" s="1" t="s">
        <v>1027</v>
      </c>
      <c r="J1678" s="1" t="s">
        <v>608</v>
      </c>
      <c r="M1678" s="15" t="s">
        <v>482</v>
      </c>
      <c r="N1678" s="15" t="s">
        <v>1844</v>
      </c>
      <c r="O1678" s="15">
        <v>4</v>
      </c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678" s="15" t="str">
        <f>_xlfn.TEXTBEFORE(_xlfn.TEXTAFTER(CantoralDB[[#This Row],[index.html]],"&gt;"),"&gt;")&amp;"&gt;"</f>
        <v>&lt;a href="canciones/toño_casado/que_tu_palabra_nos_cambie_el_corazon.html"&gt;</v>
      </c>
    </row>
    <row r="1679" spans="1:23" x14ac:dyDescent="0.3">
      <c r="A1679" s="1">
        <f>ROW(CantoralDB[[#This Row],[Título]])-1</f>
        <v>1678</v>
      </c>
      <c r="B1679" s="1" t="s">
        <v>1854</v>
      </c>
      <c r="C1679" s="1"/>
      <c r="H1679" s="1" t="s">
        <v>1029</v>
      </c>
      <c r="J1679" s="1" t="s">
        <v>608</v>
      </c>
      <c r="M1679" s="15" t="s">
        <v>482</v>
      </c>
      <c r="N1679" s="15" t="s">
        <v>1844</v>
      </c>
      <c r="O1679" s="15">
        <v>5</v>
      </c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679" s="15" t="str">
        <f>_xlfn.TEXTBEFORE(_xlfn.TEXTAFTER(CantoralDB[[#This Row],[index.html]],"&gt;"),"&gt;")&amp;"&gt;"</f>
        <v>&lt;a href="canciones/toño_casado/aleluya_i.html"&gt;</v>
      </c>
    </row>
    <row r="1680" spans="1:23" x14ac:dyDescent="0.3">
      <c r="A1680" s="1">
        <f>ROW(CantoralDB[[#This Row],[Título]])-1</f>
        <v>1679</v>
      </c>
      <c r="B1680" s="1" t="s">
        <v>1845</v>
      </c>
      <c r="C1680" s="1" t="s">
        <v>195</v>
      </c>
      <c r="D1680" s="1" t="s">
        <v>1434</v>
      </c>
      <c r="G1680" s="1" t="s">
        <v>209</v>
      </c>
      <c r="H1680" s="1" t="s">
        <v>1027</v>
      </c>
      <c r="J1680" s="1" t="s">
        <v>608</v>
      </c>
      <c r="M1680" s="15" t="s">
        <v>482</v>
      </c>
      <c r="N1680" s="15" t="s">
        <v>1844</v>
      </c>
      <c r="O1680" s="15">
        <v>6</v>
      </c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680" s="15" t="str">
        <f>_xlfn.TEXTBEFORE(_xlfn.TEXTAFTER(CantoralDB[[#This Row],[index.html]],"&gt;"),"&gt;")&amp;"&gt;"</f>
        <v>&lt;a href="canciones/toño_casado/junto_al_vino_y_al_pan.html"&gt;</v>
      </c>
    </row>
    <row r="1681" spans="1:23" x14ac:dyDescent="0.3">
      <c r="A1681" s="1">
        <f>ROW(CantoralDB[[#This Row],[Título]])-1</f>
        <v>1680</v>
      </c>
      <c r="B1681" s="1" t="s">
        <v>528</v>
      </c>
      <c r="C1681" s="1" t="s">
        <v>196</v>
      </c>
      <c r="D1681" s="1" t="s">
        <v>1460</v>
      </c>
      <c r="G1681" s="1" t="s">
        <v>220</v>
      </c>
      <c r="H1681" s="1" t="s">
        <v>531</v>
      </c>
      <c r="I1681" s="1" t="s">
        <v>2961</v>
      </c>
      <c r="J1681" s="1" t="s">
        <v>608</v>
      </c>
      <c r="M1681" s="15" t="s">
        <v>482</v>
      </c>
      <c r="N1681" s="15" t="s">
        <v>1844</v>
      </c>
      <c r="O1681" s="15">
        <v>7</v>
      </c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681" s="15" t="str">
        <f>_xlfn.TEXTBEFORE(_xlfn.TEXTAFTER(CantoralDB[[#This Row],[index.html]],"&gt;"),"&gt;")&amp;"&gt;"</f>
        <v>&lt;a href="canciones/toño_casado/santo_(estan_llenos_de_tu_amor).html"&gt;</v>
      </c>
    </row>
    <row r="1682" spans="1:23" x14ac:dyDescent="0.3">
      <c r="A1682" s="1">
        <f>ROW(CantoralDB[[#This Row],[Título]])-1</f>
        <v>1681</v>
      </c>
      <c r="B1682" s="1" t="s">
        <v>1846</v>
      </c>
      <c r="C1682" s="1"/>
      <c r="H1682" s="1" t="s">
        <v>1029</v>
      </c>
      <c r="J1682" s="1" t="s">
        <v>608</v>
      </c>
      <c r="M1682" s="15" t="s">
        <v>482</v>
      </c>
      <c r="N1682" s="15" t="s">
        <v>1844</v>
      </c>
      <c r="O1682" s="15">
        <v>8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682" s="15" t="str">
        <f>_xlfn.TEXTBEFORE(_xlfn.TEXTAFTER(CantoralDB[[#This Row],[index.html]],"&gt;"),"&gt;")&amp;"&gt;"</f>
        <v>&lt;a href="canciones/toño_casado/traeras_la_paz.html"&gt;</v>
      </c>
    </row>
    <row r="1683" spans="1:23" x14ac:dyDescent="0.3">
      <c r="A1683" s="1">
        <f>ROW(CantoralDB[[#This Row],[Título]])-1</f>
        <v>1682</v>
      </c>
      <c r="B1683" s="1" t="s">
        <v>241</v>
      </c>
      <c r="C1683" s="1" t="s">
        <v>198</v>
      </c>
      <c r="D1683" s="1" t="s">
        <v>1408</v>
      </c>
      <c r="G1683" s="1" t="s">
        <v>220</v>
      </c>
      <c r="H1683" s="1" t="s">
        <v>1029</v>
      </c>
      <c r="J1683" s="1" t="s">
        <v>608</v>
      </c>
      <c r="M1683" s="15" t="s">
        <v>482</v>
      </c>
      <c r="N1683" s="15" t="s">
        <v>1844</v>
      </c>
      <c r="O1683" s="15">
        <v>9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683" s="15" t="str">
        <f>_xlfn.TEXTBEFORE(_xlfn.TEXTAFTER(CantoralDB[[#This Row],[index.html]],"&gt;"),"&gt;")&amp;"&gt;"</f>
        <v>&lt;a href="canciones/toño_casado/da_la_paz_al_mundo.html"&gt;</v>
      </c>
    </row>
    <row r="1684" spans="1:23" x14ac:dyDescent="0.3">
      <c r="A1684" s="1">
        <f>ROW(CantoralDB[[#This Row],[Título]])-1</f>
        <v>1683</v>
      </c>
      <c r="B1684" s="1" t="s">
        <v>242</v>
      </c>
      <c r="C1684" s="1" t="s">
        <v>197</v>
      </c>
      <c r="D1684" s="1" t="s">
        <v>1447</v>
      </c>
      <c r="G1684" s="1" t="s">
        <v>220</v>
      </c>
      <c r="H1684" s="1" t="s">
        <v>531</v>
      </c>
      <c r="J1684" s="1" t="s">
        <v>608</v>
      </c>
      <c r="M1684" s="15" t="s">
        <v>482</v>
      </c>
      <c r="N1684" s="15" t="s">
        <v>1844</v>
      </c>
      <c r="O1684" s="15">
        <v>10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684" s="15" t="str">
        <f>_xlfn.TEXTBEFORE(_xlfn.TEXTAFTER(CantoralDB[[#This Row],[index.html]],"&gt;"),"&gt;")&amp;"&gt;"</f>
        <v>&lt;a href="canciones/toño_casado/padre_nuestro_padre_nuestro.html"&gt;</v>
      </c>
    </row>
    <row r="1685" spans="1:23" x14ac:dyDescent="0.3">
      <c r="A1685" s="1">
        <f>ROW(CantoralDB[[#This Row],[Título]])-1</f>
        <v>1684</v>
      </c>
      <c r="B1685" s="1" t="s">
        <v>243</v>
      </c>
      <c r="C1685" s="1" t="s">
        <v>993</v>
      </c>
      <c r="D1685" s="1" t="s">
        <v>717</v>
      </c>
      <c r="G1685" s="1" t="s">
        <v>220</v>
      </c>
      <c r="H1685" s="1" t="s">
        <v>1029</v>
      </c>
      <c r="J1685" s="1" t="s">
        <v>608</v>
      </c>
      <c r="M1685" s="15" t="s">
        <v>482</v>
      </c>
      <c r="N1685" s="15" t="s">
        <v>1844</v>
      </c>
      <c r="O1685" s="15">
        <v>11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685" s="15" t="str">
        <f>_xlfn.TEXTBEFORE(_xlfn.TEXTAFTER(CantoralDB[[#This Row],[index.html]],"&gt;"),"&gt;")&amp;"&gt;"</f>
        <v>&lt;a href="canciones/toño_casado/jesus_ven_tu.html"&gt;</v>
      </c>
    </row>
    <row r="1686" spans="1:23" x14ac:dyDescent="0.3">
      <c r="A1686" s="1">
        <f>ROW(CantoralDB[[#This Row],[Título]])-1</f>
        <v>1685</v>
      </c>
      <c r="B1686" s="1" t="s">
        <v>244</v>
      </c>
      <c r="C1686" s="1" t="s">
        <v>200</v>
      </c>
      <c r="D1686" s="1" t="s">
        <v>1047</v>
      </c>
      <c r="G1686" s="1" t="s">
        <v>220</v>
      </c>
      <c r="H1686" s="1" t="s">
        <v>1027</v>
      </c>
      <c r="J1686" s="1" t="s">
        <v>608</v>
      </c>
      <c r="M1686" s="15" t="s">
        <v>482</v>
      </c>
      <c r="N1686" s="15" t="s">
        <v>1844</v>
      </c>
      <c r="O1686" s="15">
        <v>12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686" s="15" t="str">
        <f>_xlfn.TEXTBEFORE(_xlfn.TEXTAFTER(CantoralDB[[#This Row],[index.html]],"&gt;"),"&gt;")&amp;"&gt;"</f>
        <v>&lt;a href="canciones/toño_casado/maria_maria.html"&gt;</v>
      </c>
    </row>
    <row r="1687" spans="1:23" x14ac:dyDescent="0.3">
      <c r="A1687" s="1">
        <f>ROW(CantoralDB[[#This Row],[Título]])-1</f>
        <v>1686</v>
      </c>
      <c r="B1687" s="1" t="s">
        <v>245</v>
      </c>
      <c r="C1687" s="1" t="s">
        <v>191</v>
      </c>
      <c r="D1687" s="1" t="s">
        <v>1391</v>
      </c>
      <c r="G1687" s="1" t="s">
        <v>220</v>
      </c>
      <c r="H1687" s="1" t="s">
        <v>473</v>
      </c>
      <c r="I1687" s="1" t="s">
        <v>2960</v>
      </c>
      <c r="J1687" s="1" t="s">
        <v>608</v>
      </c>
      <c r="M1687" s="15" t="s">
        <v>482</v>
      </c>
      <c r="N1687" s="15" t="s">
        <v>1850</v>
      </c>
      <c r="O1687" s="15">
        <v>1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687" s="15" t="str">
        <f>_xlfn.TEXTBEFORE(_xlfn.TEXTAFTER(CantoralDB[[#This Row],[index.html]],"&gt;"),"&gt;")&amp;"&gt;"</f>
        <v>&lt;a href="canciones/toño_casado/bienvenidos.html"&gt;</v>
      </c>
    </row>
    <row r="1688" spans="1:23" x14ac:dyDescent="0.3">
      <c r="A1688" s="1">
        <f>ROW(CantoralDB[[#This Row],[Título]])-1</f>
        <v>1687</v>
      </c>
      <c r="B1688" s="1" t="s">
        <v>1853</v>
      </c>
      <c r="C1688" s="1"/>
      <c r="H1688" s="1" t="s">
        <v>531</v>
      </c>
      <c r="J1688" s="1" t="s">
        <v>608</v>
      </c>
      <c r="M1688" s="15" t="s">
        <v>482</v>
      </c>
      <c r="N1688" s="15" t="s">
        <v>1850</v>
      </c>
      <c r="O1688" s="15">
        <v>2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688" s="15" t="str">
        <f>_xlfn.TEXTBEFORE(_xlfn.TEXTAFTER(CantoralDB[[#This Row],[index.html]],"&gt;"),"&gt;")&amp;"&gt;"</f>
        <v>&lt;a href="canciones/toño_casado/señor_ten_piedad_ii.html"&gt;</v>
      </c>
    </row>
    <row r="1689" spans="1:23" x14ac:dyDescent="0.3">
      <c r="A1689" s="1">
        <f>ROW(CantoralDB[[#This Row],[Título]])-1</f>
        <v>1688</v>
      </c>
      <c r="B1689" s="1" t="s">
        <v>2925</v>
      </c>
      <c r="C1689" s="1"/>
      <c r="H1689" s="1" t="s">
        <v>531</v>
      </c>
      <c r="J1689" s="1" t="s">
        <v>608</v>
      </c>
      <c r="M1689" s="15" t="s">
        <v>482</v>
      </c>
      <c r="N1689" s="15" t="s">
        <v>1850</v>
      </c>
      <c r="O1689" s="15">
        <v>3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689" s="15" t="str">
        <f>_xlfn.TEXTBEFORE(_xlfn.TEXTAFTER(CantoralDB[[#This Row],[index.html]],"&gt;"),"&gt;")&amp;"&gt;"</f>
        <v>&lt;a href="canciones/toño_casado/gloria_(por_pintar_amaneceres).html"&gt;</v>
      </c>
    </row>
    <row r="1690" spans="1:23" x14ac:dyDescent="0.3">
      <c r="A1690" s="1">
        <f>ROW(CantoralDB[[#This Row],[Título]])-1</f>
        <v>1689</v>
      </c>
      <c r="B1690" s="1" t="s">
        <v>1847</v>
      </c>
      <c r="C1690" s="1"/>
      <c r="H1690" s="1" t="s">
        <v>1028</v>
      </c>
      <c r="J1690" s="1" t="s">
        <v>608</v>
      </c>
      <c r="M1690" s="15" t="s">
        <v>482</v>
      </c>
      <c r="N1690" s="15" t="s">
        <v>1850</v>
      </c>
      <c r="O1690" s="15">
        <v>4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690" s="15" t="str">
        <f>_xlfn.TEXTBEFORE(_xlfn.TEXTAFTER(CantoralDB[[#This Row],[index.html]],"&gt;"),"&gt;")&amp;"&gt;"</f>
        <v>&lt;a href="canciones/toño_casado/tu_palabra_se_hace_vida.html"&gt;</v>
      </c>
    </row>
    <row r="1691" spans="1:23" x14ac:dyDescent="0.3">
      <c r="A1691" s="1">
        <f>ROW(CantoralDB[[#This Row],[Título]])-1</f>
        <v>1690</v>
      </c>
      <c r="B1691" s="1" t="s">
        <v>1855</v>
      </c>
      <c r="C1691" s="1"/>
      <c r="H1691" s="1" t="s">
        <v>1030</v>
      </c>
      <c r="J1691" s="1" t="s">
        <v>608</v>
      </c>
      <c r="M1691" s="15" t="s">
        <v>482</v>
      </c>
      <c r="N1691" s="15" t="s">
        <v>1850</v>
      </c>
      <c r="O1691" s="15">
        <v>5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691" s="15" t="str">
        <f>_xlfn.TEXTBEFORE(_xlfn.TEXTAFTER(CantoralDB[[#This Row],[index.html]],"&gt;"),"&gt;")&amp;"&gt;"</f>
        <v>&lt;a href="canciones/toño_casado/aleluya_ii.html"&gt;</v>
      </c>
    </row>
    <row r="1692" spans="1:23" x14ac:dyDescent="0.3">
      <c r="A1692" s="1">
        <f>ROW(CantoralDB[[#This Row],[Título]])-1</f>
        <v>1691</v>
      </c>
      <c r="B1692" s="1" t="s">
        <v>246</v>
      </c>
      <c r="C1692" s="1" t="s">
        <v>195</v>
      </c>
      <c r="D1692" s="1" t="s">
        <v>770</v>
      </c>
      <c r="G1692" s="1" t="s">
        <v>220</v>
      </c>
      <c r="H1692" s="1" t="s">
        <v>531</v>
      </c>
      <c r="J1692" s="1" t="s">
        <v>608</v>
      </c>
      <c r="M1692" s="15" t="s">
        <v>482</v>
      </c>
      <c r="N1692" s="15" t="s">
        <v>1850</v>
      </c>
      <c r="O1692" s="15">
        <v>6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692" s="15" t="str">
        <f>_xlfn.TEXTBEFORE(_xlfn.TEXTAFTER(CantoralDB[[#This Row],[index.html]],"&gt;"),"&gt;")&amp;"&gt;"</f>
        <v>&lt;a href="canciones/toño_casado/te_ofrecemos.html"&gt;</v>
      </c>
    </row>
    <row r="1693" spans="1:23" x14ac:dyDescent="0.3">
      <c r="A1693" s="1">
        <f>ROW(CantoralDB[[#This Row],[Título]])-1</f>
        <v>1692</v>
      </c>
      <c r="B1693" s="1" t="s">
        <v>529</v>
      </c>
      <c r="C1693" s="1" t="s">
        <v>196</v>
      </c>
      <c r="D1693" s="1" t="s">
        <v>1461</v>
      </c>
      <c r="G1693" s="1" t="s">
        <v>220</v>
      </c>
      <c r="H1693" s="1" t="s">
        <v>1027</v>
      </c>
      <c r="J1693" s="1" t="s">
        <v>608</v>
      </c>
      <c r="M1693" s="15" t="s">
        <v>482</v>
      </c>
      <c r="N1693" s="15" t="s">
        <v>1850</v>
      </c>
      <c r="O1693" s="15">
        <v>7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693" s="15" t="str">
        <f>_xlfn.TEXTBEFORE(_xlfn.TEXTAFTER(CantoralDB[[#This Row],[index.html]],"&gt;"),"&gt;")&amp;"&gt;"</f>
        <v>&lt;a href="canciones/toño_casado/santo_(hosanna_en_el_cielo_al_señor).html"&gt;</v>
      </c>
    </row>
    <row r="1694" spans="1:23" x14ac:dyDescent="0.3">
      <c r="A1694" s="1">
        <f>ROW(CantoralDB[[#This Row],[Título]])-1</f>
        <v>1693</v>
      </c>
      <c r="B1694" s="1" t="s">
        <v>2148</v>
      </c>
      <c r="C1694" s="1"/>
      <c r="H1694" s="1" t="s">
        <v>1027</v>
      </c>
      <c r="J1694" s="1" t="s">
        <v>608</v>
      </c>
      <c r="M1694" s="15" t="s">
        <v>482</v>
      </c>
      <c r="N1694" s="15" t="s">
        <v>1850</v>
      </c>
      <c r="O1694" s="15">
        <v>8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694" s="15" t="str">
        <f>_xlfn.TEXTBEFORE(_xlfn.TEXTAFTER(CantoralDB[[#This Row],[index.html]],"&gt;"),"&gt;")&amp;"&gt;"</f>
        <v>&lt;a href="canciones/toño_casado/padre_nuestro_ii.html"&gt;</v>
      </c>
    </row>
    <row r="1695" spans="1:23" x14ac:dyDescent="0.3">
      <c r="A1695" s="1">
        <f>ROW(CantoralDB[[#This Row],[Título]])-1</f>
        <v>1694</v>
      </c>
      <c r="B1695" s="1" t="s">
        <v>1198</v>
      </c>
      <c r="C1695" s="1"/>
      <c r="H1695" s="1" t="s">
        <v>531</v>
      </c>
      <c r="J1695" s="1" t="s">
        <v>608</v>
      </c>
      <c r="M1695" s="15" t="s">
        <v>482</v>
      </c>
      <c r="N1695" s="15" t="s">
        <v>1850</v>
      </c>
      <c r="O1695" s="15">
        <v>9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695" s="15" t="str">
        <f>_xlfn.TEXTBEFORE(_xlfn.TEXTAFTER(CantoralDB[[#This Row],[index.html]],"&gt;"),"&gt;")&amp;"&gt;"</f>
        <v>&lt;a href="canciones/toño_casado/danos_paz.html"&gt;</v>
      </c>
    </row>
    <row r="1696" spans="1:23" x14ac:dyDescent="0.3">
      <c r="A1696" s="1">
        <f>ROW(CantoralDB[[#This Row],[Título]])-1</f>
        <v>1695</v>
      </c>
      <c r="B1696" s="1" t="s">
        <v>1848</v>
      </c>
      <c r="C1696" s="1"/>
      <c r="H1696" s="1" t="s">
        <v>473</v>
      </c>
      <c r="J1696" s="1" t="s">
        <v>608</v>
      </c>
      <c r="M1696" s="15" t="s">
        <v>482</v>
      </c>
      <c r="N1696" s="15" t="s">
        <v>1850</v>
      </c>
      <c r="O1696" s="15">
        <v>10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696" s="15" t="str">
        <f>_xlfn.TEXTBEFORE(_xlfn.TEXTAFTER(CantoralDB[[#This Row],[index.html]],"&gt;"),"&gt;")&amp;"&gt;"</f>
        <v>&lt;a href="canciones/toño_casado/hoy_jesus_vendras_a_mi.html"&gt;</v>
      </c>
    </row>
    <row r="1697" spans="1:23" x14ac:dyDescent="0.3">
      <c r="A1697" s="1">
        <f>ROW(CantoralDB[[#This Row],[Título]])-1</f>
        <v>1696</v>
      </c>
      <c r="B1697" s="1" t="s">
        <v>1849</v>
      </c>
      <c r="C1697" s="1"/>
      <c r="H1697" s="1" t="s">
        <v>473</v>
      </c>
      <c r="J1697" s="1" t="s">
        <v>608</v>
      </c>
      <c r="M1697" s="15" t="s">
        <v>482</v>
      </c>
      <c r="N1697" s="15" t="s">
        <v>1850</v>
      </c>
      <c r="O1697" s="15">
        <v>11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697" s="15" t="str">
        <f>_xlfn.TEXTBEFORE(_xlfn.TEXTAFTER(CantoralDB[[#This Row],[index.html]],"&gt;"),"&gt;")&amp;"&gt;"</f>
        <v>&lt;a href="canciones/toño_casado/familia_de_dios.html"&gt;</v>
      </c>
    </row>
    <row r="1698" spans="1:23" x14ac:dyDescent="0.3">
      <c r="A1698" s="1">
        <f>ROW(CantoralDB[[#This Row],[Título]])-1</f>
        <v>1697</v>
      </c>
      <c r="B1698" s="1" t="s">
        <v>497</v>
      </c>
      <c r="C1698" s="1" t="s">
        <v>200</v>
      </c>
      <c r="D1698" s="1" t="s">
        <v>1387</v>
      </c>
      <c r="G1698" s="1" t="s">
        <v>220</v>
      </c>
      <c r="H1698" s="1" t="s">
        <v>1030</v>
      </c>
      <c r="I1698" s="1" t="s">
        <v>2961</v>
      </c>
      <c r="J1698" s="1" t="s">
        <v>608</v>
      </c>
      <c r="M1698" s="15" t="s">
        <v>482</v>
      </c>
      <c r="N1698" s="15" t="s">
        <v>1851</v>
      </c>
      <c r="O1698" s="15">
        <v>1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698" s="15" t="str">
        <f>_xlfn.TEXTBEFORE(_xlfn.TEXTAFTER(CantoralDB[[#This Row],[index.html]],"&gt;"),"&gt;")&amp;"&gt;"</f>
        <v>&lt;a href="canciones/toño_casado/ave_maria.html"&gt;</v>
      </c>
    </row>
    <row r="1699" spans="1:23" x14ac:dyDescent="0.3">
      <c r="A1699" s="1">
        <f>ROW(CantoralDB[[#This Row],[Título]])-1</f>
        <v>1698</v>
      </c>
      <c r="B1699" s="1" t="s">
        <v>173</v>
      </c>
      <c r="C1699" s="1" t="s">
        <v>993</v>
      </c>
      <c r="D1699" s="1" t="s">
        <v>684</v>
      </c>
      <c r="G1699" s="1" t="s">
        <v>209</v>
      </c>
      <c r="H1699" s="1" t="s">
        <v>1030</v>
      </c>
      <c r="J1699" s="1" t="s">
        <v>608</v>
      </c>
      <c r="M1699" s="15" t="s">
        <v>482</v>
      </c>
      <c r="N1699" s="15" t="s">
        <v>1851</v>
      </c>
      <c r="O1699" s="15">
        <v>2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699" s="1" t="s">
        <v>809</v>
      </c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699" s="15" t="str">
        <f>_xlfn.TEXTBEFORE(_xlfn.TEXTAFTER(CantoralDB[[#This Row],[index.html]],"&gt;"),"&gt;")&amp;"&gt;"</f>
        <v>&lt;a href="canciones/toño_casado/bienaventuranzas_(33_el_musical).html"&gt;</v>
      </c>
    </row>
    <row r="1700" spans="1:23" x14ac:dyDescent="0.3">
      <c r="A1700" s="1">
        <f>ROW(CantoralDB[[#This Row],[Título]])-1</f>
        <v>1699</v>
      </c>
      <c r="B1700" s="1" t="s">
        <v>178</v>
      </c>
      <c r="C1700" s="1" t="s">
        <v>219</v>
      </c>
      <c r="D1700" s="1" t="s">
        <v>1412</v>
      </c>
      <c r="G1700" s="1" t="s">
        <v>209</v>
      </c>
      <c r="H1700" s="1" t="s">
        <v>531</v>
      </c>
      <c r="J1700" s="1" t="s">
        <v>608</v>
      </c>
      <c r="M1700" s="15" t="s">
        <v>482</v>
      </c>
      <c r="N1700" s="15" t="s">
        <v>1851</v>
      </c>
      <c r="O1700" s="15">
        <v>3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00" s="1" t="s">
        <v>823</v>
      </c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700" s="15" t="str">
        <f>_xlfn.TEXTBEFORE(_xlfn.TEXTAFTER(CantoralDB[[#This Row],[index.html]],"&gt;"),"&gt;")&amp;"&gt;"</f>
        <v>&lt;a href="canciones/toño_casado/el_espiritu_de_dios_(33_el_musical).html"&gt;</v>
      </c>
    </row>
    <row r="1701" spans="1:23" x14ac:dyDescent="0.3">
      <c r="A1701" s="1">
        <f>ROW(CantoralDB[[#This Row],[Título]])-1</f>
        <v>1700</v>
      </c>
      <c r="B1701" s="1" t="s">
        <v>218</v>
      </c>
      <c r="C1701" s="1" t="s">
        <v>200</v>
      </c>
      <c r="D1701" s="1" t="s">
        <v>1056</v>
      </c>
      <c r="G1701" s="1" t="s">
        <v>220</v>
      </c>
      <c r="H1701" s="1" t="s">
        <v>1043</v>
      </c>
      <c r="J1701" s="1" t="s">
        <v>608</v>
      </c>
      <c r="M1701" s="15" t="s">
        <v>482</v>
      </c>
      <c r="N1701" s="15" t="s">
        <v>1851</v>
      </c>
      <c r="O1701" s="15">
        <v>4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01" s="15" t="str">
        <f>_xlfn.TEXTBEFORE(_xlfn.TEXTAFTER(CantoralDB[[#This Row],[index.html]],"&gt;"),"&gt;")&amp;"&gt;"</f>
        <v>&lt;a href="canciones/toño_casado/siempre_estuviste_aqui_(almudena).html"&gt;</v>
      </c>
    </row>
    <row r="1702" spans="1:23" x14ac:dyDescent="0.3">
      <c r="A1702" s="1">
        <f>ROW(CantoralDB[[#This Row],[Título]])-1</f>
        <v>1701</v>
      </c>
      <c r="B1702" s="1" t="s">
        <v>496</v>
      </c>
      <c r="C1702" s="1" t="s">
        <v>191</v>
      </c>
      <c r="D1702" s="1" t="s">
        <v>762</v>
      </c>
      <c r="G1702" s="1" t="s">
        <v>220</v>
      </c>
      <c r="H1702" s="1" t="s">
        <v>531</v>
      </c>
      <c r="I1702" s="1" t="s">
        <v>2961</v>
      </c>
      <c r="J1702" s="1" t="s">
        <v>608</v>
      </c>
      <c r="M1702" s="15" t="s">
        <v>482</v>
      </c>
      <c r="N1702" s="15" t="s">
        <v>1851</v>
      </c>
      <c r="O1702" s="15">
        <v>5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02" s="15" t="str">
        <f>_xlfn.TEXTBEFORE(_xlfn.TEXTAFTER(CantoralDB[[#This Row],[index.html]],"&gt;"),"&gt;")&amp;"&gt;"</f>
        <v>&lt;a href="canciones/toño_casado/viviremos_firmes_en_la_fe.html"&gt;</v>
      </c>
    </row>
    <row r="1703" spans="1:23" x14ac:dyDescent="0.3">
      <c r="A1703" s="1">
        <f>ROW(CantoralDB[[#This Row],[Título]])-1</f>
        <v>1702</v>
      </c>
      <c r="B1703" s="1" t="s">
        <v>2927</v>
      </c>
      <c r="C1703" s="1"/>
      <c r="H1703" s="1" t="s">
        <v>1027</v>
      </c>
      <c r="J1703" s="1" t="s">
        <v>608</v>
      </c>
      <c r="M1703" s="15" t="s">
        <v>482</v>
      </c>
      <c r="N1703" s="15" t="s">
        <v>2926</v>
      </c>
      <c r="O1703" s="15">
        <v>0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03" s="15" t="str">
        <f>_xlfn.TEXTBEFORE(_xlfn.TEXTAFTER(CantoralDB[[#This Row],[index.html]],"&gt;"),"&gt;")&amp;"&gt;"</f>
        <v>&lt;a href="canciones/toño_casado/via_crucis_introduccion.html"&gt;</v>
      </c>
    </row>
    <row r="1704" spans="1:23" x14ac:dyDescent="0.3">
      <c r="A1704" s="1">
        <f>ROW(CantoralDB[[#This Row],[Título]])-1</f>
        <v>1703</v>
      </c>
      <c r="B1704" s="1" t="s">
        <v>2928</v>
      </c>
      <c r="C1704" s="1"/>
      <c r="H1704" s="1" t="s">
        <v>1027</v>
      </c>
      <c r="J1704" s="1" t="s">
        <v>608</v>
      </c>
      <c r="M1704" s="15" t="s">
        <v>482</v>
      </c>
      <c r="N1704" s="15" t="s">
        <v>2926</v>
      </c>
      <c r="O1704" s="15">
        <v>1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04" s="15" t="str">
        <f>_xlfn.TEXTBEFORE(_xlfn.TEXTAFTER(CantoralDB[[#This Row],[index.html]],"&gt;"),"&gt;")&amp;"&gt;"</f>
        <v>&lt;a href="canciones/toño_casado/via_crucis_i_jesus_cautivo.html"&gt;</v>
      </c>
    </row>
    <row r="1705" spans="1:23" x14ac:dyDescent="0.3">
      <c r="A1705" s="1">
        <f>ROW(CantoralDB[[#This Row],[Título]])-1</f>
        <v>1704</v>
      </c>
      <c r="B1705" s="1" t="s">
        <v>2929</v>
      </c>
      <c r="C1705" s="1"/>
      <c r="H1705" s="1" t="s">
        <v>1027</v>
      </c>
      <c r="J1705" s="1" t="s">
        <v>608</v>
      </c>
      <c r="M1705" s="15" t="s">
        <v>482</v>
      </c>
      <c r="N1705" s="15" t="s">
        <v>2926</v>
      </c>
      <c r="O1705" s="15">
        <v>2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05" s="15" t="str">
        <f>_xlfn.TEXTBEFORE(_xlfn.TEXTAFTER(CantoralDB[[#This Row],[index.html]],"&gt;"),"&gt;")&amp;"&gt;"</f>
        <v>&lt;a href="canciones/toño_casado/via_crucis_ii_jesus_carga_con_la_cruz.html"&gt;</v>
      </c>
    </row>
    <row r="1706" spans="1:23" x14ac:dyDescent="0.3">
      <c r="A1706" s="1">
        <f>ROW(CantoralDB[[#This Row],[Título]])-1</f>
        <v>1705</v>
      </c>
      <c r="B1706" s="1" t="s">
        <v>2930</v>
      </c>
      <c r="C1706" s="1"/>
      <c r="H1706" s="1" t="s">
        <v>1030</v>
      </c>
      <c r="J1706" s="1" t="s">
        <v>608</v>
      </c>
      <c r="M1706" s="15" t="s">
        <v>482</v>
      </c>
      <c r="N1706" s="15" t="s">
        <v>2926</v>
      </c>
      <c r="O1706" s="15">
        <v>3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06" s="15" t="str">
        <f>_xlfn.TEXTBEFORE(_xlfn.TEXTAFTER(CantoralDB[[#This Row],[index.html]],"&gt;"),"&gt;")&amp;"&gt;"</f>
        <v>&lt;a href="canciones/toño_casado/via_crucis_iii_jesus_cae_por_primera_vez.html"&gt;</v>
      </c>
    </row>
    <row r="1707" spans="1:23" x14ac:dyDescent="0.3">
      <c r="A1707" s="1">
        <f>ROW(CantoralDB[[#This Row],[Título]])-1</f>
        <v>1706</v>
      </c>
      <c r="B1707" s="1" t="s">
        <v>2931</v>
      </c>
      <c r="C1707" s="1"/>
      <c r="H1707" s="1" t="s">
        <v>1028</v>
      </c>
      <c r="J1707" s="1" t="s">
        <v>608</v>
      </c>
      <c r="M1707" s="15" t="s">
        <v>482</v>
      </c>
      <c r="N1707" s="15" t="s">
        <v>2926</v>
      </c>
      <c r="O1707" s="15">
        <v>4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07" s="15" t="str">
        <f>_xlfn.TEXTBEFORE(_xlfn.TEXTAFTER(CantoralDB[[#This Row],[index.html]],"&gt;"),"&gt;")&amp;"&gt;"</f>
        <v>&lt;a href="canciones/toño_casado/via_crucis_iv_jesus_se_encuentra_con_su_madre.html"&gt;</v>
      </c>
    </row>
    <row r="1708" spans="1:23" x14ac:dyDescent="0.3">
      <c r="A1708" s="1">
        <f>ROW(CantoralDB[[#This Row],[Título]])-1</f>
        <v>1707</v>
      </c>
      <c r="B1708" s="1" t="s">
        <v>2932</v>
      </c>
      <c r="C1708" s="1"/>
      <c r="H1708" s="1" t="s">
        <v>2967</v>
      </c>
      <c r="J1708" s="1" t="s">
        <v>608</v>
      </c>
      <c r="M1708" s="15" t="s">
        <v>482</v>
      </c>
      <c r="N1708" s="15" t="s">
        <v>2926</v>
      </c>
      <c r="O1708" s="15">
        <v>5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08" s="15" t="str">
        <f>_xlfn.TEXTBEFORE(_xlfn.TEXTAFTER(CantoralDB[[#This Row],[index.html]],"&gt;"),"&gt;")&amp;"&gt;"</f>
        <v>&lt;a href="canciones/toño_casado/via_crucis_v_el_cireneo.html"&gt;</v>
      </c>
    </row>
    <row r="1709" spans="1:23" x14ac:dyDescent="0.3">
      <c r="A1709" s="1">
        <f>ROW(CantoralDB[[#This Row],[Título]])-1</f>
        <v>1708</v>
      </c>
      <c r="B1709" s="1" t="s">
        <v>2933</v>
      </c>
      <c r="C1709" s="1"/>
      <c r="H1709" s="1" t="s">
        <v>1027</v>
      </c>
      <c r="J1709" s="1" t="s">
        <v>608</v>
      </c>
      <c r="M1709" s="15" t="s">
        <v>482</v>
      </c>
      <c r="N1709" s="15" t="s">
        <v>2926</v>
      </c>
      <c r="O1709" s="15">
        <v>6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09" s="15" t="str">
        <f>_xlfn.TEXTBEFORE(_xlfn.TEXTAFTER(CantoralDB[[#This Row],[index.html]],"&gt;"),"&gt;")&amp;"&gt;"</f>
        <v>&lt;a href="canciones/toño_casado/via_crucis_vi_la_veronica.html"&gt;</v>
      </c>
    </row>
    <row r="1710" spans="1:23" x14ac:dyDescent="0.3">
      <c r="A1710" s="1">
        <f>ROW(CantoralDB[[#This Row],[Título]])-1</f>
        <v>1709</v>
      </c>
      <c r="B1710" s="1" t="s">
        <v>2934</v>
      </c>
      <c r="C1710" s="1"/>
      <c r="H1710" s="1" t="s">
        <v>1030</v>
      </c>
      <c r="J1710" s="1" t="s">
        <v>608</v>
      </c>
      <c r="M1710" s="15" t="s">
        <v>482</v>
      </c>
      <c r="N1710" s="15" t="s">
        <v>2926</v>
      </c>
      <c r="O1710" s="15">
        <v>7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10" s="15" t="str">
        <f>_xlfn.TEXTBEFORE(_xlfn.TEXTAFTER(CantoralDB[[#This Row],[index.html]],"&gt;"),"&gt;")&amp;"&gt;"</f>
        <v>&lt;a href="canciones/toño_casado/via_crucis_vii_jesus_cae_por_segunda_vez.html"&gt;</v>
      </c>
    </row>
    <row r="1711" spans="1:23" x14ac:dyDescent="0.3">
      <c r="A1711" s="1">
        <f>ROW(CantoralDB[[#This Row],[Título]])-1</f>
        <v>1710</v>
      </c>
      <c r="B1711" s="1" t="s">
        <v>2935</v>
      </c>
      <c r="C1711" s="1"/>
      <c r="H1711" s="1" t="s">
        <v>1028</v>
      </c>
      <c r="J1711" s="1" t="s">
        <v>608</v>
      </c>
      <c r="M1711" s="15" t="s">
        <v>482</v>
      </c>
      <c r="N1711" s="15" t="s">
        <v>2926</v>
      </c>
      <c r="O1711" s="15">
        <v>8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11" s="15" t="str">
        <f>_xlfn.TEXTBEFORE(_xlfn.TEXTAFTER(CantoralDB[[#This Row],[index.html]],"&gt;"),"&gt;")&amp;"&gt;"</f>
        <v>&lt;a href="canciones/toño_casado/via_crucis_viii_jesus_consuela_a_las_mujeres.html"&gt;</v>
      </c>
    </row>
    <row r="1712" spans="1:23" x14ac:dyDescent="0.3">
      <c r="A1712" s="1">
        <f>ROW(CantoralDB[[#This Row],[Título]])-1</f>
        <v>1711</v>
      </c>
      <c r="B1712" s="1" t="s">
        <v>2936</v>
      </c>
      <c r="C1712" s="1"/>
      <c r="H1712" s="1" t="s">
        <v>1030</v>
      </c>
      <c r="J1712" s="1" t="s">
        <v>608</v>
      </c>
      <c r="M1712" s="15" t="s">
        <v>482</v>
      </c>
      <c r="N1712" s="15" t="s">
        <v>2926</v>
      </c>
      <c r="O1712" s="15">
        <v>9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12" s="15" t="str">
        <f>_xlfn.TEXTBEFORE(_xlfn.TEXTAFTER(CantoralDB[[#This Row],[index.html]],"&gt;"),"&gt;")&amp;"&gt;"</f>
        <v>&lt;a href="canciones/toño_casado/via_crucis_ix_jesus_cae_por_tercera_vez.html"&gt;</v>
      </c>
    </row>
    <row r="1713" spans="1:23" x14ac:dyDescent="0.3">
      <c r="A1713" s="1">
        <f>ROW(CantoralDB[[#This Row],[Título]])-1</f>
        <v>1712</v>
      </c>
      <c r="B1713" s="1" t="s">
        <v>2937</v>
      </c>
      <c r="C1713" s="1"/>
      <c r="H1713" s="1" t="s">
        <v>1027</v>
      </c>
      <c r="J1713" s="1" t="s">
        <v>608</v>
      </c>
      <c r="M1713" s="15" t="s">
        <v>482</v>
      </c>
      <c r="N1713" s="15" t="s">
        <v>2926</v>
      </c>
      <c r="O1713" s="15">
        <v>10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13" s="15" t="str">
        <f>_xlfn.TEXTBEFORE(_xlfn.TEXTAFTER(CantoralDB[[#This Row],[index.html]],"&gt;"),"&gt;")&amp;"&gt;"</f>
        <v>&lt;a href="canciones/toño_casado/via_crucis_x_jesus_es_despojado.html"&gt;</v>
      </c>
    </row>
    <row r="1714" spans="1:23" x14ac:dyDescent="0.3">
      <c r="A1714" s="1">
        <f>ROW(CantoralDB[[#This Row],[Título]])-1</f>
        <v>1713</v>
      </c>
      <c r="B1714" s="1" t="s">
        <v>2938</v>
      </c>
      <c r="C1714" s="1"/>
      <c r="H1714" s="1" t="s">
        <v>1030</v>
      </c>
      <c r="J1714" s="1" t="s">
        <v>608</v>
      </c>
      <c r="M1714" s="15" t="s">
        <v>482</v>
      </c>
      <c r="N1714" s="15" t="s">
        <v>2926</v>
      </c>
      <c r="O1714" s="15">
        <v>11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14" s="15" t="str">
        <f>_xlfn.TEXTBEFORE(_xlfn.TEXTAFTER(CantoralDB[[#This Row],[index.html]],"&gt;"),"&gt;")&amp;"&gt;"</f>
        <v>&lt;a href="canciones/toño_casado/via_crucis_xi_jesus_es_clavado_en_la_cruz.html"&gt;</v>
      </c>
    </row>
    <row r="1715" spans="1:23" x14ac:dyDescent="0.3">
      <c r="A1715" s="1">
        <f>ROW(CantoralDB[[#This Row],[Título]])-1</f>
        <v>1714</v>
      </c>
      <c r="B1715" s="1" t="s">
        <v>2939</v>
      </c>
      <c r="C1715" s="1"/>
      <c r="H1715" s="1" t="s">
        <v>531</v>
      </c>
      <c r="J1715" s="1" t="s">
        <v>608</v>
      </c>
      <c r="M1715" s="15" t="s">
        <v>482</v>
      </c>
      <c r="N1715" s="15" t="s">
        <v>2926</v>
      </c>
      <c r="O1715" s="15">
        <v>12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15" s="15" t="str">
        <f>_xlfn.TEXTBEFORE(_xlfn.TEXTAFTER(CantoralDB[[#This Row],[index.html]],"&gt;"),"&gt;")&amp;"&gt;"</f>
        <v>&lt;a href="canciones/toño_casado/via_crucis_xii_jesus_muere_en_la_cruz.html"&gt;</v>
      </c>
    </row>
    <row r="1716" spans="1:23" x14ac:dyDescent="0.3">
      <c r="A1716" s="1">
        <f>ROW(CantoralDB[[#This Row],[Título]])-1</f>
        <v>1715</v>
      </c>
      <c r="B1716" s="1" t="s">
        <v>2940</v>
      </c>
      <c r="C1716" s="1"/>
      <c r="H1716" s="1" t="s">
        <v>1027</v>
      </c>
      <c r="J1716" s="1" t="s">
        <v>608</v>
      </c>
      <c r="M1716" s="15" t="s">
        <v>482</v>
      </c>
      <c r="N1716" s="15" t="s">
        <v>2926</v>
      </c>
      <c r="O1716" s="15">
        <v>13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16" s="15" t="str">
        <f>_xlfn.TEXTBEFORE(_xlfn.TEXTAFTER(CantoralDB[[#This Row],[index.html]],"&gt;"),"&gt;")&amp;"&gt;"</f>
        <v>&lt;a href="canciones/toño_casado/via_crucis_xiii_jesus_bajado_de_la_cruz.html"&gt;</v>
      </c>
    </row>
    <row r="1717" spans="1:23" x14ac:dyDescent="0.3">
      <c r="A1717" s="1">
        <f>ROW(CantoralDB[[#This Row],[Título]])-1</f>
        <v>1716</v>
      </c>
      <c r="B1717" s="1" t="s">
        <v>2941</v>
      </c>
      <c r="C1717" s="1"/>
      <c r="H1717" s="1" t="s">
        <v>1029</v>
      </c>
      <c r="J1717" s="1" t="s">
        <v>608</v>
      </c>
      <c r="M1717" s="15" t="s">
        <v>482</v>
      </c>
      <c r="N1717" s="15" t="s">
        <v>2926</v>
      </c>
      <c r="O1717" s="15">
        <v>14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17" s="15" t="str">
        <f>_xlfn.TEXTBEFORE(_xlfn.TEXTAFTER(CantoralDB[[#This Row],[index.html]],"&gt;"),"&gt;")&amp;"&gt;"</f>
        <v>&lt;a href="canciones/toño_casado/via_crucis_xiv_el_cuerpo_de_jesus.html"&gt;</v>
      </c>
    </row>
    <row r="1718" spans="1:23" x14ac:dyDescent="0.3">
      <c r="A1718" s="1">
        <f>ROW(CantoralDB[[#This Row],[Título]])-1</f>
        <v>1717</v>
      </c>
      <c r="B1718" s="1" t="s">
        <v>2942</v>
      </c>
      <c r="C1718" s="1"/>
      <c r="H1718" s="1" t="s">
        <v>473</v>
      </c>
      <c r="J1718" s="1" t="s">
        <v>608</v>
      </c>
      <c r="M1718" s="15" t="s">
        <v>482</v>
      </c>
      <c r="N1718" s="15" t="s">
        <v>2926</v>
      </c>
      <c r="O1718" s="15">
        <v>15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18" s="15" t="str">
        <f>_xlfn.TEXTBEFORE(_xlfn.TEXTAFTER(CantoralDB[[#This Row],[index.html]],"&gt;"),"&gt;")&amp;"&gt;"</f>
        <v>&lt;a href="canciones/toño_casado/via_crucis_xv_la_fuerza_de_la_cruz.html"&gt;</v>
      </c>
    </row>
    <row r="1719" spans="1:23" x14ac:dyDescent="0.3">
      <c r="A1719" s="1">
        <f>ROW(CantoralDB[[#This Row],[Título]])-1</f>
        <v>1718</v>
      </c>
      <c r="B1719" s="1" t="s">
        <v>639</v>
      </c>
      <c r="C1719" s="1" t="s">
        <v>201</v>
      </c>
      <c r="D1719" s="1" t="s">
        <v>1360</v>
      </c>
      <c r="G1719" s="1" t="s">
        <v>640</v>
      </c>
      <c r="H1719" s="1" t="s">
        <v>531</v>
      </c>
      <c r="J1719" s="1" t="s">
        <v>608</v>
      </c>
      <c r="M1719" s="15" t="s">
        <v>566</v>
      </c>
      <c r="N1719" s="15"/>
      <c r="O1719" s="15"/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19" s="1" t="s">
        <v>797</v>
      </c>
      <c r="T1719" s="1"/>
      <c r="U1719" s="33" t="s">
        <v>2971</v>
      </c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719" s="15" t="str">
        <f>_xlfn.TEXTBEFORE(_xlfn.TEXTAFTER(CantoralDB[[#This Row],[index.html]],"&gt;"),"&gt;")&amp;"&gt;"</f>
        <v>&lt;a href="canciones/nsb/a_donde_me_quereis_llevar.html"&gt;</v>
      </c>
    </row>
    <row r="1720" spans="1:23" x14ac:dyDescent="0.3">
      <c r="A1720" s="1">
        <f>ROW(CantoralDB[[#This Row],[Título]])-1</f>
        <v>1719</v>
      </c>
      <c r="B1720" s="1" t="s">
        <v>585</v>
      </c>
      <c r="C1720" s="1" t="s">
        <v>201</v>
      </c>
      <c r="D1720" s="1" t="s">
        <v>1380</v>
      </c>
      <c r="G1720" s="1" t="s">
        <v>566</v>
      </c>
      <c r="H1720" s="1" t="s">
        <v>531</v>
      </c>
      <c r="I1720" s="1" t="s">
        <v>2960</v>
      </c>
      <c r="J1720" s="1" t="s">
        <v>608</v>
      </c>
      <c r="M1720" s="15" t="s">
        <v>566</v>
      </c>
      <c r="N1720" s="15"/>
      <c r="O1720" s="15"/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20" s="1" t="s">
        <v>802</v>
      </c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720" s="15" t="str">
        <f>_xlfn.TEXTBEFORE(_xlfn.TEXTAFTER(CantoralDB[[#This Row],[index.html]],"&gt;"),"&gt;")&amp;"&gt;"</f>
        <v>&lt;a href="canciones/nsb/algo_nuevo.html"&gt;</v>
      </c>
    </row>
    <row r="1721" spans="1:23" x14ac:dyDescent="0.3">
      <c r="A1721" s="1">
        <f>ROW(CantoralDB[[#This Row],[Título]])-1</f>
        <v>1720</v>
      </c>
      <c r="B1721" s="1" t="s">
        <v>565</v>
      </c>
      <c r="C1721" s="1" t="s">
        <v>196</v>
      </c>
      <c r="D1721" s="1" t="s">
        <v>781</v>
      </c>
      <c r="G1721" s="1" t="s">
        <v>553</v>
      </c>
      <c r="H1721" s="1" t="s">
        <v>531</v>
      </c>
      <c r="J1721" s="1" t="s">
        <v>608</v>
      </c>
      <c r="M1721" s="15" t="s">
        <v>566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721" s="15" t="str">
        <f>_xlfn.TEXTBEFORE(_xlfn.TEXTAFTER(CantoralDB[[#This Row],[index.html]],"&gt;"),"&gt;")&amp;"&gt;"</f>
        <v>&lt;a href="canciones/nsb/santo_santo_santo.html"&gt;</v>
      </c>
    </row>
    <row r="1722" spans="1:23" x14ac:dyDescent="0.3">
      <c r="A1722" s="1">
        <f>ROW(CantoralDB[[#This Row],[Título]])-1</f>
        <v>1721</v>
      </c>
      <c r="B1722" s="1" t="s">
        <v>1287</v>
      </c>
      <c r="C1722" s="1"/>
      <c r="E1722" s="1">
        <v>177</v>
      </c>
      <c r="J1722" s="1"/>
      <c r="M1722" s="15" t="s">
        <v>2882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722" s="15" t="str">
        <f>_xlfn.TEXTBEFORE(_xlfn.TEXTAFTER(CantoralDB[[#This Row],[index.html]],"&gt;"),"&gt;")&amp;"&gt;"</f>
        <v>&lt;a href="canciones/nsb/navidad_es_amar_romper_toda_frontera.html"&gt;</v>
      </c>
    </row>
    <row r="1723" spans="1:23" x14ac:dyDescent="0.3">
      <c r="A1723" s="1">
        <f>ROW(CantoralDB[[#This Row],[Título]])-1</f>
        <v>1722</v>
      </c>
      <c r="B1723" s="1" t="s">
        <v>1311</v>
      </c>
      <c r="C1723" s="1"/>
      <c r="E1723" s="1">
        <v>224</v>
      </c>
      <c r="J1723" s="1"/>
      <c r="M1723" s="15" t="s">
        <v>2099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723" s="15" t="str">
        <f>_xlfn.TEXTBEFORE(_xlfn.TEXTAFTER(CantoralDB[[#This Row],[index.html]],"&gt;"),"&gt;")&amp;"&gt;"</f>
        <v>&lt;a href="canciones/nsb/que_facil_es_decir_si.html"&gt;</v>
      </c>
    </row>
    <row r="1724" spans="1:23" x14ac:dyDescent="0.3">
      <c r="A1724" s="1">
        <f>ROW(CantoralDB[[#This Row],[Título]])-1</f>
        <v>1723</v>
      </c>
      <c r="B1724" s="1" t="s">
        <v>1330</v>
      </c>
      <c r="C1724" s="1"/>
      <c r="E1724" s="1">
        <v>253</v>
      </c>
      <c r="J1724" s="1"/>
      <c r="M1724" s="15" t="s">
        <v>2099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724" s="15" t="str">
        <f>_xlfn.TEXTBEFORE(_xlfn.TEXTAFTER(CantoralDB[[#This Row],[index.html]],"&gt;"),"&gt;")&amp;"&gt;"</f>
        <v>&lt;a href="canciones/nsb/tiendeme_tu_mano.html"&gt;</v>
      </c>
    </row>
    <row r="1725" spans="1:23" x14ac:dyDescent="0.3">
      <c r="A1725" s="1">
        <f>ROW(CantoralDB[[#This Row],[Título]])-1</f>
        <v>1724</v>
      </c>
      <c r="B1725" s="1" t="s">
        <v>546</v>
      </c>
      <c r="C1725" s="1" t="s">
        <v>476</v>
      </c>
      <c r="D1725" s="1" t="s">
        <v>1394</v>
      </c>
      <c r="E1725" s="1">
        <v>40</v>
      </c>
      <c r="H1725" s="1" t="s">
        <v>531</v>
      </c>
      <c r="J1725" s="1" t="s">
        <v>608</v>
      </c>
      <c r="M1725" s="15" t="s">
        <v>2139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725" s="15" t="str">
        <f>_xlfn.TEXTBEFORE(_xlfn.TEXTAFTER(CantoralDB[[#This Row],[index.html]],"&gt;"),"&gt;")&amp;"&gt;"</f>
        <v>&lt;a href="canciones/villancicos/campana_sobre_campana.html"&gt;</v>
      </c>
    </row>
    <row r="1726" spans="1:23" x14ac:dyDescent="0.3">
      <c r="A1726" s="1">
        <f>ROW(CantoralDB[[#This Row],[Título]])-1</f>
        <v>1725</v>
      </c>
      <c r="B1726" s="1" t="s">
        <v>1198</v>
      </c>
      <c r="C1726" s="1"/>
      <c r="E1726" s="1">
        <v>72</v>
      </c>
      <c r="H1726" s="1" t="s">
        <v>1030</v>
      </c>
      <c r="J1726" s="1" t="s">
        <v>608</v>
      </c>
      <c r="M1726" s="15" t="s">
        <v>2139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726" s="15" t="str">
        <f>_xlfn.TEXTBEFORE(_xlfn.TEXTAFTER(CantoralDB[[#This Row],[index.html]],"&gt;"),"&gt;")&amp;"&gt;"</f>
        <v>&lt;a href="canciones/villancicos/danos_paz.html"&gt;</v>
      </c>
    </row>
    <row r="1727" spans="1:23" x14ac:dyDescent="0.3">
      <c r="A1727" s="1">
        <f>ROW(CantoralDB[[#This Row],[Título]])-1</f>
        <v>1726</v>
      </c>
      <c r="B1727" s="1" t="s">
        <v>548</v>
      </c>
      <c r="C1727" s="1" t="s">
        <v>476</v>
      </c>
      <c r="D1727" s="1" t="s">
        <v>1409</v>
      </c>
      <c r="E1727" s="1">
        <v>86</v>
      </c>
      <c r="H1727" s="1" t="s">
        <v>1030</v>
      </c>
      <c r="J1727" s="1" t="s">
        <v>608</v>
      </c>
      <c r="M1727" s="15" t="s">
        <v>2139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727" s="15" t="str">
        <f>_xlfn.TEXTBEFORE(_xlfn.TEXTAFTER(CantoralDB[[#This Row],[index.html]],"&gt;"),"&gt;")&amp;"&gt;"</f>
        <v>&lt;a href="canciones/villancicos/dime_niño.html"&gt;</v>
      </c>
    </row>
    <row r="1728" spans="1:23" x14ac:dyDescent="0.3">
      <c r="A1728" s="1">
        <f>ROW(CantoralDB[[#This Row],[Título]])-1</f>
        <v>1727</v>
      </c>
      <c r="B1728" s="1" t="s">
        <v>55</v>
      </c>
      <c r="C1728" s="1" t="s">
        <v>476</v>
      </c>
      <c r="D1728" s="1" t="s">
        <v>1416</v>
      </c>
      <c r="E1728" s="1">
        <v>104</v>
      </c>
      <c r="G1728" s="1" t="s">
        <v>209</v>
      </c>
      <c r="H1728" s="1" t="s">
        <v>531</v>
      </c>
      <c r="J1728" s="1" t="s">
        <v>608</v>
      </c>
      <c r="M1728" s="15" t="s">
        <v>2139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728" s="15" t="str">
        <f>_xlfn.TEXTBEFORE(_xlfn.TEXTAFTER(CantoralDB[[#This Row],[index.html]],"&gt;"),"&gt;")&amp;"&gt;"</f>
        <v>&lt;a href="canciones/villancicos/el_tamborilero.html"&gt;</v>
      </c>
    </row>
    <row r="1729" spans="1:23" x14ac:dyDescent="0.3">
      <c r="A1729" s="1">
        <f>ROW(CantoralDB[[#This Row],[Título]])-1</f>
        <v>1728</v>
      </c>
      <c r="B1729" s="1" t="s">
        <v>1282</v>
      </c>
      <c r="C1729" s="1"/>
      <c r="E1729" s="1">
        <v>170</v>
      </c>
      <c r="H1729" s="1" t="s">
        <v>473</v>
      </c>
      <c r="J1729" s="1" t="s">
        <v>608</v>
      </c>
      <c r="M1729" s="15" t="s">
        <v>2139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29" s="1"/>
      <c r="T1729" s="1"/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729" s="15" t="str">
        <f>_xlfn.TEXTBEFORE(_xlfn.TEXTAFTER(CantoralDB[[#This Row],[index.html]],"&gt;"),"&gt;")&amp;"&gt;"</f>
        <v>&lt;a href="canciones/villancicos/noche_de_dios.html"&gt;</v>
      </c>
    </row>
    <row r="1730" spans="1:23" x14ac:dyDescent="0.3">
      <c r="A1730" s="1">
        <f>ROW(CantoralDB[[#This Row],[Título]])-1</f>
        <v>1729</v>
      </c>
      <c r="B1730" s="1" t="s">
        <v>1346</v>
      </c>
      <c r="C1730" s="1" t="s">
        <v>476</v>
      </c>
      <c r="D1730" s="1" t="s">
        <v>1067</v>
      </c>
      <c r="E1730" s="1" t="s">
        <v>2953</v>
      </c>
      <c r="H1730" s="1" t="s">
        <v>531</v>
      </c>
      <c r="J1730" s="1" t="s">
        <v>608</v>
      </c>
      <c r="M1730" s="15" t="s">
        <v>2139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30" s="1"/>
      <c r="T1730" s="1"/>
      <c r="U1730" s="15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730" s="15" t="str">
        <f>_xlfn.TEXTBEFORE(_xlfn.TEXTAFTER(CantoralDB[[#This Row],[index.html]],"&gt;"),"&gt;")&amp;"&gt;"</f>
        <v>&lt;a href="canciones/villancicos/venid_fieles_todos_(adeste_fideles).html"&gt;</v>
      </c>
    </row>
    <row r="1731" spans="1:23" x14ac:dyDescent="0.3">
      <c r="A1731" s="1">
        <f>ROW(CantoralDB[[#This Row],[Título]])-1</f>
        <v>1730</v>
      </c>
      <c r="B1731" s="1" t="s">
        <v>2185</v>
      </c>
      <c r="C1731" s="1"/>
      <c r="H1731" s="1" t="s">
        <v>531</v>
      </c>
      <c r="J1731" s="1" t="s">
        <v>608</v>
      </c>
      <c r="M1731" s="15" t="s">
        <v>2139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31" s="1"/>
      <c r="T1731" s="1"/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31" s="15" t="str">
        <f>_xlfn.TEXTBEFORE(_xlfn.TEXTAFTER(CantoralDB[[#This Row],[index.html]],"&gt;"),"&gt;")&amp;"&gt;"</f>
        <v>&lt;a href="canciones/villancicos/arre_borriquito.html"&gt;</v>
      </c>
    </row>
    <row r="1732" spans="1:23" x14ac:dyDescent="0.3">
      <c r="A1732" s="1">
        <f>ROW(CantoralDB[[#This Row],[Título]])-1</f>
        <v>1731</v>
      </c>
      <c r="B1732" s="1" t="s">
        <v>2187</v>
      </c>
      <c r="C1732" s="1"/>
      <c r="H1732" s="1" t="s">
        <v>531</v>
      </c>
      <c r="J1732" s="1" t="s">
        <v>608</v>
      </c>
      <c r="M1732" s="15" t="s">
        <v>2139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32" s="15" t="str">
        <f>_xlfn.TEXTBEFORE(_xlfn.TEXTAFTER(CantoralDB[[#This Row],[index.html]],"&gt;"),"&gt;")&amp;"&gt;"</f>
        <v>&lt;a href="canciones/villancicos/la_marimorena.html"&gt;</v>
      </c>
    </row>
    <row r="1733" spans="1:23" x14ac:dyDescent="0.3">
      <c r="A1733" s="1">
        <f>ROW(CantoralDB[[#This Row],[Título]])-1</f>
        <v>1732</v>
      </c>
      <c r="B1733" s="1" t="s">
        <v>1656</v>
      </c>
      <c r="C1733" s="15"/>
      <c r="H1733" s="1" t="s">
        <v>531</v>
      </c>
      <c r="J1733" s="1" t="s">
        <v>608</v>
      </c>
      <c r="M1733" s="15" t="s">
        <v>2139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33" s="15" t="str">
        <f>_xlfn.TEXTBEFORE(_xlfn.TEXTAFTER(CantoralDB[[#This Row],[index.html]],"&gt;"),"&gt;")&amp;"&gt;"</f>
        <v>&lt;a href="canciones/villancicos/la_mula.html"&gt;</v>
      </c>
    </row>
    <row r="1734" spans="1:23" x14ac:dyDescent="0.3">
      <c r="A1734" s="1">
        <f>ROW(CantoralDB[[#This Row],[Título]])-1</f>
        <v>1733</v>
      </c>
      <c r="B1734" s="1" t="s">
        <v>2188</v>
      </c>
      <c r="C1734" s="1"/>
      <c r="H1734" s="1" t="s">
        <v>531</v>
      </c>
      <c r="J1734" s="1" t="s">
        <v>608</v>
      </c>
      <c r="M1734" s="15" t="s">
        <v>2139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34" s="15" t="str">
        <f>_xlfn.TEXTBEFORE(_xlfn.TEXTAFTER(CantoralDB[[#This Row],[index.html]],"&gt;"),"&gt;")&amp;"&gt;"</f>
        <v>&lt;a href="canciones/villancicos/los_peces_en_el_rio.html"&gt;</v>
      </c>
    </row>
    <row r="1735" spans="1:23" x14ac:dyDescent="0.3">
      <c r="A1735" s="1">
        <f>ROW(CantoralDB[[#This Row],[Título]])-1</f>
        <v>1734</v>
      </c>
      <c r="B1735" s="1" t="s">
        <v>190</v>
      </c>
      <c r="C1735" s="1" t="s">
        <v>476</v>
      </c>
      <c r="D1735" s="1" t="s">
        <v>1069</v>
      </c>
      <c r="G1735" s="1" t="s">
        <v>209</v>
      </c>
      <c r="H1735" s="1" t="s">
        <v>1028</v>
      </c>
      <c r="J1735" s="1" t="s">
        <v>608</v>
      </c>
      <c r="M1735" s="15" t="s">
        <v>2139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35" s="15" t="str">
        <f>_xlfn.TEXTBEFORE(_xlfn.TEXTAFTER(CantoralDB[[#This Row],[index.html]],"&gt;"),"&gt;")&amp;"&gt;"</f>
        <v>&lt;a href="canciones/villancicos/ya_vienen_los_reyes_magos.html"&gt;</v>
      </c>
    </row>
    <row r="1736" spans="1:23" x14ac:dyDescent="0.3">
      <c r="A1736" s="1">
        <f>ROW(CantoralDB[[#This Row],[Título]])-1</f>
        <v>1735</v>
      </c>
      <c r="B1736" s="1" t="s">
        <v>545</v>
      </c>
      <c r="C1736" s="1" t="s">
        <v>476</v>
      </c>
      <c r="D1736" s="1" t="s">
        <v>1370</v>
      </c>
      <c r="H1736" s="1" t="s">
        <v>473</v>
      </c>
      <c r="J1736" s="1" t="s">
        <v>608</v>
      </c>
      <c r="M1736" s="15" t="s">
        <v>2139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36" s="15" t="str">
        <f>_xlfn.TEXTBEFORE(_xlfn.TEXTAFTER(CantoralDB[[#This Row],[index.html]],"&gt;"),"&gt;")&amp;"&gt;"</f>
        <v>&lt;a href="canciones/villancicos/alegria_alegria_alegria.html"&gt;</v>
      </c>
    </row>
    <row r="1737" spans="1:23" x14ac:dyDescent="0.3">
      <c r="A1737" s="1">
        <f>ROW(CantoralDB[[#This Row],[Título]])-1</f>
        <v>1736</v>
      </c>
      <c r="B1737" s="1" t="s">
        <v>790</v>
      </c>
      <c r="C1737" s="1" t="s">
        <v>476</v>
      </c>
      <c r="D1737" s="1" t="s">
        <v>1064</v>
      </c>
      <c r="H1737" s="1" t="s">
        <v>473</v>
      </c>
      <c r="J1737" s="1" t="s">
        <v>608</v>
      </c>
      <c r="M1737" s="15" t="s">
        <v>2139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37" s="15" t="str">
        <f>_xlfn.TEXTBEFORE(_xlfn.TEXTAFTER(CantoralDB[[#This Row],[index.html]],"&gt;"),"&gt;")&amp;"&gt;"</f>
        <v>&lt;a href="canciones/villancicos/noche_de_paz.html"&gt;</v>
      </c>
    </row>
    <row r="1738" spans="1:23" x14ac:dyDescent="0.3">
      <c r="A1738" s="1">
        <f>ROW(CantoralDB[[#This Row],[Título]])-1</f>
        <v>1737</v>
      </c>
      <c r="B1738" s="1" t="s">
        <v>547</v>
      </c>
      <c r="C1738" s="1" t="s">
        <v>476</v>
      </c>
      <c r="D1738" s="1" t="s">
        <v>1388</v>
      </c>
      <c r="H1738" s="1" t="s">
        <v>1029</v>
      </c>
      <c r="J1738" s="1" t="s">
        <v>608</v>
      </c>
      <c r="M1738" s="15" t="s">
        <v>2139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38" s="1"/>
      <c r="T1738" s="1"/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38" s="15" t="str">
        <f>_xlfn.TEXTBEFORE(_xlfn.TEXTAFTER(CantoralDB[[#This Row],[index.html]],"&gt;"),"&gt;")&amp;"&gt;"</f>
        <v>&lt;a href="canciones/villancicos/ay_del_chiquirritin.html"&gt;</v>
      </c>
    </row>
    <row r="1739" spans="1:23" x14ac:dyDescent="0.3">
      <c r="A1739" s="1">
        <f>ROW(CantoralDB[[#This Row],[Título]])-1</f>
        <v>1738</v>
      </c>
      <c r="B1739" s="1" t="s">
        <v>252</v>
      </c>
      <c r="C1739" s="1" t="s">
        <v>476</v>
      </c>
      <c r="D1739" s="1" t="s">
        <v>1061</v>
      </c>
      <c r="G1739" s="1" t="s">
        <v>248</v>
      </c>
      <c r="H1739" s="1" t="s">
        <v>1027</v>
      </c>
      <c r="J1739" s="1" t="s">
        <v>608</v>
      </c>
      <c r="M1739" s="15" t="s">
        <v>2139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39" s="15" t="str">
        <f>_xlfn.TEXTBEFORE(_xlfn.TEXTAFTER(CantoralDB[[#This Row],[index.html]],"&gt;"),"&gt;")&amp;"&gt;"</f>
        <v>&lt;a href="canciones/villancicos/nace_el_niño_en_un_portal.html"&gt;</v>
      </c>
    </row>
    <row r="1740" spans="1:23" x14ac:dyDescent="0.3">
      <c r="A1740" s="1">
        <f>ROW(CantoralDB[[#This Row],[Título]])-1</f>
        <v>1739</v>
      </c>
      <c r="B1740" s="1" t="s">
        <v>253</v>
      </c>
      <c r="C1740" s="1" t="s">
        <v>476</v>
      </c>
      <c r="D1740" s="1" t="s">
        <v>1065</v>
      </c>
      <c r="G1740" s="1" t="s">
        <v>248</v>
      </c>
      <c r="H1740" s="1" t="s">
        <v>1027</v>
      </c>
      <c r="J1740" s="1" t="s">
        <v>608</v>
      </c>
      <c r="M1740" s="15" t="s">
        <v>2139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40" s="1"/>
      <c r="T1740" s="1"/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40" s="15" t="str">
        <f>_xlfn.TEXTBEFORE(_xlfn.TEXTAFTER(CantoralDB[[#This Row],[index.html]],"&gt;"),"&gt;")&amp;"&gt;"</f>
        <v>&lt;a href="canciones/villancicos/nunca_suenan_las_campanas.html"&gt;</v>
      </c>
    </row>
    <row r="1741" spans="1:23" x14ac:dyDescent="0.3">
      <c r="A1741" s="1">
        <f>ROW(CantoralDB[[#This Row],[Título]])-1</f>
        <v>1740</v>
      </c>
      <c r="B1741" s="1" t="s">
        <v>185</v>
      </c>
      <c r="C1741" s="1" t="s">
        <v>476</v>
      </c>
      <c r="D1741" s="1" t="s">
        <v>1066</v>
      </c>
      <c r="G1741" s="1" t="s">
        <v>209</v>
      </c>
      <c r="H1741" s="1" t="s">
        <v>1028</v>
      </c>
      <c r="J1741" s="1" t="s">
        <v>608</v>
      </c>
      <c r="M1741" s="15" t="s">
        <v>2139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41" s="1"/>
      <c r="T1741" s="1"/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41" s="15" t="str">
        <f>_xlfn.TEXTBEFORE(_xlfn.TEXTAFTER(CantoralDB[[#This Row],[index.html]],"&gt;"),"&gt;")&amp;"&gt;"</f>
        <v>&lt;a href="canciones/villancicos/pastores_venid.html"&gt;</v>
      </c>
    </row>
    <row r="1742" spans="1:23" x14ac:dyDescent="0.3">
      <c r="A1742" s="1">
        <f>ROW(CantoralDB[[#This Row],[Título]])-1</f>
        <v>1741</v>
      </c>
      <c r="B1742" s="1" t="s">
        <v>2186</v>
      </c>
      <c r="C1742" s="1"/>
      <c r="H1742" s="1" t="s">
        <v>1030</v>
      </c>
      <c r="J1742" s="1" t="s">
        <v>608</v>
      </c>
      <c r="M1742" s="15" t="s">
        <v>2139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2" s="1"/>
      <c r="T1742" s="1"/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42" s="15" t="str">
        <f>_xlfn.TEXTBEFORE(_xlfn.TEXTAFTER(CantoralDB[[#This Row],[index.html]],"&gt;"),"&gt;")&amp;"&gt;"</f>
        <v>&lt;a href="canciones/villancicos/hacia_belen_va_una_burra.html"&gt;</v>
      </c>
    </row>
    <row r="1743" spans="1:23" x14ac:dyDescent="0.3">
      <c r="A1743" s="1">
        <f>ROW(CantoralDB[[#This Row],[Título]])-1</f>
        <v>1742</v>
      </c>
      <c r="B1743" s="1" t="s">
        <v>789</v>
      </c>
      <c r="C1743" s="1" t="s">
        <v>476</v>
      </c>
      <c r="D1743" s="1" t="s">
        <v>1059</v>
      </c>
      <c r="H1743" s="1" t="s">
        <v>1030</v>
      </c>
      <c r="J1743" s="1" t="s">
        <v>608</v>
      </c>
      <c r="M1743" s="15" t="s">
        <v>2139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3" s="1"/>
      <c r="T1743" s="1"/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43" s="15" t="str">
        <f>_xlfn.TEXTBEFORE(_xlfn.TEXTAFTER(CantoralDB[[#This Row],[index.html]],"&gt;"),"&gt;")&amp;"&gt;"</f>
        <v>&lt;a href="canciones/villancicos/hoy_en_la_tierra.html"&gt;</v>
      </c>
    </row>
    <row r="1744" spans="1:23" x14ac:dyDescent="0.3">
      <c r="A1744" s="1">
        <f>ROW(CantoralDB[[#This Row],[Título]])-1</f>
        <v>1743</v>
      </c>
      <c r="B1744" s="1" t="s">
        <v>1216</v>
      </c>
      <c r="C1744" s="1"/>
      <c r="E1744" s="1">
        <v>97</v>
      </c>
      <c r="J1744" s="1"/>
      <c r="M1744" s="15" t="s">
        <v>2091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744" s="1"/>
      <c r="T1744" s="1"/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744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6" priority="6"/>
  </conditionalFormatting>
  <conditionalFormatting sqref="D1:D1048576">
    <cfRule type="duplicateValues" dxfId="15" priority="9"/>
  </conditionalFormatting>
  <conditionalFormatting sqref="E1:E1048576">
    <cfRule type="duplicateValues" dxfId="14" priority="12"/>
  </conditionalFormatting>
  <conditionalFormatting sqref="F1:F1048576">
    <cfRule type="duplicateValues" dxfId="13" priority="615"/>
  </conditionalFormatting>
  <conditionalFormatting sqref="J764">
    <cfRule type="cellIs" dxfId="12" priority="2" operator="equal">
      <formula>"OK"</formula>
    </cfRule>
    <cfRule type="cellIs" dxfId="11" priority="3" operator="equal">
      <formula>"Letra"</formula>
    </cfRule>
    <cfRule type="cellIs" dxfId="10" priority="4" operator="equal">
      <formula>"Orden"</formula>
    </cfRule>
  </conditionalFormatting>
  <conditionalFormatting sqref="J1:L1048576">
    <cfRule type="cellIs" dxfId="9" priority="7" operator="equal">
      <formula>"OK"</formula>
    </cfRule>
  </conditionalFormatting>
  <conditionalFormatting sqref="V1:V1048576">
    <cfRule type="duplicateValues" dxfId="8" priority="5"/>
  </conditionalFormatting>
  <conditionalFormatting sqref="U1:U1048576">
    <cfRule type="duplicateValues" dxfId="7" priority="1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hyperlinks>
    <hyperlink ref="U1719" r:id="rId1" xr:uid="{DA6D7995-44D6-4045-83D4-3266E2A25FB4}"/>
    <hyperlink ref="U649" r:id="rId2" xr:uid="{21BF8848-126E-4C25-B417-5F1669A04D1C}"/>
    <hyperlink ref="U652" r:id="rId3" xr:uid="{280AE6E9-4FA8-4531-B556-D3D175297CA7}"/>
    <hyperlink ref="U734" r:id="rId4" xr:uid="{5A062E01-09FE-4AEF-B1C3-B4BDE77D4678}"/>
    <hyperlink ref="U721" r:id="rId5" xr:uid="{91A3A74D-7832-469D-AA27-F069878C6FEC}"/>
    <hyperlink ref="U724" r:id="rId6" xr:uid="{8D344D56-50D6-477E-8BF6-2CFD53A472DA}"/>
    <hyperlink ref="U728" r:id="rId7" xr:uid="{C5A83AB8-9E1A-4535-A199-8BE73C0B5471}"/>
    <hyperlink ref="U729" r:id="rId8" xr:uid="{E9F3201B-715F-4098-8E6D-D392B197A5B3}"/>
    <hyperlink ref="U785" r:id="rId9" xr:uid="{490C640F-E680-4634-BB3E-AF7C0DAD88A5}"/>
    <hyperlink ref="U793" r:id="rId10" xr:uid="{F42495B3-88C6-47C8-B657-1B2B61D548EF}"/>
    <hyperlink ref="U918" r:id="rId11" xr:uid="{94DB8158-D535-4E5F-88E7-271FEE5769F3}"/>
    <hyperlink ref="U854" r:id="rId12" xr:uid="{5DD15421-192B-4611-B4D3-4D136D73D060}"/>
    <hyperlink ref="U37" r:id="rId13" xr:uid="{9C1345B1-458E-4731-A3A0-AD108D913833}"/>
    <hyperlink ref="U1072" r:id="rId14" xr:uid="{BDC4F0B6-5619-4F46-8846-DB0DDEB477A2}"/>
    <hyperlink ref="U1083" r:id="rId15" xr:uid="{94994174-E097-4F94-8378-57D9FD090C86}"/>
    <hyperlink ref="U1086" r:id="rId16" xr:uid="{25EA3260-8E29-47E7-A954-519E86C6C57B}"/>
    <hyperlink ref="U1088" r:id="rId17" xr:uid="{2343CBB7-11A5-459D-B24F-324111A058CD}"/>
    <hyperlink ref="U1090" r:id="rId18" xr:uid="{FAEE7DBE-6192-4530-B3B9-A884E45CF445}"/>
    <hyperlink ref="U1105" r:id="rId19" xr:uid="{9EEB61C2-29A9-44C0-ACC3-42D563D5D598}"/>
    <hyperlink ref="U142" r:id="rId20" xr:uid="{079B832F-F3E7-4E4F-B070-B593E400FF2F}"/>
    <hyperlink ref="U774" r:id="rId21" xr:uid="{2D173748-96C6-4F6A-BEE9-C674CD6EE77E}"/>
    <hyperlink ref="U1369" r:id="rId22" xr:uid="{B2CD2234-7C6A-4EF5-95C5-BAD0D6E698D3}"/>
    <hyperlink ref="U458" r:id="rId23" xr:uid="{04A1525B-1EE5-4333-85EA-3BBDDC370940}"/>
    <hyperlink ref="U1098" r:id="rId24" xr:uid="{45561249-FC48-4E19-99EC-5B395F439E7A}"/>
    <hyperlink ref="U1433" r:id="rId25" xr:uid="{D2635188-B379-4BB5-9F10-1275A6DEA96A}"/>
    <hyperlink ref="U1434" r:id="rId26" xr:uid="{D32DD765-16D3-4FA8-97B7-1D3FA23D3793}"/>
    <hyperlink ref="U1372" r:id="rId27" xr:uid="{16E058A8-C23B-459F-A694-79F7E3F8F9AF}"/>
    <hyperlink ref="U1373" r:id="rId28" xr:uid="{CAD6B09B-7346-4426-B993-39B5BF870443}"/>
    <hyperlink ref="U658" r:id="rId29" xr:uid="{EBCBDDB5-8CC4-4C1C-8DB2-55EC10F926DE}"/>
    <hyperlink ref="U205" r:id="rId30" xr:uid="{449ADC59-BF0D-437B-A353-5DA2E313DAF4}"/>
    <hyperlink ref="U297" r:id="rId31" xr:uid="{14D86472-D553-429A-9116-265BFA79E76B}"/>
    <hyperlink ref="U315" r:id="rId32" xr:uid="{C25DA0ED-6E20-4FF1-A893-57EF7DB34D94}"/>
    <hyperlink ref="U1058" r:id="rId33" xr:uid="{F5E74ADF-BBA8-4F62-9A7E-054B5A8D4BBE}"/>
    <hyperlink ref="U499" r:id="rId34" xr:uid="{D3A96B3B-6FAB-41D0-A6D7-F0A2AE0DBE37}"/>
    <hyperlink ref="U1424" r:id="rId35" xr:uid="{C2363F0D-7145-42BA-9539-D32E29FFBDC2}"/>
    <hyperlink ref="U1043" r:id="rId36" xr:uid="{DFE6E2EA-52EB-4198-B263-04CEE8A47BF0}"/>
    <hyperlink ref="U1368" r:id="rId37" xr:uid="{DFA6AFDA-BC2C-462D-983F-EE2812E1B83A}"/>
    <hyperlink ref="U489" r:id="rId38" xr:uid="{9544858F-3135-4C71-98FD-6C5E15050CAB}"/>
    <hyperlink ref="U502" r:id="rId39" xr:uid="{1F1A106B-BA63-49E7-A5E2-C73A96132505}"/>
    <hyperlink ref="U244" r:id="rId40" xr:uid="{06D4042E-5004-4D79-A315-EDCFE6040E75}"/>
    <hyperlink ref="U380" r:id="rId41" xr:uid="{B2475CB1-A176-4304-AB1A-2B9C73BDF901}"/>
    <hyperlink ref="U157" r:id="rId42" xr:uid="{6509825F-6E87-42D0-A8F7-8ECE07F8ADF6}"/>
    <hyperlink ref="U656" r:id="rId43" xr:uid="{3A203355-B934-4573-A591-BC5E56C5AC0E}"/>
    <hyperlink ref="U1453" r:id="rId44" xr:uid="{F7CCAC66-65A6-4E2A-ADE0-76D9D85C9270}"/>
    <hyperlink ref="U696" r:id="rId45" xr:uid="{BA9E23ED-6124-4584-A61F-30294789B61D}"/>
    <hyperlink ref="U731" r:id="rId46" xr:uid="{3E857284-88EA-4A1D-B90D-0D74CE458F24}"/>
    <hyperlink ref="U474" r:id="rId47" xr:uid="{6D7D7613-7CA5-4548-9B11-21345A21FA85}"/>
    <hyperlink ref="U871" r:id="rId48" xr:uid="{F8AAFEA3-FE70-4F13-9AD2-ADCAA544E7E1}"/>
    <hyperlink ref="U870" r:id="rId49" xr:uid="{127EED9D-017B-4731-97C6-FBFDE3D64EBE}"/>
    <hyperlink ref="U7" r:id="rId50" xr:uid="{7EE925C8-BF51-4642-9C9A-43569222C443}"/>
    <hyperlink ref="U10" r:id="rId51" xr:uid="{06F19AAA-16CE-4AD1-9279-1A4012B04BE5}"/>
    <hyperlink ref="U11" r:id="rId52" xr:uid="{F71B81CD-F255-4D0B-A3A5-E9AF34D7345A}"/>
    <hyperlink ref="U14" r:id="rId53" xr:uid="{34B857EB-4A72-49A7-A260-2226856934E4}"/>
    <hyperlink ref="U15" r:id="rId54" xr:uid="{0F80E320-9263-4279-914F-86433DA8B6C6}"/>
    <hyperlink ref="U16" r:id="rId55" xr:uid="{A01A0643-EDF8-437E-B5EC-E193CB0A2571}"/>
  </hyperlinks>
  <pageMargins left="0.7" right="0.7" top="0.75" bottom="0.75" header="0.3" footer="0.3"/>
  <pageSetup paperSize="9" orientation="portrait" r:id="rId56"/>
  <tableParts count="1">
    <tablePart r:id="rId5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A166" zoomScale="85" zoomScaleNormal="85" workbookViewId="0">
      <selection activeCell="M191" sqref="M191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205</v>
      </c>
      <c r="B1" s="1">
        <f>COUNTA(CantoralDB[Título])</f>
        <v>1742</v>
      </c>
      <c r="G1" s="14" t="s">
        <v>641</v>
      </c>
      <c r="Y1" t="s">
        <v>2911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2305</v>
      </c>
      <c r="Z2" t="s">
        <v>2229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2947</v>
      </c>
      <c r="L3" s="3" t="s">
        <v>2873</v>
      </c>
      <c r="M3" s="23" t="s">
        <v>608</v>
      </c>
      <c r="N3" s="24" t="s">
        <v>2874</v>
      </c>
      <c r="U3" s="3" t="s">
        <v>2873</v>
      </c>
      <c r="V3" s="23" t="s">
        <v>608</v>
      </c>
      <c r="W3" s="24" t="s">
        <v>2874</v>
      </c>
      <c r="Y3" t="s">
        <v>2263</v>
      </c>
      <c r="Z3" t="s">
        <v>2229</v>
      </c>
      <c r="AA3" t="s">
        <v>2261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187</v>
      </c>
      <c r="M4" s="16">
        <f>COUNTIFS(CantoralDB[Autor],J4,CantoralDB[html],"OK")</f>
        <v>48</v>
      </c>
      <c r="N4" s="22">
        <f>M4/L4</f>
        <v>0.25668449197860965</v>
      </c>
      <c r="O4" s="19">
        <f>O7/O6</f>
        <v>0.64204204204204207</v>
      </c>
      <c r="P4" s="21" t="s">
        <v>2872</v>
      </c>
      <c r="T4" t="s">
        <v>2913</v>
      </c>
      <c r="U4">
        <f>COUNTA(CantoralDB[Número antiguo])</f>
        <v>382</v>
      </c>
      <c r="V4">
        <f>COUNTIFS(CantoralDB[Número antiguo],"&lt;&gt;",CantoralDB[html],"OK")</f>
        <v>327</v>
      </c>
      <c r="W4" s="25">
        <f>V4/U4</f>
        <v>0.85602094240837701</v>
      </c>
      <c r="Y4" t="s">
        <v>2282</v>
      </c>
      <c r="Z4" t="s">
        <v>2229</v>
      </c>
      <c r="AA4" t="s">
        <v>2259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2" cm="1">
        <f t="array" ref="N5:N264">_xlfn.ANCHORARRAY(M5)/_xlfn.ANCHORARRAY(L5)</f>
        <v>1</v>
      </c>
      <c r="T5" t="s">
        <v>2914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:W6" si="2">V5/U5</f>
        <v>1</v>
      </c>
      <c r="Y5" t="s">
        <v>2245</v>
      </c>
      <c r="Z5" t="s">
        <v>2229</v>
      </c>
      <c r="AA5" t="s">
        <v>2244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2">
        <v>0.95833333333333337</v>
      </c>
      <c r="O6" s="20" cm="1">
        <f t="array" ref="O6">L4+SUM(_xlfn.ANCHORARRAY(L5))-_xlfn.XLOOKUP("Taizé en Español",_xlfn.ANCHORARRAY(J5),_xlfn.ANCHORARRAY(L5))</f>
        <v>1665</v>
      </c>
      <c r="P6" t="s">
        <v>2873</v>
      </c>
      <c r="Q6" cm="1">
        <f t="array" ref="Q6">_xlfn.XLOOKUP("Taizé en Español",_xlfn.ANCHORARRAY(J5),_xlfn.ANCHORARRAY(L5))</f>
        <v>78</v>
      </c>
      <c r="R6" t="s">
        <v>2897</v>
      </c>
      <c r="T6" t="s">
        <v>2176</v>
      </c>
      <c r="U6">
        <f>COUNTA(CantoralDB[Número RCC])</f>
        <v>451</v>
      </c>
      <c r="V6">
        <f>COUNTIFS(CantoralDB[Número RCC],"&lt;&gt;",CantoralDB[html],"OK")</f>
        <v>90</v>
      </c>
      <c r="W6" s="25">
        <f>V6/U6</f>
        <v>0.19955654101995565</v>
      </c>
      <c r="Y6" t="s">
        <v>2241</v>
      </c>
      <c r="Z6" t="s">
        <v>2229</v>
      </c>
      <c r="AA6" t="s">
        <v>2230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1069</v>
      </c>
      <c r="P7" t="s">
        <v>2876</v>
      </c>
      <c r="Q7">
        <f>O6+Q6</f>
        <v>1743</v>
      </c>
      <c r="R7" t="s">
        <v>2898</v>
      </c>
      <c r="T7" t="s">
        <v>3015</v>
      </c>
      <c r="U7">
        <f>COUNTA(CantoralDB[link])</f>
        <v>55</v>
      </c>
      <c r="W7" s="25">
        <f>U7/O7</f>
        <v>5.144995322731525E-2</v>
      </c>
      <c r="Y7" t="s">
        <v>2310</v>
      </c>
      <c r="Z7" t="s">
        <v>2229</v>
      </c>
      <c r="AA7" t="s">
        <v>2310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1147</v>
      </c>
      <c r="R8" t="s">
        <v>2950</v>
      </c>
      <c r="Y8" t="s">
        <v>1874</v>
      </c>
      <c r="Z8" t="s">
        <v>2229</v>
      </c>
      <c r="AA8" t="s">
        <v>2310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2360</v>
      </c>
      <c r="Z9" t="s">
        <v>2229</v>
      </c>
      <c r="AA9" t="s">
        <v>2354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2">
        <v>1</v>
      </c>
      <c r="Y10" t="s">
        <v>2270</v>
      </c>
      <c r="Z10" t="s">
        <v>2229</v>
      </c>
      <c r="AA10" t="s">
        <v>2261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1937</v>
      </c>
      <c r="Z11" t="s">
        <v>2229</v>
      </c>
      <c r="AA11" t="s">
        <v>2259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313</v>
      </c>
      <c r="Z12" t="s">
        <v>2229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1221</v>
      </c>
      <c r="Z13" t="s">
        <v>2229</v>
      </c>
      <c r="AA13" t="s">
        <v>2259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2254</v>
      </c>
      <c r="Z14" t="s">
        <v>2229</v>
      </c>
      <c r="AA14" t="s">
        <v>2244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2334</v>
      </c>
      <c r="Z15" t="s">
        <v>2229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2316</v>
      </c>
      <c r="Z16" t="s">
        <v>2229</v>
      </c>
      <c r="AA16" t="s">
        <v>2310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2345</v>
      </c>
      <c r="Z17" t="s">
        <v>2229</v>
      </c>
      <c r="AA17" t="s">
        <v>2257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2337</v>
      </c>
      <c r="Z18" t="s">
        <v>2229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2342</v>
      </c>
      <c r="Z19" t="s">
        <v>2229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2323</v>
      </c>
      <c r="Z20" t="s">
        <v>2229</v>
      </c>
      <c r="AA20" t="s">
        <v>2310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2358</v>
      </c>
      <c r="Z21" t="s">
        <v>2229</v>
      </c>
      <c r="AA21" t="s">
        <v>2354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2251</v>
      </c>
      <c r="Z22" t="s">
        <v>2229</v>
      </c>
      <c r="AA22" t="s">
        <v>2244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2269</v>
      </c>
      <c r="Z23" t="s">
        <v>2229</v>
      </c>
      <c r="AA23" t="s">
        <v>2261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2311</v>
      </c>
      <c r="Z24" t="s">
        <v>2229</v>
      </c>
      <c r="AA24" t="s">
        <v>2310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2343</v>
      </c>
      <c r="Z25" t="s">
        <v>2229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2359</v>
      </c>
      <c r="Z26" t="s">
        <v>2229</v>
      </c>
      <c r="AA26" t="s">
        <v>2354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2279</v>
      </c>
      <c r="Z27" t="s">
        <v>2229</v>
      </c>
      <c r="AA27" t="s">
        <v>2259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2287</v>
      </c>
      <c r="Z28" t="s">
        <v>2229</v>
      </c>
      <c r="AA28" t="s">
        <v>2260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2264</v>
      </c>
      <c r="Z29" t="s">
        <v>2229</v>
      </c>
      <c r="AA29" t="s">
        <v>2261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2246</v>
      </c>
      <c r="Z30" t="s">
        <v>2229</v>
      </c>
      <c r="AA30" t="s">
        <v>2244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2309</v>
      </c>
      <c r="Z31" t="s">
        <v>2229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2325</v>
      </c>
      <c r="Z33" t="s">
        <v>2229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2357</v>
      </c>
      <c r="Z34" t="s">
        <v>2229</v>
      </c>
      <c r="AA34" t="s">
        <v>2354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2321</v>
      </c>
      <c r="Z35" t="s">
        <v>2229</v>
      </c>
      <c r="AA35" t="s">
        <v>2310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37</v>
      </c>
      <c r="N36" s="22">
        <v>0.88095238095238093</v>
      </c>
      <c r="Y36" t="s">
        <v>2237</v>
      </c>
      <c r="Z36" t="s">
        <v>2229</v>
      </c>
      <c r="AA36" t="s">
        <v>2230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2252</v>
      </c>
      <c r="Z37" t="s">
        <v>2229</v>
      </c>
      <c r="AA37" t="s">
        <v>2244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2312</v>
      </c>
      <c r="Z38" t="s">
        <v>2229</v>
      </c>
      <c r="AA38" t="s">
        <v>2310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2347</v>
      </c>
      <c r="Z39" t="s">
        <v>2229</v>
      </c>
      <c r="AA39" t="s">
        <v>2346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2313</v>
      </c>
      <c r="Z40" t="s">
        <v>2229</v>
      </c>
      <c r="AA40" t="s">
        <v>2310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2341</v>
      </c>
      <c r="Z41" t="s">
        <v>2229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2277</v>
      </c>
      <c r="Z42" t="s">
        <v>2229</v>
      </c>
      <c r="AA42" t="s">
        <v>2259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2">
        <v>0.91176470588235292</v>
      </c>
      <c r="Y43" t="s">
        <v>2283</v>
      </c>
      <c r="Z43" t="s">
        <v>2229</v>
      </c>
      <c r="AA43" t="s">
        <v>2259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2276</v>
      </c>
      <c r="Z44" t="s">
        <v>2229</v>
      </c>
      <c r="AA44" t="s">
        <v>2259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2302</v>
      </c>
      <c r="Z45" t="s">
        <v>2229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2328</v>
      </c>
      <c r="Z46" t="s">
        <v>2229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2247</v>
      </c>
      <c r="Z47" t="s">
        <v>2229</v>
      </c>
      <c r="AA47" t="s">
        <v>2244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2278</v>
      </c>
      <c r="Z48" t="s">
        <v>2229</v>
      </c>
      <c r="AA48" t="s">
        <v>2259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591</v>
      </c>
      <c r="Z49" t="s">
        <v>2229</v>
      </c>
      <c r="AA49" t="s">
        <v>2259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2272</v>
      </c>
      <c r="Z50" t="s">
        <v>2229</v>
      </c>
      <c r="AA50" t="s">
        <v>2261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1820</v>
      </c>
      <c r="Z51" t="s">
        <v>2229</v>
      </c>
      <c r="AA51" t="s">
        <v>2261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2281</v>
      </c>
      <c r="Z52" t="s">
        <v>2229</v>
      </c>
      <c r="AA52" t="s">
        <v>2259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1544</v>
      </c>
      <c r="Z53" t="s">
        <v>2229</v>
      </c>
      <c r="AA53" t="s">
        <v>2259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2236</v>
      </c>
      <c r="Z54" t="s">
        <v>2229</v>
      </c>
      <c r="AA54" t="s">
        <v>2230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200</v>
      </c>
      <c r="Z55" t="s">
        <v>2229</v>
      </c>
      <c r="AA55" t="s">
        <v>2259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2256</v>
      </c>
      <c r="Z56" t="s">
        <v>2229</v>
      </c>
      <c r="AA56" t="s">
        <v>2244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2330</v>
      </c>
      <c r="Z57" t="s">
        <v>2229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2232</v>
      </c>
      <c r="Z58" t="s">
        <v>2229</v>
      </c>
      <c r="AA58" t="s">
        <v>2230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2285</v>
      </c>
      <c r="Z59" t="s">
        <v>2229</v>
      </c>
      <c r="AA59" t="s">
        <v>2260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2250</v>
      </c>
      <c r="Z60" t="s">
        <v>2229</v>
      </c>
      <c r="AA60" t="s">
        <v>2244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2266</v>
      </c>
      <c r="Z61" t="s">
        <v>2229</v>
      </c>
      <c r="AA61" t="s">
        <v>2261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2235</v>
      </c>
      <c r="Z62" t="s">
        <v>2229</v>
      </c>
      <c r="AA62" t="s">
        <v>2230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2353</v>
      </c>
      <c r="Z63" t="s">
        <v>2229</v>
      </c>
      <c r="AA63" t="s">
        <v>2346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2320</v>
      </c>
      <c r="Z64" t="s">
        <v>2229</v>
      </c>
      <c r="AA64" t="s">
        <v>2310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2333</v>
      </c>
      <c r="Z65" t="s">
        <v>2229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2300</v>
      </c>
      <c r="Z66" t="s">
        <v>2229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2290</v>
      </c>
      <c r="Z67" t="s">
        <v>2229</v>
      </c>
      <c r="AA67" t="s">
        <v>2260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415</v>
      </c>
      <c r="Z68" t="s">
        <v>2229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2349</v>
      </c>
      <c r="Z69" t="s">
        <v>2229</v>
      </c>
      <c r="AA69" t="s">
        <v>2346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2253</v>
      </c>
      <c r="Z70" t="s">
        <v>2229</v>
      </c>
      <c r="AA70" t="s">
        <v>2244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2280</v>
      </c>
      <c r="Z71" t="s">
        <v>2229</v>
      </c>
      <c r="AA71" t="s">
        <v>2259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2267</v>
      </c>
      <c r="Z72" t="s">
        <v>2229</v>
      </c>
      <c r="AA72" t="s">
        <v>2261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2265</v>
      </c>
      <c r="Z73" t="s">
        <v>2229</v>
      </c>
      <c r="AA73" t="s">
        <v>2261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2314</v>
      </c>
      <c r="Z74" t="s">
        <v>2229</v>
      </c>
      <c r="AA74" t="s">
        <v>2310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2335</v>
      </c>
      <c r="Z75" t="s">
        <v>2229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2262</v>
      </c>
      <c r="Z76" t="s">
        <v>2229</v>
      </c>
      <c r="AA76" t="s">
        <v>2261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2271</v>
      </c>
      <c r="Z77" t="s">
        <v>2229</v>
      </c>
      <c r="AA77" t="s">
        <v>2261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2273</v>
      </c>
      <c r="Z78" t="s">
        <v>2229</v>
      </c>
      <c r="AA78" t="s">
        <v>2261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2293</v>
      </c>
      <c r="Z79" t="s">
        <v>2229</v>
      </c>
      <c r="AA79" t="s">
        <v>2260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2">
        <v>0.64341085271317833</v>
      </c>
      <c r="Y80" t="s">
        <v>2258</v>
      </c>
      <c r="Z80" t="s">
        <v>2229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2268</v>
      </c>
      <c r="Z81" t="s">
        <v>2229</v>
      </c>
      <c r="AA81" t="s">
        <v>2261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2288</v>
      </c>
      <c r="Z82" t="s">
        <v>2229</v>
      </c>
      <c r="AA82" t="s">
        <v>2260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2327</v>
      </c>
      <c r="Z83" t="s">
        <v>2229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2332</v>
      </c>
      <c r="Z84" t="s">
        <v>2229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2338</v>
      </c>
      <c r="Z85" t="s">
        <v>2229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2340</v>
      </c>
      <c r="Z86" t="s">
        <v>2229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2274</v>
      </c>
      <c r="Z87" t="s">
        <v>2229</v>
      </c>
      <c r="AA87" t="s">
        <v>2261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2324</v>
      </c>
      <c r="Z88" t="s">
        <v>2229</v>
      </c>
      <c r="AA88" t="s">
        <v>2310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2356</v>
      </c>
      <c r="Z89" t="s">
        <v>2229</v>
      </c>
      <c r="AA89" t="s">
        <v>2354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2261</v>
      </c>
      <c r="Z90" t="s">
        <v>2229</v>
      </c>
      <c r="AA90" t="s">
        <v>2261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2249</v>
      </c>
      <c r="Z91" t="s">
        <v>2229</v>
      </c>
      <c r="AA91" t="s">
        <v>2244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2350</v>
      </c>
      <c r="Z92" t="s">
        <v>2229</v>
      </c>
      <c r="AA92" t="s">
        <v>2346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2308</v>
      </c>
      <c r="Z93" t="s">
        <v>2229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2239</v>
      </c>
      <c r="Z94" t="s">
        <v>2229</v>
      </c>
      <c r="AA94" t="s">
        <v>2230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2284</v>
      </c>
      <c r="Z95" t="s">
        <v>2229</v>
      </c>
      <c r="AA95" t="s">
        <v>2260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2233</v>
      </c>
      <c r="Z96" t="s">
        <v>2229</v>
      </c>
      <c r="AA96" t="s">
        <v>2230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2255</v>
      </c>
      <c r="Z97" t="s">
        <v>2229</v>
      </c>
      <c r="AA97" t="s">
        <v>2244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2317</v>
      </c>
      <c r="Z98" t="s">
        <v>2229</v>
      </c>
      <c r="AA98" t="s">
        <v>2310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2318</v>
      </c>
      <c r="Z99" t="s">
        <v>2229</v>
      </c>
      <c r="AA99" t="s">
        <v>2310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2331</v>
      </c>
      <c r="Z100" t="s">
        <v>2229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887</v>
      </c>
      <c r="Z101" t="s">
        <v>2229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2322</v>
      </c>
      <c r="Z102" t="s">
        <v>2229</v>
      </c>
      <c r="AA102" t="s">
        <v>2310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2351</v>
      </c>
      <c r="Z103" t="s">
        <v>2229</v>
      </c>
      <c r="AA103" t="s">
        <v>2346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2348</v>
      </c>
      <c r="Z104" t="s">
        <v>2229</v>
      </c>
      <c r="AA104" t="s">
        <v>2346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2326</v>
      </c>
      <c r="Z105" t="s">
        <v>2229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2">
        <v>1</v>
      </c>
      <c r="Y106" t="s">
        <v>2336</v>
      </c>
      <c r="Z106" t="s">
        <v>2229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2294</v>
      </c>
      <c r="Z107" t="s">
        <v>2229</v>
      </c>
      <c r="AA107" t="s">
        <v>2260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2339</v>
      </c>
      <c r="Z108" t="s">
        <v>2229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2301</v>
      </c>
      <c r="Z109" t="s">
        <v>2229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2303</v>
      </c>
      <c r="Z110" t="s">
        <v>2229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2248</v>
      </c>
      <c r="Z111" t="s">
        <v>2229</v>
      </c>
      <c r="AA111" t="s">
        <v>2244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2319</v>
      </c>
      <c r="Z112" t="s">
        <v>2229</v>
      </c>
      <c r="AA112" t="s">
        <v>2310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2352</v>
      </c>
      <c r="Z113" t="s">
        <v>2229</v>
      </c>
      <c r="AA113" t="s">
        <v>2346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2304</v>
      </c>
      <c r="Z114" t="s">
        <v>2229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2298</v>
      </c>
      <c r="Z115" t="s">
        <v>2229</v>
      </c>
      <c r="AA115" t="s">
        <v>2260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2289</v>
      </c>
      <c r="Z116" t="s">
        <v>2229</v>
      </c>
      <c r="AA116" t="s">
        <v>2260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2297</v>
      </c>
      <c r="Z117" t="s">
        <v>2229</v>
      </c>
      <c r="AA117" t="s">
        <v>2260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2291</v>
      </c>
      <c r="Z118" t="s">
        <v>2229</v>
      </c>
      <c r="AA118" t="s">
        <v>2260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2240</v>
      </c>
      <c r="Z119" t="s">
        <v>2229</v>
      </c>
      <c r="AA119" t="s">
        <v>2230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2355</v>
      </c>
      <c r="Z120" t="s">
        <v>2229</v>
      </c>
      <c r="AA120" t="s">
        <v>2354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2231</v>
      </c>
      <c r="Z121" t="s">
        <v>2229</v>
      </c>
      <c r="AA121" t="s">
        <v>2230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2242</v>
      </c>
      <c r="Z122" t="s">
        <v>2229</v>
      </c>
      <c r="AA122" t="s">
        <v>2230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1538</v>
      </c>
      <c r="Z123" t="s">
        <v>2229</v>
      </c>
      <c r="AA123" t="s">
        <v>2230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2234</v>
      </c>
      <c r="Z124" t="s">
        <v>2229</v>
      </c>
      <c r="AA124" t="s">
        <v>2230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2315</v>
      </c>
      <c r="Z125" t="s">
        <v>2229</v>
      </c>
      <c r="AA125" t="s">
        <v>2310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2344</v>
      </c>
      <c r="Z126" t="s">
        <v>2229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2329</v>
      </c>
      <c r="Z127" t="s">
        <v>2229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2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2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2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2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2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2">
        <v>0</v>
      </c>
    </row>
    <row r="147" spans="10:14" x14ac:dyDescent="0.3">
      <c r="J147" s="1" t="str">
        <v>Kent Leroy</v>
      </c>
      <c r="K147" s="1" t="str">
        <v>kent_leroy</v>
      </c>
      <c r="L147" s="1">
        <v>1</v>
      </c>
      <c r="M147" s="16">
        <v>1</v>
      </c>
      <c r="N147" s="22">
        <v>1</v>
      </c>
    </row>
    <row r="148" spans="10:14" x14ac:dyDescent="0.3">
      <c r="J148" s="1" t="str">
        <v>Kiko Argüello</v>
      </c>
      <c r="K148" s="1" t="str">
        <v>kiko_argüello</v>
      </c>
      <c r="L148" s="1">
        <v>1</v>
      </c>
      <c r="M148" s="16">
        <v>1</v>
      </c>
      <c r="N148" s="22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2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2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2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2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6</v>
      </c>
      <c r="N166" s="22">
        <v>0.3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2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2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3</v>
      </c>
      <c r="N169" s="22">
        <v>1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2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2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2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2</v>
      </c>
      <c r="N173" s="22">
        <v>0.66666666666666663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2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3</v>
      </c>
      <c r="M177" s="16">
        <v>0</v>
      </c>
      <c r="N177" s="22">
        <v>0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Witt</v>
      </c>
      <c r="K180" s="1" t="str">
        <v>marcos_witt</v>
      </c>
      <c r="L180" s="1">
        <v>8</v>
      </c>
      <c r="M180" s="16">
        <v>1</v>
      </c>
      <c r="N180" s="22">
        <v>0.125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2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2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2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2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2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2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2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2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2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2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2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2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2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2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2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2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2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2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2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2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2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2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2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2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2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2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2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2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2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2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2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2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2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2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2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Taizé</v>
      </c>
      <c r="K250" s="1" t="str">
        <v>taize</v>
      </c>
      <c r="L250" s="1">
        <v>3</v>
      </c>
      <c r="M250" s="16">
        <v>2</v>
      </c>
      <c r="N250" s="22">
        <v>0.66666666666666663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2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2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2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2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2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2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2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2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2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2945</v>
      </c>
      <c r="B1" s="26" t="s">
        <v>2944</v>
      </c>
      <c r="C1" s="26">
        <v>6</v>
      </c>
      <c r="H1" s="16">
        <f>SUM(I1:AE1)-Resumen!$Q$6</f>
        <v>1069</v>
      </c>
      <c r="I1" s="17">
        <f>COUNTA(_xlfn.ANCHORARRAY(I3))</f>
        <v>113</v>
      </c>
      <c r="J1" s="17">
        <f t="shared" ref="J1:X1" si="0">COUNTA(_xlfn.ANCHORARRAY(J3))</f>
        <v>25</v>
      </c>
      <c r="K1" s="17">
        <f t="shared" si="0"/>
        <v>1</v>
      </c>
      <c r="L1" s="17">
        <f t="shared" si="0"/>
        <v>1</v>
      </c>
      <c r="M1" s="17">
        <f t="shared" si="0"/>
        <v>55</v>
      </c>
      <c r="N1" s="17">
        <f t="shared" si="0"/>
        <v>91</v>
      </c>
      <c r="O1" s="17">
        <f t="shared" si="0"/>
        <v>2</v>
      </c>
      <c r="P1" s="17">
        <f t="shared" si="0"/>
        <v>113</v>
      </c>
      <c r="Q1" s="17">
        <f t="shared" si="0"/>
        <v>439</v>
      </c>
      <c r="R1" s="17">
        <f t="shared" si="0"/>
        <v>19</v>
      </c>
      <c r="S1" s="17">
        <f t="shared" si="0"/>
        <v>30</v>
      </c>
      <c r="T1" s="17">
        <f t="shared" si="0"/>
        <v>50</v>
      </c>
      <c r="U1" s="17">
        <f t="shared" si="0"/>
        <v>78</v>
      </c>
      <c r="V1" s="17">
        <f t="shared" si="0"/>
        <v>84</v>
      </c>
      <c r="W1" s="17">
        <f t="shared" si="0"/>
        <v>27</v>
      </c>
      <c r="X1" s="17">
        <f t="shared" si="0"/>
        <v>19</v>
      </c>
    </row>
    <row r="2" spans="1:31" x14ac:dyDescent="0.3">
      <c r="A2" s="23" t="s">
        <v>478</v>
      </c>
      <c r="B2" s="23" t="s">
        <v>2947</v>
      </c>
      <c r="C2" s="23" t="s">
        <v>2873</v>
      </c>
      <c r="D2" s="23" t="s">
        <v>608</v>
      </c>
      <c r="F2" s="29" t="s">
        <v>2948</v>
      </c>
      <c r="G2" s="30">
        <v>0</v>
      </c>
      <c r="H2" s="23" t="s">
        <v>2945</v>
      </c>
      <c r="I2" s="28" t="str" cm="1">
        <f t="array" ref="I2:X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kairoi</v>
      </c>
      <c r="Q2" s="28" t="str">
        <v>nsb</v>
      </c>
      <c r="R2" s="28" t="str">
        <v>nuevas</v>
      </c>
      <c r="S2" s="28" t="str">
        <v>rcce</v>
      </c>
      <c r="T2" s="28" t="str">
        <v>ruah</v>
      </c>
      <c r="U2" s="28" t="str">
        <v>taize_esp</v>
      </c>
      <c r="V2" s="28" t="str">
        <v>taize_orig</v>
      </c>
      <c r="W2" s="28" t="str">
        <v>toño_casado</v>
      </c>
      <c r="X2" s="28" t="str">
        <v>villancicos</v>
      </c>
      <c r="Y2" s="28"/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1" t="s">
        <v>2949</v>
      </c>
      <c r="G3" s="30">
        <v>1</v>
      </c>
      <c r="I3" s="17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7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7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7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7" cm="1">
        <f t="array" ref="M3:M57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7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7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7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0</v>
      </c>
      <c r="Q3" s="17" cm="1">
        <f t="array" ref="Q3:Q441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7" cm="1">
        <f t="array" ref="R3:R21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7" cm="1">
        <f t="array" ref="S3:S32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7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7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7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7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7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>
        <v>0</v>
      </c>
      <c r="J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 t="str">
        <v>https://www.youtube.com/watch?v=DcnvRmnrm0s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>
        <v>0</v>
      </c>
      <c r="J5" s="17">
        <v>0</v>
      </c>
      <c r="M5" s="17">
        <v>0</v>
      </c>
      <c r="N5" s="17">
        <v>0</v>
      </c>
      <c r="P5" s="17">
        <v>0</v>
      </c>
      <c r="Q5" s="17">
        <v>0</v>
      </c>
      <c r="R5" s="17" t="str">
        <v>https://www.youtube.com/watch?v=k8ibpJ4NKTU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>
        <v>0</v>
      </c>
      <c r="J6" s="17">
        <v>0</v>
      </c>
      <c r="M6" s="17">
        <v>0</v>
      </c>
      <c r="N6" s="17">
        <v>0</v>
      </c>
      <c r="P6" s="17">
        <v>0</v>
      </c>
      <c r="Q6" s="17">
        <v>0</v>
      </c>
      <c r="R6" s="17">
        <v>0</v>
      </c>
      <c r="S6" s="17" t="str">
        <v>https://www.youtube.com/watch?v=LHYuOBf5ReM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37</v>
      </c>
      <c r="I7" s="17">
        <v>0</v>
      </c>
      <c r="J7" s="17">
        <v>0</v>
      </c>
      <c r="M7" s="17">
        <v>0</v>
      </c>
      <c r="N7" s="17">
        <v>0</v>
      </c>
      <c r="P7" s="17">
        <v>0</v>
      </c>
      <c r="Q7" s="17">
        <v>0</v>
      </c>
      <c r="R7" s="17" t="str">
        <v>https://www.youtube.com/watch?v=rpwi0PjxShU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>
        <v>0</v>
      </c>
      <c r="J8" s="17">
        <v>0</v>
      </c>
      <c r="M8" s="17">
        <v>0</v>
      </c>
      <c r="N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7">
        <v>0</v>
      </c>
      <c r="J9" s="17">
        <v>0</v>
      </c>
      <c r="M9" s="17">
        <v>0</v>
      </c>
      <c r="N9" s="17">
        <v>0</v>
      </c>
      <c r="P9" s="17">
        <v>0</v>
      </c>
      <c r="Q9" s="17" t="str">
        <v>https://www.youtube.com/watch?v=OwzdalM_9_c</v>
      </c>
      <c r="R9" s="17" t="str">
        <v>https://www.youtube.com/watch?v=XuoPNqY5n9A</v>
      </c>
      <c r="S9" s="17" t="str">
        <v>https://www.youtube.com/watch?v=v3KER0rmj3s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>
        <v>0</v>
      </c>
      <c r="J10" s="17">
        <v>0</v>
      </c>
      <c r="M10" s="17">
        <v>0</v>
      </c>
      <c r="N10" s="17">
        <v>0</v>
      </c>
      <c r="P10" s="17">
        <v>0</v>
      </c>
      <c r="Q10" s="17">
        <v>0</v>
      </c>
      <c r="R10" s="17" t="str">
        <v>https://www.youtube.com/watch?v=yiRuZloI6d0</v>
      </c>
      <c r="S10" s="17" t="str">
        <v>https://www.youtube.com/watch?v=wHyl-83H9Ro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>
        <v>0</v>
      </c>
      <c r="J11" s="17">
        <v>0</v>
      </c>
      <c r="M11" s="17">
        <v>0</v>
      </c>
      <c r="N11" s="17">
        <v>0</v>
      </c>
      <c r="P11" s="17">
        <v>0</v>
      </c>
      <c r="Q11" s="17">
        <v>0</v>
      </c>
      <c r="R11" s="17" t="str">
        <v>https://www.youtube.com/watch?v=1axSWF5kWVc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7">
        <v>0</v>
      </c>
      <c r="J12" s="17">
        <v>0</v>
      </c>
      <c r="M12" s="17">
        <v>0</v>
      </c>
      <c r="N12" s="17">
        <v>0</v>
      </c>
      <c r="P12" s="17">
        <v>0</v>
      </c>
      <c r="Q12" s="17">
        <v>0</v>
      </c>
      <c r="R12" s="17" t="str">
        <v>https://www.youtube.com/watch?v=slxWCex0heQ</v>
      </c>
      <c r="S12" s="17" t="str">
        <v>https://www.youtube.com/watch?v=0cJgahJq6_c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>
        <v>0</v>
      </c>
      <c r="J13" s="17">
        <v>0</v>
      </c>
      <c r="M13" s="17">
        <v>0</v>
      </c>
      <c r="N13" s="17">
        <v>0</v>
      </c>
      <c r="P13" s="17">
        <v>0</v>
      </c>
      <c r="Q13" s="17">
        <v>0</v>
      </c>
      <c r="R13" s="17">
        <v>0</v>
      </c>
      <c r="S13" s="17" t="str">
        <v>https://www.youtube.com/watch?v=XIpdZwkbdnY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>
        <v>0</v>
      </c>
      <c r="J14" s="17">
        <v>0</v>
      </c>
      <c r="M14" s="17">
        <v>0</v>
      </c>
      <c r="N14" s="17">
        <v>0</v>
      </c>
      <c r="P14" s="17">
        <v>0</v>
      </c>
      <c r="Q14" s="17">
        <v>0</v>
      </c>
      <c r="R14" s="17" t="str">
        <v>https://www.youtube.com/watch?v=bpvx3uFc48I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7">
        <v>0</v>
      </c>
      <c r="J15" s="17">
        <v>0</v>
      </c>
      <c r="M15" s="17">
        <v>0</v>
      </c>
      <c r="N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7">
        <v>0</v>
      </c>
      <c r="J16" s="17">
        <v>0</v>
      </c>
      <c r="M16" s="17">
        <v>0</v>
      </c>
      <c r="N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7">
        <v>0</v>
      </c>
      <c r="J17" s="17">
        <v>0</v>
      </c>
      <c r="M17" s="17">
        <v>0</v>
      </c>
      <c r="N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7">
        <v>0</v>
      </c>
      <c r="J18" s="17">
        <v>0</v>
      </c>
      <c r="M18" s="17">
        <v>0</v>
      </c>
      <c r="N18" s="17">
        <v>0</v>
      </c>
      <c r="P18" s="17">
        <v>0</v>
      </c>
      <c r="Q18" s="17">
        <v>0</v>
      </c>
      <c r="R18" s="17" t="str">
        <v>https://www.youtube.com/watch?v=Jj8X5vv5LNY</v>
      </c>
      <c r="S18" s="17" t="str">
        <v>https://www.youtube.com/watch?v=tKSM_vijkgE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7">
        <v>0</v>
      </c>
      <c r="J19" s="17">
        <v>0</v>
      </c>
      <c r="M19" s="17">
        <v>0</v>
      </c>
      <c r="N19" s="17">
        <v>0</v>
      </c>
      <c r="P19" s="17">
        <v>0</v>
      </c>
      <c r="Q19" s="17">
        <v>0</v>
      </c>
      <c r="R19" s="17">
        <v>0</v>
      </c>
      <c r="S19" s="17" t="str">
        <v>https://www.youtube.com/watch?v=RBbbPNeLt9c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7">
        <v>0</v>
      </c>
      <c r="J20" s="17">
        <v>0</v>
      </c>
      <c r="M20" s="17">
        <v>0</v>
      </c>
      <c r="N20" s="17">
        <v>0</v>
      </c>
      <c r="P20" s="17">
        <v>0</v>
      </c>
      <c r="Q20" s="17">
        <v>0</v>
      </c>
      <c r="R20" s="17">
        <v>0</v>
      </c>
      <c r="S20" s="17" t="str">
        <v>https://www.youtube.com/watch?v=oJ8DIOKwxhU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6</v>
      </c>
      <c r="I21" s="17">
        <v>0</v>
      </c>
      <c r="J21" s="17">
        <v>0</v>
      </c>
      <c r="M21" s="17">
        <v>0</v>
      </c>
      <c r="N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1</v>
      </c>
      <c r="I22" s="17">
        <v>0</v>
      </c>
      <c r="J22" s="17">
        <v>0</v>
      </c>
      <c r="M22" s="17">
        <v>0</v>
      </c>
      <c r="N22" s="17">
        <v>0</v>
      </c>
      <c r="P22" s="17">
        <v>0</v>
      </c>
      <c r="Q22" s="17">
        <v>0</v>
      </c>
      <c r="S22" s="17" t="str">
        <v>https://www.youtube.com/watch?v=88t9_VW5z6o</v>
      </c>
      <c r="T22" s="17">
        <v>0</v>
      </c>
      <c r="U22" s="17">
        <v>0</v>
      </c>
      <c r="V22" s="17">
        <v>0</v>
      </c>
      <c r="W22" s="17">
        <v>0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7">
        <v>0</v>
      </c>
      <c r="J23" s="17">
        <v>0</v>
      </c>
      <c r="M23" s="17">
        <v>0</v>
      </c>
      <c r="N23" s="17">
        <v>0</v>
      </c>
      <c r="P23" s="17">
        <v>0</v>
      </c>
      <c r="Q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7">
        <v>0</v>
      </c>
      <c r="J24" s="17">
        <v>0</v>
      </c>
      <c r="M24" s="17">
        <v>0</v>
      </c>
      <c r="N24" s="17">
        <v>0</v>
      </c>
      <c r="P24" s="17">
        <v>0</v>
      </c>
      <c r="Q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7">
        <v>0</v>
      </c>
      <c r="J25" s="17">
        <v>0</v>
      </c>
      <c r="M25" s="17">
        <v>0</v>
      </c>
      <c r="N25" s="17">
        <v>0</v>
      </c>
      <c r="P25" s="17">
        <v>0</v>
      </c>
      <c r="Q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7">
        <v>0</v>
      </c>
      <c r="J26" s="17">
        <v>0</v>
      </c>
      <c r="M26" s="17">
        <v>0</v>
      </c>
      <c r="N26" s="17">
        <v>0</v>
      </c>
      <c r="P26" s="17">
        <v>0</v>
      </c>
      <c r="Q26" s="17">
        <v>0</v>
      </c>
      <c r="S26" s="17" t="str">
        <v>https://www.youtube.com/watch?v=KwQwKNU8Q1I</v>
      </c>
      <c r="T26" s="17">
        <v>0</v>
      </c>
      <c r="U26" s="17">
        <v>0</v>
      </c>
      <c r="V26" s="17">
        <v>0</v>
      </c>
      <c r="W26" s="17">
        <v>0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7">
        <v>0</v>
      </c>
      <c r="J27" s="17">
        <v>0</v>
      </c>
      <c r="M27" s="17">
        <v>0</v>
      </c>
      <c r="N27" s="17">
        <v>0</v>
      </c>
      <c r="P27" s="17">
        <v>0</v>
      </c>
      <c r="Q27" s="17">
        <v>0</v>
      </c>
      <c r="S27" s="17">
        <v>0</v>
      </c>
      <c r="T27" s="17">
        <v>0</v>
      </c>
      <c r="U27" s="17">
        <v>0</v>
      </c>
      <c r="V27" s="17">
        <v>0</v>
      </c>
      <c r="W27" s="17">
        <v>0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7">
        <v>0</v>
      </c>
      <c r="M28" s="17">
        <v>0</v>
      </c>
      <c r="N28" s="17">
        <v>0</v>
      </c>
      <c r="P28" s="17">
        <v>0</v>
      </c>
      <c r="Q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7">
        <v>0</v>
      </c>
      <c r="M29" s="17">
        <v>0</v>
      </c>
      <c r="N29" s="17">
        <v>0</v>
      </c>
      <c r="P29" s="17">
        <v>0</v>
      </c>
      <c r="Q29" s="17">
        <v>0</v>
      </c>
      <c r="S29" s="17" t="str">
        <v>https://www.youtube.com/watch?v=HsegwQSLVi4</v>
      </c>
      <c r="T29" s="17">
        <v>0</v>
      </c>
      <c r="U29" s="17">
        <v>0</v>
      </c>
      <c r="V29" s="17">
        <v>0</v>
      </c>
      <c r="W29" s="17">
        <v>0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7">
        <v>0</v>
      </c>
      <c r="M30" s="17">
        <v>0</v>
      </c>
      <c r="N30" s="17">
        <v>0</v>
      </c>
      <c r="P30" s="17">
        <v>0</v>
      </c>
      <c r="Q30" s="17">
        <v>0</v>
      </c>
      <c r="S30" s="17">
        <v>0</v>
      </c>
      <c r="T30" s="17">
        <v>0</v>
      </c>
      <c r="U30" s="17">
        <v>0</v>
      </c>
      <c r="V30" s="17">
        <v>0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7">
        <v>0</v>
      </c>
      <c r="M31" s="17">
        <v>0</v>
      </c>
      <c r="N31" s="17">
        <v>0</v>
      </c>
      <c r="P31" s="17">
        <v>0</v>
      </c>
      <c r="Q31" s="17">
        <v>0</v>
      </c>
      <c r="S31" s="17" t="str">
        <v>https://www.youtube.com/watch?v=Kpyl0DDOr1M</v>
      </c>
      <c r="T31" s="17">
        <v>0</v>
      </c>
      <c r="U31" s="17">
        <v>0</v>
      </c>
      <c r="V31" s="17">
        <v>0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7">
        <v>0</v>
      </c>
      <c r="M32" s="17">
        <v>0</v>
      </c>
      <c r="N32" s="17">
        <v>0</v>
      </c>
      <c r="P32" s="17">
        <v>0</v>
      </c>
      <c r="Q32" s="17">
        <v>0</v>
      </c>
      <c r="S32" s="17">
        <v>0</v>
      </c>
      <c r="T32" s="17">
        <v>0</v>
      </c>
      <c r="U32" s="17">
        <v>0</v>
      </c>
      <c r="V32" s="17">
        <v>0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7">
        <v>0</v>
      </c>
      <c r="M33" s="17">
        <v>0</v>
      </c>
      <c r="N33" s="17">
        <v>0</v>
      </c>
      <c r="P33" s="17">
        <v>0</v>
      </c>
      <c r="Q33" s="17">
        <v>0</v>
      </c>
      <c r="T33" s="17">
        <v>0</v>
      </c>
      <c r="U33" s="17">
        <v>0</v>
      </c>
      <c r="V33" s="17">
        <v>0</v>
      </c>
    </row>
    <row r="34" spans="1:22" x14ac:dyDescent="0.3">
      <c r="I34" s="17">
        <v>0</v>
      </c>
      <c r="M34" s="17">
        <v>0</v>
      </c>
      <c r="N34" s="17">
        <v>0</v>
      </c>
      <c r="P34" s="17">
        <v>0</v>
      </c>
      <c r="Q34" s="17">
        <v>0</v>
      </c>
      <c r="T34" s="17">
        <v>0</v>
      </c>
      <c r="U34" s="17">
        <v>0</v>
      </c>
      <c r="V34" s="17">
        <v>0</v>
      </c>
    </row>
    <row r="35" spans="1:22" x14ac:dyDescent="0.3">
      <c r="I35" s="17">
        <v>0</v>
      </c>
      <c r="M35" s="17">
        <v>0</v>
      </c>
      <c r="N35" s="17">
        <v>0</v>
      </c>
      <c r="P35" s="17">
        <v>0</v>
      </c>
      <c r="Q35" s="17">
        <v>0</v>
      </c>
      <c r="T35" s="17">
        <v>0</v>
      </c>
      <c r="U35" s="17">
        <v>0</v>
      </c>
      <c r="V35" s="17">
        <v>0</v>
      </c>
    </row>
    <row r="36" spans="1:22" x14ac:dyDescent="0.3">
      <c r="I36" s="17">
        <v>0</v>
      </c>
      <c r="M36" s="17">
        <v>0</v>
      </c>
      <c r="N36" s="17">
        <v>0</v>
      </c>
      <c r="P36" s="17">
        <v>0</v>
      </c>
      <c r="Q36" s="17">
        <v>0</v>
      </c>
      <c r="T36" s="17">
        <v>0</v>
      </c>
      <c r="U36" s="17">
        <v>0</v>
      </c>
      <c r="V36" s="17">
        <v>0</v>
      </c>
    </row>
    <row r="37" spans="1:22" x14ac:dyDescent="0.3">
      <c r="I37" s="17">
        <v>0</v>
      </c>
      <c r="M37" s="17">
        <v>0</v>
      </c>
      <c r="N37" s="17">
        <v>0</v>
      </c>
      <c r="P37" s="17">
        <v>0</v>
      </c>
      <c r="Q37" s="17">
        <v>0</v>
      </c>
      <c r="T37" s="17">
        <v>0</v>
      </c>
      <c r="U37" s="17">
        <v>0</v>
      </c>
      <c r="V37" s="17">
        <v>0</v>
      </c>
    </row>
    <row r="38" spans="1:22" x14ac:dyDescent="0.3">
      <c r="I38" s="17">
        <v>0</v>
      </c>
      <c r="M38" s="17">
        <v>0</v>
      </c>
      <c r="N38" s="17">
        <v>0</v>
      </c>
      <c r="P38" s="17">
        <v>0</v>
      </c>
      <c r="Q38" s="17">
        <v>0</v>
      </c>
      <c r="T38" s="17">
        <v>0</v>
      </c>
      <c r="U38" s="17">
        <v>0</v>
      </c>
      <c r="V38" s="17">
        <v>0</v>
      </c>
    </row>
    <row r="39" spans="1:22" x14ac:dyDescent="0.3">
      <c r="I39" s="17">
        <v>0</v>
      </c>
      <c r="M39" s="17">
        <v>0</v>
      </c>
      <c r="N39" s="17">
        <v>0</v>
      </c>
      <c r="P39" s="17">
        <v>0</v>
      </c>
      <c r="Q39" s="17">
        <v>0</v>
      </c>
      <c r="T39" s="17">
        <v>0</v>
      </c>
      <c r="U39" s="17">
        <v>0</v>
      </c>
      <c r="V39" s="17">
        <v>0</v>
      </c>
    </row>
    <row r="40" spans="1:22" x14ac:dyDescent="0.3">
      <c r="I40" s="17">
        <v>0</v>
      </c>
      <c r="M40" s="17">
        <v>0</v>
      </c>
      <c r="N40" s="17">
        <v>0</v>
      </c>
      <c r="P40" s="17">
        <v>0</v>
      </c>
      <c r="Q40" s="17">
        <v>0</v>
      </c>
      <c r="T40" s="17">
        <v>0</v>
      </c>
      <c r="U40" s="17">
        <v>0</v>
      </c>
      <c r="V40" s="17">
        <v>0</v>
      </c>
    </row>
    <row r="41" spans="1:22" x14ac:dyDescent="0.3">
      <c r="I41" s="17">
        <v>0</v>
      </c>
      <c r="M41" s="17" t="str">
        <v>https://www.youtube.com/watch?v=MhwXqKZmy3Y</v>
      </c>
      <c r="N41" s="17">
        <v>0</v>
      </c>
      <c r="P41" s="17">
        <v>0</v>
      </c>
      <c r="Q41" s="17">
        <v>0</v>
      </c>
      <c r="T41" s="17">
        <v>0</v>
      </c>
      <c r="U41" s="17">
        <v>0</v>
      </c>
      <c r="V41" s="17">
        <v>0</v>
      </c>
    </row>
    <row r="42" spans="1:22" x14ac:dyDescent="0.3">
      <c r="I42" s="17">
        <v>0</v>
      </c>
      <c r="M42" s="17">
        <v>0</v>
      </c>
      <c r="N42" s="17">
        <v>0</v>
      </c>
      <c r="P42" s="17">
        <v>0</v>
      </c>
      <c r="Q42" s="17">
        <v>0</v>
      </c>
      <c r="T42" s="17">
        <v>0</v>
      </c>
      <c r="U42" s="17">
        <v>0</v>
      </c>
      <c r="V42" s="17">
        <v>0</v>
      </c>
    </row>
    <row r="43" spans="1:22" x14ac:dyDescent="0.3">
      <c r="I43" s="17">
        <v>0</v>
      </c>
      <c r="M43" s="17">
        <v>0</v>
      </c>
      <c r="N43" s="17">
        <v>0</v>
      </c>
      <c r="P43" s="17">
        <v>0</v>
      </c>
      <c r="Q43" s="17">
        <v>0</v>
      </c>
      <c r="T43" s="17">
        <v>0</v>
      </c>
      <c r="U43" s="17">
        <v>0</v>
      </c>
      <c r="V43" s="17">
        <v>0</v>
      </c>
    </row>
    <row r="44" spans="1:22" x14ac:dyDescent="0.3">
      <c r="I44" s="17">
        <v>0</v>
      </c>
      <c r="M44" s="17">
        <v>0</v>
      </c>
      <c r="N44" s="17">
        <v>0</v>
      </c>
      <c r="P44" s="17">
        <v>0</v>
      </c>
      <c r="Q44" s="17">
        <v>0</v>
      </c>
      <c r="T44" s="17">
        <v>0</v>
      </c>
      <c r="U44" s="17">
        <v>0</v>
      </c>
      <c r="V44" s="17">
        <v>0</v>
      </c>
    </row>
    <row r="45" spans="1:22" x14ac:dyDescent="0.3">
      <c r="I45" s="17">
        <v>0</v>
      </c>
      <c r="M45" s="17">
        <v>0</v>
      </c>
      <c r="N45" s="17">
        <v>0</v>
      </c>
      <c r="P45" s="17">
        <v>0</v>
      </c>
      <c r="Q45" s="17">
        <v>0</v>
      </c>
      <c r="T45" s="17">
        <v>0</v>
      </c>
      <c r="U45" s="17">
        <v>0</v>
      </c>
      <c r="V45" s="17">
        <v>0</v>
      </c>
    </row>
    <row r="46" spans="1:22" x14ac:dyDescent="0.3">
      <c r="I46" s="17">
        <v>0</v>
      </c>
      <c r="M46" s="17">
        <v>0</v>
      </c>
      <c r="N46" s="17">
        <v>0</v>
      </c>
      <c r="P46" s="17">
        <v>0</v>
      </c>
      <c r="Q46" s="17">
        <v>0</v>
      </c>
      <c r="T46" s="17">
        <v>0</v>
      </c>
      <c r="U46" s="17">
        <v>0</v>
      </c>
      <c r="V46" s="17">
        <v>0</v>
      </c>
    </row>
    <row r="47" spans="1:22" x14ac:dyDescent="0.3">
      <c r="I47" s="17">
        <v>0</v>
      </c>
      <c r="M47" s="17">
        <v>0</v>
      </c>
      <c r="N47" s="17">
        <v>0</v>
      </c>
      <c r="P47" s="17">
        <v>0</v>
      </c>
      <c r="Q47" s="17">
        <v>0</v>
      </c>
      <c r="T47" s="17">
        <v>0</v>
      </c>
      <c r="U47" s="17">
        <v>0</v>
      </c>
      <c r="V47" s="17">
        <v>0</v>
      </c>
    </row>
    <row r="48" spans="1:22" x14ac:dyDescent="0.3">
      <c r="I48" s="17">
        <v>0</v>
      </c>
      <c r="M48" s="17">
        <v>0</v>
      </c>
      <c r="N48" s="17">
        <v>0</v>
      </c>
      <c r="P48" s="17">
        <v>0</v>
      </c>
      <c r="Q48" s="17">
        <v>0</v>
      </c>
      <c r="T48" s="17">
        <v>0</v>
      </c>
      <c r="U48" s="17">
        <v>0</v>
      </c>
      <c r="V48" s="17">
        <v>0</v>
      </c>
    </row>
    <row r="49" spans="9:22" x14ac:dyDescent="0.3">
      <c r="I49" s="17">
        <v>0</v>
      </c>
      <c r="M49" s="17">
        <v>0</v>
      </c>
      <c r="N49" s="17">
        <v>0</v>
      </c>
      <c r="P49" s="17">
        <v>0</v>
      </c>
      <c r="Q49" s="17">
        <v>0</v>
      </c>
      <c r="T49" s="17">
        <v>0</v>
      </c>
      <c r="U49" s="17">
        <v>0</v>
      </c>
      <c r="V49" s="17">
        <v>0</v>
      </c>
    </row>
    <row r="50" spans="9:22" x14ac:dyDescent="0.3">
      <c r="I50" s="17">
        <v>0</v>
      </c>
      <c r="M50" s="17">
        <v>0</v>
      </c>
      <c r="N50" s="17">
        <v>0</v>
      </c>
      <c r="P50" s="17">
        <v>0</v>
      </c>
      <c r="Q50" s="17">
        <v>0</v>
      </c>
      <c r="T50" s="17">
        <v>0</v>
      </c>
      <c r="U50" s="17">
        <v>0</v>
      </c>
      <c r="V50" s="17">
        <v>0</v>
      </c>
    </row>
    <row r="51" spans="9:22" x14ac:dyDescent="0.3">
      <c r="I51" s="17">
        <v>0</v>
      </c>
      <c r="M51" s="17">
        <v>0</v>
      </c>
      <c r="N51" s="17">
        <v>0</v>
      </c>
      <c r="P51" s="17">
        <v>0</v>
      </c>
      <c r="Q51" s="17">
        <v>0</v>
      </c>
      <c r="T51" s="17">
        <v>0</v>
      </c>
      <c r="U51" s="17">
        <v>0</v>
      </c>
      <c r="V51" s="17">
        <v>0</v>
      </c>
    </row>
    <row r="52" spans="9:22" x14ac:dyDescent="0.3">
      <c r="I52" s="17">
        <v>0</v>
      </c>
      <c r="M52" s="17">
        <v>0</v>
      </c>
      <c r="N52" s="17">
        <v>0</v>
      </c>
      <c r="P52" s="17">
        <v>0</v>
      </c>
      <c r="Q52" s="17">
        <v>0</v>
      </c>
      <c r="T52" s="17">
        <v>0</v>
      </c>
      <c r="U52" s="17">
        <v>0</v>
      </c>
      <c r="V52" s="17">
        <v>0</v>
      </c>
    </row>
    <row r="53" spans="9:22" x14ac:dyDescent="0.3">
      <c r="I53" s="17">
        <v>0</v>
      </c>
      <c r="M53" s="17">
        <v>0</v>
      </c>
      <c r="N53" s="17">
        <v>0</v>
      </c>
      <c r="P53" s="17">
        <v>0</v>
      </c>
      <c r="Q53" s="17">
        <v>0</v>
      </c>
      <c r="U53" s="17">
        <v>0</v>
      </c>
      <c r="V53" s="17">
        <v>0</v>
      </c>
    </row>
    <row r="54" spans="9:22" x14ac:dyDescent="0.3">
      <c r="I54" s="17">
        <v>0</v>
      </c>
      <c r="M54" s="17">
        <v>0</v>
      </c>
      <c r="N54" s="17">
        <v>0</v>
      </c>
      <c r="P54" s="17">
        <v>0</v>
      </c>
      <c r="Q54" s="17">
        <v>0</v>
      </c>
      <c r="U54" s="17">
        <v>0</v>
      </c>
      <c r="V54" s="17">
        <v>0</v>
      </c>
    </row>
    <row r="55" spans="9:22" x14ac:dyDescent="0.3">
      <c r="I55" s="17">
        <v>0</v>
      </c>
      <c r="M55" s="17">
        <v>0</v>
      </c>
      <c r="N55" s="17">
        <v>0</v>
      </c>
      <c r="P55" s="17">
        <v>0</v>
      </c>
      <c r="Q55" s="17">
        <v>0</v>
      </c>
      <c r="U55" s="17">
        <v>0</v>
      </c>
      <c r="V55" s="17">
        <v>0</v>
      </c>
    </row>
    <row r="56" spans="9:22" x14ac:dyDescent="0.3">
      <c r="I56" s="17">
        <v>0</v>
      </c>
      <c r="M56" s="17">
        <v>0</v>
      </c>
      <c r="N56" s="17">
        <v>0</v>
      </c>
      <c r="P56" s="17">
        <v>0</v>
      </c>
      <c r="Q56" s="17">
        <v>0</v>
      </c>
      <c r="U56" s="17">
        <v>0</v>
      </c>
      <c r="V56" s="17">
        <v>0</v>
      </c>
    </row>
    <row r="57" spans="9:22" x14ac:dyDescent="0.3">
      <c r="I57" s="17">
        <v>0</v>
      </c>
      <c r="M57" s="17">
        <v>0</v>
      </c>
      <c r="N57" s="17">
        <v>0</v>
      </c>
      <c r="P57" s="17">
        <v>0</v>
      </c>
      <c r="Q57" s="17">
        <v>0</v>
      </c>
      <c r="U57" s="17">
        <v>0</v>
      </c>
      <c r="V57" s="17">
        <v>0</v>
      </c>
    </row>
    <row r="58" spans="9:22" x14ac:dyDescent="0.3">
      <c r="I58" s="17">
        <v>0</v>
      </c>
      <c r="N58" s="17">
        <v>0</v>
      </c>
      <c r="P58" s="17">
        <v>0</v>
      </c>
      <c r="Q58" s="17" t="str">
        <v>https://www.youtube.com/watch?v=fwSvlqMZsDQ</v>
      </c>
      <c r="U58" s="17">
        <v>0</v>
      </c>
      <c r="V58" s="17">
        <v>0</v>
      </c>
    </row>
    <row r="59" spans="9:22" x14ac:dyDescent="0.3">
      <c r="I59" s="17">
        <v>0</v>
      </c>
      <c r="N59" s="17">
        <v>0</v>
      </c>
      <c r="P59" s="17">
        <v>0</v>
      </c>
      <c r="Q59" s="17">
        <v>0</v>
      </c>
      <c r="U59" s="17">
        <v>0</v>
      </c>
      <c r="V59" s="17">
        <v>0</v>
      </c>
    </row>
    <row r="60" spans="9:22" x14ac:dyDescent="0.3">
      <c r="I60" s="17">
        <v>0</v>
      </c>
      <c r="N60" s="17">
        <v>0</v>
      </c>
      <c r="P60" s="17">
        <v>0</v>
      </c>
      <c r="Q60" s="17">
        <v>0</v>
      </c>
      <c r="U60" s="17">
        <v>0</v>
      </c>
      <c r="V60" s="17">
        <v>0</v>
      </c>
    </row>
    <row r="61" spans="9:22" x14ac:dyDescent="0.3">
      <c r="I61" s="17">
        <v>0</v>
      </c>
      <c r="N61" s="17">
        <v>0</v>
      </c>
      <c r="P61" s="17">
        <v>0</v>
      </c>
      <c r="Q61" s="17">
        <v>0</v>
      </c>
      <c r="U61" s="17">
        <v>0</v>
      </c>
      <c r="V61" s="17">
        <v>0</v>
      </c>
    </row>
    <row r="62" spans="9:22" x14ac:dyDescent="0.3">
      <c r="I62" s="17">
        <v>0</v>
      </c>
      <c r="N62" s="17">
        <v>0</v>
      </c>
      <c r="P62" s="17">
        <v>0</v>
      </c>
      <c r="Q62" s="17">
        <v>0</v>
      </c>
      <c r="U62" s="17">
        <v>0</v>
      </c>
      <c r="V62" s="17">
        <v>0</v>
      </c>
    </row>
    <row r="63" spans="9:22" x14ac:dyDescent="0.3">
      <c r="I63" s="17">
        <v>0</v>
      </c>
      <c r="N63" s="17">
        <v>0</v>
      </c>
      <c r="P63" s="17">
        <v>0</v>
      </c>
      <c r="Q63" s="17">
        <v>0</v>
      </c>
      <c r="U63" s="17">
        <v>0</v>
      </c>
      <c r="V63" s="17">
        <v>0</v>
      </c>
    </row>
    <row r="64" spans="9:22" x14ac:dyDescent="0.3">
      <c r="I64" s="17">
        <v>0</v>
      </c>
      <c r="N64" s="17">
        <v>0</v>
      </c>
      <c r="P64" s="17">
        <v>0</v>
      </c>
      <c r="Q64" s="17">
        <v>0</v>
      </c>
      <c r="U64" s="17">
        <v>0</v>
      </c>
      <c r="V64" s="17">
        <v>0</v>
      </c>
    </row>
    <row r="65" spans="9:22" x14ac:dyDescent="0.3">
      <c r="I65" s="17">
        <v>0</v>
      </c>
      <c r="N65" s="17">
        <v>0</v>
      </c>
      <c r="P65" s="17">
        <v>0</v>
      </c>
      <c r="Q65" s="17">
        <v>0</v>
      </c>
      <c r="U65" s="17">
        <v>0</v>
      </c>
      <c r="V65" s="17">
        <v>0</v>
      </c>
    </row>
    <row r="66" spans="9:22" x14ac:dyDescent="0.3">
      <c r="I66" s="17">
        <v>0</v>
      </c>
      <c r="N66" s="17">
        <v>0</v>
      </c>
      <c r="P66" s="17">
        <v>0</v>
      </c>
      <c r="Q66" s="17">
        <v>0</v>
      </c>
      <c r="U66" s="17">
        <v>0</v>
      </c>
      <c r="V66" s="17">
        <v>0</v>
      </c>
    </row>
    <row r="67" spans="9:22" x14ac:dyDescent="0.3">
      <c r="I67" s="17">
        <v>0</v>
      </c>
      <c r="N67" s="17">
        <v>0</v>
      </c>
      <c r="P67" s="17">
        <v>0</v>
      </c>
      <c r="Q67" s="17">
        <v>0</v>
      </c>
      <c r="U67" s="17">
        <v>0</v>
      </c>
      <c r="V67" s="17">
        <v>0</v>
      </c>
    </row>
    <row r="68" spans="9:22" x14ac:dyDescent="0.3">
      <c r="I68" s="17">
        <v>0</v>
      </c>
      <c r="N68" s="17">
        <v>0</v>
      </c>
      <c r="P68" s="17">
        <v>0</v>
      </c>
      <c r="Q68" s="17">
        <v>0</v>
      </c>
      <c r="U68" s="17">
        <v>0</v>
      </c>
      <c r="V68" s="17">
        <v>0</v>
      </c>
    </row>
    <row r="69" spans="9:22" x14ac:dyDescent="0.3">
      <c r="I69" s="17">
        <v>0</v>
      </c>
      <c r="N69" s="17">
        <v>0</v>
      </c>
      <c r="P69" s="17">
        <v>0</v>
      </c>
      <c r="Q69" s="17">
        <v>0</v>
      </c>
      <c r="U69" s="17">
        <v>0</v>
      </c>
      <c r="V69" s="17">
        <v>0</v>
      </c>
    </row>
    <row r="70" spans="9:22" x14ac:dyDescent="0.3">
      <c r="I70" s="17">
        <v>0</v>
      </c>
      <c r="N70" s="17">
        <v>0</v>
      </c>
      <c r="P70" s="17">
        <v>0</v>
      </c>
      <c r="Q70" s="17" t="str">
        <v>https://www.youtube.com/watch?v=pBDC7TRhCYY</v>
      </c>
      <c r="U70" s="17">
        <v>0</v>
      </c>
      <c r="V70" s="17">
        <v>0</v>
      </c>
    </row>
    <row r="71" spans="9:22" x14ac:dyDescent="0.3">
      <c r="I71" s="17">
        <v>0</v>
      </c>
      <c r="N71" s="17">
        <v>0</v>
      </c>
      <c r="P71" s="17">
        <v>0</v>
      </c>
      <c r="Q71" s="17">
        <v>0</v>
      </c>
      <c r="U71" s="17">
        <v>0</v>
      </c>
      <c r="V71" s="17">
        <v>0</v>
      </c>
    </row>
    <row r="72" spans="9:22" x14ac:dyDescent="0.3">
      <c r="I72" s="17">
        <v>0</v>
      </c>
      <c r="N72" s="17">
        <v>0</v>
      </c>
      <c r="P72" s="17">
        <v>0</v>
      </c>
      <c r="Q72" s="17">
        <v>0</v>
      </c>
      <c r="U72" s="17">
        <v>0</v>
      </c>
      <c r="V72" s="17">
        <v>0</v>
      </c>
    </row>
    <row r="73" spans="9:22" x14ac:dyDescent="0.3">
      <c r="I73" s="17">
        <v>0</v>
      </c>
      <c r="N73" s="17">
        <v>0</v>
      </c>
      <c r="P73" s="17">
        <v>0</v>
      </c>
      <c r="Q73" s="17">
        <v>0</v>
      </c>
      <c r="U73" s="17">
        <v>0</v>
      </c>
      <c r="V73" s="17">
        <v>0</v>
      </c>
    </row>
    <row r="74" spans="9:22" x14ac:dyDescent="0.3">
      <c r="I74" s="17">
        <v>0</v>
      </c>
      <c r="N74" s="17">
        <v>0</v>
      </c>
      <c r="P74" s="17">
        <v>0</v>
      </c>
      <c r="Q74" s="17">
        <v>0</v>
      </c>
      <c r="U74" s="17">
        <v>0</v>
      </c>
      <c r="V74" s="17">
        <v>0</v>
      </c>
    </row>
    <row r="75" spans="9:22" x14ac:dyDescent="0.3">
      <c r="I75" s="17">
        <v>0</v>
      </c>
      <c r="N75" s="17">
        <v>0</v>
      </c>
      <c r="P75" s="17">
        <v>0</v>
      </c>
      <c r="Q75" s="17">
        <v>0</v>
      </c>
      <c r="U75" s="17">
        <v>0</v>
      </c>
      <c r="V75" s="17">
        <v>0</v>
      </c>
    </row>
    <row r="76" spans="9:22" x14ac:dyDescent="0.3">
      <c r="I76" s="17">
        <v>0</v>
      </c>
      <c r="N76" s="17">
        <v>0</v>
      </c>
      <c r="P76" s="17">
        <v>0</v>
      </c>
      <c r="Q76" s="17">
        <v>0</v>
      </c>
      <c r="U76" s="17">
        <v>0</v>
      </c>
      <c r="V76" s="17">
        <v>0</v>
      </c>
    </row>
    <row r="77" spans="9:22" x14ac:dyDescent="0.3">
      <c r="I77" s="17">
        <v>0</v>
      </c>
      <c r="N77" s="17">
        <v>0</v>
      </c>
      <c r="P77" s="17">
        <v>0</v>
      </c>
      <c r="Q77" s="17">
        <v>0</v>
      </c>
      <c r="U77" s="17">
        <v>0</v>
      </c>
      <c r="V77" s="17">
        <v>0</v>
      </c>
    </row>
    <row r="78" spans="9:22" x14ac:dyDescent="0.3">
      <c r="I78" s="17">
        <v>0</v>
      </c>
      <c r="N78" s="17">
        <v>0</v>
      </c>
      <c r="P78" s="17">
        <v>0</v>
      </c>
      <c r="Q78" s="17">
        <v>0</v>
      </c>
      <c r="U78" s="17">
        <v>0</v>
      </c>
      <c r="V78" s="17">
        <v>0</v>
      </c>
    </row>
    <row r="79" spans="9:22" x14ac:dyDescent="0.3">
      <c r="I79" s="17">
        <v>0</v>
      </c>
      <c r="N79" s="17">
        <v>0</v>
      </c>
      <c r="P79" s="17">
        <v>0</v>
      </c>
      <c r="Q79" s="17">
        <v>0</v>
      </c>
      <c r="U79" s="17">
        <v>0</v>
      </c>
      <c r="V79" s="17">
        <v>0</v>
      </c>
    </row>
    <row r="80" spans="9:22" x14ac:dyDescent="0.3">
      <c r="I80" s="17">
        <v>0</v>
      </c>
      <c r="N80" s="17">
        <v>0</v>
      </c>
      <c r="P80" s="17">
        <v>0</v>
      </c>
      <c r="Q80" s="17">
        <v>0</v>
      </c>
      <c r="U80" s="17">
        <v>0</v>
      </c>
      <c r="V80" s="17">
        <v>0</v>
      </c>
    </row>
    <row r="81" spans="9:22" x14ac:dyDescent="0.3">
      <c r="I81" s="17">
        <v>0</v>
      </c>
      <c r="N81" s="17">
        <v>0</v>
      </c>
      <c r="P81" s="17">
        <v>0</v>
      </c>
      <c r="Q81" s="17">
        <v>0</v>
      </c>
      <c r="V81" s="17">
        <v>0</v>
      </c>
    </row>
    <row r="82" spans="9:22" x14ac:dyDescent="0.3">
      <c r="I82" s="17">
        <v>0</v>
      </c>
      <c r="N82" s="17">
        <v>0</v>
      </c>
      <c r="P82" s="17">
        <v>0</v>
      </c>
      <c r="Q82" s="17">
        <v>0</v>
      </c>
      <c r="V82" s="17">
        <v>0</v>
      </c>
    </row>
    <row r="83" spans="9:22" x14ac:dyDescent="0.3">
      <c r="I83" s="17">
        <v>0</v>
      </c>
      <c r="N83" s="17">
        <v>0</v>
      </c>
      <c r="P83" s="17">
        <v>0</v>
      </c>
      <c r="Q83" s="17">
        <v>0</v>
      </c>
      <c r="V83" s="17">
        <v>0</v>
      </c>
    </row>
    <row r="84" spans="9:22" x14ac:dyDescent="0.3">
      <c r="I84" s="17">
        <v>0</v>
      </c>
      <c r="N84" s="17">
        <v>0</v>
      </c>
      <c r="P84" s="17">
        <v>0</v>
      </c>
      <c r="Q84" s="17">
        <v>0</v>
      </c>
      <c r="V84" s="17">
        <v>0</v>
      </c>
    </row>
    <row r="85" spans="9:22" x14ac:dyDescent="0.3">
      <c r="I85" s="17">
        <v>0</v>
      </c>
      <c r="N85" s="17">
        <v>0</v>
      </c>
      <c r="P85" s="17">
        <v>0</v>
      </c>
      <c r="Q85" s="17">
        <v>0</v>
      </c>
      <c r="V85" s="17">
        <v>0</v>
      </c>
    </row>
    <row r="86" spans="9:22" x14ac:dyDescent="0.3">
      <c r="I86" s="17">
        <v>0</v>
      </c>
      <c r="N86" s="17">
        <v>0</v>
      </c>
      <c r="P86" s="17">
        <v>0</v>
      </c>
      <c r="Q86" s="17">
        <v>0</v>
      </c>
      <c r="V86" s="17">
        <v>0</v>
      </c>
    </row>
    <row r="87" spans="9:22" x14ac:dyDescent="0.3">
      <c r="I87" s="17">
        <v>0</v>
      </c>
      <c r="N87" s="17">
        <v>0</v>
      </c>
      <c r="P87" s="17">
        <v>0</v>
      </c>
      <c r="Q87" s="17">
        <v>0</v>
      </c>
    </row>
    <row r="88" spans="9:22" x14ac:dyDescent="0.3">
      <c r="I88" s="17">
        <v>0</v>
      </c>
      <c r="N88" s="17">
        <v>0</v>
      </c>
      <c r="P88" s="17">
        <v>0</v>
      </c>
      <c r="Q88" s="17">
        <v>0</v>
      </c>
    </row>
    <row r="89" spans="9:22" x14ac:dyDescent="0.3">
      <c r="I89" s="17">
        <v>0</v>
      </c>
      <c r="N89" s="17">
        <v>0</v>
      </c>
      <c r="P89" s="17">
        <v>0</v>
      </c>
      <c r="Q89" s="17">
        <v>0</v>
      </c>
    </row>
    <row r="90" spans="9:22" x14ac:dyDescent="0.3">
      <c r="I90" s="17">
        <v>0</v>
      </c>
      <c r="N90" s="17">
        <v>0</v>
      </c>
      <c r="P90" s="17">
        <v>0</v>
      </c>
      <c r="Q90" s="17">
        <v>0</v>
      </c>
    </row>
    <row r="91" spans="9:22" x14ac:dyDescent="0.3">
      <c r="I91" s="17">
        <v>0</v>
      </c>
      <c r="N91" s="17">
        <v>0</v>
      </c>
      <c r="P91" s="17">
        <v>0</v>
      </c>
      <c r="Q91" s="17">
        <v>0</v>
      </c>
    </row>
    <row r="92" spans="9:22" x14ac:dyDescent="0.3">
      <c r="I92" s="17">
        <v>0</v>
      </c>
      <c r="N92" s="17">
        <v>0</v>
      </c>
      <c r="P92" s="17">
        <v>0</v>
      </c>
      <c r="Q92" s="17">
        <v>0</v>
      </c>
    </row>
    <row r="93" spans="9:22" x14ac:dyDescent="0.3">
      <c r="I93" s="17">
        <v>0</v>
      </c>
      <c r="N93" s="17">
        <v>0</v>
      </c>
      <c r="P93" s="17">
        <v>0</v>
      </c>
      <c r="Q93" s="17">
        <v>0</v>
      </c>
    </row>
    <row r="94" spans="9:22" x14ac:dyDescent="0.3">
      <c r="I94" s="17">
        <v>0</v>
      </c>
      <c r="P94" s="17">
        <v>0</v>
      </c>
      <c r="Q94" s="17">
        <v>0</v>
      </c>
    </row>
    <row r="95" spans="9:22" x14ac:dyDescent="0.3">
      <c r="I95" s="17">
        <v>0</v>
      </c>
      <c r="P95" s="17">
        <v>0</v>
      </c>
      <c r="Q95" s="17">
        <v>0</v>
      </c>
    </row>
    <row r="96" spans="9:22" x14ac:dyDescent="0.3">
      <c r="I96" s="17">
        <v>0</v>
      </c>
      <c r="P96" s="17">
        <v>0</v>
      </c>
      <c r="Q96" s="17">
        <v>0</v>
      </c>
    </row>
    <row r="97" spans="9:17" x14ac:dyDescent="0.3">
      <c r="I97" s="17">
        <v>0</v>
      </c>
      <c r="P97" s="17">
        <v>0</v>
      </c>
      <c r="Q97" s="17">
        <v>0</v>
      </c>
    </row>
    <row r="98" spans="9:17" x14ac:dyDescent="0.3">
      <c r="I98" s="17">
        <v>0</v>
      </c>
      <c r="P98" s="17">
        <v>0</v>
      </c>
      <c r="Q98" s="17">
        <v>0</v>
      </c>
    </row>
    <row r="99" spans="9:17" x14ac:dyDescent="0.3">
      <c r="I99" s="17">
        <v>0</v>
      </c>
      <c r="P99" s="17">
        <v>0</v>
      </c>
      <c r="Q99" s="17">
        <v>0</v>
      </c>
    </row>
    <row r="100" spans="9:17" x14ac:dyDescent="0.3">
      <c r="I100" s="17">
        <v>0</v>
      </c>
      <c r="P100" s="17">
        <v>0</v>
      </c>
      <c r="Q100" s="17">
        <v>0</v>
      </c>
    </row>
    <row r="101" spans="9:17" x14ac:dyDescent="0.3">
      <c r="I101" s="17">
        <v>0</v>
      </c>
      <c r="P101" s="17">
        <v>0</v>
      </c>
      <c r="Q101" s="17">
        <v>0</v>
      </c>
    </row>
    <row r="102" spans="9:17" x14ac:dyDescent="0.3">
      <c r="I102" s="17">
        <v>0</v>
      </c>
      <c r="P102" s="17">
        <v>0</v>
      </c>
      <c r="Q102" s="17">
        <v>0</v>
      </c>
    </row>
    <row r="103" spans="9:17" x14ac:dyDescent="0.3">
      <c r="I103" s="17">
        <v>0</v>
      </c>
      <c r="P103" s="17">
        <v>0</v>
      </c>
      <c r="Q103" s="17">
        <v>0</v>
      </c>
    </row>
    <row r="104" spans="9:17" x14ac:dyDescent="0.3">
      <c r="I104" s="17">
        <v>0</v>
      </c>
      <c r="P104" s="17">
        <v>0</v>
      </c>
      <c r="Q104" s="17">
        <v>0</v>
      </c>
    </row>
    <row r="105" spans="9:17" x14ac:dyDescent="0.3">
      <c r="I105" s="17">
        <v>0</v>
      </c>
      <c r="P105" s="17">
        <v>0</v>
      </c>
      <c r="Q105" s="17">
        <v>0</v>
      </c>
    </row>
    <row r="106" spans="9:17" x14ac:dyDescent="0.3">
      <c r="I106" s="17">
        <v>0</v>
      </c>
      <c r="P106" s="17">
        <v>0</v>
      </c>
      <c r="Q106" s="17">
        <v>0</v>
      </c>
    </row>
    <row r="107" spans="9:17" x14ac:dyDescent="0.3">
      <c r="I107" s="17">
        <v>0</v>
      </c>
      <c r="P107" s="17">
        <v>0</v>
      </c>
      <c r="Q107" s="17">
        <v>0</v>
      </c>
    </row>
    <row r="108" spans="9:17" x14ac:dyDescent="0.3">
      <c r="I108" s="17">
        <v>0</v>
      </c>
      <c r="P108" s="17">
        <v>0</v>
      </c>
      <c r="Q108" s="17">
        <v>0</v>
      </c>
    </row>
    <row r="109" spans="9:17" x14ac:dyDescent="0.3">
      <c r="I109" s="17">
        <v>0</v>
      </c>
      <c r="P109" s="17">
        <v>0</v>
      </c>
      <c r="Q109" s="17">
        <v>0</v>
      </c>
    </row>
    <row r="110" spans="9:17" x14ac:dyDescent="0.3">
      <c r="I110" s="17">
        <v>0</v>
      </c>
      <c r="P110" s="17">
        <v>0</v>
      </c>
      <c r="Q110" s="17">
        <v>0</v>
      </c>
    </row>
    <row r="111" spans="9:17" x14ac:dyDescent="0.3">
      <c r="I111" s="17">
        <v>0</v>
      </c>
      <c r="P111" s="17">
        <v>0</v>
      </c>
      <c r="Q111" s="17">
        <v>0</v>
      </c>
    </row>
    <row r="112" spans="9:17" x14ac:dyDescent="0.3">
      <c r="I112" s="17">
        <v>0</v>
      </c>
      <c r="P112" s="17">
        <v>0</v>
      </c>
      <c r="Q112" s="17">
        <v>0</v>
      </c>
    </row>
    <row r="113" spans="9:17" x14ac:dyDescent="0.3">
      <c r="I113" s="17">
        <v>0</v>
      </c>
      <c r="P113" s="17">
        <v>0</v>
      </c>
      <c r="Q113" s="17">
        <v>0</v>
      </c>
    </row>
    <row r="114" spans="9:17" x14ac:dyDescent="0.3">
      <c r="I114" s="17">
        <v>0</v>
      </c>
      <c r="P114" s="17">
        <v>0</v>
      </c>
      <c r="Q114" s="17">
        <v>0</v>
      </c>
    </row>
    <row r="115" spans="9:17" x14ac:dyDescent="0.3">
      <c r="I115" s="17">
        <v>0</v>
      </c>
      <c r="P115" s="17">
        <v>0</v>
      </c>
      <c r="Q115" s="17">
        <v>0</v>
      </c>
    </row>
    <row r="116" spans="9:17" x14ac:dyDescent="0.3">
      <c r="Q116" s="17">
        <v>0</v>
      </c>
    </row>
    <row r="117" spans="9:17" x14ac:dyDescent="0.3">
      <c r="Q117" s="17">
        <v>0</v>
      </c>
    </row>
    <row r="118" spans="9:17" x14ac:dyDescent="0.3">
      <c r="Q118" s="17">
        <v>0</v>
      </c>
    </row>
    <row r="119" spans="9:17" x14ac:dyDescent="0.3">
      <c r="Q119" s="17" t="str">
        <v>https://www.youtube.com/watch?v=QOoULjmeZ_0</v>
      </c>
    </row>
    <row r="120" spans="9:17" x14ac:dyDescent="0.3">
      <c r="Q120" s="17">
        <v>0</v>
      </c>
    </row>
    <row r="121" spans="9:17" x14ac:dyDescent="0.3">
      <c r="Q121" s="17">
        <v>0</v>
      </c>
    </row>
    <row r="122" spans="9:17" x14ac:dyDescent="0.3">
      <c r="Q122" s="17" t="str">
        <v>https://www.youtube.com/watch?v=_Ro7UwTGu-s</v>
      </c>
    </row>
    <row r="123" spans="9:17" x14ac:dyDescent="0.3">
      <c r="Q123" s="17">
        <v>0</v>
      </c>
    </row>
    <row r="124" spans="9:17" x14ac:dyDescent="0.3">
      <c r="Q124" s="17">
        <v>0</v>
      </c>
    </row>
    <row r="125" spans="9:17" x14ac:dyDescent="0.3">
      <c r="Q125" s="17">
        <v>0</v>
      </c>
    </row>
    <row r="126" spans="9:17" x14ac:dyDescent="0.3">
      <c r="Q126" s="17">
        <v>0</v>
      </c>
    </row>
    <row r="127" spans="9:17" x14ac:dyDescent="0.3">
      <c r="Q127" s="17">
        <v>0</v>
      </c>
    </row>
    <row r="128" spans="9:17" x14ac:dyDescent="0.3">
      <c r="Q128" s="17">
        <v>0</v>
      </c>
    </row>
    <row r="129" spans="17:17" x14ac:dyDescent="0.3">
      <c r="Q129" s="17">
        <v>0</v>
      </c>
    </row>
    <row r="130" spans="17:17" x14ac:dyDescent="0.3">
      <c r="Q130" s="17">
        <v>0</v>
      </c>
    </row>
    <row r="131" spans="17:17" x14ac:dyDescent="0.3">
      <c r="Q131" s="17">
        <v>0</v>
      </c>
    </row>
    <row r="132" spans="17:17" x14ac:dyDescent="0.3">
      <c r="Q132" s="17">
        <v>0</v>
      </c>
    </row>
    <row r="133" spans="17:17" x14ac:dyDescent="0.3">
      <c r="Q133" s="17" t="str">
        <v>https://www.youtube.com/watch?v=nJ18Li5H2Gw</v>
      </c>
    </row>
    <row r="134" spans="17:17" x14ac:dyDescent="0.3">
      <c r="Q134" s="17">
        <v>0</v>
      </c>
    </row>
    <row r="135" spans="17:17" x14ac:dyDescent="0.3">
      <c r="Q135" s="17">
        <v>0</v>
      </c>
    </row>
    <row r="136" spans="17:17" x14ac:dyDescent="0.3">
      <c r="Q136" s="17">
        <v>0</v>
      </c>
    </row>
    <row r="137" spans="17:17" x14ac:dyDescent="0.3">
      <c r="Q137" s="17">
        <v>0</v>
      </c>
    </row>
    <row r="138" spans="17:17" x14ac:dyDescent="0.3">
      <c r="Q138" s="17">
        <v>0</v>
      </c>
    </row>
    <row r="139" spans="17:17" x14ac:dyDescent="0.3">
      <c r="Q139" s="17">
        <v>0</v>
      </c>
    </row>
    <row r="140" spans="17:17" x14ac:dyDescent="0.3">
      <c r="Q140" s="17">
        <v>0</v>
      </c>
    </row>
    <row r="141" spans="17:17" x14ac:dyDescent="0.3">
      <c r="Q141" s="17">
        <v>0</v>
      </c>
    </row>
    <row r="142" spans="17:17" x14ac:dyDescent="0.3">
      <c r="Q142" s="17">
        <v>0</v>
      </c>
    </row>
    <row r="143" spans="17:17" x14ac:dyDescent="0.3">
      <c r="Q143" s="17">
        <v>0</v>
      </c>
    </row>
    <row r="144" spans="17:17" x14ac:dyDescent="0.3">
      <c r="Q144" s="17">
        <v>0</v>
      </c>
    </row>
    <row r="145" spans="17:17" x14ac:dyDescent="0.3">
      <c r="Q145" s="17">
        <v>0</v>
      </c>
    </row>
    <row r="146" spans="17:17" x14ac:dyDescent="0.3">
      <c r="Q146" s="17">
        <v>0</v>
      </c>
    </row>
    <row r="147" spans="17:17" x14ac:dyDescent="0.3">
      <c r="Q147" s="17">
        <v>0</v>
      </c>
    </row>
    <row r="148" spans="17:17" x14ac:dyDescent="0.3">
      <c r="Q148" s="17">
        <v>0</v>
      </c>
    </row>
    <row r="149" spans="17:17" x14ac:dyDescent="0.3">
      <c r="Q149" s="17">
        <v>0</v>
      </c>
    </row>
    <row r="150" spans="17:17" x14ac:dyDescent="0.3">
      <c r="Q150" s="17">
        <v>0</v>
      </c>
    </row>
    <row r="151" spans="17:17" x14ac:dyDescent="0.3">
      <c r="Q151" s="17">
        <v>0</v>
      </c>
    </row>
    <row r="152" spans="17:17" x14ac:dyDescent="0.3">
      <c r="Q152" s="17">
        <v>0</v>
      </c>
    </row>
    <row r="153" spans="17:17" x14ac:dyDescent="0.3">
      <c r="Q153" s="17">
        <v>0</v>
      </c>
    </row>
    <row r="154" spans="17:17" x14ac:dyDescent="0.3">
      <c r="Q154" s="17">
        <v>0</v>
      </c>
    </row>
    <row r="155" spans="17:17" x14ac:dyDescent="0.3">
      <c r="Q155" s="17">
        <v>0</v>
      </c>
    </row>
    <row r="156" spans="17:17" x14ac:dyDescent="0.3">
      <c r="Q156" s="17">
        <v>0</v>
      </c>
    </row>
    <row r="157" spans="17:17" x14ac:dyDescent="0.3">
      <c r="Q157" s="17" t="str">
        <v>https://www.youtube.com/watch?v=xIjwlEoqkTc</v>
      </c>
    </row>
    <row r="158" spans="17:17" x14ac:dyDescent="0.3">
      <c r="Q158" s="17">
        <v>0</v>
      </c>
    </row>
    <row r="159" spans="17:17" x14ac:dyDescent="0.3">
      <c r="Q159" s="17">
        <v>0</v>
      </c>
    </row>
    <row r="160" spans="17:17" x14ac:dyDescent="0.3">
      <c r="Q160" s="17" t="str">
        <v>https://www.youtube.com/watch?v=Ay0Bpr5S6ck</v>
      </c>
    </row>
    <row r="161" spans="17:17" x14ac:dyDescent="0.3">
      <c r="Q161" s="17">
        <v>0</v>
      </c>
    </row>
    <row r="162" spans="17:17" x14ac:dyDescent="0.3">
      <c r="Q162" s="17">
        <v>0</v>
      </c>
    </row>
    <row r="163" spans="17:17" x14ac:dyDescent="0.3">
      <c r="Q163" s="17">
        <v>0</v>
      </c>
    </row>
    <row r="164" spans="17:17" x14ac:dyDescent="0.3">
      <c r="Q164" s="17" t="str">
        <v>https://www.youtube.com/watch?v=1ZIDUpjkYkg</v>
      </c>
    </row>
    <row r="165" spans="17:17" x14ac:dyDescent="0.3">
      <c r="Q165" s="17" t="str">
        <v>https://www.youtube.com/watch?v=amcNuPkMSdY</v>
      </c>
    </row>
    <row r="166" spans="17:17" x14ac:dyDescent="0.3">
      <c r="Q166" s="17">
        <v>0</v>
      </c>
    </row>
    <row r="167" spans="17:17" x14ac:dyDescent="0.3">
      <c r="Q167" s="17" t="str">
        <v>https://www.youtube.com/watch?v=TkI6CtxnIIQ</v>
      </c>
    </row>
    <row r="168" spans="17:17" x14ac:dyDescent="0.3">
      <c r="Q168" s="17">
        <v>0</v>
      </c>
    </row>
    <row r="169" spans="17:17" x14ac:dyDescent="0.3">
      <c r="Q169" s="17">
        <v>0</v>
      </c>
    </row>
    <row r="170" spans="17:17" x14ac:dyDescent="0.3">
      <c r="Q170" s="17">
        <v>0</v>
      </c>
    </row>
    <row r="171" spans="17:17" x14ac:dyDescent="0.3">
      <c r="Q171" s="17">
        <v>0</v>
      </c>
    </row>
    <row r="172" spans="17:17" x14ac:dyDescent="0.3">
      <c r="Q172" s="17">
        <v>0</v>
      </c>
    </row>
    <row r="173" spans="17:17" x14ac:dyDescent="0.3">
      <c r="Q173" s="17">
        <v>0</v>
      </c>
    </row>
    <row r="174" spans="17:17" x14ac:dyDescent="0.3">
      <c r="Q174" s="17">
        <v>0</v>
      </c>
    </row>
    <row r="175" spans="17:17" x14ac:dyDescent="0.3">
      <c r="Q175" s="17">
        <v>0</v>
      </c>
    </row>
    <row r="176" spans="17:17" x14ac:dyDescent="0.3">
      <c r="Q176" s="17">
        <v>0</v>
      </c>
    </row>
    <row r="177" spans="17:17" x14ac:dyDescent="0.3">
      <c r="Q177" s="17">
        <v>0</v>
      </c>
    </row>
    <row r="178" spans="17:17" x14ac:dyDescent="0.3">
      <c r="Q178" s="17">
        <v>0</v>
      </c>
    </row>
    <row r="179" spans="17:17" x14ac:dyDescent="0.3">
      <c r="Q179" s="17">
        <v>0</v>
      </c>
    </row>
    <row r="180" spans="17:17" x14ac:dyDescent="0.3">
      <c r="Q180" s="17">
        <v>0</v>
      </c>
    </row>
    <row r="181" spans="17:17" x14ac:dyDescent="0.3">
      <c r="Q181" s="17">
        <v>0</v>
      </c>
    </row>
    <row r="182" spans="17:17" x14ac:dyDescent="0.3">
      <c r="Q182" s="17">
        <v>0</v>
      </c>
    </row>
    <row r="183" spans="17:17" x14ac:dyDescent="0.3">
      <c r="Q183" s="17">
        <v>0</v>
      </c>
    </row>
    <row r="184" spans="17:17" x14ac:dyDescent="0.3">
      <c r="Q184" s="17">
        <v>0</v>
      </c>
    </row>
    <row r="185" spans="17:17" x14ac:dyDescent="0.3">
      <c r="Q185" s="17">
        <v>0</v>
      </c>
    </row>
    <row r="186" spans="17:17" x14ac:dyDescent="0.3">
      <c r="Q186" s="17">
        <v>0</v>
      </c>
    </row>
    <row r="187" spans="17:17" x14ac:dyDescent="0.3">
      <c r="Q187" s="17">
        <v>0</v>
      </c>
    </row>
    <row r="188" spans="17:17" x14ac:dyDescent="0.3">
      <c r="Q188" s="17">
        <v>0</v>
      </c>
    </row>
    <row r="189" spans="17:17" x14ac:dyDescent="0.3">
      <c r="Q189" s="17">
        <v>0</v>
      </c>
    </row>
    <row r="190" spans="17:17" x14ac:dyDescent="0.3">
      <c r="Q190" s="17">
        <v>0</v>
      </c>
    </row>
    <row r="191" spans="17:17" x14ac:dyDescent="0.3">
      <c r="Q191" s="17">
        <v>0</v>
      </c>
    </row>
    <row r="192" spans="17:17" x14ac:dyDescent="0.3">
      <c r="Q192" s="17">
        <v>0</v>
      </c>
    </row>
    <row r="193" spans="17:17" x14ac:dyDescent="0.3">
      <c r="Q193" s="17">
        <v>0</v>
      </c>
    </row>
    <row r="194" spans="17:17" x14ac:dyDescent="0.3">
      <c r="Q194" s="17">
        <v>0</v>
      </c>
    </row>
    <row r="195" spans="17:17" x14ac:dyDescent="0.3">
      <c r="Q195" s="17">
        <v>0</v>
      </c>
    </row>
    <row r="196" spans="17:17" x14ac:dyDescent="0.3">
      <c r="Q196" s="17">
        <v>0</v>
      </c>
    </row>
    <row r="197" spans="17:17" x14ac:dyDescent="0.3">
      <c r="Q197" s="17">
        <v>0</v>
      </c>
    </row>
    <row r="198" spans="17:17" x14ac:dyDescent="0.3">
      <c r="Q198" s="17">
        <v>0</v>
      </c>
    </row>
    <row r="199" spans="17:17" x14ac:dyDescent="0.3">
      <c r="Q199" s="17">
        <v>0</v>
      </c>
    </row>
    <row r="200" spans="17:17" x14ac:dyDescent="0.3">
      <c r="Q200" s="17">
        <v>0</v>
      </c>
    </row>
    <row r="201" spans="17:17" x14ac:dyDescent="0.3">
      <c r="Q201" s="17">
        <v>0</v>
      </c>
    </row>
    <row r="202" spans="17:17" x14ac:dyDescent="0.3">
      <c r="Q202" s="17">
        <v>0</v>
      </c>
    </row>
    <row r="203" spans="17:17" x14ac:dyDescent="0.3">
      <c r="Q203" s="17">
        <v>0</v>
      </c>
    </row>
    <row r="204" spans="17:17" x14ac:dyDescent="0.3">
      <c r="Q204" s="17" t="str">
        <v>https://www.youtube.com/watch?v=whLQp8Pq58g</v>
      </c>
    </row>
    <row r="205" spans="17:17" x14ac:dyDescent="0.3">
      <c r="Q205" s="17">
        <v>0</v>
      </c>
    </row>
    <row r="206" spans="17:17" x14ac:dyDescent="0.3">
      <c r="Q206" s="17">
        <v>0</v>
      </c>
    </row>
    <row r="207" spans="17:17" x14ac:dyDescent="0.3">
      <c r="Q207" s="17">
        <v>0</v>
      </c>
    </row>
    <row r="208" spans="17:17" x14ac:dyDescent="0.3">
      <c r="Q208" s="17">
        <v>0</v>
      </c>
    </row>
    <row r="209" spans="17:17" x14ac:dyDescent="0.3">
      <c r="Q209" s="17">
        <v>0</v>
      </c>
    </row>
    <row r="210" spans="17:17" x14ac:dyDescent="0.3">
      <c r="Q210" s="17">
        <v>0</v>
      </c>
    </row>
    <row r="211" spans="17:17" x14ac:dyDescent="0.3">
      <c r="Q211" s="17">
        <v>0</v>
      </c>
    </row>
    <row r="212" spans="17:17" x14ac:dyDescent="0.3">
      <c r="Q212" s="17" t="str">
        <v>https://www.youtube.com/watch?v=qo5JMT-K6zw</v>
      </c>
    </row>
    <row r="213" spans="17:17" x14ac:dyDescent="0.3">
      <c r="Q213" s="17">
        <v>0</v>
      </c>
    </row>
    <row r="214" spans="17:17" x14ac:dyDescent="0.3">
      <c r="Q214" s="17">
        <v>0</v>
      </c>
    </row>
    <row r="215" spans="17:17" x14ac:dyDescent="0.3">
      <c r="Q215" s="17">
        <v>0</v>
      </c>
    </row>
    <row r="216" spans="17:17" x14ac:dyDescent="0.3">
      <c r="Q216" s="17">
        <v>0</v>
      </c>
    </row>
    <row r="217" spans="17:17" x14ac:dyDescent="0.3">
      <c r="Q217" s="17">
        <v>0</v>
      </c>
    </row>
    <row r="218" spans="17:17" x14ac:dyDescent="0.3">
      <c r="Q218" s="17">
        <v>0</v>
      </c>
    </row>
    <row r="219" spans="17:17" x14ac:dyDescent="0.3">
      <c r="Q219" s="17">
        <v>0</v>
      </c>
    </row>
    <row r="220" spans="17:17" x14ac:dyDescent="0.3">
      <c r="Q220" s="17" t="str">
        <v>https://www.youtube.com/watch?v=rTuBMwY_p9Q</v>
      </c>
    </row>
    <row r="221" spans="17:17" x14ac:dyDescent="0.3">
      <c r="Q221" s="17">
        <v>0</v>
      </c>
    </row>
    <row r="222" spans="17:17" x14ac:dyDescent="0.3">
      <c r="Q222" s="17">
        <v>0</v>
      </c>
    </row>
    <row r="223" spans="17:17" x14ac:dyDescent="0.3">
      <c r="Q223" s="17">
        <v>0</v>
      </c>
    </row>
    <row r="224" spans="17:17" x14ac:dyDescent="0.3">
      <c r="Q224" s="17">
        <v>0</v>
      </c>
    </row>
    <row r="225" spans="17:17" x14ac:dyDescent="0.3">
      <c r="Q225" s="17">
        <v>0</v>
      </c>
    </row>
    <row r="226" spans="17:17" x14ac:dyDescent="0.3">
      <c r="Q226" s="17">
        <v>0</v>
      </c>
    </row>
    <row r="227" spans="17:17" x14ac:dyDescent="0.3">
      <c r="Q227" s="17">
        <v>0</v>
      </c>
    </row>
    <row r="228" spans="17:17" x14ac:dyDescent="0.3">
      <c r="Q228" s="17">
        <v>0</v>
      </c>
    </row>
    <row r="229" spans="17:17" x14ac:dyDescent="0.3">
      <c r="Q229" s="17">
        <v>0</v>
      </c>
    </row>
    <row r="230" spans="17:17" x14ac:dyDescent="0.3">
      <c r="Q230" s="17">
        <v>0</v>
      </c>
    </row>
    <row r="231" spans="17:17" x14ac:dyDescent="0.3">
      <c r="Q231" s="17">
        <v>0</v>
      </c>
    </row>
    <row r="232" spans="17:17" x14ac:dyDescent="0.3">
      <c r="Q232" s="17">
        <v>0</v>
      </c>
    </row>
    <row r="233" spans="17:17" x14ac:dyDescent="0.3">
      <c r="Q233" s="17">
        <v>0</v>
      </c>
    </row>
    <row r="234" spans="17:17" x14ac:dyDescent="0.3">
      <c r="Q234" s="17">
        <v>0</v>
      </c>
    </row>
    <row r="235" spans="17:17" x14ac:dyDescent="0.3">
      <c r="Q235" s="17">
        <v>0</v>
      </c>
    </row>
    <row r="236" spans="17:17" x14ac:dyDescent="0.3">
      <c r="Q236" s="17">
        <v>0</v>
      </c>
    </row>
    <row r="237" spans="17:17" x14ac:dyDescent="0.3">
      <c r="Q237" s="17">
        <v>0</v>
      </c>
    </row>
    <row r="238" spans="17:17" x14ac:dyDescent="0.3">
      <c r="Q238" s="17">
        <v>0</v>
      </c>
    </row>
    <row r="239" spans="17:17" x14ac:dyDescent="0.3">
      <c r="Q239" s="17">
        <v>0</v>
      </c>
    </row>
    <row r="240" spans="17:17" x14ac:dyDescent="0.3">
      <c r="Q240" s="17" t="str">
        <v>https://www.youtube.com/watch?v=xwdgg6PIhyA</v>
      </c>
    </row>
    <row r="241" spans="17:17" x14ac:dyDescent="0.3">
      <c r="Q241" s="17">
        <v>0</v>
      </c>
    </row>
    <row r="242" spans="17:17" x14ac:dyDescent="0.3">
      <c r="Q242" s="17">
        <v>0</v>
      </c>
    </row>
    <row r="243" spans="17:17" x14ac:dyDescent="0.3">
      <c r="Q243" s="17">
        <v>0</v>
      </c>
    </row>
    <row r="244" spans="17:17" x14ac:dyDescent="0.3">
      <c r="Q244" s="17">
        <v>0</v>
      </c>
    </row>
    <row r="245" spans="17:17" x14ac:dyDescent="0.3">
      <c r="Q245" s="17">
        <v>0</v>
      </c>
    </row>
    <row r="246" spans="17:17" x14ac:dyDescent="0.3">
      <c r="Q246" s="17" t="str">
        <v>https://www.youtube.com/watch?v=QkZqaN8wdf4</v>
      </c>
    </row>
    <row r="247" spans="17:17" x14ac:dyDescent="0.3">
      <c r="Q247" s="17">
        <v>0</v>
      </c>
    </row>
    <row r="248" spans="17:17" x14ac:dyDescent="0.3">
      <c r="Q248" s="17">
        <v>0</v>
      </c>
    </row>
    <row r="249" spans="17:17" x14ac:dyDescent="0.3">
      <c r="Q249" s="17">
        <v>0</v>
      </c>
    </row>
    <row r="250" spans="17:17" x14ac:dyDescent="0.3">
      <c r="Q250" s="17">
        <v>0</v>
      </c>
    </row>
    <row r="251" spans="17:17" x14ac:dyDescent="0.3">
      <c r="Q251" s="17">
        <v>0</v>
      </c>
    </row>
    <row r="252" spans="17:17" x14ac:dyDescent="0.3">
      <c r="Q252" s="17">
        <v>0</v>
      </c>
    </row>
    <row r="253" spans="17:17" x14ac:dyDescent="0.3">
      <c r="Q253" s="17">
        <v>0</v>
      </c>
    </row>
    <row r="254" spans="17:17" x14ac:dyDescent="0.3">
      <c r="Q254" s="17">
        <v>0</v>
      </c>
    </row>
    <row r="255" spans="17:17" x14ac:dyDescent="0.3">
      <c r="Q255" s="17">
        <v>0</v>
      </c>
    </row>
    <row r="256" spans="17:17" x14ac:dyDescent="0.3">
      <c r="Q256" s="17">
        <v>0</v>
      </c>
    </row>
    <row r="257" spans="17:17" x14ac:dyDescent="0.3">
      <c r="Q257" s="17">
        <v>0</v>
      </c>
    </row>
    <row r="258" spans="17:17" x14ac:dyDescent="0.3">
      <c r="Q258" s="17">
        <v>0</v>
      </c>
    </row>
    <row r="259" spans="17:17" x14ac:dyDescent="0.3">
      <c r="Q259" s="17">
        <v>0</v>
      </c>
    </row>
    <row r="260" spans="17:17" x14ac:dyDescent="0.3">
      <c r="Q260" s="17">
        <v>0</v>
      </c>
    </row>
    <row r="261" spans="17:17" x14ac:dyDescent="0.3">
      <c r="Q261" s="17">
        <v>0</v>
      </c>
    </row>
    <row r="262" spans="17:17" x14ac:dyDescent="0.3">
      <c r="Q262" s="17">
        <v>0</v>
      </c>
    </row>
    <row r="263" spans="17:17" x14ac:dyDescent="0.3">
      <c r="Q263" s="17">
        <v>0</v>
      </c>
    </row>
    <row r="264" spans="17:17" x14ac:dyDescent="0.3">
      <c r="Q264" s="17">
        <v>0</v>
      </c>
    </row>
    <row r="265" spans="17:17" x14ac:dyDescent="0.3">
      <c r="Q265" s="17">
        <v>0</v>
      </c>
    </row>
    <row r="266" spans="17:17" x14ac:dyDescent="0.3">
      <c r="Q266" s="17">
        <v>0</v>
      </c>
    </row>
    <row r="267" spans="17:17" x14ac:dyDescent="0.3">
      <c r="Q267" s="17">
        <v>0</v>
      </c>
    </row>
    <row r="268" spans="17:17" x14ac:dyDescent="0.3">
      <c r="Q268" s="17">
        <v>0</v>
      </c>
    </row>
    <row r="269" spans="17:17" x14ac:dyDescent="0.3">
      <c r="Q269" s="17">
        <v>0</v>
      </c>
    </row>
    <row r="270" spans="17:17" x14ac:dyDescent="0.3">
      <c r="Q270" s="17">
        <v>0</v>
      </c>
    </row>
    <row r="271" spans="17:17" x14ac:dyDescent="0.3">
      <c r="Q271" s="17">
        <v>0</v>
      </c>
    </row>
    <row r="272" spans="17:17" x14ac:dyDescent="0.3">
      <c r="Q272" s="17">
        <v>0</v>
      </c>
    </row>
    <row r="273" spans="17:17" x14ac:dyDescent="0.3">
      <c r="Q273" s="17">
        <v>0</v>
      </c>
    </row>
    <row r="274" spans="17:17" x14ac:dyDescent="0.3">
      <c r="Q274" s="17">
        <v>0</v>
      </c>
    </row>
    <row r="275" spans="17:17" x14ac:dyDescent="0.3">
      <c r="Q275" s="17">
        <v>0</v>
      </c>
    </row>
    <row r="276" spans="17:17" x14ac:dyDescent="0.3">
      <c r="Q276" s="17">
        <v>0</v>
      </c>
    </row>
    <row r="277" spans="17:17" x14ac:dyDescent="0.3">
      <c r="Q277" s="17">
        <v>0</v>
      </c>
    </row>
    <row r="278" spans="17:17" x14ac:dyDescent="0.3">
      <c r="Q278" s="17">
        <v>0</v>
      </c>
    </row>
    <row r="279" spans="17:17" x14ac:dyDescent="0.3">
      <c r="Q279" s="17">
        <v>0</v>
      </c>
    </row>
    <row r="280" spans="17:17" x14ac:dyDescent="0.3">
      <c r="Q280" s="17">
        <v>0</v>
      </c>
    </row>
    <row r="281" spans="17:17" x14ac:dyDescent="0.3">
      <c r="Q281" s="17">
        <v>0</v>
      </c>
    </row>
    <row r="282" spans="17:17" x14ac:dyDescent="0.3">
      <c r="Q282" s="17">
        <v>0</v>
      </c>
    </row>
    <row r="283" spans="17:17" x14ac:dyDescent="0.3">
      <c r="Q283" s="17">
        <v>0</v>
      </c>
    </row>
    <row r="284" spans="17:17" x14ac:dyDescent="0.3">
      <c r="Q284" s="17">
        <v>0</v>
      </c>
    </row>
    <row r="285" spans="17:17" x14ac:dyDescent="0.3">
      <c r="Q285" s="17">
        <v>0</v>
      </c>
    </row>
    <row r="286" spans="17:17" x14ac:dyDescent="0.3">
      <c r="Q286" s="17">
        <v>0</v>
      </c>
    </row>
    <row r="287" spans="17:17" x14ac:dyDescent="0.3">
      <c r="Q287" s="17">
        <v>0</v>
      </c>
    </row>
    <row r="288" spans="17:17" x14ac:dyDescent="0.3">
      <c r="Q288" s="17">
        <v>0</v>
      </c>
    </row>
    <row r="289" spans="17:17" x14ac:dyDescent="0.3">
      <c r="Q289" s="17">
        <v>0</v>
      </c>
    </row>
    <row r="290" spans="17:17" x14ac:dyDescent="0.3">
      <c r="Q290" s="17">
        <v>0</v>
      </c>
    </row>
    <row r="291" spans="17:17" x14ac:dyDescent="0.3">
      <c r="Q291" s="17">
        <v>0</v>
      </c>
    </row>
    <row r="292" spans="17:17" x14ac:dyDescent="0.3">
      <c r="Q292" s="17">
        <v>0</v>
      </c>
    </row>
    <row r="293" spans="17:17" x14ac:dyDescent="0.3">
      <c r="Q293" s="17">
        <v>0</v>
      </c>
    </row>
    <row r="294" spans="17:17" x14ac:dyDescent="0.3">
      <c r="Q294" s="17">
        <v>0</v>
      </c>
    </row>
    <row r="295" spans="17:17" x14ac:dyDescent="0.3">
      <c r="Q295" s="17">
        <v>0</v>
      </c>
    </row>
    <row r="296" spans="17:17" x14ac:dyDescent="0.3">
      <c r="Q296" s="17">
        <v>0</v>
      </c>
    </row>
    <row r="297" spans="17:17" x14ac:dyDescent="0.3">
      <c r="Q297" s="17" t="str">
        <v>https://www.youtube.com/watch?v=Mj9ZrtLyHh0</v>
      </c>
    </row>
    <row r="298" spans="17:17" x14ac:dyDescent="0.3">
      <c r="Q298" s="17">
        <v>0</v>
      </c>
    </row>
    <row r="299" spans="17:17" x14ac:dyDescent="0.3">
      <c r="Q299" s="17">
        <v>0</v>
      </c>
    </row>
    <row r="300" spans="17:17" x14ac:dyDescent="0.3">
      <c r="Q300" s="17">
        <v>0</v>
      </c>
    </row>
    <row r="301" spans="17:17" x14ac:dyDescent="0.3">
      <c r="Q301" s="17">
        <v>0</v>
      </c>
    </row>
    <row r="302" spans="17:17" x14ac:dyDescent="0.3">
      <c r="Q302" s="17">
        <v>0</v>
      </c>
    </row>
    <row r="303" spans="17:17" x14ac:dyDescent="0.3">
      <c r="Q303" s="17">
        <v>0</v>
      </c>
    </row>
    <row r="304" spans="17:17" x14ac:dyDescent="0.3">
      <c r="Q304" s="17">
        <v>0</v>
      </c>
    </row>
    <row r="305" spans="17:17" x14ac:dyDescent="0.3">
      <c r="Q305" s="17">
        <v>0</v>
      </c>
    </row>
    <row r="306" spans="17:17" x14ac:dyDescent="0.3">
      <c r="Q306" s="17">
        <v>0</v>
      </c>
    </row>
    <row r="307" spans="17:17" x14ac:dyDescent="0.3">
      <c r="Q307" s="17">
        <v>0</v>
      </c>
    </row>
    <row r="308" spans="17:17" x14ac:dyDescent="0.3">
      <c r="Q308" s="17" t="str">
        <v>https://www.youtube.com/watch?v=KmGoGRjkxOA</v>
      </c>
    </row>
    <row r="309" spans="17:17" x14ac:dyDescent="0.3">
      <c r="Q309" s="17">
        <v>0</v>
      </c>
    </row>
    <row r="310" spans="17:17" x14ac:dyDescent="0.3">
      <c r="Q310" s="17">
        <v>0</v>
      </c>
    </row>
    <row r="311" spans="17:17" x14ac:dyDescent="0.3">
      <c r="Q311" s="17" t="str">
        <v>https://www.youtube.com/watch?v=yNUuh1LJ--E</v>
      </c>
    </row>
    <row r="312" spans="17:17" x14ac:dyDescent="0.3">
      <c r="Q312" s="17">
        <v>0</v>
      </c>
    </row>
    <row r="313" spans="17:17" x14ac:dyDescent="0.3">
      <c r="Q313" s="17" t="str">
        <v>https://www.youtube.com/watch?v=LEj4ybN6Ovc</v>
      </c>
    </row>
    <row r="314" spans="17:17" x14ac:dyDescent="0.3">
      <c r="Q314" s="17">
        <v>0</v>
      </c>
    </row>
    <row r="315" spans="17:17" x14ac:dyDescent="0.3">
      <c r="Q315" s="17" t="str">
        <v>https://www.youtube.com/watch?v=OuQldRxC9WM</v>
      </c>
    </row>
    <row r="316" spans="17:17" x14ac:dyDescent="0.3">
      <c r="Q316" s="17">
        <v>0</v>
      </c>
    </row>
    <row r="317" spans="17:17" x14ac:dyDescent="0.3">
      <c r="Q317" s="17">
        <v>0</v>
      </c>
    </row>
    <row r="318" spans="17:17" x14ac:dyDescent="0.3">
      <c r="Q318" s="17">
        <v>0</v>
      </c>
    </row>
    <row r="319" spans="17:17" x14ac:dyDescent="0.3">
      <c r="Q319" s="17">
        <v>0</v>
      </c>
    </row>
    <row r="320" spans="17:17" x14ac:dyDescent="0.3">
      <c r="Q320" s="17">
        <v>0</v>
      </c>
    </row>
    <row r="321" spans="17:17" x14ac:dyDescent="0.3">
      <c r="Q321" s="17">
        <v>0</v>
      </c>
    </row>
    <row r="322" spans="17:17" x14ac:dyDescent="0.3">
      <c r="Q322" s="17" t="str">
        <v>https://www.youtube.com/watch?v=g7vRXBpL10k</v>
      </c>
    </row>
    <row r="323" spans="17:17" x14ac:dyDescent="0.3">
      <c r="Q323" s="17">
        <v>0</v>
      </c>
    </row>
    <row r="324" spans="17:17" x14ac:dyDescent="0.3">
      <c r="Q324" s="17">
        <v>0</v>
      </c>
    </row>
    <row r="325" spans="17:17" x14ac:dyDescent="0.3">
      <c r="Q325" s="17" t="str">
        <v>https://www.youtube.com/watch?v=gEbtIG9EbO4</v>
      </c>
    </row>
    <row r="326" spans="17:17" x14ac:dyDescent="0.3">
      <c r="Q326" s="17">
        <v>0</v>
      </c>
    </row>
    <row r="327" spans="17:17" x14ac:dyDescent="0.3">
      <c r="Q327" s="17">
        <v>0</v>
      </c>
    </row>
    <row r="328" spans="17:17" x14ac:dyDescent="0.3">
      <c r="Q328" s="17">
        <v>0</v>
      </c>
    </row>
    <row r="329" spans="17:17" x14ac:dyDescent="0.3">
      <c r="Q329" s="17">
        <v>0</v>
      </c>
    </row>
    <row r="330" spans="17:17" x14ac:dyDescent="0.3">
      <c r="Q330" s="17">
        <v>0</v>
      </c>
    </row>
    <row r="331" spans="17:17" x14ac:dyDescent="0.3">
      <c r="Q331" s="17">
        <v>0</v>
      </c>
    </row>
    <row r="332" spans="17:17" x14ac:dyDescent="0.3">
      <c r="Q332" s="17">
        <v>0</v>
      </c>
    </row>
    <row r="333" spans="17:17" x14ac:dyDescent="0.3">
      <c r="Q333" s="17">
        <v>0</v>
      </c>
    </row>
    <row r="334" spans="17:17" x14ac:dyDescent="0.3">
      <c r="Q334" s="17">
        <v>0</v>
      </c>
    </row>
    <row r="335" spans="17:17" x14ac:dyDescent="0.3">
      <c r="Q335" s="17">
        <v>0</v>
      </c>
    </row>
    <row r="336" spans="17:17" x14ac:dyDescent="0.3">
      <c r="Q336" s="17">
        <v>0</v>
      </c>
    </row>
    <row r="337" spans="17:17" x14ac:dyDescent="0.3">
      <c r="Q337" s="17">
        <v>0</v>
      </c>
    </row>
    <row r="338" spans="17:17" x14ac:dyDescent="0.3">
      <c r="Q338" s="17">
        <v>0</v>
      </c>
    </row>
    <row r="339" spans="17:17" x14ac:dyDescent="0.3">
      <c r="Q339" s="17">
        <v>0</v>
      </c>
    </row>
    <row r="340" spans="17:17" x14ac:dyDescent="0.3">
      <c r="Q340" s="17">
        <v>0</v>
      </c>
    </row>
    <row r="341" spans="17:17" x14ac:dyDescent="0.3">
      <c r="Q341" s="17">
        <v>0</v>
      </c>
    </row>
    <row r="342" spans="17:17" x14ac:dyDescent="0.3">
      <c r="Q342" s="17">
        <v>0</v>
      </c>
    </row>
    <row r="343" spans="17:17" x14ac:dyDescent="0.3">
      <c r="Q343" s="17">
        <v>0</v>
      </c>
    </row>
    <row r="344" spans="17:17" x14ac:dyDescent="0.3">
      <c r="Q344" s="17">
        <v>0</v>
      </c>
    </row>
    <row r="345" spans="17:17" x14ac:dyDescent="0.3">
      <c r="Q345" s="17" t="str">
        <v>https://www.youtube.com/watch?v=oo4lLrdpIBg</v>
      </c>
    </row>
    <row r="346" spans="17:17" x14ac:dyDescent="0.3">
      <c r="Q346" s="17">
        <v>0</v>
      </c>
    </row>
    <row r="347" spans="17:17" x14ac:dyDescent="0.3">
      <c r="Q347" s="17">
        <v>0</v>
      </c>
    </row>
    <row r="348" spans="17:17" x14ac:dyDescent="0.3">
      <c r="Q348" s="17" t="str">
        <v>https://www.youtube.com/watch?v=PzhLaLRijl0</v>
      </c>
    </row>
    <row r="349" spans="17:17" x14ac:dyDescent="0.3">
      <c r="Q349" s="17" t="str">
        <v>https://www.youtube.com/watch?v=V86NBrzhSAo</v>
      </c>
    </row>
    <row r="350" spans="17:17" x14ac:dyDescent="0.3">
      <c r="Q350" s="17">
        <v>0</v>
      </c>
    </row>
    <row r="351" spans="17:17" x14ac:dyDescent="0.3">
      <c r="Q351" s="17">
        <v>0</v>
      </c>
    </row>
    <row r="352" spans="17:17" x14ac:dyDescent="0.3">
      <c r="Q352" s="17">
        <v>0</v>
      </c>
    </row>
    <row r="353" spans="17:17" x14ac:dyDescent="0.3">
      <c r="Q353" s="17">
        <v>0</v>
      </c>
    </row>
    <row r="354" spans="17:17" x14ac:dyDescent="0.3">
      <c r="Q354" s="17">
        <v>0</v>
      </c>
    </row>
    <row r="355" spans="17:17" x14ac:dyDescent="0.3">
      <c r="Q355" s="17">
        <v>0</v>
      </c>
    </row>
    <row r="356" spans="17:17" x14ac:dyDescent="0.3">
      <c r="Q356" s="17">
        <v>0</v>
      </c>
    </row>
    <row r="357" spans="17:17" x14ac:dyDescent="0.3">
      <c r="Q357" s="17">
        <v>0</v>
      </c>
    </row>
    <row r="358" spans="17:17" x14ac:dyDescent="0.3">
      <c r="Q358" s="17">
        <v>0</v>
      </c>
    </row>
    <row r="359" spans="17:17" x14ac:dyDescent="0.3">
      <c r="Q359" s="17">
        <v>0</v>
      </c>
    </row>
    <row r="360" spans="17:17" x14ac:dyDescent="0.3">
      <c r="Q360" s="17">
        <v>0</v>
      </c>
    </row>
    <row r="361" spans="17:17" x14ac:dyDescent="0.3">
      <c r="Q361" s="17">
        <v>0</v>
      </c>
    </row>
    <row r="362" spans="17:17" x14ac:dyDescent="0.3">
      <c r="Q362" s="17">
        <v>0</v>
      </c>
    </row>
    <row r="363" spans="17:17" x14ac:dyDescent="0.3">
      <c r="Q363" s="17">
        <v>0</v>
      </c>
    </row>
    <row r="364" spans="17:17" x14ac:dyDescent="0.3">
      <c r="Q364" s="17">
        <v>0</v>
      </c>
    </row>
    <row r="365" spans="17:17" x14ac:dyDescent="0.3">
      <c r="Q365" s="17">
        <v>0</v>
      </c>
    </row>
    <row r="366" spans="17:17" x14ac:dyDescent="0.3">
      <c r="Q366" s="17">
        <v>0</v>
      </c>
    </row>
    <row r="367" spans="17:17" x14ac:dyDescent="0.3">
      <c r="Q367" s="17">
        <v>0</v>
      </c>
    </row>
    <row r="368" spans="17:17" x14ac:dyDescent="0.3">
      <c r="Q368" s="17">
        <v>0</v>
      </c>
    </row>
    <row r="369" spans="17:17" x14ac:dyDescent="0.3">
      <c r="Q369" s="17">
        <v>0</v>
      </c>
    </row>
    <row r="370" spans="17:17" x14ac:dyDescent="0.3">
      <c r="Q370" s="17">
        <v>0</v>
      </c>
    </row>
    <row r="371" spans="17:17" x14ac:dyDescent="0.3">
      <c r="Q371" s="17">
        <v>0</v>
      </c>
    </row>
    <row r="372" spans="17:17" x14ac:dyDescent="0.3">
      <c r="Q372" s="17">
        <v>0</v>
      </c>
    </row>
    <row r="373" spans="17:17" x14ac:dyDescent="0.3">
      <c r="Q373" s="17">
        <v>0</v>
      </c>
    </row>
    <row r="374" spans="17:17" x14ac:dyDescent="0.3">
      <c r="Q374" s="17">
        <v>0</v>
      </c>
    </row>
    <row r="375" spans="17:17" x14ac:dyDescent="0.3">
      <c r="Q375" s="17">
        <v>0</v>
      </c>
    </row>
    <row r="376" spans="17:17" x14ac:dyDescent="0.3">
      <c r="Q376" s="17">
        <v>0</v>
      </c>
    </row>
    <row r="377" spans="17:17" x14ac:dyDescent="0.3">
      <c r="Q377" s="17">
        <v>0</v>
      </c>
    </row>
    <row r="378" spans="17:17" x14ac:dyDescent="0.3">
      <c r="Q378" s="17">
        <v>0</v>
      </c>
    </row>
    <row r="379" spans="17:17" x14ac:dyDescent="0.3">
      <c r="Q379" s="17">
        <v>0</v>
      </c>
    </row>
    <row r="380" spans="17:17" x14ac:dyDescent="0.3">
      <c r="Q380" s="17">
        <v>0</v>
      </c>
    </row>
    <row r="381" spans="17:17" x14ac:dyDescent="0.3">
      <c r="Q381" s="17">
        <v>0</v>
      </c>
    </row>
    <row r="382" spans="17:17" x14ac:dyDescent="0.3">
      <c r="Q382" s="17">
        <v>0</v>
      </c>
    </row>
    <row r="383" spans="17:17" x14ac:dyDescent="0.3">
      <c r="Q383" s="17">
        <v>0</v>
      </c>
    </row>
    <row r="384" spans="17:17" x14ac:dyDescent="0.3">
      <c r="Q384" s="17">
        <v>0</v>
      </c>
    </row>
    <row r="385" spans="17:17" x14ac:dyDescent="0.3">
      <c r="Q385" s="17">
        <v>0</v>
      </c>
    </row>
    <row r="386" spans="17:17" x14ac:dyDescent="0.3">
      <c r="Q386" s="17">
        <v>0</v>
      </c>
    </row>
    <row r="387" spans="17:17" x14ac:dyDescent="0.3">
      <c r="Q387" s="17">
        <v>0</v>
      </c>
    </row>
    <row r="388" spans="17:17" x14ac:dyDescent="0.3">
      <c r="Q388" s="17">
        <v>0</v>
      </c>
    </row>
    <row r="389" spans="17:17" x14ac:dyDescent="0.3">
      <c r="Q389" s="17">
        <v>0</v>
      </c>
    </row>
    <row r="390" spans="17:17" x14ac:dyDescent="0.3">
      <c r="Q390" s="17">
        <v>0</v>
      </c>
    </row>
    <row r="391" spans="17:17" x14ac:dyDescent="0.3">
      <c r="Q391" s="17">
        <v>0</v>
      </c>
    </row>
    <row r="392" spans="17:17" x14ac:dyDescent="0.3">
      <c r="Q392" s="17">
        <v>0</v>
      </c>
    </row>
    <row r="393" spans="17:17" x14ac:dyDescent="0.3">
      <c r="Q393" s="17">
        <v>0</v>
      </c>
    </row>
    <row r="394" spans="17:17" x14ac:dyDescent="0.3">
      <c r="Q394" s="17" t="str">
        <v>https://www.youtube.com/watch?v=c06HqJKSRBU</v>
      </c>
    </row>
    <row r="395" spans="17:17" x14ac:dyDescent="0.3">
      <c r="Q395" s="17" t="str">
        <v>https://www.youtube.com/watch?v=i3PyJPPFJsQ</v>
      </c>
    </row>
    <row r="396" spans="17:17" x14ac:dyDescent="0.3">
      <c r="Q396" s="17">
        <v>0</v>
      </c>
    </row>
    <row r="397" spans="17:17" x14ac:dyDescent="0.3">
      <c r="Q397" s="17">
        <v>0</v>
      </c>
    </row>
    <row r="398" spans="17:17" x14ac:dyDescent="0.3">
      <c r="Q398" s="17">
        <v>0</v>
      </c>
    </row>
    <row r="399" spans="17:17" x14ac:dyDescent="0.3">
      <c r="Q399" s="17">
        <v>0</v>
      </c>
    </row>
    <row r="400" spans="17:17" x14ac:dyDescent="0.3">
      <c r="Q400" s="17">
        <v>0</v>
      </c>
    </row>
    <row r="401" spans="17:17" x14ac:dyDescent="0.3">
      <c r="Q401" s="17">
        <v>0</v>
      </c>
    </row>
    <row r="402" spans="17:17" x14ac:dyDescent="0.3">
      <c r="Q402" s="17">
        <v>0</v>
      </c>
    </row>
    <row r="403" spans="17:17" x14ac:dyDescent="0.3">
      <c r="Q403" s="17">
        <v>0</v>
      </c>
    </row>
    <row r="404" spans="17:17" x14ac:dyDescent="0.3">
      <c r="Q404" s="17">
        <v>0</v>
      </c>
    </row>
    <row r="405" spans="17:17" x14ac:dyDescent="0.3">
      <c r="Q405" s="17">
        <v>0</v>
      </c>
    </row>
    <row r="406" spans="17:17" x14ac:dyDescent="0.3">
      <c r="Q406" s="17">
        <v>0</v>
      </c>
    </row>
    <row r="407" spans="17:17" x14ac:dyDescent="0.3">
      <c r="Q407" s="17">
        <v>0</v>
      </c>
    </row>
    <row r="408" spans="17:17" x14ac:dyDescent="0.3">
      <c r="Q408" s="17">
        <v>0</v>
      </c>
    </row>
    <row r="409" spans="17:17" x14ac:dyDescent="0.3">
      <c r="Q409" s="17">
        <v>0</v>
      </c>
    </row>
    <row r="410" spans="17:17" x14ac:dyDescent="0.3">
      <c r="Q410" s="17" t="str">
        <v>https://www.youtube.com/watch?v=mAfFgnBZTEQ</v>
      </c>
    </row>
    <row r="411" spans="17:17" x14ac:dyDescent="0.3">
      <c r="Q411" s="17">
        <v>0</v>
      </c>
    </row>
    <row r="412" spans="17:17" x14ac:dyDescent="0.3">
      <c r="Q412" s="17">
        <v>0</v>
      </c>
    </row>
    <row r="413" spans="17:17" x14ac:dyDescent="0.3">
      <c r="Q413" s="17">
        <v>0</v>
      </c>
    </row>
    <row r="414" spans="17:17" x14ac:dyDescent="0.3">
      <c r="Q414" s="17">
        <v>0</v>
      </c>
    </row>
    <row r="415" spans="17:17" x14ac:dyDescent="0.3">
      <c r="Q415" s="17">
        <v>0</v>
      </c>
    </row>
    <row r="416" spans="17:17" x14ac:dyDescent="0.3">
      <c r="Q416" s="17">
        <v>0</v>
      </c>
    </row>
    <row r="417" spans="17:17" x14ac:dyDescent="0.3">
      <c r="Q417" s="17">
        <v>0</v>
      </c>
    </row>
    <row r="418" spans="17:17" x14ac:dyDescent="0.3">
      <c r="Q418" s="17">
        <v>0</v>
      </c>
    </row>
    <row r="419" spans="17:17" x14ac:dyDescent="0.3">
      <c r="Q419" s="17">
        <v>0</v>
      </c>
    </row>
    <row r="420" spans="17:17" x14ac:dyDescent="0.3">
      <c r="Q420" s="17">
        <v>0</v>
      </c>
    </row>
    <row r="421" spans="17:17" x14ac:dyDescent="0.3">
      <c r="Q421" s="17">
        <v>0</v>
      </c>
    </row>
    <row r="422" spans="17:17" x14ac:dyDescent="0.3">
      <c r="Q422" s="17">
        <v>0</v>
      </c>
    </row>
    <row r="423" spans="17:17" x14ac:dyDescent="0.3">
      <c r="Q423" s="17">
        <v>0</v>
      </c>
    </row>
    <row r="424" spans="17:17" x14ac:dyDescent="0.3">
      <c r="Q424" s="17">
        <v>0</v>
      </c>
    </row>
    <row r="425" spans="17:17" x14ac:dyDescent="0.3">
      <c r="Q425" s="17">
        <v>0</v>
      </c>
    </row>
    <row r="426" spans="17:17" x14ac:dyDescent="0.3">
      <c r="Q426" s="17">
        <v>0</v>
      </c>
    </row>
    <row r="427" spans="17:17" x14ac:dyDescent="0.3">
      <c r="Q427" s="17">
        <v>0</v>
      </c>
    </row>
    <row r="428" spans="17:17" x14ac:dyDescent="0.3">
      <c r="Q428" s="17">
        <v>0</v>
      </c>
    </row>
    <row r="429" spans="17:17" x14ac:dyDescent="0.3">
      <c r="Q429" s="17">
        <v>0</v>
      </c>
    </row>
    <row r="430" spans="17:17" x14ac:dyDescent="0.3">
      <c r="Q430" s="17">
        <v>0</v>
      </c>
    </row>
    <row r="431" spans="17:17" x14ac:dyDescent="0.3">
      <c r="Q431" s="17">
        <v>0</v>
      </c>
    </row>
    <row r="432" spans="17:17" x14ac:dyDescent="0.3">
      <c r="Q432" s="17">
        <v>0</v>
      </c>
    </row>
    <row r="433" spans="17:17" x14ac:dyDescent="0.3">
      <c r="Q433" s="17">
        <v>0</v>
      </c>
    </row>
    <row r="434" spans="17:17" x14ac:dyDescent="0.3">
      <c r="Q434" s="17">
        <v>0</v>
      </c>
    </row>
    <row r="435" spans="17:17" x14ac:dyDescent="0.3">
      <c r="Q435" s="17">
        <v>0</v>
      </c>
    </row>
    <row r="436" spans="17:17" x14ac:dyDescent="0.3">
      <c r="Q436" s="17">
        <v>0</v>
      </c>
    </row>
    <row r="437" spans="17:17" x14ac:dyDescent="0.3">
      <c r="Q437" s="17">
        <v>0</v>
      </c>
    </row>
    <row r="438" spans="17:17" x14ac:dyDescent="0.3">
      <c r="Q438" s="17">
        <v>0</v>
      </c>
    </row>
    <row r="439" spans="17:17" x14ac:dyDescent="0.3">
      <c r="Q439" s="17" t="str">
        <v>https://www.youtube.com/watch?v=sYD6wlOh578</v>
      </c>
    </row>
    <row r="440" spans="17:17" x14ac:dyDescent="0.3">
      <c r="Q440" s="17">
        <v>0</v>
      </c>
    </row>
    <row r="441" spans="17:17" x14ac:dyDescent="0.3">
      <c r="Q441" s="1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1068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6</v>
      </c>
      <c r="H1" s="17">
        <f t="shared" si="0"/>
        <v>37</v>
      </c>
      <c r="I1" s="17">
        <f t="shared" si="0"/>
        <v>37</v>
      </c>
      <c r="J1" s="17">
        <f t="shared" si="0"/>
        <v>31</v>
      </c>
      <c r="K1" s="17">
        <f t="shared" si="0"/>
        <v>9</v>
      </c>
      <c r="L1" s="17">
        <f t="shared" si="0"/>
        <v>6</v>
      </c>
      <c r="M1" s="17">
        <f t="shared" si="0"/>
        <v>83</v>
      </c>
      <c r="N1" s="17">
        <f t="shared" si="0"/>
        <v>94</v>
      </c>
      <c r="O1" s="17">
        <f t="shared" si="0"/>
        <v>2</v>
      </c>
      <c r="P1" s="17">
        <f t="shared" si="0"/>
        <v>9</v>
      </c>
      <c r="Q1" s="17">
        <f t="shared" si="0"/>
        <v>2</v>
      </c>
      <c r="R1" s="17">
        <f t="shared" si="0"/>
        <v>31</v>
      </c>
      <c r="S1" s="17">
        <f t="shared" si="0"/>
        <v>4</v>
      </c>
      <c r="T1" s="17">
        <f t="shared" si="0"/>
        <v>144</v>
      </c>
      <c r="U1" s="17">
        <f t="shared" si="0"/>
        <v>1</v>
      </c>
      <c r="V1" s="17">
        <f t="shared" si="0"/>
        <v>6</v>
      </c>
      <c r="W1" s="17">
        <f t="shared" si="0"/>
        <v>1</v>
      </c>
      <c r="X1" s="17">
        <f t="shared" si="0"/>
        <v>1</v>
      </c>
      <c r="Y1" s="17">
        <f t="shared" si="0"/>
        <v>15</v>
      </c>
      <c r="Z1" s="17">
        <f t="shared" si="0"/>
        <v>172</v>
      </c>
      <c r="AA1" s="17">
        <f t="shared" si="0"/>
        <v>38</v>
      </c>
      <c r="AB1" s="17">
        <f t="shared" si="0"/>
        <v>4</v>
      </c>
      <c r="AC1" s="17">
        <f t="shared" si="0"/>
        <v>5</v>
      </c>
      <c r="AD1" s="17">
        <f t="shared" si="0"/>
        <v>10</v>
      </c>
      <c r="AE1" s="17">
        <f t="shared" si="0"/>
        <v>1</v>
      </c>
      <c r="AF1" s="17">
        <f t="shared" si="0"/>
        <v>50</v>
      </c>
      <c r="AG1" s="17">
        <f t="shared" si="0"/>
        <v>164</v>
      </c>
      <c r="AH1" s="17">
        <f t="shared" si="0"/>
        <v>44</v>
      </c>
      <c r="AI1" s="17">
        <f t="shared" si="0"/>
        <v>19</v>
      </c>
    </row>
    <row r="2" spans="1:35" x14ac:dyDescent="0.3">
      <c r="A2" s="29" t="s">
        <v>2948</v>
      </c>
      <c r="B2" s="30">
        <v>0</v>
      </c>
      <c r="C2" s="23" t="s">
        <v>2946</v>
      </c>
      <c r="D2" s="28" t="str" cm="1">
        <f t="array" ref="D2:AI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joaquin_madurga</v>
      </c>
      <c r="Q2" s="27" t="str">
        <v>josep_asuncion</v>
      </c>
      <c r="R2" s="27" t="str">
        <v>juan_antonio_espinosa</v>
      </c>
      <c r="S2" s="27" t="str">
        <v>juanjo_elezkano</v>
      </c>
      <c r="T2" s="27" t="str">
        <v>kairoi</v>
      </c>
      <c r="U2" s="27" t="str">
        <v>lazaro_iparraguirre</v>
      </c>
      <c r="V2" s="27" t="str">
        <v>luis_alfredo_diaz</v>
      </c>
      <c r="W2" s="27" t="str">
        <v>marcos_witt</v>
      </c>
      <c r="X2" s="27" t="str">
        <v>marta_gil-delgado</v>
      </c>
      <c r="Y2" s="27" t="str">
        <v>miguel_manzano</v>
      </c>
      <c r="Z2" s="27" t="str">
        <v>nsb</v>
      </c>
      <c r="AA2" s="27" t="str">
        <v>nuevas</v>
      </c>
      <c r="AB2" s="27" t="str">
        <v>pelayo_sanchez</v>
      </c>
      <c r="AC2" s="27" t="str">
        <v>perpetuo_socorro</v>
      </c>
      <c r="AD2" s="27" t="str">
        <v>ricardo_cantalapiedra</v>
      </c>
      <c r="AE2" s="27" t="str">
        <v>rosa_cruz</v>
      </c>
      <c r="AF2" s="27" t="str">
        <v>ruah</v>
      </c>
      <c r="AG2" s="27" t="str">
        <v>taize</v>
      </c>
      <c r="AH2" s="27" t="str">
        <v>toño_casado</v>
      </c>
      <c r="AI2" s="27" t="str">
        <v>villancicos</v>
      </c>
    </row>
    <row r="3" spans="1:35" x14ac:dyDescent="0.3">
      <c r="A3" s="31" t="s">
        <v>2949</v>
      </c>
      <c r="B3" s="30">
        <v>0</v>
      </c>
      <c r="C3" s="16"/>
      <c r="D3" s="17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7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Tú rompes cadenas</v>
      </c>
      <c r="F3" s="17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7" t="str" cm="1">
        <f t="array" ref="G3:G8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7" t="str" cm="1">
        <f t="array" ref="H3:H39">IF($B$2=1,
_xlfn.CHOOSECOLS(_xlfn._xlws.FILTER(CantoralDB[],CantoralDB[Carpeta]=H2),IF($B$3=1,21,2)),
_xlfn.CHOOSECOLS(_xlfn._xlws.FILTER(CantoralDB[],(CantoralDB[Carpeta]=H2)*(CantoralDB[html]="OK")),IF($B$3=1,21,2)))</f>
        <v>Sé que voy contigo</v>
      </c>
      <c r="I3" s="17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7" t="str" cm="1">
        <f t="array" ref="J3:J33">IF($B$2=1,
_xlfn.CHOOSECOLS(_xlfn._xlws.FILTER(CantoralDB[],CantoralDB[Carpeta]=J2),IF($B$3=1,21,2)),
_xlfn.CHOOSECOLS(_xlfn._xlws.FILTER(CantoralDB[],(CantoralDB[Carpeta]=J2)*(CantoralDB[html]="OK")),IF($B$3=1,21,2)))</f>
        <v>Nadie hay tan grande como tú</v>
      </c>
      <c r="K3" s="17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Bienaventurados seremos, Señor</v>
      </c>
      <c r="L3" s="17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Creo en Dios y en su Palabra</v>
      </c>
      <c r="M3" s="17" t="str" cm="1">
        <f t="array" ref="M3:M85">IF($B$2=1,
_xlfn.CHOOSECOLS(_xlfn._xlws.FILTER(CantoralDB[],CantoralDB[Carpeta]=M2),IF($B$3=1,21,2)),
_xlfn.CHOOSECOLS(_xlfn._xlws.FILTER(CantoralDB[],(CantoralDB[Carpeta]=M2)*(CantoralDB[html]="OK")),IF($B$3=1,21,2)))</f>
        <v>Señor, Dios nuestro</v>
      </c>
      <c r="N3" s="17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7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7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7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Ven y descánsate</v>
      </c>
      <c r="R3" s="17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Alegre la mañana</v>
      </c>
      <c r="S3" s="17" t="str" cm="1">
        <f t="array" ref="S3:S6">IF($B$2=1,
_xlfn.CHOOSECOLS(_xlfn._xlws.FILTER(CantoralDB[],CantoralDB[Carpeta]=S2),IF($B$3=1,21,2)),
_xlfn.CHOOSECOLS(_xlfn._xlws.FILTER(CantoralDB[],(CantoralDB[Carpeta]=S2)*(CantoralDB[html]="OK")),IF($B$3=1,21,2)))</f>
        <v>A la fiesta del Señor</v>
      </c>
      <c r="T3" s="17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Jesús es Señor</v>
      </c>
      <c r="U3" s="17" t="str" cm="1">
        <f t="array" ref="U3">IF($B$2=1,
_xlfn.CHOOSECOLS(_xlfn._xlws.FILTER(CantoralDB[],CantoralDB[Carpeta]=U2),IF($B$3=1,21,2)),
_xlfn.CHOOSECOLS(_xlfn._xlws.FILTER(CantoralDB[],(CantoralDB[Carpeta]=U2)*(CantoralDB[html]="OK")),IF($B$3=1,21,2)))</f>
        <v>Caminaremos</v>
      </c>
      <c r="V3" s="17" t="str" cm="1">
        <f t="array" ref="V3:V8">IF($B$2=1,
_xlfn.CHOOSECOLS(_xlfn._xlws.FILTER(CantoralDB[],CantoralDB[Carpeta]=V2),IF($B$3=1,21,2)),
_xlfn.CHOOSECOLS(_xlfn._xlws.FILTER(CantoralDB[],(CantoralDB[Carpeta]=V2)*(CantoralDB[html]="OK")),IF($B$3=1,21,2)))</f>
        <v>Quiero decir que sí</v>
      </c>
      <c r="W3" s="17" t="str" cm="1">
        <f t="array" ref="W3">IF($B$2=1,
_xlfn.CHOOSECOLS(_xlfn._xlws.FILTER(CantoralDB[],CantoralDB[Carpeta]=W2),IF($B$3=1,21,2)),
_xlfn.CHOOSECOLS(_xlfn._xlws.FILTER(CantoralDB[],(CantoralDB[Carpeta]=W2)*(CantoralDB[html]="OK")),IF($B$3=1,21,2)))</f>
        <v>Heme aquí</v>
      </c>
      <c r="X3" s="17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7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 Belén se va y se viene</v>
      </c>
      <c r="Z3" s="17" t="str" cm="1">
        <f t="array" ref="Z3:Z174">IF($B$2=1,
_xlfn.CHOOSECOLS(_xlfn._xlws.FILTER(CantoralDB[],CantoralDB[Carpeta]=Z2),IF($B$3=1,21,2)),
_xlfn.CHOOSECOLS(_xlfn._xlws.FILTER(CantoralDB[],(CantoralDB[Carpeta]=Z2)*(CantoralDB[html]="OK")),IF($B$3=1,21,2)))</f>
        <v>Santo (Cielo y tierra pasarán)</v>
      </c>
      <c r="AA3" s="17" t="str" cm="1">
        <f t="array" ref="AA3:AA40">IF($B$2=1,
_xlfn.CHOOSECOLS(_xlfn._xlws.FILTER(CantoralDB[],CantoralDB[Carpeta]=AA2),IF($B$3=1,21,2)),
_xlfn.CHOOSECOLS(_xlfn._xlws.FILTER(CantoralDB[],(CantoralDB[Carpeta]=AA2)*(CantoralDB[html]="OK")),IF($B$3=1,21,2)))</f>
        <v>Con mis manos alzadas</v>
      </c>
      <c r="AB3" s="17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Fuente de paz y fidelidad</v>
      </c>
      <c r="AC3" s="17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Padre, únenos</v>
      </c>
      <c r="AD3" s="17" t="str" cm="1">
        <f t="array" ref="AD3:AD12">IF($B$2=1,
_xlfn.CHOOSECOLS(_xlfn._xlws.FILTER(CantoralDB[],CantoralDB[Carpeta]=AD2),IF($B$3=1,21,2)),
_xlfn.CHOOSECOLS(_xlfn._xlws.FILTER(CantoralDB[],(CantoralDB[Carpeta]=AD2)*(CantoralDB[html]="OK")),IF($B$3=1,21,2)))</f>
        <v>Con su muerte nos justificará</v>
      </c>
      <c r="AE3" s="17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7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7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Magnificat (canon)</v>
      </c>
      <c r="AH3" s="17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7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Campana sobre campana</v>
      </c>
    </row>
    <row r="4" spans="1:35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Nada nos separará</v>
      </c>
      <c r="I4" t="str">
        <v>Aleluya, es la fiesta del Señor</v>
      </c>
      <c r="J4" t="str">
        <v>Alelu-aleluya</v>
      </c>
      <c r="K4" t="str">
        <v>Cantemos todos la Navidad</v>
      </c>
      <c r="L4" t="str">
        <v>Hasta cuándo, Señor</v>
      </c>
      <c r="M4" t="str">
        <v>Oh, Dios, Tú mereces un himno en Sión</v>
      </c>
      <c r="N4" t="str">
        <v>Baila y déjate de historias</v>
      </c>
      <c r="O4" t="str">
        <v>Ahí tienes a tu madre</v>
      </c>
      <c r="P4" t="str">
        <v>Andando por el camino</v>
      </c>
      <c r="Q4" t="str">
        <v>Adoraré tu cuerpo herido</v>
      </c>
      <c r="R4" t="str">
        <v>A Dios den gracias los pueblos</v>
      </c>
      <c r="S4" t="str">
        <v>Necesitamos comer tu Pan</v>
      </c>
      <c r="T4" t="str">
        <v>Jesús está entre nosotros</v>
      </c>
      <c r="V4" t="str">
        <v>Tan cerca de mí</v>
      </c>
      <c r="Y4" t="str">
        <v>Aclama al Señor, tierra entera</v>
      </c>
      <c r="Z4" t="str">
        <v>Yo soy el Pan de Vida</v>
      </c>
      <c r="AA4" t="str">
        <v>Se fue pero a nuestro lado está</v>
      </c>
      <c r="AB4" t="str">
        <v>Abro mi ser</v>
      </c>
      <c r="AC4" t="str">
        <v>Abrid de par en par</v>
      </c>
      <c r="AD4" t="str">
        <v>Cómo le cantaré al Señor</v>
      </c>
      <c r="AF4" t="str">
        <v>Pedid y se os dará</v>
      </c>
      <c r="AG4" t="str">
        <v>Magnificat (canon)</v>
      </c>
      <c r="AH4" t="str">
        <v>Señor, ten piedad I</v>
      </c>
      <c r="AI4" t="str">
        <v>Danos paz</v>
      </c>
    </row>
    <row r="5" spans="1:35" x14ac:dyDescent="0.3">
      <c r="D5" t="str">
        <v>Palabra</v>
      </c>
      <c r="E5" t="str">
        <v>Abbá, Padre</v>
      </c>
      <c r="F5" t="str">
        <v>Por la paz no callaré</v>
      </c>
      <c r="G5" t="str">
        <v>Nos has llamado al desierto</v>
      </c>
      <c r="H5" t="str">
        <v>Hoy, Señor, te daré</v>
      </c>
      <c r="I5" t="str">
        <v>Ante ti, Señor</v>
      </c>
      <c r="J5" t="str">
        <v>Pescador de hombres</v>
      </c>
      <c r="K5" t="str">
        <v>El Señor nos ha nacido en Belén</v>
      </c>
      <c r="L5" t="str">
        <v>Padre nuestro, que estás en la tierra</v>
      </c>
      <c r="M5" t="str">
        <v>Vaso nuevo</v>
      </c>
      <c r="N5" t="str">
        <v>Ojalá</v>
      </c>
      <c r="P5" t="str">
        <v>Comiendo del mismo pan</v>
      </c>
      <c r="R5" t="str">
        <v>Caminamos hacia el sol</v>
      </c>
      <c r="S5" t="str">
        <v>Venimos a escuchar tu voz</v>
      </c>
      <c r="T5" t="str">
        <v>El agua del Señor</v>
      </c>
      <c r="V5" t="str">
        <v>No adoréis a nadie</v>
      </c>
      <c r="Y5" t="str">
        <v>Aleluya, el Señor es nuestro Rey</v>
      </c>
      <c r="Z5" t="str">
        <v>Tomado de la mano</v>
      </c>
      <c r="AA5" t="str">
        <v>Lléname, Señor</v>
      </c>
      <c r="AB5" t="str">
        <v>Bendigamos al Señor</v>
      </c>
      <c r="AC5" t="str">
        <v>Amarás al Señor tu Dios</v>
      </c>
      <c r="AD5" t="str">
        <v>Donde hay amor allí está Dios</v>
      </c>
      <c r="AF5" t="str">
        <v>Cada mañana</v>
      </c>
      <c r="AG5" t="str">
        <v>Nada te turbe</v>
      </c>
      <c r="AH5" t="str">
        <v>Gloria, gloria a Dios</v>
      </c>
      <c r="AI5" t="str">
        <v>Dime, niño</v>
      </c>
    </row>
    <row r="6" spans="1:35" x14ac:dyDescent="0.3">
      <c r="D6" t="str">
        <v>Atraviesas</v>
      </c>
      <c r="F6" t="str">
        <v>Santa María, servidora</v>
      </c>
      <c r="G6" t="str">
        <v>Peregrinos de la paz y la alegría</v>
      </c>
      <c r="H6" t="str">
        <v>Agua, lávame</v>
      </c>
      <c r="I6" t="str">
        <v>Con nosotros está el Señor</v>
      </c>
      <c r="J6" t="str">
        <v>Al atardecer de la vida</v>
      </c>
      <c r="K6" t="str">
        <v>Los magos vienen de Oriente</v>
      </c>
      <c r="L6" t="str">
        <v>Piedad, Señor, piedad</v>
      </c>
      <c r="M6" t="str">
        <v>Alrededor de tu mesa</v>
      </c>
      <c r="N6" t="str">
        <v>Cuarto lugar</v>
      </c>
      <c r="P6" t="str">
        <v>Donde hay caridad y amor</v>
      </c>
      <c r="R6" t="str">
        <v>Caminaré en presencia del Señor</v>
      </c>
      <c r="S6" t="str">
        <v>Comeremos de la mesa</v>
      </c>
      <c r="T6" t="str">
        <v>María, música de Dios</v>
      </c>
      <c r="V6" t="str">
        <v>Qué te puedo dar</v>
      </c>
      <c r="Y6" t="str">
        <v>A ti levanto mis ojos</v>
      </c>
      <c r="Z6" t="str">
        <v>Santo (Händel)</v>
      </c>
      <c r="AA6" t="str">
        <v>Estamos de fiesta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Fija en ti</v>
      </c>
      <c r="AG6" t="str">
        <v>De noche</v>
      </c>
      <c r="AH6" t="str">
        <v>Que tu palabra nos cambie el corazón</v>
      </c>
      <c r="AI6" t="str">
        <v>El tamborilero</v>
      </c>
    </row>
    <row r="7" spans="1:35" x14ac:dyDescent="0.3">
      <c r="D7" t="str">
        <v>Los incontables</v>
      </c>
      <c r="F7" t="str">
        <v>Yo soy la luz del mundo</v>
      </c>
      <c r="G7" t="str">
        <v>Qué tendrá lo pequeño</v>
      </c>
      <c r="H7" t="str">
        <v>Señor, mírame</v>
      </c>
      <c r="I7" t="str">
        <v>Compartir junto al Señor</v>
      </c>
      <c r="J7" t="str">
        <v>Caminando voy</v>
      </c>
      <c r="K7" t="str">
        <v>Somos un pueblo que camina</v>
      </c>
      <c r="L7" t="str">
        <v>Qué detalle, Señor</v>
      </c>
      <c r="M7" t="str">
        <v>Señor, ten piedad (Alrededor de tu mesa)</v>
      </c>
      <c r="N7" t="str">
        <v>Capricho</v>
      </c>
      <c r="P7" t="str">
        <v>Esta es tu fiesta</v>
      </c>
      <c r="R7" t="str">
        <v>Dad gracias al Señor porque es bueno</v>
      </c>
      <c r="T7" t="str">
        <v>Yo cantaré (Magnificat)</v>
      </c>
      <c r="V7" t="str">
        <v>Compartir</v>
      </c>
      <c r="Y7" t="str">
        <v>Alma mía, recobra tu calma</v>
      </c>
      <c r="Z7" t="str">
        <v>Salve, Regina</v>
      </c>
      <c r="AA7" t="str">
        <v>Alégrate</v>
      </c>
      <c r="AC7" t="str">
        <v>Todavía cantamos</v>
      </c>
      <c r="AD7" t="str">
        <v>Oh, Dios, por qué nos has abandonado</v>
      </c>
      <c r="AF7" t="str">
        <v>Tú y no yo</v>
      </c>
      <c r="AG7" t="str">
        <v>Llénanos, Señor, de tu paz</v>
      </c>
      <c r="AH7" t="str">
        <v>Aleluya I</v>
      </c>
      <c r="AI7" t="str">
        <v>Noche de Dios</v>
      </c>
    </row>
    <row r="8" spans="1:35" x14ac:dyDescent="0.3">
      <c r="D8" t="str">
        <v>He venido a servir</v>
      </c>
      <c r="G8" t="str">
        <v>Ven, Señor, a nuestra vida</v>
      </c>
      <c r="H8" t="str">
        <v>Ten piedad</v>
      </c>
      <c r="I8" t="str">
        <v>Cerca está el Señor</v>
      </c>
      <c r="J8" t="str">
        <v>Cuando rezamos, cuando cantamos</v>
      </c>
      <c r="K8" t="str">
        <v>Siempre unidos, mano a mano</v>
      </c>
      <c r="L8" t="str">
        <v>Como era Pedro</v>
      </c>
      <c r="M8" t="str">
        <v>Gloria a Dios en el cielo</v>
      </c>
      <c r="N8" t="str">
        <v>Pluma de escribano</v>
      </c>
      <c r="P8" t="str">
        <v>Unidos en la fiesta</v>
      </c>
      <c r="R8" t="str">
        <v>Danos un corazón</v>
      </c>
      <c r="T8" t="str">
        <v>Ven, Espíritu de Dios (Kairoi)</v>
      </c>
      <c r="V8" t="str">
        <v>Una tarde en la playa</v>
      </c>
      <c r="Y8" t="str">
        <v>Con vosotros está</v>
      </c>
      <c r="Z8" t="str">
        <v>Ilumíname, Señor</v>
      </c>
      <c r="AA8" t="str">
        <v>Mejor que vida es tu misericordia</v>
      </c>
      <c r="AD8" t="str">
        <v>Os doy un mandato nuevo</v>
      </c>
      <c r="AF8" t="str">
        <v>Tú me sondeas</v>
      </c>
      <c r="AG8" t="str">
        <v>Confitemini Domino</v>
      </c>
      <c r="AH8" t="str">
        <v>Junto al vino y al pan</v>
      </c>
      <c r="AI8" t="str">
        <v>Venid, fieles todos (adeste fideles)</v>
      </c>
    </row>
    <row r="9" spans="1:35" x14ac:dyDescent="0.3">
      <c r="D9" t="str">
        <v>Palabra encarnada</v>
      </c>
      <c r="H9" t="str">
        <v>He oído tu voz</v>
      </c>
      <c r="I9" t="str">
        <v>Cristo fue sincero</v>
      </c>
      <c r="J9" t="str">
        <v>En el trabajo de cada día</v>
      </c>
      <c r="K9" t="str">
        <v>Tiempo de espera</v>
      </c>
      <c r="M9" t="str">
        <v>Acabamos de oír tu palabra</v>
      </c>
      <c r="N9" t="str">
        <v>Nacidos de lo alto</v>
      </c>
      <c r="P9" t="str">
        <v>Vamos buscando la verdad</v>
      </c>
      <c r="R9" t="str">
        <v>Dolorosa</v>
      </c>
      <c r="T9" t="str">
        <v>Padre, me pongo en tus manos</v>
      </c>
      <c r="Y9" t="str">
        <v>Cuándo vendrás, Señor</v>
      </c>
      <c r="Z9" t="str">
        <v>Canta aleluya</v>
      </c>
      <c r="AA9" t="str">
        <v>Brilla, Jesús</v>
      </c>
      <c r="AD9" t="str">
        <v>Protégeme, Dios mío</v>
      </c>
      <c r="AF9" t="str">
        <v>Ten compasión</v>
      </c>
      <c r="AG9" t="str">
        <v>Que todo el mundo alabe</v>
      </c>
      <c r="AH9" t="str">
        <v>Santo (Están llenos de tu amor)</v>
      </c>
      <c r="AI9" t="str">
        <v>Arre, borriquito</v>
      </c>
    </row>
    <row r="10" spans="1:35" x14ac:dyDescent="0.3">
      <c r="D10" t="str">
        <v>La mujer cananea</v>
      </c>
      <c r="H10" t="str">
        <v>Pan y vino de amor</v>
      </c>
      <c r="I10" t="str">
        <v>Cristo se entregó por nosotros</v>
      </c>
      <c r="J10" t="str">
        <v>Eres mi riqueza</v>
      </c>
      <c r="K10" t="str">
        <v>Vendrá la libertad</v>
      </c>
      <c r="M10" t="str">
        <v>Bendito seas, Señor</v>
      </c>
      <c r="N10" t="str">
        <v>Por qué lloras</v>
      </c>
      <c r="P10" t="str">
        <v>El Señor resucitó</v>
      </c>
      <c r="R10" t="str">
        <v>En la comida que Cristo nos da</v>
      </c>
      <c r="T10" t="str">
        <v>Háblame</v>
      </c>
      <c r="Y10" t="str">
        <v>Cuando el pobre nada tiene</v>
      </c>
      <c r="Z10" t="str">
        <v>Pon tu mano</v>
      </c>
      <c r="AA10" t="str">
        <v>Más de ti, menos de mí</v>
      </c>
      <c r="AD10" t="str">
        <v>Pueblo mío</v>
      </c>
      <c r="AF10" t="str">
        <v>A fuego</v>
      </c>
      <c r="AG10" t="str">
        <v>Laudate omnes gentes</v>
      </c>
      <c r="AH10" t="str">
        <v>Traerás la paz</v>
      </c>
      <c r="AI10" t="str">
        <v>La marimorena</v>
      </c>
    </row>
    <row r="11" spans="1:35" x14ac:dyDescent="0.3">
      <c r="D11" t="str">
        <v>El siervo</v>
      </c>
      <c r="H11" t="str">
        <v>Santo</v>
      </c>
      <c r="I11" t="str">
        <v>Cristo es la imagen de Dios</v>
      </c>
      <c r="J11" t="str">
        <v>Esperando, esperando</v>
      </c>
      <c r="K11" t="str">
        <v>Amar es darse</v>
      </c>
      <c r="M11" t="str">
        <v>Santo (Palazón)</v>
      </c>
      <c r="N11" t="str">
        <v>Entre anestesias</v>
      </c>
      <c r="P11" t="str">
        <v>Aleluya, ha nacido el salvador</v>
      </c>
      <c r="R11" t="str">
        <v>El Señor es mi fuerza</v>
      </c>
      <c r="T11" t="str">
        <v>Oración del pobre</v>
      </c>
      <c r="Y11" t="str">
        <v>Desde lo hondo</v>
      </c>
      <c r="Z11" t="str">
        <v>Cantemos al amor de los amores</v>
      </c>
      <c r="AA11" t="str">
        <v>Santo (Gen Rosso)</v>
      </c>
      <c r="AD11" t="str">
        <v>Te ensalzaré, Señor</v>
      </c>
      <c r="AF11" t="str">
        <v>Aprendiendo</v>
      </c>
      <c r="AG11" t="str">
        <v>Cristo ha resucitado</v>
      </c>
      <c r="AH11" t="str">
        <v>Da la paz al mundo</v>
      </c>
      <c r="AI11" t="str">
        <v>La mula</v>
      </c>
    </row>
    <row r="12" spans="1:35" x14ac:dyDescent="0.3">
      <c r="D12" t="str">
        <v>La moneda perdida</v>
      </c>
      <c r="H12" t="str">
        <v>Padre nuestro</v>
      </c>
      <c r="I12" t="str">
        <v>Cristo por nosotros</v>
      </c>
      <c r="J12" t="str">
        <v>Iglesia soy</v>
      </c>
      <c r="M12" t="str">
        <v>Anunciamos tu muerte</v>
      </c>
      <c r="N12" t="str">
        <v>Dime, Padre</v>
      </c>
      <c r="R12" t="str">
        <v>Errante voy</v>
      </c>
      <c r="T12" t="str">
        <v>El Señor os dará su Espíritu Santo</v>
      </c>
      <c r="Y12" t="str">
        <v>El pueblo gime en el dolor</v>
      </c>
      <c r="Z12" t="str">
        <v>Padre nuestro, tú que estás</v>
      </c>
      <c r="AA12" t="str">
        <v>Tierra firme (Getsemaní)</v>
      </c>
      <c r="AD12" t="str">
        <v>Yo volveré a cantar</v>
      </c>
      <c r="AF12" t="str">
        <v>Alianza</v>
      </c>
      <c r="AG12" t="str">
        <v>O Christe Domine Jesu</v>
      </c>
      <c r="AH12" t="str">
        <v>Padre nuestro, padre nuestro</v>
      </c>
      <c r="AI12" t="str">
        <v>Los peces en el río</v>
      </c>
    </row>
    <row r="13" spans="1:35" x14ac:dyDescent="0.3">
      <c r="D13" t="str">
        <v>Señor mío y Dios mío</v>
      </c>
      <c r="H13" t="str">
        <v>Ven junto a mí</v>
      </c>
      <c r="I13" t="str">
        <v>Cristo nos da la libertad</v>
      </c>
      <c r="J13" t="str">
        <v>Juntos como hermanos</v>
      </c>
      <c r="M13" t="str">
        <v>Padre nuestro</v>
      </c>
      <c r="N13" t="str">
        <v>Exulte mi alma</v>
      </c>
      <c r="R13" t="str">
        <v>Escucha nuestros gritos en la noche</v>
      </c>
      <c r="T13" t="str">
        <v>Himno a Dios</v>
      </c>
      <c r="Y13" t="str">
        <v>Este es el día en que actuó el Señor</v>
      </c>
      <c r="Z13" t="str">
        <v>Preparad el camino al Señor</v>
      </c>
      <c r="AA13" t="str">
        <v>Al que está sentado en el trono y al cordero</v>
      </c>
      <c r="AF13" t="str">
        <v>Gracias</v>
      </c>
      <c r="AG13" t="str">
        <v>La misericordia del Señor</v>
      </c>
      <c r="AH13" t="str">
        <v>Jesús, ven tú</v>
      </c>
      <c r="AI13" t="str">
        <v>Ya vienen los Reyes Magos</v>
      </c>
    </row>
    <row r="14" spans="1:35" x14ac:dyDescent="0.3">
      <c r="D14" t="str">
        <v>Dame una palabra</v>
      </c>
      <c r="H14" t="str">
        <v>Nadie contestó</v>
      </c>
      <c r="I14" t="str">
        <v>Cuántos años han de pasar</v>
      </c>
      <c r="J14" t="str">
        <v>Ojalá escuchemos hoy su voz</v>
      </c>
      <c r="M14" t="str">
        <v>Cordero de Dios</v>
      </c>
      <c r="N14" t="str">
        <v>Un sitio</v>
      </c>
      <c r="R14" t="str">
        <v>Este es el día del Señor</v>
      </c>
      <c r="T14" t="str">
        <v>Amaos (Como el Padre me amó)</v>
      </c>
      <c r="Y14" t="str">
        <v>Mirad al suelo</v>
      </c>
      <c r="Z14" t="str">
        <v>Gloria a Dios, gloria al Padre</v>
      </c>
      <c r="AA14" t="str">
        <v>Sálvame</v>
      </c>
      <c r="AF14" t="str">
        <v>Dios de la Historia</v>
      </c>
      <c r="AG14" t="str">
        <v>Tú, Cristo, oh, Jesucristo</v>
      </c>
      <c r="AH14" t="str">
        <v>María, María</v>
      </c>
      <c r="AI14" t="str">
        <v>Alegría, alegría, alegría</v>
      </c>
    </row>
    <row r="15" spans="1:35" x14ac:dyDescent="0.3">
      <c r="D15" t="str">
        <v>Somos del Señor</v>
      </c>
      <c r="H15" t="str">
        <v>Tras las huellas del Padre</v>
      </c>
      <c r="I15" t="str">
        <v>Dios te salve, María</v>
      </c>
      <c r="J15" t="str">
        <v>Sois la semilla</v>
      </c>
      <c r="M15" t="str">
        <v>Acerquémonos todos al altar</v>
      </c>
      <c r="N15" t="str">
        <v>El arte de vivir</v>
      </c>
      <c r="R15" t="str">
        <v>Feliz el hombre</v>
      </c>
      <c r="T15" t="str">
        <v>Gloria a Dios (No sé cómo alabarte)</v>
      </c>
      <c r="Y15" t="str">
        <v>Qué alegría cuando me dijeron</v>
      </c>
      <c r="Z15" t="str">
        <v>Yo celebraré</v>
      </c>
      <c r="AA15" t="str">
        <v>Seduce mi corazón</v>
      </c>
      <c r="AF15" t="str">
        <v>Para estar contigo</v>
      </c>
      <c r="AG15" t="str">
        <v>Donde hay amor</v>
      </c>
      <c r="AH15" t="str">
        <v>Bienvenidos</v>
      </c>
      <c r="AI15" t="str">
        <v>Noche de paz</v>
      </c>
    </row>
    <row r="16" spans="1:35" x14ac:dyDescent="0.3">
      <c r="D16" t="str">
        <v>Fuertes, humildes y diligentes</v>
      </c>
      <c r="H16" t="str">
        <v>Tierra</v>
      </c>
      <c r="I16" t="str">
        <v>Dios te salve, María, llena eres de gracia</v>
      </c>
      <c r="J16" t="str">
        <v>Tú nos dijiste que la muerte</v>
      </c>
      <c r="M16" t="str">
        <v>Anunciando tu venida</v>
      </c>
      <c r="N16" t="str">
        <v>Mi amado</v>
      </c>
      <c r="R16" t="str">
        <v>Hoy, Señor, te damos gracias</v>
      </c>
      <c r="T16" t="str">
        <v>Tú me sondeas</v>
      </c>
      <c r="Y16" t="str">
        <v>Tu Reino es vida</v>
      </c>
      <c r="Z16" t="str">
        <v>Quiero alabarte</v>
      </c>
      <c r="AA16" t="str">
        <v>Salve, Regina</v>
      </c>
      <c r="AF16" t="str">
        <v>No lo notáis</v>
      </c>
      <c r="AG16" t="str">
        <v>Alégrense el Cielo y la Tierra</v>
      </c>
      <c r="AH16" t="str">
        <v>Señor, ten piedad II</v>
      </c>
      <c r="AI16" t="str">
        <v>Ay, del chiquirritín</v>
      </c>
    </row>
    <row r="17" spans="4:35" x14ac:dyDescent="0.3">
      <c r="D17" t="str">
        <v>Ain Karem</v>
      </c>
      <c r="H17" t="str">
        <v>Todos juntos</v>
      </c>
      <c r="I17" t="str">
        <v>Escucha tú la Palabra de Dios</v>
      </c>
      <c r="J17" t="str">
        <v>Todos unidos</v>
      </c>
      <c r="M17" t="str">
        <v>Junto a los canales de Babilonia</v>
      </c>
      <c r="N17" t="str">
        <v>La fila</v>
      </c>
      <c r="R17" t="str">
        <v>Madre de todos los hombres</v>
      </c>
      <c r="T17" t="str">
        <v>Padre nuestro I</v>
      </c>
      <c r="Y17" t="str">
        <v>Cordero de Dios (Manzano)</v>
      </c>
      <c r="Z17" t="str">
        <v>Él vendrá y te salvará</v>
      </c>
      <c r="AA17" t="str">
        <v>Aleluya, demos gracias</v>
      </c>
      <c r="AF17" t="str">
        <v>Mírame</v>
      </c>
      <c r="AG17" t="str">
        <v>Bendecid al Señor</v>
      </c>
      <c r="AH17" t="str">
        <v>Gloria (por pintar amaneceres)</v>
      </c>
      <c r="AI17" t="str">
        <v>Nace el niño en un portal</v>
      </c>
    </row>
    <row r="18" spans="4:35" x14ac:dyDescent="0.3">
      <c r="D18" t="str">
        <v>Te basta mi gracia</v>
      </c>
      <c r="H18" t="str">
        <v>Allanad los caminos</v>
      </c>
      <c r="I18" t="str">
        <v>Gracias, Señor, por tu Palabra</v>
      </c>
      <c r="J18" t="str">
        <v>Una espiga dorada</v>
      </c>
      <c r="M18" t="str">
        <v>Dichoso quien se acuerda del hermano</v>
      </c>
      <c r="N18" t="str">
        <v>Loco</v>
      </c>
      <c r="R18" t="str">
        <v>Santa María del Camino</v>
      </c>
      <c r="T18" t="str">
        <v>La bondad y el amor del Señor</v>
      </c>
      <c r="Z18" t="str">
        <v>Nadie te ama como Yo</v>
      </c>
      <c r="AA18" t="str">
        <v>Abbá, Padre (escúchame)</v>
      </c>
      <c r="AF18" t="str">
        <v>Suelta el timón</v>
      </c>
      <c r="AG18" t="str">
        <v>Cristo está vivo</v>
      </c>
      <c r="AH18" t="str">
        <v>Tu palabra se hace vida</v>
      </c>
      <c r="AI18" t="str">
        <v>Nunca suenan las campanas</v>
      </c>
    </row>
    <row r="19" spans="4:35" x14ac:dyDescent="0.3">
      <c r="D19" t="str">
        <v>Poneos en pie</v>
      </c>
      <c r="H19" t="str">
        <v>Las bodas de Caná</v>
      </c>
      <c r="I19" t="str">
        <v>Hosanna, hosanna, hosanna</v>
      </c>
      <c r="J19" t="str">
        <v>Una nueva vida</v>
      </c>
      <c r="M19" t="str">
        <v>Señor, escucha mi oración</v>
      </c>
      <c r="N19" t="str">
        <v>No te vas</v>
      </c>
      <c r="R19" t="str">
        <v>Nacidos de la luz</v>
      </c>
      <c r="T19" t="str">
        <v>Vamos hacia ti (gloria a Dios)</v>
      </c>
      <c r="Z19" t="str">
        <v>Dios está aquí</v>
      </c>
      <c r="AA19" t="str">
        <v>Aleluya, yo creo en tu amor</v>
      </c>
      <c r="AF19" t="str">
        <v>Quiero confiar</v>
      </c>
      <c r="AG19" t="str">
        <v>Dios, que nos ama</v>
      </c>
      <c r="AH19" t="str">
        <v>Aleluya II</v>
      </c>
      <c r="AI19" t="str">
        <v>Pastores, venid</v>
      </c>
    </row>
    <row r="20" spans="4:35" x14ac:dyDescent="0.3">
      <c r="D20" t="str">
        <v>Sé mi luz</v>
      </c>
      <c r="H20" t="str">
        <v>El soplo de Dios</v>
      </c>
      <c r="I20" t="str">
        <v>Hoy me siento peregrino</v>
      </c>
      <c r="J20" t="str">
        <v>Vienen con alegría</v>
      </c>
      <c r="M20" t="str">
        <v>Es bueno dar gracias al Señor</v>
      </c>
      <c r="N20" t="str">
        <v>Nada</v>
      </c>
      <c r="R20" t="str">
        <v>No, yo no dejo la tierra</v>
      </c>
      <c r="T20" t="str">
        <v>Quédate aquí, Señor</v>
      </c>
      <c r="Z20" t="str">
        <v>Hoy el Señor resucitó</v>
      </c>
      <c r="AA20" t="str">
        <v>Shalom, te doy la paz</v>
      </c>
      <c r="AF20" t="str">
        <v>Soy de ti</v>
      </c>
      <c r="AG20" t="str">
        <v>Jesús, acuérdate de mí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El agua viva</v>
      </c>
      <c r="I21" t="str">
        <v>Hoy vuelvo de lejos</v>
      </c>
      <c r="J21" t="str">
        <v>Yo confío en ti, Señor</v>
      </c>
      <c r="M21" t="str">
        <v>El cielo proclama la gloria de Dios</v>
      </c>
      <c r="N21" t="str">
        <v>Trueno</v>
      </c>
      <c r="R21" t="str">
        <v>Por ti, mi Dios</v>
      </c>
      <c r="T21" t="str">
        <v>Padre, vuelvo a ti</v>
      </c>
      <c r="Z21" t="str">
        <v>Santo zaireño</v>
      </c>
      <c r="AA21" t="str">
        <v>Te doy mi corazón</v>
      </c>
      <c r="AF21" t="str">
        <v>Tuya y nueva</v>
      </c>
      <c r="AG21" t="str">
        <v>Júbilo en el cielo (canon)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El pan de vida</v>
      </c>
      <c r="I22" t="str">
        <v>Las puertas de la nueva ciudad</v>
      </c>
      <c r="J22" t="str">
        <v>Cristo te necesita para amar</v>
      </c>
      <c r="M22" t="str">
        <v>Dad gracias al Señor</v>
      </c>
      <c r="N22" t="str">
        <v>El Rey de la Gloria</v>
      </c>
      <c r="R22" t="str">
        <v>Perdón, Señor, perdón</v>
      </c>
      <c r="T22" t="str">
        <v>María, la madre buena</v>
      </c>
      <c r="Z22" t="str">
        <v>El Señor es mi pastor (Nico Montero)</v>
      </c>
      <c r="AA22" t="str">
        <v>En los brazos de una virgen</v>
      </c>
      <c r="AF22" t="str">
        <v>No os preocupéis</v>
      </c>
      <c r="AG22" t="str">
        <v>Mas tú sabes que senda es para mí</v>
      </c>
      <c r="AH22" t="str">
        <v>Padre nuestro II</v>
      </c>
    </row>
    <row r="23" spans="4:35" x14ac:dyDescent="0.3">
      <c r="D23" t="str">
        <v>Seducida</v>
      </c>
      <c r="H23" t="str">
        <v>Quién tirará la primera piedra</v>
      </c>
      <c r="I23" t="str">
        <v>Levántate, pueblo mío</v>
      </c>
      <c r="J23" t="str">
        <v>La misa es una fiesta muy alegre</v>
      </c>
      <c r="M23" t="str">
        <v>Llena está la tierra de tus criaturas</v>
      </c>
      <c r="N23" t="str">
        <v>Al estar en la presencia</v>
      </c>
      <c r="R23" t="str">
        <v>Qué ves en la noche</v>
      </c>
      <c r="T23" t="str">
        <v>Aleluya (Junto a ti, Jesús)</v>
      </c>
      <c r="Z23" t="str">
        <v>Mi Dios está vivo</v>
      </c>
      <c r="AA23" t="str">
        <v>Es María la blanca paloma</v>
      </c>
      <c r="AF23" t="str">
        <v>Sabes bien</v>
      </c>
      <c r="AG23" t="str">
        <v>Oh, Padre, entre tus manos</v>
      </c>
      <c r="AH23" t="str">
        <v>Danos paz</v>
      </c>
    </row>
    <row r="24" spans="4:35" x14ac:dyDescent="0.3">
      <c r="D24" t="str">
        <v>Escucha</v>
      </c>
      <c r="H24" t="str">
        <v>El buen pastor</v>
      </c>
      <c r="I24" t="str">
        <v>Llegó la noche</v>
      </c>
      <c r="J24" t="str">
        <v>La misa no termina aquí en la iglesia</v>
      </c>
      <c r="M24" t="str">
        <v>El auxilio me viene del Señor</v>
      </c>
      <c r="N24" t="str">
        <v>Enciéndeme</v>
      </c>
      <c r="R24" t="str">
        <v>Quédate con nosotros</v>
      </c>
      <c r="T24" t="str">
        <v>A tu lado, Señor</v>
      </c>
      <c r="Z24" t="str">
        <v>El Señor Dios nos amó</v>
      </c>
      <c r="AA24" t="str">
        <v>Alma de Cristo</v>
      </c>
      <c r="AF24" t="str">
        <v>Alegraos</v>
      </c>
      <c r="AG24" t="str">
        <v>Para mí ser feliz</v>
      </c>
      <c r="AH24" t="str">
        <v>Hoy, Jesús, vendrás a mí</v>
      </c>
    </row>
    <row r="25" spans="4:35" x14ac:dyDescent="0.3">
      <c r="D25" t="str">
        <v>Ruah</v>
      </c>
      <c r="H25" t="str">
        <v>Vivir en el Señor</v>
      </c>
      <c r="I25" t="str">
        <v>Nochebuena, nochebuena</v>
      </c>
      <c r="J25" t="str">
        <v>Yo tengo un amigo que me ama</v>
      </c>
      <c r="M25" t="str">
        <v>Quién puede entrar en tu templo</v>
      </c>
      <c r="N25" t="str">
        <v>Tomad, comed</v>
      </c>
      <c r="R25" t="str">
        <v>Señor, tú que brillas</v>
      </c>
      <c r="T25" t="str">
        <v>Canto de María</v>
      </c>
      <c r="Z25" t="str">
        <v>En el Señor estamos congregados</v>
      </c>
      <c r="AA25" t="str">
        <v>Vamos, amigos</v>
      </c>
      <c r="AF25" t="str">
        <v>Envíanos sin miedo</v>
      </c>
      <c r="AG25" t="str">
        <v>Protégeme, Dios</v>
      </c>
      <c r="AH25" t="str">
        <v>Familia de Dios</v>
      </c>
    </row>
    <row r="26" spans="4:35" x14ac:dyDescent="0.3">
      <c r="D26" t="str">
        <v>No guardes tu vida</v>
      </c>
      <c r="H26" t="str">
        <v>Amaos unos a otros</v>
      </c>
      <c r="I26" t="str">
        <v>Oí tu voz</v>
      </c>
      <c r="J26" t="str">
        <v>Tú, que siempre nos perdonas</v>
      </c>
      <c r="M26" t="str">
        <v>Alabad, siervos de Dios</v>
      </c>
      <c r="N26" t="str">
        <v>Deseo</v>
      </c>
      <c r="R26" t="str">
        <v>Tu Palabra me da vida</v>
      </c>
      <c r="T26" t="str">
        <v>Tú, Jesús</v>
      </c>
      <c r="Z26" t="str">
        <v>En el mar he oído hoy</v>
      </c>
      <c r="AA26" t="str">
        <v>Evenu shalom alejem</v>
      </c>
      <c r="AF26" t="str">
        <v>Aquí y ahora</v>
      </c>
      <c r="AG26" t="str">
        <v>Que venga a ti</v>
      </c>
      <c r="AH26" t="str">
        <v>Ave María</v>
      </c>
    </row>
    <row r="27" spans="4:35" x14ac:dyDescent="0.3">
      <c r="D27" t="str">
        <v>Atráeme</v>
      </c>
      <c r="H27" t="str">
        <v>Yo soy el que sirve</v>
      </c>
      <c r="I27" t="str">
        <v>Oh, mi Dios, crea en mí</v>
      </c>
      <c r="J27" t="str">
        <v>Yo pensaba que el hombre era grande</v>
      </c>
      <c r="M27" t="str">
        <v>Que en nuestros días reine la paz</v>
      </c>
      <c r="N27" t="str">
        <v>Bien amado Señor</v>
      </c>
      <c r="R27" t="str">
        <v>Te damos gracias, Señor</v>
      </c>
      <c r="T27" t="str">
        <v>Confianza en Dios</v>
      </c>
      <c r="Z27" t="str">
        <v>Hoy empieza una nueva era</v>
      </c>
      <c r="AA27" t="str">
        <v>Contigo me la juego</v>
      </c>
      <c r="AF27" t="str">
        <v>Te seguiré llamando</v>
      </c>
      <c r="AG27" t="str">
        <v>Tú eres fuente viva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La vid y los sarmientos</v>
      </c>
      <c r="I28" t="str">
        <v>Purifícame, Señor</v>
      </c>
      <c r="J28" t="str">
        <v>Un niño se te acercó</v>
      </c>
      <c r="M28" t="str">
        <v>Contra ti solo pequé</v>
      </c>
      <c r="N28" t="str">
        <v>Qué bien se está cuando se está bien</v>
      </c>
      <c r="R28" t="str">
        <v>Tú eres el Dios que nos salva</v>
      </c>
      <c r="T28" t="str">
        <v>En la esperanza, Madre</v>
      </c>
      <c r="Z28" t="str">
        <v>No vayáis a la fiesta</v>
      </c>
      <c r="AA28" t="str">
        <v>Todo es tuyo</v>
      </c>
      <c r="AF28" t="str">
        <v>No volverá vacía</v>
      </c>
      <c r="AG28" t="str">
        <v>Come este pan</v>
      </c>
      <c r="AH28" t="str">
        <v>El Espíritu de Dios (33 El Musical)</v>
      </c>
    </row>
    <row r="29" spans="4:35" x14ac:dyDescent="0.3">
      <c r="D29" t="str">
        <v>Levantad las piedras</v>
      </c>
      <c r="H29" t="str">
        <v>Siempre estaré con vosotros</v>
      </c>
      <c r="I29" t="str">
        <v>Se acerca el reino de Dios</v>
      </c>
      <c r="J29" t="str">
        <v>Dios es amor</v>
      </c>
      <c r="M29" t="str">
        <v>Cantaré eternamente (II)</v>
      </c>
      <c r="N29" t="str">
        <v>Libertad</v>
      </c>
      <c r="R29" t="str">
        <v>Una ciudad para todos</v>
      </c>
      <c r="T29" t="str">
        <v>Con sencillo corazón</v>
      </c>
      <c r="Z29" t="str">
        <v>Oh, Señor, mueve mi espíritu</v>
      </c>
      <c r="AA29" t="str">
        <v>Acaso no estoy yo aquí que soy tu madre</v>
      </c>
      <c r="AF29" t="str">
        <v>Grietas</v>
      </c>
      <c r="AG29" t="str">
        <v>Espíritu de Dios vivo</v>
      </c>
      <c r="AH29" t="str">
        <v>Siempre estuviste aquí (Almudena)</v>
      </c>
    </row>
    <row r="30" spans="4:35" x14ac:dyDescent="0.3">
      <c r="D30" t="str">
        <v>Aleluya</v>
      </c>
      <c r="H30" t="str">
        <v>El juicio de Cristo</v>
      </c>
      <c r="I30" t="str">
        <v>Arriésgate</v>
      </c>
      <c r="J30" t="str">
        <v>A quién temeré</v>
      </c>
      <c r="M30" t="str">
        <v>Acuérdate, Señor</v>
      </c>
      <c r="N30" t="str">
        <v>Tan cerca</v>
      </c>
      <c r="R30" t="str">
        <v>Un pueblo que camina por el mundo</v>
      </c>
      <c r="T30" t="str">
        <v>Fraternidad</v>
      </c>
      <c r="Z30" t="str">
        <v>Paz, Señor, en el cielo y la tierra</v>
      </c>
      <c r="AA30" t="str">
        <v>Enamórame de ti</v>
      </c>
      <c r="AF30" t="str">
        <v>En parábolas</v>
      </c>
      <c r="AG30" t="str">
        <v>Te adoramos</v>
      </c>
      <c r="AH30" t="str">
        <v>Viviremos firmes en la fe</v>
      </c>
    </row>
    <row r="31" spans="4:35" x14ac:dyDescent="0.3">
      <c r="D31" t="str">
        <v>Tú eres mi bien</v>
      </c>
      <c r="H31" t="str">
        <v>Aleluya, el Señor resucitó</v>
      </c>
      <c r="I31" t="str">
        <v>Ven, Salvador</v>
      </c>
      <c r="J31" t="str">
        <v>Aleluya, creo en Ti, Señor</v>
      </c>
      <c r="M31" t="str">
        <v>Pidamos al Señor</v>
      </c>
      <c r="N31" t="str">
        <v>Hoy te dejo</v>
      </c>
      <c r="R31" t="str">
        <v>Vamos cantando al Señor</v>
      </c>
      <c r="T31" t="str">
        <v>Mantas de cartón</v>
      </c>
      <c r="Z31" t="str">
        <v>Por los hombres</v>
      </c>
      <c r="AA31" t="str">
        <v>Algo está cayendo aquí</v>
      </c>
      <c r="AF31" t="str">
        <v>Óyeme</v>
      </c>
      <c r="AG31" t="str">
        <v>Alégrate y goza en el Señor</v>
      </c>
      <c r="AH31" t="str">
        <v>Vía Crucis Introducción</v>
      </c>
    </row>
    <row r="32" spans="4:35" x14ac:dyDescent="0.3">
      <c r="D32" t="str">
        <v>Desde abajo</v>
      </c>
      <c r="H32" t="str">
        <v>Aleluya cantará</v>
      </c>
      <c r="I32" t="str">
        <v>Vamos a preparar</v>
      </c>
      <c r="J32" t="str">
        <v>El niño Dios ha nacido en Belén</v>
      </c>
      <c r="M32" t="str">
        <v>Tu Palabra, Señor, es gozo</v>
      </c>
      <c r="N32" t="str">
        <v>Pasión de Dios</v>
      </c>
      <c r="R32" t="str">
        <v>Unidos a todos los pueblos</v>
      </c>
      <c r="T32" t="str">
        <v>Soñar un mundo más feliz</v>
      </c>
      <c r="Z32" t="str">
        <v>Se acerca tu Navidad</v>
      </c>
      <c r="AA32" t="str">
        <v>Aleluya (Cohen)</v>
      </c>
      <c r="AF32" t="str">
        <v>Bosque</v>
      </c>
      <c r="AG32" t="str">
        <v>Aleluya 22</v>
      </c>
      <c r="AH32" t="str">
        <v>Via Crucis I Jesús cautivo</v>
      </c>
    </row>
    <row r="33" spans="4:34" x14ac:dyDescent="0.3">
      <c r="D33" t="str">
        <v>Como la cierva</v>
      </c>
      <c r="H33" t="str">
        <v>El calor de tu palabra</v>
      </c>
      <c r="I33" t="str">
        <v>Ven, Espíritu Santo</v>
      </c>
      <c r="J33" t="str">
        <v>Peregrino (Éxodo y liberación)</v>
      </c>
      <c r="M33" t="str">
        <v>Vuelve hacia nosotros</v>
      </c>
      <c r="N33" t="str">
        <v>Bendita sea tu pureza</v>
      </c>
      <c r="R33" t="str">
        <v>No podemos caminar (Hambre de Dios)</v>
      </c>
      <c r="T33" t="str">
        <v>Somos canción</v>
      </c>
      <c r="Z33" t="str">
        <v>Shalom haberim</v>
      </c>
      <c r="AA33" t="str">
        <v>Entra en el corazón de Dios</v>
      </c>
      <c r="AF33" t="str">
        <v>Nuestro lugar</v>
      </c>
      <c r="AG33" t="str">
        <v>Aleluya 94</v>
      </c>
      <c r="AH33" t="str">
        <v>Via Crucis II Jesús carga con la Cruz</v>
      </c>
    </row>
    <row r="34" spans="4:34" x14ac:dyDescent="0.3">
      <c r="D34" t="str">
        <v>Sólo Tú</v>
      </c>
      <c r="H34" t="str">
        <v>En mi debilidad</v>
      </c>
      <c r="I34" t="str">
        <v>Yo estaré con vosotros</v>
      </c>
      <c r="M34" t="str">
        <v>El alzar de mis manos</v>
      </c>
      <c r="N34" t="str">
        <v>Tu misericordia</v>
      </c>
      <c r="T34" t="str">
        <v>Ten piedad de mí</v>
      </c>
      <c r="Z34" t="str">
        <v>Si Dios a su mesa nos quiere sentar</v>
      </c>
      <c r="AA34" t="str">
        <v>Dijiste sí</v>
      </c>
      <c r="AF34" t="str">
        <v>A tu medida</v>
      </c>
      <c r="AG34" t="str">
        <v>Cristo ha resucitado (canon)</v>
      </c>
      <c r="AH34" t="str">
        <v>Via Crucis III Jesús cae por primera vez</v>
      </c>
    </row>
    <row r="35" spans="4:34" x14ac:dyDescent="0.3">
      <c r="D35" t="str">
        <v>Sed felices</v>
      </c>
      <c r="H35" t="str">
        <v>Me levantaré</v>
      </c>
      <c r="I35" t="str">
        <v>Creo en Jesús</v>
      </c>
      <c r="M35" t="str">
        <v>Cántico de Daniel</v>
      </c>
      <c r="N35" t="str">
        <v>Quiero cenar contigo</v>
      </c>
      <c r="T35" t="str">
        <v>Gloria</v>
      </c>
      <c r="Z35" t="str">
        <v>Tengo que gritar</v>
      </c>
      <c r="AA35" t="str">
        <v>Ungidos</v>
      </c>
      <c r="AF35" t="str">
        <v>Mayor que todo</v>
      </c>
      <c r="AG35" t="str">
        <v>Dichosos los pobres</v>
      </c>
      <c r="AH35" t="str">
        <v>Via Crucis IV Jesús se encuentra con su madre</v>
      </c>
    </row>
    <row r="36" spans="4:34" x14ac:dyDescent="0.3">
      <c r="D36" t="str">
        <v>Ten piedad</v>
      </c>
      <c r="H36" t="str">
        <v>Nada has pensado</v>
      </c>
      <c r="I36" t="str">
        <v>Tened encendida la lámpara</v>
      </c>
      <c r="M36" t="str">
        <v>A ti levanto mi alma</v>
      </c>
      <c r="N36" t="str">
        <v>Un paso más</v>
      </c>
      <c r="T36" t="str">
        <v>Aleluya</v>
      </c>
      <c r="Z36" t="str">
        <v>Traemos a tu altar</v>
      </c>
      <c r="AA36" t="str">
        <v>Petrus (In illo uno unum)</v>
      </c>
      <c r="AF36" t="str">
        <v>Seas</v>
      </c>
      <c r="AG36" t="str">
        <v>En nuestra oscuridad</v>
      </c>
      <c r="AH36" t="str">
        <v>Via Crucis V El Cireneo</v>
      </c>
    </row>
    <row r="37" spans="4:34" x14ac:dyDescent="0.3">
      <c r="D37" t="str">
        <v>Busca mi rostro</v>
      </c>
      <c r="H37" t="str">
        <v>Que sea mi vida la sal</v>
      </c>
      <c r="I37" t="str">
        <v>Dios nos convoca</v>
      </c>
      <c r="M37" t="str">
        <v>El Señor de los ejércitos</v>
      </c>
      <c r="N37" t="str">
        <v>Cuatro vientos</v>
      </c>
      <c r="T37" t="str">
        <v>Estoy creyendo en ti (credo)</v>
      </c>
      <c r="Z37" t="str">
        <v>Un nuevo sitio disponed</v>
      </c>
      <c r="AA37" t="str">
        <v>Alza la mirada</v>
      </c>
      <c r="AF37" t="str">
        <v>Brasas</v>
      </c>
      <c r="AG37" t="str">
        <v>Sé sal que sala</v>
      </c>
      <c r="AH37" t="str">
        <v>Via Crucis VI La Verónica</v>
      </c>
    </row>
    <row r="38" spans="4:34" x14ac:dyDescent="0.3">
      <c r="D38" t="str">
        <v>Señor de la sabiduría</v>
      </c>
      <c r="H38" t="str">
        <v>Ven, no apartes de mí los ojos</v>
      </c>
      <c r="I38" t="str">
        <v>Padre nuestro (Erdozáin)</v>
      </c>
      <c r="M38" t="str">
        <v>El cáliz que bendecimos</v>
      </c>
      <c r="N38" t="str">
        <v>Siempre imaginé</v>
      </c>
      <c r="T38" t="str">
        <v>Conviviendo en armonía</v>
      </c>
      <c r="Z38" t="str">
        <v>Gloria y alabanza</v>
      </c>
      <c r="AA38" t="str">
        <v>Pregón Pascual (neocatecumenal)</v>
      </c>
      <c r="AF38" t="str">
        <v>Si tú quieres</v>
      </c>
      <c r="AG38" t="str">
        <v>A quién iremos, Señor</v>
      </c>
      <c r="AH38" t="str">
        <v>Via Crucis VII Jesús cae por segunda vez</v>
      </c>
    </row>
    <row r="39" spans="4:34" x14ac:dyDescent="0.3">
      <c r="D39" t="str">
        <v>Descansa en ti su mirada</v>
      </c>
      <c r="H39" t="str">
        <v>Envíame</v>
      </c>
      <c r="I39" t="str">
        <v>Este pan y vino</v>
      </c>
      <c r="M39" t="str">
        <v>El Señor es mi pastor</v>
      </c>
      <c r="N39" t="str">
        <v>Que no se pierda ninguno</v>
      </c>
      <c r="T39" t="str">
        <v>Padre nuestro II</v>
      </c>
      <c r="Z39" t="str">
        <v>El tren del Evangelio</v>
      </c>
      <c r="AA39" t="str">
        <v>Haz de tu casa un Nazaret</v>
      </c>
      <c r="AF39" t="str">
        <v>Dónde</v>
      </c>
      <c r="AG39" t="str">
        <v>Cristo es Espíritu y Dios</v>
      </c>
      <c r="AH39" t="str">
        <v>Via Crucis VIII Jesús consuela a las mujeres</v>
      </c>
    </row>
    <row r="40" spans="4:34" x14ac:dyDescent="0.3">
      <c r="D40" t="str">
        <v>El amor</v>
      </c>
      <c r="M40" t="str">
        <v>El Señor tenga piedad</v>
      </c>
      <c r="N40" t="str">
        <v>Nombre sobre todo nombre</v>
      </c>
      <c r="T40" t="str">
        <v>Te agradezco</v>
      </c>
      <c r="Z40" t="str">
        <v>Cordero de Dios (boliviano)</v>
      </c>
      <c r="AA40" t="str">
        <v>Estás aquí, Jesús</v>
      </c>
      <c r="AF40" t="str">
        <v>Escúchame</v>
      </c>
      <c r="AG40" t="str">
        <v>Cristo Jesús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Caminaré en presencia del Señor</v>
      </c>
      <c r="N41" t="str">
        <v>Tu rostro</v>
      </c>
      <c r="T41" t="str">
        <v>Escucha, María</v>
      </c>
      <c r="Z41" t="str">
        <v>La Virgen sueña caminos</v>
      </c>
      <c r="AF41" t="str">
        <v>A la puerta</v>
      </c>
      <c r="AG41" t="str">
        <v>Danos, Señor, la paz (canon)</v>
      </c>
      <c r="AH41" t="str">
        <v>Via Crucis X Jesús es despojado</v>
      </c>
    </row>
    <row r="42" spans="4:34" x14ac:dyDescent="0.3">
      <c r="D42" t="str">
        <v>Miradle</v>
      </c>
      <c r="M42" t="str">
        <v>El Señor es bueno</v>
      </c>
      <c r="N42" t="str">
        <v>Tonto</v>
      </c>
      <c r="T42" t="str">
        <v>Rezar no es otra cosa</v>
      </c>
      <c r="Z42" t="str">
        <v>María, madre nuestra</v>
      </c>
      <c r="AF42" t="str">
        <v>En quién si no</v>
      </c>
      <c r="AG42" t="str">
        <v>Dios de la vida</v>
      </c>
      <c r="AH42" t="str">
        <v>Via Crucis XI Jesús es clavado en la Cruz</v>
      </c>
    </row>
    <row r="43" spans="4:34" x14ac:dyDescent="0.3">
      <c r="D43" t="str">
        <v>Venid conmigo</v>
      </c>
      <c r="M43" t="str">
        <v>Protégeme, Dios mío</v>
      </c>
      <c r="N43" t="str">
        <v>Mi pobre loco</v>
      </c>
      <c r="T43" t="str">
        <v>Jesús te ama</v>
      </c>
      <c r="Z43" t="str">
        <v>No me mueve</v>
      </c>
      <c r="AF43" t="str">
        <v>Silencio</v>
      </c>
      <c r="AG43" t="str">
        <v>El Señor es mi fortaleza</v>
      </c>
      <c r="AH43" t="str">
        <v>Via Crucis XII Jesús muere en la Cruz</v>
      </c>
    </row>
    <row r="44" spans="4:34" x14ac:dyDescent="0.3">
      <c r="D44" t="str">
        <v>Dios fiel</v>
      </c>
      <c r="M44" t="str">
        <v>Himno a Nuestra Señora de la Almudena</v>
      </c>
      <c r="N44" t="str">
        <v>Revolución</v>
      </c>
      <c r="T44" t="str">
        <v>Cántico de las criaturas</v>
      </c>
      <c r="Z44" t="str">
        <v>Padre nuestro (mexicano)</v>
      </c>
      <c r="AF44" t="str">
        <v>De repente</v>
      </c>
      <c r="AG44" t="str">
        <v>El Señor, que viene en mi ayuda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Mujer fuerte</v>
      </c>
      <c r="N45" t="str">
        <v>Imprescindible</v>
      </c>
      <c r="T45" t="str">
        <v>Ya no te queda tiempo</v>
      </c>
      <c r="Z45" t="str">
        <v>Para el que sabe</v>
      </c>
      <c r="AF45" t="str">
        <v>Quién amó primero</v>
      </c>
      <c r="AG45" t="str">
        <v>Permaneced conmigo</v>
      </c>
      <c r="AH45" t="str">
        <v>Via Crucis XIV El cuerpo de Jesús</v>
      </c>
    </row>
    <row r="46" spans="4:34" x14ac:dyDescent="0.3">
      <c r="D46" t="str">
        <v>Confianza</v>
      </c>
      <c r="M46" t="str">
        <v>Madre de los creyentes</v>
      </c>
      <c r="N46" t="str">
        <v>Pasión I No sé qué viste en mí</v>
      </c>
      <c r="T46" t="str">
        <v>Padre de las misericordias</v>
      </c>
      <c r="Z46" t="str">
        <v>Vive tu amor en mí</v>
      </c>
      <c r="AF46" t="str">
        <v>Alabarte</v>
      </c>
      <c r="AG46" t="str">
        <v>Por tu Cruz</v>
      </c>
      <c r="AH46" t="str">
        <v>Via Crucis XV La fuerza de la Cruz</v>
      </c>
    </row>
    <row r="47" spans="4:34" x14ac:dyDescent="0.3">
      <c r="D47" t="str">
        <v>Pan compartido</v>
      </c>
      <c r="M47" t="str">
        <v>A ti suspiramos</v>
      </c>
      <c r="N47" t="str">
        <v>Pasión II Mi peso en tus hombros</v>
      </c>
      <c r="T47" t="str">
        <v>Te alabo, Señor</v>
      </c>
      <c r="Z47" t="str">
        <v>Volar</v>
      </c>
      <c r="AF47" t="str">
        <v>Bailaré</v>
      </c>
      <c r="AG47" t="str">
        <v>Qué bueno es confiar en ti</v>
      </c>
    </row>
    <row r="48" spans="4:34" x14ac:dyDescent="0.3">
      <c r="D48" t="str">
        <v>Gloria Trinitario</v>
      </c>
      <c r="M48" t="str">
        <v>Reina del Cielo</v>
      </c>
      <c r="N48" t="str">
        <v>Pasión III Paraísos sin tu rostro</v>
      </c>
      <c r="T48" t="str">
        <v>El don de la fraternidad</v>
      </c>
      <c r="Z48" t="str">
        <v>Dulce muchacha humilde de Palestina</v>
      </c>
      <c r="AF48" t="str">
        <v>Por ti, Jerusalén</v>
      </c>
      <c r="AG48" t="str">
        <v>Ten piedad, Señor 20</v>
      </c>
    </row>
    <row r="49" spans="4:33" x14ac:dyDescent="0.3">
      <c r="D49" t="str">
        <v>A Ti</v>
      </c>
      <c r="M49" t="str">
        <v>Magnificat</v>
      </c>
      <c r="N49" t="str">
        <v>Pasión IV Un dios débil</v>
      </c>
      <c r="T49" t="str">
        <v>Jesús es verdad</v>
      </c>
      <c r="Z49" t="str">
        <v>Letanías</v>
      </c>
      <c r="AF49" t="str">
        <v>Frontera</v>
      </c>
      <c r="AG49" t="str">
        <v>Ten piedad, Señor 8</v>
      </c>
    </row>
    <row r="50" spans="4:33" x14ac:dyDescent="0.3">
      <c r="D50" t="str">
        <v>Tú lo sabes</v>
      </c>
      <c r="M50" t="str">
        <v>Morada de la luz</v>
      </c>
      <c r="N50" t="str">
        <v>Pasión V Cirineo</v>
      </c>
      <c r="T50" t="str">
        <v>Niño</v>
      </c>
      <c r="Z50" t="str">
        <v>Salve, Madre</v>
      </c>
      <c r="AF50" t="str">
        <v>Despierto</v>
      </c>
      <c r="AG50" t="str">
        <v>Tengo sed de ti</v>
      </c>
    </row>
    <row r="51" spans="4:33" x14ac:dyDescent="0.3">
      <c r="D51" t="str">
        <v>Caná</v>
      </c>
      <c r="M51" t="str">
        <v>Madre del Redentor</v>
      </c>
      <c r="N51" t="str">
        <v>Pasión VI Verónica</v>
      </c>
      <c r="T51" t="str">
        <v>Una vida</v>
      </c>
      <c r="Z51" t="str">
        <v>Santo (Santo Domingo de Silos)</v>
      </c>
      <c r="AF51" t="str">
        <v>Como niños</v>
      </c>
      <c r="AG51" t="str">
        <v>Tu palabra alumbra</v>
      </c>
    </row>
    <row r="52" spans="4:33" x14ac:dyDescent="0.3">
      <c r="D52" t="str">
        <v>Ánimo, soy yo</v>
      </c>
      <c r="M52" t="str">
        <v>Ángelus</v>
      </c>
      <c r="N52" t="str">
        <v>Pasión VII Y te caes</v>
      </c>
      <c r="T52" t="str">
        <v>Dios en la ciudad</v>
      </c>
      <c r="Z52" t="str">
        <v>Santo eres, Señor, Dios nuestro</v>
      </c>
      <c r="AF52" t="str">
        <v>Vivir</v>
      </c>
      <c r="AG52" t="str">
        <v>Danos la paz, Señor</v>
      </c>
    </row>
    <row r="53" spans="4:33" x14ac:dyDescent="0.3">
      <c r="D53" t="str">
        <v>Santo</v>
      </c>
      <c r="M53" t="str">
        <v>Madre nuestra</v>
      </c>
      <c r="N53" t="str">
        <v>Pasión VIII Jerusalén</v>
      </c>
      <c r="T53" t="str">
        <v>Somos una familia</v>
      </c>
      <c r="Z53" t="str">
        <v>Ven, Espíritu de Dios (Esprit createur)</v>
      </c>
      <c r="AG53" t="str">
        <v>La ayuda vendrá</v>
      </c>
    </row>
    <row r="54" spans="4:33" x14ac:dyDescent="0.3">
      <c r="D54" t="str">
        <v>La mujer del perfume</v>
      </c>
      <c r="M54" t="str">
        <v>Ave María</v>
      </c>
      <c r="N54" t="str">
        <v>Pasión IX Por qué</v>
      </c>
      <c r="T54" t="str">
        <v>Eres el fuego, el amor</v>
      </c>
      <c r="Z54" t="str">
        <v>Cordero de Dios (Algete)</v>
      </c>
      <c r="AG54" t="str">
        <v>Aleluya 17</v>
      </c>
    </row>
    <row r="55" spans="4:33" x14ac:dyDescent="0.3">
      <c r="D55" t="str">
        <v>Para estar contigo</v>
      </c>
      <c r="M55" t="str">
        <v>Unidos por la fe y el amor</v>
      </c>
      <c r="N55" t="str">
        <v>Pasión X Despojado</v>
      </c>
      <c r="T55" t="str">
        <v>Me has seducido, Señor</v>
      </c>
      <c r="Z55" t="str">
        <v>La paz te doy</v>
      </c>
      <c r="AG55" t="str">
        <v>Aleluya 96</v>
      </c>
    </row>
    <row r="56" spans="4:33" x14ac:dyDescent="0.3">
      <c r="D56" t="str">
        <v>Samaritano</v>
      </c>
      <c r="M56" t="str">
        <v>Ten piedad</v>
      </c>
      <c r="N56" t="str">
        <v>Pasión XI La medida del amor</v>
      </c>
      <c r="T56" t="str">
        <v>Una vida que busca libertad</v>
      </c>
      <c r="Z56" t="str">
        <v>Llevad la buena noticia</v>
      </c>
      <c r="AG56" t="str">
        <v>Aleluya 97</v>
      </c>
    </row>
    <row r="57" spans="4:33" x14ac:dyDescent="0.3">
      <c r="D57" t="str">
        <v>No hay fronteras</v>
      </c>
      <c r="M57" t="str">
        <v>Gloria (misa coral en Re)</v>
      </c>
      <c r="N57" t="str">
        <v>Pasión XIII Madre</v>
      </c>
      <c r="T57" t="str">
        <v>Nuestra buena madre</v>
      </c>
      <c r="Z57" t="str">
        <v>Ten piedad de mi, Señor</v>
      </c>
      <c r="AG57" t="str">
        <v>Cantaré al Señor</v>
      </c>
    </row>
    <row r="58" spans="4:33" x14ac:dyDescent="0.3">
      <c r="D58" t="str">
        <v>Descálzate</v>
      </c>
      <c r="M58" t="str">
        <v>Aleluya (misa coral en Re)</v>
      </c>
      <c r="N58" t="str">
        <v>Pasión XIV Donde estás tú</v>
      </c>
      <c r="T58" t="str">
        <v>Señor, yo no soy digno</v>
      </c>
      <c r="Z58" t="str">
        <v>Aleluya de Adviento</v>
      </c>
      <c r="AG58" t="str">
        <v>Danos la paz del corazón</v>
      </c>
    </row>
    <row r="59" spans="4:33" x14ac:dyDescent="0.3">
      <c r="D59" t="str">
        <v>La vid verdadera</v>
      </c>
      <c r="M59" t="str">
        <v>Santo (misa coral en Re)</v>
      </c>
      <c r="N59" t="str">
        <v>Pasión XV Soy libre</v>
      </c>
      <c r="T59" t="str">
        <v>No durmáis</v>
      </c>
      <c r="Z59" t="str">
        <v>Siempre en ti</v>
      </c>
      <c r="AG59" t="str">
        <v>Danos la paz, oh, Señor</v>
      </c>
    </row>
    <row r="60" spans="4:33" x14ac:dyDescent="0.3">
      <c r="D60" t="str">
        <v>Ven, Espíritu de Dios</v>
      </c>
      <c r="M60" t="str">
        <v>Padre nuestro (misa coral en Re)</v>
      </c>
      <c r="N60" t="str">
        <v>Pasión XVI Por mí, por ti</v>
      </c>
      <c r="T60" t="str">
        <v>Señor Dios, me tienes ante ti</v>
      </c>
      <c r="Z60" t="str">
        <v>Santo es el Señor</v>
      </c>
      <c r="AG60" t="str">
        <v>Este es el día del Señor (Taizé)</v>
      </c>
    </row>
    <row r="61" spans="4:33" x14ac:dyDescent="0.3">
      <c r="D61" t="str">
        <v>Realidad</v>
      </c>
      <c r="M61" t="str">
        <v>Cordero de Dios (misa coral en Re)</v>
      </c>
      <c r="N61" t="str">
        <v>Me sobrepasa</v>
      </c>
      <c r="T61" t="str">
        <v>Bienaventuranzas (Kairoi)</v>
      </c>
      <c r="Z61" t="str">
        <v>Señor, ten piedad de nosotros</v>
      </c>
      <c r="AG61" t="str">
        <v>Jesús, mi vida</v>
      </c>
    </row>
    <row r="62" spans="4:33" x14ac:dyDescent="0.3">
      <c r="D62" t="str">
        <v>Boga mar adentro</v>
      </c>
      <c r="M62" t="str">
        <v>Dales, Señor, el descanso eterno</v>
      </c>
      <c r="N62" t="str">
        <v>Descalzos</v>
      </c>
      <c r="T62" t="str">
        <v>Tu llamada</v>
      </c>
      <c r="Z62" t="str">
        <v>No quiero alejarme de ti</v>
      </c>
      <c r="AG62" t="str">
        <v>Oh, Dios consolador</v>
      </c>
    </row>
    <row r="63" spans="4:33" x14ac:dyDescent="0.3">
      <c r="D63" t="str">
        <v>No tengas miedo</v>
      </c>
      <c r="M63" t="str">
        <v>En la plaza de un pueblo</v>
      </c>
      <c r="N63" t="str">
        <v>Un segundo</v>
      </c>
      <c r="T63" t="str">
        <v>No es fácil</v>
      </c>
      <c r="Z63" t="str">
        <v>Secuencia de Pascua</v>
      </c>
      <c r="AG63" t="str">
        <v>Oh, Dios, tú, Dios mío (canon)</v>
      </c>
    </row>
    <row r="64" spans="4:33" x14ac:dyDescent="0.3">
      <c r="D64" t="str">
        <v>Magnificat</v>
      </c>
      <c r="M64" t="str">
        <v>Fariseo y publicano</v>
      </c>
      <c r="N64" t="str">
        <v>Todo</v>
      </c>
      <c r="T64" t="str">
        <v>Nacidos de la cruz</v>
      </c>
      <c r="Z64" t="str">
        <v>Nueva aurora en nuestra noche</v>
      </c>
      <c r="AG64" t="str">
        <v>Que alabe al Señor</v>
      </c>
    </row>
    <row r="65" spans="4:33" x14ac:dyDescent="0.3">
      <c r="D65" t="str">
        <v>Ardo en celo</v>
      </c>
      <c r="M65" t="str">
        <v>De cosas sencillas</v>
      </c>
      <c r="N65" t="str">
        <v>El cielo aguarda</v>
      </c>
      <c r="T65" t="str">
        <v>Ven, Señor Jesús</v>
      </c>
      <c r="Z65" t="str">
        <v>Si despierta el corazón</v>
      </c>
      <c r="AG65" t="str">
        <v>Ten piedad, Señor 6</v>
      </c>
    </row>
    <row r="66" spans="4:33" x14ac:dyDescent="0.3">
      <c r="D66" t="str">
        <v>El amor no dice basta</v>
      </c>
      <c r="M66" t="str">
        <v>Y ciegos son los hombres</v>
      </c>
      <c r="N66" t="str">
        <v>Huracán</v>
      </c>
      <c r="T66" t="str">
        <v>Canta Jerusalén</v>
      </c>
      <c r="Z66" t="str">
        <v>Acompáñame, Señor, en la tribulación</v>
      </c>
      <c r="AG66" t="str">
        <v>Al Señor alabe</v>
      </c>
    </row>
    <row r="67" spans="4:33" x14ac:dyDescent="0.3">
      <c r="D67" t="str">
        <v>Rut y Noemí</v>
      </c>
      <c r="M67" t="str">
        <v>En la viña del Señor</v>
      </c>
      <c r="N67" t="str">
        <v>Mirada</v>
      </c>
      <c r="T67" t="str">
        <v>Diremos que sí</v>
      </c>
      <c r="Z67" t="str">
        <v>Confieso</v>
      </c>
      <c r="AG67" t="str">
        <v>Alabado sea el Señor</v>
      </c>
    </row>
    <row r="68" spans="4:33" x14ac:dyDescent="0.3">
      <c r="D68" t="str">
        <v>Ven, Espíritu</v>
      </c>
      <c r="M68" t="str">
        <v>Invitación</v>
      </c>
      <c r="N68" t="str">
        <v>Pringados</v>
      </c>
      <c r="T68" t="str">
        <v>Gracias por tu don</v>
      </c>
      <c r="Z68" t="str">
        <v>Antes de ser llevado a la muerte</v>
      </c>
      <c r="AG68" t="str">
        <v>Dentro llevas la fuente de vida</v>
      </c>
    </row>
    <row r="69" spans="4:33" x14ac:dyDescent="0.3">
      <c r="D69" t="str">
        <v>María Magdalena</v>
      </c>
      <c r="M69" t="str">
        <v>Dos señores</v>
      </c>
      <c r="N69" t="str">
        <v>Noche</v>
      </c>
      <c r="T69" t="str">
        <v>Cortó la roca</v>
      </c>
      <c r="Z69" t="str">
        <v>Dios es fiel</v>
      </c>
      <c r="AG69" t="str">
        <v>Ven, Espíritu (canon)</v>
      </c>
    </row>
    <row r="70" spans="4:33" x14ac:dyDescent="0.3">
      <c r="D70" t="str">
        <v>De todo corazón</v>
      </c>
      <c r="M70" t="str">
        <v>Buen pastor</v>
      </c>
      <c r="N70" t="str">
        <v>Comunión espiritual</v>
      </c>
      <c r="T70" t="str">
        <v>Ave María I</v>
      </c>
      <c r="Z70" t="str">
        <v>El Señor es mi luz</v>
      </c>
      <c r="AG70" t="str">
        <v>Yo ya sé qué veré</v>
      </c>
    </row>
    <row r="71" spans="4:33" x14ac:dyDescent="0.3">
      <c r="D71" t="str">
        <v>Canto de Ana</v>
      </c>
      <c r="M71" t="str">
        <v>El pobre Lázaro</v>
      </c>
      <c r="N71" t="str">
        <v>Sencillamente</v>
      </c>
      <c r="T71" t="str">
        <v>Tú estás cerca</v>
      </c>
      <c r="Z71" t="str">
        <v>Es de locos</v>
      </c>
      <c r="AG71" t="str">
        <v>Aleluya 7</v>
      </c>
    </row>
    <row r="72" spans="4:33" x14ac:dyDescent="0.3">
      <c r="D72" t="str">
        <v>Seguirte</v>
      </c>
      <c r="M72" t="str">
        <v>Después de la medianoche</v>
      </c>
      <c r="N72" t="str">
        <v>Ocúpate Tú de todo</v>
      </c>
      <c r="T72" t="str">
        <v>Madre de los hijos pobres</v>
      </c>
      <c r="Z72" t="str">
        <v>Yo soy la Vida y la Verdad</v>
      </c>
      <c r="AG72" t="str">
        <v>Bendito el que viene (canon)</v>
      </c>
    </row>
    <row r="73" spans="4:33" x14ac:dyDescent="0.3">
      <c r="D73" t="str">
        <v>Pueblo Suyo</v>
      </c>
      <c r="M73" t="str">
        <v>El Señor ha estado grande con nosotros</v>
      </c>
      <c r="N73" t="str">
        <v>La piel por Ti</v>
      </c>
      <c r="T73" t="str">
        <v>Magnificat</v>
      </c>
      <c r="Z73" t="str">
        <v>Ven a celebrar</v>
      </c>
      <c r="AG73" t="str">
        <v>El Reino de Dios</v>
      </c>
    </row>
    <row r="74" spans="4:33" x14ac:dyDescent="0.3">
      <c r="D74" t="str">
        <v>Quedas libre</v>
      </c>
      <c r="M74" t="str">
        <v>Reunidos en el nombre del Señor</v>
      </c>
      <c r="N74" t="str">
        <v>El abrazo</v>
      </c>
      <c r="T74" t="str">
        <v>Angelus</v>
      </c>
      <c r="Z74" t="str">
        <v>Cordero de Dios (Maristas)</v>
      </c>
      <c r="AG74" t="str">
        <v>Mi corazón te anhela</v>
      </c>
    </row>
    <row r="75" spans="4:33" x14ac:dyDescent="0.3">
      <c r="D75" t="str">
        <v>Si le dais posada</v>
      </c>
      <c r="M75" t="str">
        <v>Tuyo es el reino</v>
      </c>
      <c r="N75" t="str">
        <v>En lo hondo</v>
      </c>
      <c r="T75" t="str">
        <v>Gracias, Madre</v>
      </c>
      <c r="Z75" t="str">
        <v>Hoy, Señor, me has vuelto a perdonar</v>
      </c>
      <c r="AG75" t="str">
        <v>Tu santa cruz</v>
      </c>
    </row>
    <row r="76" spans="4:33" x14ac:dyDescent="0.3">
      <c r="D76" t="str">
        <v>Es mi hermano</v>
      </c>
      <c r="M76" t="str">
        <v>Bendice, alma mía, al Señor</v>
      </c>
      <c r="N76" t="str">
        <v>Colombia</v>
      </c>
      <c r="T76" t="str">
        <v>Arcilla entre sus manos</v>
      </c>
      <c r="Z76" t="str">
        <v>Tanto amó Dios al mundo</v>
      </c>
      <c r="AG76" t="str">
        <v>Ven, Espíritu de Dios</v>
      </c>
    </row>
    <row r="77" spans="4:33" x14ac:dyDescent="0.3">
      <c r="D77" t="str">
        <v>Jesús</v>
      </c>
      <c r="M77" t="str">
        <v>Alégrate y goza, Jerusalén</v>
      </c>
      <c r="N77" t="str">
        <v>Vértigo</v>
      </c>
      <c r="T77" t="str">
        <v>Tú eres del Señor</v>
      </c>
      <c r="Z77" t="str">
        <v>Gloria, gloria, aleluya</v>
      </c>
      <c r="AG77" t="str">
        <v>El Señor es quien restaura</v>
      </c>
    </row>
    <row r="78" spans="4:33" x14ac:dyDescent="0.3">
      <c r="D78" t="str">
        <v>El Reino de Dios</v>
      </c>
      <c r="M78" t="str">
        <v>Te doy gracias, Señor</v>
      </c>
      <c r="N78" t="str">
        <v>Conciénciame</v>
      </c>
      <c r="T78" t="str">
        <v>Junto a ti, María</v>
      </c>
      <c r="Z78" t="str">
        <v>Nosotros venceremos</v>
      </c>
      <c r="AG78" t="str">
        <v>Tú, luz del mundo</v>
      </c>
    </row>
    <row r="79" spans="4:33" x14ac:dyDescent="0.3">
      <c r="D79" t="str">
        <v>Recibid mi Espíritu</v>
      </c>
      <c r="M79" t="str">
        <v>Aleluya, aleluya, aleluya</v>
      </c>
      <c r="N79" t="str">
        <v>Bendito</v>
      </c>
      <c r="T79" t="str">
        <v>Tú eres María</v>
      </c>
      <c r="Z79" t="str">
        <v>Quiero caminar contigo, María</v>
      </c>
      <c r="AG79" t="str">
        <v>Aleluya 11</v>
      </c>
    </row>
    <row r="80" spans="4:33" x14ac:dyDescent="0.3">
      <c r="D80" t="str">
        <v>Confía</v>
      </c>
      <c r="M80" t="str">
        <v>Alabad al Señor por su inmensa grandeza</v>
      </c>
      <c r="N80" t="str">
        <v>Arde (San José)</v>
      </c>
      <c r="T80" t="str">
        <v>Pregón Pascual (Aleluya)</v>
      </c>
      <c r="Z80" t="str">
        <v>Arriba nubes negras</v>
      </c>
      <c r="AG80" t="str">
        <v>Deja ahora</v>
      </c>
    </row>
    <row r="81" spans="4:33" x14ac:dyDescent="0.3">
      <c r="D81" t="str">
        <v>Como Tú</v>
      </c>
      <c r="M81" t="str">
        <v>Señor, tú has sido nuestro refugio</v>
      </c>
      <c r="N81" t="str">
        <v>Todos por todos</v>
      </c>
      <c r="T81" t="str">
        <v>Nacidos de mujer</v>
      </c>
      <c r="Z81" t="str">
        <v>De Jerusalén bajaba a Jericó</v>
      </c>
      <c r="AG81" t="str">
        <v>Dios es ternura</v>
      </c>
    </row>
    <row r="82" spans="4:33" x14ac:dyDescent="0.3">
      <c r="D82" t="str">
        <v>Pequeño Israel</v>
      </c>
      <c r="M82" t="str">
        <v>Cantaré eternamente</v>
      </c>
      <c r="N82" t="str">
        <v>Forofos</v>
      </c>
      <c r="T82" t="str">
        <v>Haced lo que Él os diga</v>
      </c>
      <c r="Z82" t="str">
        <v>Alza tu mano (Comunidad)</v>
      </c>
      <c r="AG82" t="str">
        <v>Dios te salve</v>
      </c>
    </row>
    <row r="83" spans="4:33" x14ac:dyDescent="0.3">
      <c r="D83" t="str">
        <v>Vivid en comunión</v>
      </c>
      <c r="M83" t="str">
        <v>Aclamad, justos, al Señor</v>
      </c>
      <c r="N83" t="str">
        <v>A ti te alabo</v>
      </c>
      <c r="T83" t="str">
        <v>En comunidad</v>
      </c>
      <c r="Z83" t="str">
        <v>Vivid la Navidad</v>
      </c>
      <c r="AG83" t="str">
        <v>Dios, muéstrame tu senda</v>
      </c>
    </row>
    <row r="84" spans="4:33" x14ac:dyDescent="0.3">
      <c r="D84" t="str">
        <v>Vengan a mí</v>
      </c>
      <c r="M84" t="str">
        <v>Ven a salvar a tu pueblo</v>
      </c>
      <c r="N84" t="str">
        <v>Los coros del universo</v>
      </c>
      <c r="T84" t="str">
        <v>Danos tu espíritu</v>
      </c>
      <c r="Z84" t="str">
        <v>Señor, ten piedad</v>
      </c>
      <c r="AG84" t="str">
        <v>Feliz quien se abandona</v>
      </c>
    </row>
    <row r="85" spans="4:33" x14ac:dyDescent="0.3">
      <c r="D85" t="str">
        <v>Os envío</v>
      </c>
      <c r="M85" t="str">
        <v>Si me falta el amor</v>
      </c>
      <c r="N85" t="str">
        <v>En medio del fuego</v>
      </c>
      <c r="T85" t="str">
        <v>Gloria (por María)</v>
      </c>
      <c r="Z85" t="str">
        <v>Un día abrí los ojos</v>
      </c>
      <c r="AG85" t="str">
        <v>Ten piedad, Señor 1</v>
      </c>
    </row>
    <row r="86" spans="4:33" x14ac:dyDescent="0.3">
      <c r="D86" t="str">
        <v>Fuego</v>
      </c>
      <c r="N86" t="str">
        <v>Aleluya</v>
      </c>
      <c r="T86" t="str">
        <v>Pequeño corazón</v>
      </c>
      <c r="Z86" t="str">
        <v>Victoria, tú reinarás</v>
      </c>
      <c r="AG86" t="str">
        <v>Un canto nuevo</v>
      </c>
    </row>
    <row r="87" spans="4:33" x14ac:dyDescent="0.3">
      <c r="D87" t="str">
        <v>Mujeres en camino</v>
      </c>
      <c r="N87" t="str">
        <v>Ruah</v>
      </c>
      <c r="T87" t="str">
        <v>Credo</v>
      </c>
      <c r="Z87" t="str">
        <v>En mi Getsemaní</v>
      </c>
      <c r="AG87" t="str">
        <v>Levanto mi alma</v>
      </c>
    </row>
    <row r="88" spans="4:33" x14ac:dyDescent="0.3">
      <c r="D88" t="str">
        <v>No temas</v>
      </c>
      <c r="N88" t="str">
        <v>Padre</v>
      </c>
      <c r="T88" t="str">
        <v>Creo en ti</v>
      </c>
      <c r="Z88" t="str">
        <v>Quiero ser pan</v>
      </c>
      <c r="AG88" t="str">
        <v>Misericordias Domini</v>
      </c>
    </row>
    <row r="89" spans="4:33" x14ac:dyDescent="0.3">
      <c r="D89" t="str">
        <v>Abre mis puertas</v>
      </c>
      <c r="N89" t="str">
        <v>Te alabaré</v>
      </c>
      <c r="T89" t="str">
        <v>A las tres de la tarde</v>
      </c>
      <c r="Z89" t="str">
        <v>Esto que te doy</v>
      </c>
      <c r="AG89" t="str">
        <v>Ubi caritas</v>
      </c>
    </row>
    <row r="90" spans="4:33" x14ac:dyDescent="0.3">
      <c r="D90" t="str">
        <v>Danos de beber</v>
      </c>
      <c r="N90" t="str">
        <v>Sanas</v>
      </c>
      <c r="T90" t="str">
        <v>Vino nuevo</v>
      </c>
      <c r="Z90" t="str">
        <v>Corazón inquieto</v>
      </c>
      <c r="AG90" t="str">
        <v>Aber du weisst den Weg für mich</v>
      </c>
    </row>
    <row r="91" spans="4:33" x14ac:dyDescent="0.3">
      <c r="D91" t="str">
        <v>Secuencia pascual</v>
      </c>
      <c r="N91" t="str">
        <v>Sólo Tú</v>
      </c>
      <c r="T91" t="str">
        <v>Te seguiré</v>
      </c>
      <c r="Z91" t="str">
        <v>Alma misionera</v>
      </c>
      <c r="AG91" t="str">
        <v>Behüte mich Gott</v>
      </c>
    </row>
    <row r="92" spans="4:33" x14ac:dyDescent="0.3">
      <c r="D92" t="str">
        <v>Sólo en Dios</v>
      </c>
      <c r="N92" t="str">
        <v>El único rey</v>
      </c>
      <c r="T92" t="str">
        <v>Un solo corazón</v>
      </c>
      <c r="Z92" t="str">
        <v>El que muere por mí</v>
      </c>
      <c r="AG92" t="str">
        <v>Bénissez le Seigneur</v>
      </c>
    </row>
    <row r="93" spans="4:33" x14ac:dyDescent="0.3">
      <c r="D93" t="str">
        <v>Cantad al Señor</v>
      </c>
      <c r="N93" t="str">
        <v>Hoy en Belén</v>
      </c>
      <c r="T93" t="str">
        <v>Cristo Señor</v>
      </c>
      <c r="Z93" t="str">
        <v>Quiero ser, oh, Señor</v>
      </c>
      <c r="AG93" t="str">
        <v>Despierta tú que duermes</v>
      </c>
    </row>
    <row r="94" spans="4:33" x14ac:dyDescent="0.3">
      <c r="D94" t="str">
        <v>Agua viva</v>
      </c>
      <c r="N94" t="str">
        <v>Lo imposible</v>
      </c>
      <c r="T94" t="str">
        <v>Tú serás mi hermano</v>
      </c>
      <c r="Z94" t="str">
        <v>El camino no lo haremos solos</v>
      </c>
      <c r="AG94" t="str">
        <v>Dieu ne peut que donner</v>
      </c>
    </row>
    <row r="95" spans="4:33" x14ac:dyDescent="0.3">
      <c r="D95" t="str">
        <v>Fuego y abrazo</v>
      </c>
      <c r="N95" t="str">
        <v>Del cielo</v>
      </c>
      <c r="T95" t="str">
        <v>Cristo</v>
      </c>
      <c r="Z95" t="str">
        <v>Yo te nombro, libertad</v>
      </c>
      <c r="AG95" t="str">
        <v>In manus tuas</v>
      </c>
    </row>
    <row r="96" spans="4:33" x14ac:dyDescent="0.3">
      <c r="D96" t="str">
        <v>Habitaré</v>
      </c>
      <c r="N96" t="str">
        <v>Juntos</v>
      </c>
      <c r="T96" t="str">
        <v>Allí estás tú</v>
      </c>
      <c r="Z96" t="str">
        <v>Tú eres capaz</v>
      </c>
      <c r="AG96" t="str">
        <v>In resurrectione tua</v>
      </c>
    </row>
    <row r="97" spans="4:33" x14ac:dyDescent="0.3">
      <c r="D97" t="str">
        <v>Discípulos</v>
      </c>
      <c r="T97" t="str">
        <v>Deja que en tu vida cante Él</v>
      </c>
      <c r="Z97" t="str">
        <v>Dame, Señor, un corazón feliz</v>
      </c>
      <c r="AG97" t="str">
        <v>Jesus, remember me</v>
      </c>
    </row>
    <row r="98" spans="4:33" x14ac:dyDescent="0.3">
      <c r="D98" t="str">
        <v>No os dejo solos</v>
      </c>
      <c r="T98" t="str">
        <v>Grito libertad</v>
      </c>
      <c r="Z98" t="str">
        <v>Como habían dicho los profetas</v>
      </c>
      <c r="AG98" t="str">
        <v>Jubilate coeli (canon)</v>
      </c>
    </row>
    <row r="99" spans="4:33" x14ac:dyDescent="0.3">
      <c r="D99" t="str">
        <v>Por amor a tu pueblo</v>
      </c>
      <c r="T99" t="str">
        <v>Sí, Jesús</v>
      </c>
      <c r="Z99" t="str">
        <v>Cantan los ángeles en Belén</v>
      </c>
      <c r="AG99" t="str">
        <v>Let all who are thirsty come</v>
      </c>
    </row>
    <row r="100" spans="4:33" x14ac:dyDescent="0.3">
      <c r="D100" t="str">
        <v>Llama de amor viva</v>
      </c>
      <c r="T100" t="str">
        <v>No temáis</v>
      </c>
      <c r="Z100" t="str">
        <v>Si cada noche fuera Nochebuena</v>
      </c>
      <c r="AG100" t="str">
        <v>Para mim, ser feliz</v>
      </c>
    </row>
    <row r="101" spans="4:33" x14ac:dyDescent="0.3">
      <c r="D101" t="str">
        <v>La piedra angular</v>
      </c>
      <c r="T101" t="str">
        <v>La libertad del Espíritu</v>
      </c>
      <c r="Z101" t="str">
        <v>Esto es Navidad</v>
      </c>
      <c r="AG101" t="str">
        <v>Surrexit Christus</v>
      </c>
    </row>
    <row r="102" spans="4:33" x14ac:dyDescent="0.3">
      <c r="D102" t="str">
        <v>Como pan pequeño</v>
      </c>
      <c r="T102" t="str">
        <v>Quéjate si puedes</v>
      </c>
      <c r="Z102" t="str">
        <v>María, mírame</v>
      </c>
      <c r="AG102" t="str">
        <v>Tu sei sorgente viva</v>
      </c>
    </row>
    <row r="103" spans="4:33" x14ac:dyDescent="0.3">
      <c r="D103" t="str">
        <v>En ti</v>
      </c>
      <c r="T103" t="str">
        <v>Lo entregaron todo</v>
      </c>
      <c r="Z103" t="str">
        <v>Alimento de amor (El loco)</v>
      </c>
      <c r="AG103" t="str">
        <v>Adoramus te O Christe</v>
      </c>
    </row>
    <row r="104" spans="4:33" x14ac:dyDescent="0.3">
      <c r="D104" t="str">
        <v>Ven, Señor</v>
      </c>
      <c r="T104" t="str">
        <v>Vale más hablar con Dios</v>
      </c>
      <c r="Z104" t="str">
        <v>Ven, si te has caído levántate</v>
      </c>
      <c r="AG104" t="str">
        <v>Eat this bread</v>
      </c>
    </row>
    <row r="105" spans="4:33" x14ac:dyDescent="0.3">
      <c r="D105" t="str">
        <v>Volemos</v>
      </c>
      <c r="T105" t="str">
        <v>De lo débil saca fuerzas Dios</v>
      </c>
      <c r="Z105" t="str">
        <v>Ven, Espíritu divino (Secuencia de Pentecostés)</v>
      </c>
      <c r="AG105" t="str">
        <v>Jesus Christ, bread of life</v>
      </c>
    </row>
    <row r="106" spans="4:33" x14ac:dyDescent="0.3">
      <c r="D106" t="str">
        <v>Yo soy</v>
      </c>
      <c r="T106" t="str">
        <v>Fueron valientes</v>
      </c>
      <c r="Z106" t="str">
        <v>Sigue habiendo</v>
      </c>
      <c r="AG106" t="str">
        <v>Spiritus Jesu Christi</v>
      </c>
    </row>
    <row r="107" spans="4:33" x14ac:dyDescent="0.3">
      <c r="D107" t="str">
        <v>A toda la tierra alcanza su pregón</v>
      </c>
      <c r="T107" t="str">
        <v>Te reclamarán la vida</v>
      </c>
      <c r="Z107" t="str">
        <v>Caminaré hoy en tu presencia</v>
      </c>
      <c r="AG107" t="str">
        <v>Tu palabra, Señor</v>
      </c>
    </row>
    <row r="108" spans="4:33" x14ac:dyDescent="0.3">
      <c r="D108" t="str">
        <v>Con amor eterno</v>
      </c>
      <c r="T108" t="str">
        <v>Esperad al Señor</v>
      </c>
      <c r="Z108" t="str">
        <v>Como sal, como luz</v>
      </c>
      <c r="AG108" t="str">
        <v>Alleluia 22</v>
      </c>
    </row>
    <row r="109" spans="4:33" x14ac:dyDescent="0.3">
      <c r="D109" t="str">
        <v>Lámpara es tu palabra</v>
      </c>
      <c r="T109" t="str">
        <v>Buena Madre</v>
      </c>
      <c r="Z109" t="str">
        <v>Muéveme mi Dios</v>
      </c>
      <c r="AG109" t="str">
        <v>Alleluia 94</v>
      </c>
    </row>
    <row r="110" spans="4:33" x14ac:dyDescent="0.3">
      <c r="D110" t="str">
        <v>Anunciarte</v>
      </c>
      <c r="T110" t="str">
        <v>Constrúyenos la casa</v>
      </c>
      <c r="Z110" t="str">
        <v>Aleluya por esa gente</v>
      </c>
      <c r="AG110" t="str">
        <v>Beati voi poveri</v>
      </c>
    </row>
    <row r="111" spans="4:33" x14ac:dyDescent="0.3">
      <c r="D111" t="str">
        <v>Invítanos</v>
      </c>
      <c r="T111" t="str">
        <v>Hermano entre los hombres</v>
      </c>
      <c r="Z111" t="str">
        <v>Santo (Olguín)</v>
      </c>
      <c r="AG111" t="str">
        <v>Dans nos obscurités</v>
      </c>
    </row>
    <row r="112" spans="4:33" x14ac:dyDescent="0.3">
      <c r="D112" t="str">
        <v>Hágase</v>
      </c>
      <c r="T112" t="str">
        <v>En torno al pan</v>
      </c>
      <c r="Z112" t="str">
        <v>No temas</v>
      </c>
      <c r="AG112" t="str">
        <v>Jubelt und freut euch</v>
      </c>
    </row>
    <row r="113" spans="4:33" x14ac:dyDescent="0.3">
      <c r="D113" t="str">
        <v>Creatura habitada</v>
      </c>
      <c r="T113" t="str">
        <v>Acuérdate, María</v>
      </c>
      <c r="Z113" t="str">
        <v>La cena del Señor</v>
      </c>
      <c r="AG113" t="str">
        <v>Staňte se solí</v>
      </c>
    </row>
    <row r="114" spans="4:33" x14ac:dyDescent="0.3">
      <c r="D114" t="str">
        <v>El hombre de Gerasa</v>
      </c>
      <c r="T114" t="str">
        <v>Hermano, adiós</v>
      </c>
      <c r="Z114" t="str">
        <v>Tus manos son palomas de la paz</v>
      </c>
      <c r="AG114" t="str">
        <v>Surrexit Dominus vere (canon)</v>
      </c>
    </row>
    <row r="115" spans="4:33" x14ac:dyDescent="0.3">
      <c r="D115" t="str">
        <v>Llueve Tú</v>
      </c>
      <c r="T115" t="str">
        <v>En tu cruz sigues hoy</v>
      </c>
      <c r="Z115" t="str">
        <v>Himno a San José</v>
      </c>
      <c r="AG115" t="str">
        <v>Bleibet hier</v>
      </c>
    </row>
    <row r="116" spans="4:33" x14ac:dyDescent="0.3">
      <c r="D116" t="str">
        <v>Benedictus</v>
      </c>
      <c r="T116" t="str">
        <v>En la cruz nos das la vida</v>
      </c>
      <c r="Z116" t="str">
        <v>Navidad, Navidad</v>
      </c>
      <c r="AG116" t="str">
        <v>Bless the Lord</v>
      </c>
    </row>
    <row r="117" spans="4:33" x14ac:dyDescent="0.3">
      <c r="D117" t="str">
        <v>Heme aquí</v>
      </c>
      <c r="T117" t="str">
        <v>Siento tu llamada</v>
      </c>
      <c r="Z117" t="str">
        <v>Navidad, es Navidad</v>
      </c>
      <c r="AG117" t="str">
        <v>Bonum est confidere</v>
      </c>
    </row>
    <row r="118" spans="4:33" x14ac:dyDescent="0.3">
      <c r="T118" t="str">
        <v>El Señor es la esperanza</v>
      </c>
      <c r="Z118" t="str">
        <v>Principio y fundamento</v>
      </c>
      <c r="AG118" t="str">
        <v>Christe Salvator</v>
      </c>
    </row>
    <row r="119" spans="4:33" x14ac:dyDescent="0.3">
      <c r="T119" t="str">
        <v>El Señor está aquí</v>
      </c>
      <c r="Z119" t="str">
        <v>Alegrémonos, hermanos</v>
      </c>
      <c r="AG119" t="str">
        <v>Da pacem cordium (canon)</v>
      </c>
    </row>
    <row r="120" spans="4:33" x14ac:dyDescent="0.3">
      <c r="T120" t="str">
        <v>Caminad</v>
      </c>
      <c r="Z120" t="str">
        <v>Juntos cantemos hoy</v>
      </c>
      <c r="AG120" t="str">
        <v>Dominus spiritus est</v>
      </c>
    </row>
    <row r="121" spans="4:33" x14ac:dyDescent="0.3">
      <c r="T121" t="str">
        <v>Acógeme, Dios</v>
      </c>
      <c r="Z121" t="str">
        <v>Jesús, nuestra Pascua</v>
      </c>
      <c r="AG121" t="str">
        <v>El Senyor</v>
      </c>
    </row>
    <row r="122" spans="4:33" x14ac:dyDescent="0.3">
      <c r="T122" t="str">
        <v>María, madre del dolor</v>
      </c>
      <c r="Z122" t="str">
        <v>Ayúdame a caminar</v>
      </c>
      <c r="AG122" t="str">
        <v>Jésus le Christ</v>
      </c>
    </row>
    <row r="123" spans="4:33" x14ac:dyDescent="0.3">
      <c r="T123" t="str">
        <v>El Señor nos ha reunido</v>
      </c>
      <c r="Z123" t="str">
        <v>La palabra nos la dio el Señor</v>
      </c>
      <c r="AG123" t="str">
        <v>Kyrie 20</v>
      </c>
    </row>
    <row r="124" spans="4:33" x14ac:dyDescent="0.3">
      <c r="T124" t="str">
        <v>Llama de vida</v>
      </c>
      <c r="Z124" t="str">
        <v>Alabad al Señor en su templo</v>
      </c>
      <c r="AG124" t="str">
        <v>Kyrie 8</v>
      </c>
    </row>
    <row r="125" spans="4:33" x14ac:dyDescent="0.3">
      <c r="T125" t="str">
        <v>Venga tu reino</v>
      </c>
      <c r="Z125" t="str">
        <v>Lámpara es tu palabra</v>
      </c>
      <c r="AG125" t="str">
        <v>Per crucem</v>
      </c>
    </row>
    <row r="126" spans="4:33" x14ac:dyDescent="0.3">
      <c r="T126" t="str">
        <v>Pregón Pascual (Gloria)</v>
      </c>
      <c r="Z126" t="str">
        <v>Oh, Dios, tú eres mi Dios (Sed de Dios)</v>
      </c>
      <c r="AG126" t="str">
        <v>Sanasi on lamppu</v>
      </c>
    </row>
    <row r="127" spans="4:33" x14ac:dyDescent="0.3">
      <c r="T127" t="str">
        <v>Mirad, Jesús resucita hoy</v>
      </c>
      <c r="Z127" t="str">
        <v>Resucitó, aleluya</v>
      </c>
      <c r="AG127" t="str">
        <v>Voici Dieu qui vient à mon secours</v>
      </c>
    </row>
    <row r="128" spans="4:33" x14ac:dyDescent="0.3">
      <c r="T128" t="str">
        <v>Somos testigos</v>
      </c>
      <c r="Z128" t="str">
        <v>Fe no es aguardar</v>
      </c>
      <c r="AG128" t="str">
        <v>Zu wem sollen wir gehen</v>
      </c>
    </row>
    <row r="129" spans="20:33" x14ac:dyDescent="0.3">
      <c r="T129" t="str">
        <v>Tu camino y tu verdad</v>
      </c>
      <c r="Z129" t="str">
        <v>Acuérdate de Jesucristo</v>
      </c>
      <c r="AG129" t="str">
        <v>Da pacem... in diebus</v>
      </c>
    </row>
    <row r="130" spans="20:33" x14ac:dyDescent="0.3">
      <c r="T130" t="str">
        <v>Seguir amando</v>
      </c>
      <c r="Z130" t="str">
        <v>Anunciaremos tu Reino, Señor</v>
      </c>
      <c r="AG130" t="str">
        <v>L’ajuda em vindrà</v>
      </c>
    </row>
    <row r="131" spans="20:33" x14ac:dyDescent="0.3">
      <c r="T131" t="str">
        <v>Y se vive la vida</v>
      </c>
      <c r="Z131" t="str">
        <v>Oh, Señor, envía tu Espíritu</v>
      </c>
      <c r="AG131" t="str">
        <v>Alleluia 17</v>
      </c>
    </row>
    <row r="132" spans="20:33" x14ac:dyDescent="0.3">
      <c r="T132" t="str">
        <v>Jesús, cámbianos</v>
      </c>
      <c r="Z132" t="str">
        <v>Un solo Señor</v>
      </c>
      <c r="AG132" t="str">
        <v>Alleluia 96</v>
      </c>
    </row>
    <row r="133" spans="20:33" x14ac:dyDescent="0.3">
      <c r="T133" t="str">
        <v>Como María</v>
      </c>
      <c r="Z133" t="str">
        <v>Sois la sal</v>
      </c>
      <c r="AG133" t="str">
        <v>Alleluia 97</v>
      </c>
    </row>
    <row r="134" spans="20:33" x14ac:dyDescent="0.3">
      <c r="T134" t="str">
        <v>Nos marca el caminar</v>
      </c>
      <c r="Z134" t="str">
        <v>Amando hasta el extremo</v>
      </c>
      <c r="AG134" t="str">
        <v>Cantarei ao Senhor</v>
      </c>
    </row>
    <row r="135" spans="20:33" x14ac:dyDescent="0.3">
      <c r="T135" t="str">
        <v>Soy mujer</v>
      </c>
      <c r="Z135" t="str">
        <v>Jesús, amigo</v>
      </c>
      <c r="AG135" t="str">
        <v>Deus, Deus meus (canon)</v>
      </c>
    </row>
    <row r="136" spans="20:33" x14ac:dyDescent="0.3">
      <c r="T136" t="str">
        <v>En ti solo descanso</v>
      </c>
      <c r="Z136" t="str">
        <v>Te amo, Señor</v>
      </c>
      <c r="AG136" t="str">
        <v>Dona la pace</v>
      </c>
    </row>
    <row r="137" spans="20:33" x14ac:dyDescent="0.3">
      <c r="T137" t="str">
        <v>Dios de la vida</v>
      </c>
      <c r="Z137" t="str">
        <v>Quién nos separará</v>
      </c>
      <c r="AG137" t="str">
        <v>Dona nobis pacem</v>
      </c>
    </row>
    <row r="138" spans="20:33" x14ac:dyDescent="0.3">
      <c r="T138" t="str">
        <v>Sueña</v>
      </c>
      <c r="Z138" t="str">
        <v>Adiós, adiós amigos</v>
      </c>
      <c r="AG138" t="str">
        <v>El alma que anda en amor</v>
      </c>
    </row>
    <row r="139" spans="20:33" x14ac:dyDescent="0.3">
      <c r="T139" t="str">
        <v>Paz en la tierra</v>
      </c>
      <c r="Z139" t="str">
        <v>Hágase</v>
      </c>
      <c r="AG139" t="str">
        <v>Esprit consolateur</v>
      </c>
    </row>
    <row r="140" spans="20:33" x14ac:dyDescent="0.3">
      <c r="T140" t="str">
        <v>Me estás llamando</v>
      </c>
      <c r="Z140" t="str">
        <v>No se cansó de hacer el bien</v>
      </c>
      <c r="AG140" t="str">
        <v>Jésus, ma joie</v>
      </c>
    </row>
    <row r="141" spans="20:33" x14ac:dyDescent="0.3">
      <c r="T141" t="str">
        <v>Todo mi ser (Alabo tu bondad)</v>
      </c>
      <c r="Z141" t="str">
        <v>María de Nazaret</v>
      </c>
      <c r="AG141" t="str">
        <v>Kyrie 6</v>
      </c>
    </row>
    <row r="142" spans="20:33" x14ac:dyDescent="0.3">
      <c r="T142" t="str">
        <v>Tocaré para ti</v>
      </c>
      <c r="Z142" t="str">
        <v>Yendo contigo</v>
      </c>
      <c r="AG142" t="str">
        <v>Laudate Dominum</v>
      </c>
    </row>
    <row r="143" spans="20:33" x14ac:dyDescent="0.3">
      <c r="T143" t="str">
        <v>El amor es nuestro canto</v>
      </c>
      <c r="Z143" t="str">
        <v>Creo, Señor, firmemente</v>
      </c>
      <c r="AG143" t="str">
        <v>Psallite Deo</v>
      </c>
    </row>
    <row r="144" spans="20:33" x14ac:dyDescent="0.3">
      <c r="T144" t="str">
        <v>Enséñanos a orar</v>
      </c>
      <c r="Z144" t="str">
        <v>No hay cosa más bonita que mirar</v>
      </c>
      <c r="AG144" t="str">
        <v>I am sure I shall see</v>
      </c>
    </row>
    <row r="145" spans="20:33" x14ac:dyDescent="0.3">
      <c r="T145" t="str">
        <v>Tú, Señor</v>
      </c>
      <c r="Z145" t="str">
        <v>Santo salvadoreño</v>
      </c>
      <c r="AG145" t="str">
        <v>Jubilate Deo</v>
      </c>
    </row>
    <row r="146" spans="20:33" x14ac:dyDescent="0.3">
      <c r="T146" t="str">
        <v>Esperando con María</v>
      </c>
      <c r="Z146" t="str">
        <v>Vamos todos al banquete</v>
      </c>
      <c r="AG146" t="str">
        <v>V tebi je izvir življenja</v>
      </c>
    </row>
    <row r="147" spans="20:33" x14ac:dyDescent="0.3">
      <c r="Z147" t="str">
        <v>Cordero de Dios (MiEs)</v>
      </c>
      <c r="AG147" t="str">
        <v>Vieni Spirito creatore (canon)</v>
      </c>
    </row>
    <row r="148" spans="20:33" x14ac:dyDescent="0.3">
      <c r="Z148" t="str">
        <v>Santo (Mocedades)</v>
      </c>
      <c r="AG148" t="str">
        <v>Wysławiajcie Pana</v>
      </c>
    </row>
    <row r="149" spans="20:33" x14ac:dyDescent="0.3">
      <c r="Z149" t="str">
        <v>Aleluya (Santiago)</v>
      </c>
      <c r="AG149" t="str">
        <v>Alleluia 7</v>
      </c>
    </row>
    <row r="150" spans="20:33" x14ac:dyDescent="0.3">
      <c r="Z150" t="str">
        <v>Una voz clama en el desierto</v>
      </c>
      <c r="AG150" t="str">
        <v>Benedictus qui venit (canon)</v>
      </c>
    </row>
    <row r="151" spans="20:33" x14ac:dyDescent="0.3">
      <c r="Z151" t="str">
        <v>Gritad que Dios es grande</v>
      </c>
      <c r="AG151" t="str">
        <v>Crucem tuam</v>
      </c>
    </row>
    <row r="152" spans="20:33" x14ac:dyDescent="0.3">
      <c r="Z152" t="str">
        <v>La noticia es amor</v>
      </c>
      <c r="AG152" t="str">
        <v>Iedere nacht verlang ik</v>
      </c>
    </row>
    <row r="153" spans="20:33" x14ac:dyDescent="0.3">
      <c r="Z153" t="str">
        <v>Juntos nos acercamos</v>
      </c>
      <c r="AG153" t="str">
        <v>Señor, que florezca tu justicia</v>
      </c>
    </row>
    <row r="154" spans="20:33" x14ac:dyDescent="0.3">
      <c r="Z154" t="str">
        <v>Aquí tienes el Pan</v>
      </c>
      <c r="AG154" t="str">
        <v>The kingdom of God</v>
      </c>
    </row>
    <row r="155" spans="20:33" x14ac:dyDescent="0.3">
      <c r="Z155" t="str">
        <v>Hay un corazón que late</v>
      </c>
      <c r="AG155" t="str">
        <v>Tui amoris</v>
      </c>
    </row>
    <row r="156" spans="20:33" x14ac:dyDescent="0.3">
      <c r="Z156" t="str">
        <v>Adorando</v>
      </c>
      <c r="AG156" t="str">
        <v>Christe, lux mundi</v>
      </c>
    </row>
    <row r="157" spans="20:33" x14ac:dyDescent="0.3">
      <c r="Z157" t="str">
        <v>Padre nuestro zaragozano</v>
      </c>
      <c r="AG157" t="str">
        <v>Il Signore ti ristora</v>
      </c>
    </row>
    <row r="158" spans="20:33" x14ac:dyDescent="0.3">
      <c r="Z158" t="str">
        <v>A ti acudo</v>
      </c>
      <c r="AG158" t="str">
        <v>Alleluia 11</v>
      </c>
    </row>
    <row r="159" spans="20:33" x14ac:dyDescent="0.3">
      <c r="Z159" t="str">
        <v>Cantad a Dios</v>
      </c>
      <c r="AG159" t="str">
        <v>Bóg jest miłością</v>
      </c>
    </row>
    <row r="160" spans="20:33" x14ac:dyDescent="0.3">
      <c r="Z160" t="str">
        <v>María, fuiste siempre pobre de Yahvé</v>
      </c>
      <c r="AG160" t="str">
        <v>Bogoroditse Dievo 1</v>
      </c>
    </row>
    <row r="161" spans="26:33" x14ac:dyDescent="0.3">
      <c r="Z161" t="str">
        <v>Nacerá una nueva hermandad</v>
      </c>
      <c r="AG161" t="str">
        <v>Cantate Domino canticum novum</v>
      </c>
    </row>
    <row r="162" spans="26:33" x14ac:dyDescent="0.3">
      <c r="Z162" t="str">
        <v>A ti que eres el signo</v>
      </c>
      <c r="AG162" t="str">
        <v>Herre, visa mig vägen</v>
      </c>
    </row>
    <row r="163" spans="26:33" x14ac:dyDescent="0.3">
      <c r="Z163" t="str">
        <v>Como lo había anunciado</v>
      </c>
      <c r="AG163" t="str">
        <v>Heureux qui s’abandonne à toi</v>
      </c>
    </row>
    <row r="164" spans="26:33" x14ac:dyDescent="0.3">
      <c r="Z164" t="str">
        <v>María, guardabas todo</v>
      </c>
      <c r="AG164" t="str">
        <v>Kyrie 1</v>
      </c>
    </row>
    <row r="165" spans="26:33" x14ac:dyDescent="0.3">
      <c r="Z165" t="str">
        <v>Gracias, Señor</v>
      </c>
      <c r="AG165" t="str">
        <v>Nunc dimittis</v>
      </c>
    </row>
    <row r="166" spans="26:33" x14ac:dyDescent="0.3">
      <c r="Z166" t="str">
        <v>Dime cómo ser pan</v>
      </c>
      <c r="AG166" t="str">
        <v>Ad te Jesu Christe</v>
      </c>
    </row>
    <row r="167" spans="26:33" x14ac:dyDescent="0.3">
      <c r="Z167" t="str">
        <v>Cerca de Ti, Señor</v>
      </c>
    </row>
    <row r="168" spans="26:33" x14ac:dyDescent="0.3">
      <c r="Z168" t="str">
        <v>Quiero caminar</v>
      </c>
    </row>
    <row r="169" spans="26:33" x14ac:dyDescent="0.3">
      <c r="Z169" t="str">
        <v>Santo (The Beatles)</v>
      </c>
    </row>
    <row r="170" spans="26:33" x14ac:dyDescent="0.3">
      <c r="Z170" t="str">
        <v>Junto a ti al caer de la tarde</v>
      </c>
    </row>
    <row r="171" spans="26:33" x14ac:dyDescent="0.3">
      <c r="Z171" t="str">
        <v>Cordero de Dios (Aragüés)</v>
      </c>
    </row>
    <row r="172" spans="26:33" x14ac:dyDescent="0.3">
      <c r="Z172" t="str">
        <v>A dónde me queréis llevar</v>
      </c>
    </row>
    <row r="173" spans="26:33" x14ac:dyDescent="0.3">
      <c r="Z173" t="str">
        <v>Algo nuevo</v>
      </c>
    </row>
    <row r="174" spans="26:33" x14ac:dyDescent="0.3">
      <c r="Z174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2146</v>
      </c>
      <c r="D1" t="s">
        <v>1930</v>
      </c>
      <c r="E1" t="s">
        <v>2134</v>
      </c>
      <c r="F1" t="s">
        <v>2125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2138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2140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2137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2141</v>
      </c>
      <c r="E7" t="s">
        <v>2135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2406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2400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2393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2943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2503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6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5" priority="1" operator="containsText" text="X">
      <formula>NOT(ISERROR(SEARCH("X",J1)))</formula>
    </cfRule>
    <cfRule type="containsText" dxfId="4" priority="2" operator="containsText" text="JJ">
      <formula>NOT(ISERROR(SEARCH("JJ",J1)))</formula>
    </cfRule>
    <cfRule type="containsText" dxfId="3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2026-08-03T19:57:35Z</dcterms:modified>
</cp:coreProperties>
</file>