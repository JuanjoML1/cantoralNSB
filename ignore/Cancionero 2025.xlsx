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B80EE281-1FAB-435D-B269-FBCE0233D976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0" i="2" l="1"/>
  <c r="A191" i="2"/>
  <c r="A192" i="2"/>
  <c r="A194" i="2"/>
  <c r="A170" i="2"/>
  <c r="A171" i="2"/>
  <c r="A172" i="2"/>
  <c r="A173" i="2"/>
  <c r="A175" i="2"/>
  <c r="A176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368" i="2"/>
  <c r="A369" i="2"/>
  <c r="A370" i="2"/>
  <c r="A371" i="2"/>
  <c r="A372" i="2"/>
  <c r="A374" i="2"/>
  <c r="A376" i="2"/>
  <c r="A367" i="2"/>
  <c r="A365" i="2"/>
  <c r="A357" i="2"/>
  <c r="A358" i="2"/>
  <c r="A359" i="2"/>
  <c r="A360" i="2"/>
  <c r="A361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40" i="2"/>
  <c r="A332" i="2"/>
  <c r="A333" i="2"/>
  <c r="A334" i="2"/>
  <c r="A335" i="2"/>
  <c r="A336" i="2"/>
  <c r="A337" i="2"/>
  <c r="A338" i="2"/>
  <c r="A339" i="2"/>
  <c r="A331" i="2"/>
  <c r="A321" i="2"/>
  <c r="A322" i="2"/>
  <c r="A323" i="2"/>
  <c r="A324" i="2"/>
  <c r="A325" i="2"/>
  <c r="A326" i="2"/>
  <c r="A327" i="2"/>
  <c r="A328" i="2"/>
  <c r="A329" i="2"/>
  <c r="A330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1670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U7" i="4"/>
  <c r="A2065" i="2" l="1"/>
  <c r="A1971" i="2"/>
  <c r="A1975" i="2"/>
  <c r="A1976" i="2"/>
  <c r="A1977" i="2"/>
  <c r="A1967" i="2"/>
  <c r="A1968" i="2"/>
  <c r="A2004" i="2"/>
  <c r="A1995" i="2"/>
  <c r="A1998" i="2"/>
  <c r="A2000" i="2"/>
  <c r="A2001" i="2"/>
  <c r="A2003" i="2"/>
  <c r="A2031" i="2"/>
  <c r="A2030" i="2"/>
  <c r="A2038" i="2"/>
  <c r="A2039" i="2"/>
  <c r="A2105" i="2"/>
  <c r="Q2105" i="2" a="1"/>
  <c r="Q2105" i="2" s="1"/>
  <c r="S2105" i="2" s="1"/>
  <c r="W2105" i="2" s="1"/>
  <c r="X2105" i="2" s="1"/>
  <c r="R2105" i="2" a="1"/>
  <c r="R2105" i="2" s="1"/>
  <c r="A2035" i="2"/>
  <c r="A2034" i="2"/>
  <c r="A2028" i="2"/>
  <c r="A2027" i="2"/>
  <c r="A2024" i="2"/>
  <c r="A2023" i="2"/>
  <c r="A2021" i="2"/>
  <c r="A2020" i="2"/>
  <c r="A2019" i="2"/>
  <c r="A2017" i="2"/>
  <c r="A2016" i="2"/>
  <c r="A2058" i="2"/>
  <c r="A1966" i="2"/>
  <c r="A1965" i="2"/>
  <c r="A1962" i="2"/>
  <c r="A1961" i="2"/>
  <c r="A1958" i="2"/>
  <c r="A1957" i="2"/>
  <c r="A1956" i="2"/>
  <c r="A1954" i="2"/>
  <c r="A1951" i="2"/>
  <c r="A2009" i="2"/>
  <c r="A2102" i="2"/>
  <c r="A2100" i="2"/>
  <c r="A2099" i="2"/>
  <c r="A2094" i="2"/>
  <c r="A2093" i="2"/>
  <c r="A2089" i="2"/>
  <c r="A2086" i="2"/>
  <c r="A2068" i="2"/>
  <c r="A2066" i="2"/>
  <c r="A2067" i="2"/>
  <c r="A2064" i="2"/>
  <c r="A2063" i="2"/>
  <c r="A2062" i="2"/>
  <c r="A2061" i="2"/>
  <c r="A2059" i="2"/>
  <c r="A2057" i="2"/>
  <c r="A2056" i="2"/>
  <c r="A2054" i="2"/>
  <c r="A2085" i="2"/>
  <c r="A2082" i="2"/>
  <c r="A2081" i="2"/>
  <c r="A2080" i="2"/>
  <c r="A2079" i="2"/>
  <c r="A2078" i="2"/>
  <c r="A2077" i="2"/>
  <c r="A2075" i="2"/>
  <c r="A2071" i="2"/>
  <c r="A2070" i="2"/>
  <c r="A2069" i="2"/>
  <c r="A1993" i="2"/>
  <c r="A1992" i="2"/>
  <c r="A1990" i="2"/>
  <c r="A1989" i="2"/>
  <c r="A1988" i="2"/>
  <c r="A1984" i="2"/>
  <c r="A1983" i="2"/>
  <c r="A1982" i="2"/>
  <c r="A1981" i="2"/>
  <c r="A1980" i="2"/>
  <c r="A1979" i="2"/>
  <c r="A1949" i="2"/>
  <c r="A1944" i="2"/>
  <c r="A1943" i="2"/>
  <c r="A1941" i="2"/>
  <c r="A2050" i="2"/>
  <c r="A2048" i="2"/>
  <c r="A2045" i="2"/>
  <c r="A2043" i="2"/>
  <c r="A2042" i="2"/>
  <c r="A2040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32" i="2"/>
  <c r="A733" i="2"/>
  <c r="A735" i="2"/>
  <c r="A736" i="2"/>
  <c r="A737" i="2"/>
  <c r="A738" i="2"/>
  <c r="A739" i="2"/>
  <c r="A740" i="2"/>
  <c r="A741" i="2"/>
  <c r="A743" i="2"/>
  <c r="A744" i="2"/>
  <c r="A745" i="2"/>
  <c r="A746" i="2"/>
  <c r="A747" i="2"/>
  <c r="A748" i="2"/>
  <c r="A749" i="2"/>
  <c r="A750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693" i="2" l="1"/>
  <c r="A694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31" i="2"/>
  <c r="A730" i="2"/>
  <c r="A687" i="2"/>
  <c r="A697" i="2"/>
  <c r="A698" i="2"/>
  <c r="A695" i="2"/>
  <c r="A696" i="2"/>
  <c r="A688" i="2"/>
  <c r="A689" i="2"/>
  <c r="A691" i="2"/>
  <c r="A692" i="2"/>
  <c r="A760" i="2"/>
  <c r="A761" i="2"/>
  <c r="A762" i="2"/>
  <c r="A753" i="2"/>
  <c r="A754" i="2"/>
  <c r="A758" i="2"/>
  <c r="A755" i="2"/>
  <c r="A756" i="2"/>
  <c r="A757" i="2"/>
  <c r="A678" i="2"/>
  <c r="A679" i="2"/>
  <c r="A703" i="2"/>
  <c r="A702" i="2"/>
  <c r="A680" i="2"/>
  <c r="A681" i="2"/>
  <c r="A682" i="2"/>
  <c r="A683" i="2"/>
  <c r="A701" i="2"/>
  <c r="A699" i="2"/>
  <c r="A700" i="2"/>
  <c r="A684" i="2"/>
  <c r="A685" i="2"/>
  <c r="A686" i="2"/>
  <c r="A657" i="2"/>
  <c r="A676" i="2"/>
  <c r="A677" i="2"/>
  <c r="A673" i="2"/>
  <c r="A674" i="2"/>
  <c r="A675" i="2"/>
  <c r="A658" i="2"/>
  <c r="A659" i="2"/>
  <c r="A660" i="2"/>
  <c r="A661" i="2"/>
  <c r="A670" i="2"/>
  <c r="A671" i="2"/>
  <c r="A672" i="2"/>
  <c r="A669" i="2"/>
  <c r="A662" i="2"/>
  <c r="A663" i="2"/>
  <c r="A664" i="2"/>
  <c r="A665" i="2"/>
  <c r="A666" i="2"/>
  <c r="A667" i="2"/>
  <c r="A668" i="2"/>
  <c r="A769" i="2"/>
  <c r="A770" i="2"/>
  <c r="A767" i="2"/>
  <c r="A751" i="2"/>
  <c r="A752" i="2"/>
  <c r="A763" i="2"/>
  <c r="A764" i="2"/>
  <c r="A765" i="2"/>
  <c r="A766" i="2"/>
  <c r="A759" i="2"/>
  <c r="A833" i="2"/>
  <c r="A834" i="2"/>
  <c r="A835" i="2"/>
  <c r="A836" i="2"/>
  <c r="A837" i="2"/>
  <c r="A838" i="2"/>
  <c r="A839" i="2"/>
  <c r="A840" i="2"/>
  <c r="A841" i="2"/>
  <c r="A842" i="2"/>
  <c r="A806" i="2" l="1"/>
  <c r="A807" i="2"/>
  <c r="A808" i="2"/>
  <c r="A809" i="2"/>
  <c r="A810" i="2"/>
  <c r="A811" i="2"/>
  <c r="A812" i="2"/>
  <c r="A813" i="2"/>
  <c r="A814" i="2"/>
  <c r="A815" i="2"/>
  <c r="A816" i="2"/>
  <c r="A843" i="2"/>
  <c r="A844" i="2"/>
  <c r="A845" i="2"/>
  <c r="A846" i="2"/>
  <c r="A847" i="2"/>
  <c r="A848" i="2"/>
  <c r="A655" i="2"/>
  <c r="A656" i="2"/>
  <c r="A793" i="2" l="1"/>
  <c r="A794" i="2"/>
  <c r="A829" i="2"/>
  <c r="A830" i="2"/>
  <c r="A831" i="2"/>
  <c r="A832" i="2"/>
  <c r="A795" i="2"/>
  <c r="A796" i="2"/>
  <c r="A797" i="2"/>
  <c r="A798" i="2"/>
  <c r="A799" i="2"/>
  <c r="A800" i="2"/>
  <c r="A801" i="2"/>
  <c r="A802" i="2"/>
  <c r="A803" i="2"/>
  <c r="A804" i="2"/>
  <c r="A805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772" i="2"/>
  <c r="A771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1585" i="2" l="1"/>
  <c r="A1688" i="2" l="1"/>
  <c r="A1689" i="2"/>
  <c r="Q1879" i="2" a="1"/>
  <c r="Q1879" i="2" s="1"/>
  <c r="S1879" i="2" s="1"/>
  <c r="W1879" i="2" s="1"/>
  <c r="Q2022" i="2" a="1"/>
  <c r="Q2022" i="2" s="1"/>
  <c r="S2022" i="2" s="1"/>
  <c r="W2022" i="2" s="1"/>
  <c r="Q2013" i="2" a="1"/>
  <c r="Q2013" i="2" s="1"/>
  <c r="S2013" i="2" s="1"/>
  <c r="W2013" i="2" s="1"/>
  <c r="Q1950" i="2" a="1"/>
  <c r="Q1950" i="2" s="1"/>
  <c r="S1950" i="2" s="1"/>
  <c r="W1950" i="2" s="1"/>
  <c r="Q1915" i="2" a="1"/>
  <c r="Q1915" i="2" s="1"/>
  <c r="S1915" i="2" s="1"/>
  <c r="W1915" i="2" s="1"/>
  <c r="Q1931" i="2" a="1"/>
  <c r="Q1931" i="2" s="1"/>
  <c r="S1931" i="2" s="1"/>
  <c r="W1931" i="2" s="1"/>
  <c r="Q1885" i="2" a="1"/>
  <c r="Q1885" i="2" s="1"/>
  <c r="S1885" i="2" s="1"/>
  <c r="W1885" i="2" s="1"/>
  <c r="Q1927" i="2" a="1"/>
  <c r="Q1927" i="2" s="1"/>
  <c r="S1927" i="2" s="1"/>
  <c r="W1927" i="2" s="1"/>
  <c r="Q1860" i="2" a="1"/>
  <c r="Q1860" i="2" s="1"/>
  <c r="S1860" i="2" s="1"/>
  <c r="W1860" i="2" s="1"/>
  <c r="Q1903" i="2" a="1"/>
  <c r="Q1903" i="2" s="1"/>
  <c r="S1903" i="2" s="1"/>
  <c r="W1903" i="2" s="1"/>
  <c r="Q1897" i="2" a="1"/>
  <c r="Q1897" i="2" s="1"/>
  <c r="S1897" i="2" s="1"/>
  <c r="W1897" i="2" s="1"/>
  <c r="Q1910" i="2" a="1"/>
  <c r="Q1910" i="2" s="1"/>
  <c r="S1910" i="2" s="1"/>
  <c r="W1910" i="2" s="1"/>
  <c r="Q1932" i="2" a="1"/>
  <c r="Q1932" i="2" s="1"/>
  <c r="S1932" i="2" s="1"/>
  <c r="W1932" i="2" s="1"/>
  <c r="Q1930" i="2" a="1"/>
  <c r="Q1930" i="2" s="1"/>
  <c r="S1930" i="2" s="1"/>
  <c r="W1930" i="2" s="1"/>
  <c r="Q1933" i="2" a="1"/>
  <c r="Q1933" i="2" s="1"/>
  <c r="S1933" i="2" s="1"/>
  <c r="W1933" i="2" s="1"/>
  <c r="Q1938" i="2" a="1"/>
  <c r="Q1938" i="2" s="1"/>
  <c r="S1938" i="2" s="1"/>
  <c r="W1938" i="2" s="1"/>
  <c r="Q2033" i="2" a="1"/>
  <c r="Q2033" i="2" s="1"/>
  <c r="S2033" i="2" s="1"/>
  <c r="W2033" i="2" s="1"/>
  <c r="Q2015" i="2" a="1"/>
  <c r="Q2015" i="2" s="1"/>
  <c r="S2015" i="2" s="1"/>
  <c r="W2015" i="2" s="1"/>
  <c r="Q2051" i="2" a="1"/>
  <c r="Q2051" i="2" s="1"/>
  <c r="S2051" i="2" s="1"/>
  <c r="W2051" i="2" s="1"/>
  <c r="Q2103" i="2" a="1"/>
  <c r="Q2103" i="2" s="1"/>
  <c r="S2103" i="2" s="1"/>
  <c r="W2103" i="2" s="1"/>
  <c r="Q2106" i="2" a="1"/>
  <c r="Q2106" i="2" s="1"/>
  <c r="S2106" i="2" s="1"/>
  <c r="W2106" i="2" s="1"/>
  <c r="Q2092" i="2" a="1"/>
  <c r="Q2092" i="2" s="1"/>
  <c r="S2092" i="2" s="1"/>
  <c r="W2092" i="2" s="1"/>
  <c r="Q1953" i="2" a="1"/>
  <c r="Q1953" i="2" s="1"/>
  <c r="S1953" i="2" s="1"/>
  <c r="W1953" i="2" s="1"/>
  <c r="Q1882" i="2" a="1"/>
  <c r="Q1882" i="2" s="1"/>
  <c r="S1882" i="2" s="1"/>
  <c r="W1882" i="2" s="1"/>
  <c r="Q1893" i="2" a="1"/>
  <c r="Q1893" i="2" s="1"/>
  <c r="S1893" i="2" s="1"/>
  <c r="W1893" i="2" s="1"/>
  <c r="Q2011" i="2" a="1"/>
  <c r="Q2011" i="2" s="1"/>
  <c r="S2011" i="2" s="1"/>
  <c r="W2011" i="2" s="1"/>
  <c r="Q1987" i="2" a="1"/>
  <c r="Q1987" i="2" s="1"/>
  <c r="S1987" i="2" s="1"/>
  <c r="W1987" i="2" s="1"/>
  <c r="Q2046" i="2" a="1"/>
  <c r="Q2046" i="2" s="1"/>
  <c r="S2046" i="2" s="1"/>
  <c r="W2046" i="2" s="1"/>
  <c r="Q1937" i="2" a="1"/>
  <c r="Q1937" i="2" s="1"/>
  <c r="S1937" i="2" s="1"/>
  <c r="W1937" i="2" s="1"/>
  <c r="Q2090" i="2" a="1"/>
  <c r="Q2090" i="2" s="1"/>
  <c r="S2090" i="2" s="1"/>
  <c r="W2090" i="2" s="1"/>
  <c r="Q2091" i="2" a="1"/>
  <c r="Q2091" i="2" s="1"/>
  <c r="S2091" i="2" s="1"/>
  <c r="W2091" i="2" s="1"/>
  <c r="Q1991" i="2" a="1"/>
  <c r="Q1991" i="2" s="1"/>
  <c r="S1991" i="2" s="1"/>
  <c r="W1991" i="2" s="1"/>
  <c r="Q1868" i="2" a="1"/>
  <c r="Q1868" i="2" s="1"/>
  <c r="S1868" i="2" s="1"/>
  <c r="W1868" i="2" s="1"/>
  <c r="Q1952" i="2" a="1"/>
  <c r="Q1952" i="2" s="1"/>
  <c r="S1952" i="2" s="1"/>
  <c r="W1952" i="2" s="1"/>
  <c r="Q1959" i="2" a="1"/>
  <c r="Q1959" i="2" s="1"/>
  <c r="S1959" i="2" s="1"/>
  <c r="W1959" i="2" s="1"/>
  <c r="Q2010" i="2" a="1"/>
  <c r="Q2010" i="2" s="1"/>
  <c r="S2010" i="2" s="1"/>
  <c r="W2010" i="2" s="1"/>
  <c r="Q1963" i="2" a="1"/>
  <c r="Q1963" i="2" s="1"/>
  <c r="S1963" i="2" s="1"/>
  <c r="W1963" i="2" s="1"/>
  <c r="Q1900" i="2" a="1"/>
  <c r="Q1900" i="2" s="1"/>
  <c r="S1900" i="2" s="1"/>
  <c r="W1900" i="2" s="1"/>
  <c r="Q1940" i="2" a="1"/>
  <c r="Q1940" i="2" s="1"/>
  <c r="S1940" i="2" s="1"/>
  <c r="W1940" i="2" s="1"/>
  <c r="Q1874" i="2" a="1"/>
  <c r="Q1874" i="2" s="1"/>
  <c r="S1874" i="2" s="1"/>
  <c r="W1874" i="2" s="1"/>
  <c r="Q1908" i="2" a="1"/>
  <c r="Q1908" i="2" s="1"/>
  <c r="S1908" i="2" s="1"/>
  <c r="W1908" i="2" s="1"/>
  <c r="Q1857" i="2" a="1"/>
  <c r="Q1857" i="2" s="1"/>
  <c r="S1857" i="2" s="1"/>
  <c r="W1857" i="2" s="1"/>
  <c r="Q1891" i="2" a="1"/>
  <c r="Q1891" i="2" s="1"/>
  <c r="S1891" i="2" s="1"/>
  <c r="W1891" i="2" s="1"/>
  <c r="Q1880" i="2" a="1"/>
  <c r="Q1880" i="2" s="1"/>
  <c r="S1880" i="2" s="1"/>
  <c r="W1880" i="2" s="1"/>
  <c r="Q2076" i="2" a="1"/>
  <c r="Q2076" i="2" s="1"/>
  <c r="S2076" i="2" s="1"/>
  <c r="W2076" i="2" s="1"/>
  <c r="Q2060" i="2" a="1"/>
  <c r="Q2060" i="2" s="1"/>
  <c r="S2060" i="2" s="1"/>
  <c r="W2060" i="2" s="1"/>
  <c r="Q2073" i="2" a="1"/>
  <c r="Q2073" i="2" s="1"/>
  <c r="S2073" i="2" s="1"/>
  <c r="W2073" i="2" s="1"/>
  <c r="Q1911" i="2" a="1"/>
  <c r="Q1911" i="2" s="1"/>
  <c r="S1911" i="2" s="1"/>
  <c r="W1911" i="2" s="1"/>
  <c r="Q1906" i="2" a="1"/>
  <c r="Q1906" i="2" s="1"/>
  <c r="S1906" i="2" s="1"/>
  <c r="W1906" i="2" s="1"/>
  <c r="Q1917" i="2" a="1"/>
  <c r="Q1917" i="2" s="1"/>
  <c r="S1917" i="2" s="1"/>
  <c r="W1917" i="2" s="1"/>
  <c r="Q1914" i="2" a="1"/>
  <c r="Q1914" i="2" s="1"/>
  <c r="S1914" i="2" s="1"/>
  <c r="W1914" i="2" s="1"/>
  <c r="Q1939" i="2" a="1"/>
  <c r="Q1939" i="2" s="1"/>
  <c r="S1939" i="2" s="1"/>
  <c r="W1939" i="2" s="1"/>
  <c r="Q1945" i="2" a="1"/>
  <c r="Q1945" i="2" s="1"/>
  <c r="S1945" i="2" s="1"/>
  <c r="W1945" i="2" s="1"/>
  <c r="Q1894" i="2" a="1"/>
  <c r="Q1894" i="2" s="1"/>
  <c r="S1894" i="2" s="1"/>
  <c r="W1894" i="2" s="1"/>
  <c r="Q1878" i="2" a="1"/>
  <c r="Q1878" i="2" s="1"/>
  <c r="S1878" i="2" s="1"/>
  <c r="W1878" i="2" s="1"/>
  <c r="Q1974" i="2" a="1"/>
  <c r="Q1974" i="2" s="1"/>
  <c r="S1974" i="2" s="1"/>
  <c r="W1974" i="2" s="1"/>
  <c r="Q1972" i="2" a="1"/>
  <c r="Q1972" i="2" s="1"/>
  <c r="S1972" i="2" s="1"/>
  <c r="W1972" i="2" s="1"/>
  <c r="Q1925" i="2" a="1"/>
  <c r="Q1925" i="2" s="1"/>
  <c r="S1925" i="2" s="1"/>
  <c r="W1925" i="2" s="1"/>
  <c r="Q2055" i="2" a="1"/>
  <c r="Q2055" i="2" s="1"/>
  <c r="S2055" i="2" s="1"/>
  <c r="W2055" i="2" s="1"/>
  <c r="Q1892" i="2" a="1"/>
  <c r="Q1892" i="2" s="1"/>
  <c r="S1892" i="2" s="1"/>
  <c r="W1892" i="2" s="1"/>
  <c r="Q1923" i="2" a="1"/>
  <c r="Q1923" i="2" s="1"/>
  <c r="S1923" i="2" s="1"/>
  <c r="W1923" i="2" s="1"/>
  <c r="Q1924" i="2" a="1"/>
  <c r="Q1924" i="2" s="1"/>
  <c r="S1924" i="2" s="1"/>
  <c r="W1924" i="2" s="1"/>
  <c r="Q1875" i="2" a="1"/>
  <c r="Q1875" i="2" s="1"/>
  <c r="S1875" i="2" s="1"/>
  <c r="W1875" i="2" s="1"/>
  <c r="Q1913" i="2" a="1"/>
  <c r="Q1913" i="2" s="1"/>
  <c r="S1913" i="2" s="1"/>
  <c r="W1913" i="2" s="1"/>
  <c r="Q1964" i="2" a="1"/>
  <c r="Q1964" i="2" s="1"/>
  <c r="S1964" i="2" s="1"/>
  <c r="W1964" i="2" s="1"/>
  <c r="Q2044" i="2" a="1"/>
  <c r="Q2044" i="2" s="1"/>
  <c r="S2044" i="2" s="1"/>
  <c r="W2044" i="2" s="1"/>
  <c r="Q2052" i="2" a="1"/>
  <c r="Q2052" i="2" s="1"/>
  <c r="S2052" i="2" s="1"/>
  <c r="W2052" i="2" s="1"/>
  <c r="Q1890" i="2" a="1"/>
  <c r="Q1890" i="2" s="1"/>
  <c r="S1890" i="2" s="1"/>
  <c r="W1890" i="2" s="1"/>
  <c r="Q2025" i="2" a="1"/>
  <c r="Q2025" i="2" s="1"/>
  <c r="S2025" i="2" s="1"/>
  <c r="W2025" i="2" s="1"/>
  <c r="Q2087" i="2" a="1"/>
  <c r="Q2087" i="2" s="1"/>
  <c r="S2087" i="2" s="1"/>
  <c r="W2087" i="2" s="1"/>
  <c r="Q1922" i="2" a="1"/>
  <c r="Q1922" i="2" s="1"/>
  <c r="S1922" i="2" s="1"/>
  <c r="W1922" i="2" s="1"/>
  <c r="Q1948" i="2" a="1"/>
  <c r="Q1948" i="2" s="1"/>
  <c r="S1948" i="2" s="1"/>
  <c r="W1948" i="2" s="1"/>
  <c r="Q1866" i="2" a="1"/>
  <c r="Q1866" i="2" s="1"/>
  <c r="S1866" i="2" s="1"/>
  <c r="W1866" i="2" s="1"/>
  <c r="Q1896" i="2" a="1"/>
  <c r="Q1896" i="2" s="1"/>
  <c r="S1896" i="2" s="1"/>
  <c r="W1896" i="2" s="1"/>
  <c r="Q1888" i="2" a="1"/>
  <c r="Q1888" i="2" s="1"/>
  <c r="S1888" i="2" s="1"/>
  <c r="W1888" i="2" s="1"/>
  <c r="Q1861" i="2" a="1"/>
  <c r="Q1861" i="2" s="1"/>
  <c r="S1861" i="2" s="1"/>
  <c r="W1861" i="2" s="1"/>
  <c r="Q1920" i="2" a="1"/>
  <c r="Q1920" i="2" s="1"/>
  <c r="S1920" i="2" s="1"/>
  <c r="W1920" i="2" s="1"/>
  <c r="Q2029" i="2" a="1"/>
  <c r="Q2029" i="2" s="1"/>
  <c r="S2029" i="2" s="1"/>
  <c r="W2029" i="2" s="1"/>
  <c r="Q1912" i="2" a="1"/>
  <c r="Q1912" i="2" s="1"/>
  <c r="S1912" i="2" s="1"/>
  <c r="W1912" i="2" s="1"/>
  <c r="Q1887" i="2" a="1"/>
  <c r="Q1887" i="2" s="1"/>
  <c r="S1887" i="2" s="1"/>
  <c r="W1887" i="2" s="1"/>
  <c r="Q1969" i="2" a="1"/>
  <c r="Q1969" i="2" s="1"/>
  <c r="S1969" i="2" s="1"/>
  <c r="W1969" i="2" s="1"/>
  <c r="Q2002" i="2" a="1"/>
  <c r="Q2002" i="2" s="1"/>
  <c r="S2002" i="2" s="1"/>
  <c r="W2002" i="2" s="1"/>
  <c r="Q1955" i="2" a="1"/>
  <c r="Q1955" i="2" s="1"/>
  <c r="S1955" i="2" s="1"/>
  <c r="W1955" i="2" s="1"/>
  <c r="Q2018" i="2" a="1"/>
  <c r="Q2018" i="2" s="1"/>
  <c r="S2018" i="2" s="1"/>
  <c r="W2018" i="2" s="1"/>
  <c r="Q2014" i="2" a="1"/>
  <c r="Q2014" i="2" s="1"/>
  <c r="S2014" i="2" s="1"/>
  <c r="W2014" i="2" s="1"/>
  <c r="Q2095" i="2" a="1"/>
  <c r="Q2095" i="2" s="1"/>
  <c r="S2095" i="2" s="1"/>
  <c r="W2095" i="2" s="1"/>
  <c r="Q2097" i="2" a="1"/>
  <c r="Q2097" i="2" s="1"/>
  <c r="S2097" i="2" s="1"/>
  <c r="W2097" i="2" s="1"/>
  <c r="Q2026" i="2" a="1"/>
  <c r="Q2026" i="2" s="1"/>
  <c r="S2026" i="2" s="1"/>
  <c r="W2026" i="2" s="1"/>
  <c r="Q1985" i="2" a="1"/>
  <c r="Q1985" i="2" s="1"/>
  <c r="S1985" i="2" s="1"/>
  <c r="W1985" i="2" s="1"/>
  <c r="Q1884" i="2" a="1"/>
  <c r="Q1884" i="2" s="1"/>
  <c r="S1884" i="2" s="1"/>
  <c r="W1884" i="2" s="1"/>
  <c r="Q2036" i="2" a="1"/>
  <c r="Q2036" i="2" s="1"/>
  <c r="S2036" i="2" s="1"/>
  <c r="W2036" i="2" s="1"/>
  <c r="Q1904" i="2" a="1"/>
  <c r="Q1904" i="2" s="1"/>
  <c r="S1904" i="2" s="1"/>
  <c r="W1904" i="2" s="1"/>
  <c r="Q1994" i="2" a="1"/>
  <c r="Q1994" i="2" s="1"/>
  <c r="S1994" i="2" s="1"/>
  <c r="W1994" i="2" s="1"/>
  <c r="Q1996" i="2" a="1"/>
  <c r="Q1996" i="2" s="1"/>
  <c r="S1996" i="2" s="1"/>
  <c r="W1996" i="2" s="1"/>
  <c r="Q2084" i="2" a="1"/>
  <c r="Q2084" i="2" s="1"/>
  <c r="S2084" i="2" s="1"/>
  <c r="W2084" i="2" s="1"/>
  <c r="Q2096" i="2" a="1"/>
  <c r="Q2096" i="2" s="1"/>
  <c r="S2096" i="2" s="1"/>
  <c r="W2096" i="2" s="1"/>
  <c r="Q1921" i="2" a="1"/>
  <c r="Q1921" i="2" s="1"/>
  <c r="S1921" i="2" s="1"/>
  <c r="W1921" i="2" s="1"/>
  <c r="Q2107" i="2" a="1"/>
  <c r="Q2107" i="2" s="1"/>
  <c r="S2107" i="2" s="1"/>
  <c r="W2107" i="2" s="1"/>
  <c r="Q1960" i="2" a="1"/>
  <c r="Q1960" i="2" s="1"/>
  <c r="S1960" i="2" s="1"/>
  <c r="W1960" i="2" s="1"/>
  <c r="Q2037" i="2" a="1"/>
  <c r="Q2037" i="2" s="1"/>
  <c r="S2037" i="2" s="1"/>
  <c r="W2037" i="2" s="1"/>
  <c r="Q2108" i="2" a="1"/>
  <c r="Q2108" i="2" s="1"/>
  <c r="S2108" i="2" s="1"/>
  <c r="W2108" i="2" s="1"/>
  <c r="Q2101" i="2" a="1"/>
  <c r="Q2101" i="2" s="1"/>
  <c r="S2101" i="2" s="1"/>
  <c r="W2101" i="2" s="1"/>
  <c r="Q1929" i="2" a="1"/>
  <c r="Q1929" i="2" s="1"/>
  <c r="S1929" i="2" s="1"/>
  <c r="W1929" i="2" s="1"/>
  <c r="Q1918" i="2" a="1"/>
  <c r="Q1918" i="2" s="1"/>
  <c r="S1918" i="2" s="1"/>
  <c r="W1918" i="2" s="1"/>
  <c r="Q1986" i="2" a="1"/>
  <c r="Q1986" i="2" s="1"/>
  <c r="S1986" i="2" s="1"/>
  <c r="W1986" i="2" s="1"/>
  <c r="Q1947" i="2" a="1"/>
  <c r="Q1947" i="2" s="1"/>
  <c r="S1947" i="2" s="1"/>
  <c r="W1947" i="2" s="1"/>
  <c r="Q2032" i="2" a="1"/>
  <c r="Q2032" i="2" s="1"/>
  <c r="S2032" i="2" s="1"/>
  <c r="W2032" i="2" s="1"/>
  <c r="Q1895" i="2" a="1"/>
  <c r="Q1895" i="2" s="1"/>
  <c r="S1895" i="2" s="1"/>
  <c r="W1895" i="2" s="1"/>
  <c r="Q1862" i="2" a="1"/>
  <c r="Q1862" i="2" s="1"/>
  <c r="S1862" i="2" s="1"/>
  <c r="W1862" i="2" s="1"/>
  <c r="Q1863" i="2" a="1"/>
  <c r="Q1863" i="2" s="1"/>
  <c r="S1863" i="2" s="1"/>
  <c r="W1863" i="2" s="1"/>
  <c r="Q1942" i="2" a="1"/>
  <c r="Q1942" i="2" s="1"/>
  <c r="S1942" i="2" s="1"/>
  <c r="W1942" i="2" s="1"/>
  <c r="Q1899" i="2" a="1"/>
  <c r="Q1899" i="2" s="1"/>
  <c r="S1899" i="2" s="1"/>
  <c r="W1899" i="2" s="1"/>
  <c r="Q1898" i="2" a="1"/>
  <c r="Q1898" i="2" s="1"/>
  <c r="S1898" i="2" s="1"/>
  <c r="W1898" i="2" s="1"/>
  <c r="Q2074" i="2" a="1"/>
  <c r="Q2074" i="2" s="1"/>
  <c r="S2074" i="2" s="1"/>
  <c r="W2074" i="2" s="1"/>
  <c r="Q2041" i="2" a="1"/>
  <c r="Q2041" i="2" s="1"/>
  <c r="S2041" i="2" s="1"/>
  <c r="W2041" i="2" s="1"/>
  <c r="Q2012" i="2" a="1"/>
  <c r="Q2012" i="2" s="1"/>
  <c r="S2012" i="2" s="1"/>
  <c r="W2012" i="2" s="1"/>
  <c r="Q2049" i="2" a="1"/>
  <c r="Q2049" i="2" s="1"/>
  <c r="S2049" i="2" s="1"/>
  <c r="W2049" i="2" s="1"/>
  <c r="Q1901" i="2" a="1"/>
  <c r="Q1901" i="2" s="1"/>
  <c r="S1901" i="2" s="1"/>
  <c r="W1901" i="2" s="1"/>
  <c r="Q1877" i="2" a="1"/>
  <c r="Q1877" i="2" s="1"/>
  <c r="S1877" i="2" s="1"/>
  <c r="W1877" i="2" s="1"/>
  <c r="Q1926" i="2" a="1"/>
  <c r="Q1926" i="2" s="1"/>
  <c r="S1926" i="2" s="1"/>
  <c r="W1926" i="2" s="1"/>
  <c r="Q1858" i="2" a="1"/>
  <c r="Q1858" i="2" s="1"/>
  <c r="S1858" i="2" s="1"/>
  <c r="W1858" i="2" s="1"/>
  <c r="Q1934" i="2" a="1"/>
  <c r="Q1934" i="2" s="1"/>
  <c r="S1934" i="2" s="1"/>
  <c r="W1934" i="2" s="1"/>
  <c r="Q2109" i="2" a="1"/>
  <c r="Q2109" i="2" s="1"/>
  <c r="S2109" i="2" s="1"/>
  <c r="W2109" i="2" s="1"/>
  <c r="Q1946" i="2" a="1"/>
  <c r="Q1946" i="2" s="1"/>
  <c r="S1946" i="2" s="1"/>
  <c r="W1946" i="2" s="1"/>
  <c r="Q1907" i="2" a="1"/>
  <c r="Q1907" i="2" s="1"/>
  <c r="S1907" i="2" s="1"/>
  <c r="W1907" i="2" s="1"/>
  <c r="Q1864" i="2" a="1"/>
  <c r="Q1864" i="2" s="1"/>
  <c r="S1864" i="2" s="1"/>
  <c r="W1864" i="2" s="1"/>
  <c r="Q1869" i="2" a="1"/>
  <c r="Q1869" i="2" s="1"/>
  <c r="S1869" i="2" s="1"/>
  <c r="W1869" i="2" s="1"/>
  <c r="Q2053" i="2" a="1"/>
  <c r="Q2053" i="2" s="1"/>
  <c r="S2053" i="2" s="1"/>
  <c r="W2053" i="2" s="1"/>
  <c r="Q1881" i="2" a="1"/>
  <c r="Q1881" i="2" s="1"/>
  <c r="S1881" i="2" s="1"/>
  <c r="W1881" i="2" s="1"/>
  <c r="Q1883" i="2" a="1"/>
  <c r="Q1883" i="2" s="1"/>
  <c r="S1883" i="2" s="1"/>
  <c r="W1883" i="2" s="1"/>
  <c r="Q1865" i="2" a="1"/>
  <c r="Q1865" i="2" s="1"/>
  <c r="S1865" i="2" s="1"/>
  <c r="W1865" i="2" s="1"/>
  <c r="Q1902" i="2" a="1"/>
  <c r="Q1902" i="2" s="1"/>
  <c r="S1902" i="2" s="1"/>
  <c r="W1902" i="2" s="1"/>
  <c r="Q1997" i="2" a="1"/>
  <c r="Q1997" i="2" s="1"/>
  <c r="S1997" i="2" s="1"/>
  <c r="W1997" i="2" s="1"/>
  <c r="Q1889" i="2" a="1"/>
  <c r="Q1889" i="2" s="1"/>
  <c r="S1889" i="2" s="1"/>
  <c r="W1889" i="2" s="1"/>
  <c r="Q1999" i="2" a="1"/>
  <c r="Q1999" i="2" s="1"/>
  <c r="S1999" i="2" s="1"/>
  <c r="W1999" i="2" s="1"/>
  <c r="Q2083" i="2" a="1"/>
  <c r="Q2083" i="2" s="1"/>
  <c r="S2083" i="2" s="1"/>
  <c r="W2083" i="2" s="1"/>
  <c r="Q2006" i="2" a="1"/>
  <c r="Q2006" i="2" s="1"/>
  <c r="S2006" i="2" s="1"/>
  <c r="W2006" i="2" s="1"/>
  <c r="Q2047" i="2" a="1"/>
  <c r="Q2047" i="2" s="1"/>
  <c r="S2047" i="2" s="1"/>
  <c r="W2047" i="2" s="1"/>
  <c r="Q2008" i="2" a="1"/>
  <c r="Q2008" i="2" s="1"/>
  <c r="S2008" i="2" s="1"/>
  <c r="W2008" i="2" s="1"/>
  <c r="Q1867" i="2" a="1"/>
  <c r="Q1867" i="2" s="1"/>
  <c r="S1867" i="2" s="1"/>
  <c r="W1867" i="2" s="1"/>
  <c r="Q1935" i="2" a="1"/>
  <c r="Q1935" i="2" s="1"/>
  <c r="S1935" i="2" s="1"/>
  <c r="W1935" i="2" s="1"/>
  <c r="Q1872" i="2" a="1"/>
  <c r="Q1872" i="2" s="1"/>
  <c r="S1872" i="2" s="1"/>
  <c r="W1872" i="2" s="1"/>
  <c r="Q1905" i="2" a="1"/>
  <c r="Q1905" i="2" s="1"/>
  <c r="S1905" i="2" s="1"/>
  <c r="W1905" i="2" s="1"/>
  <c r="Q1936" i="2" a="1"/>
  <c r="Q1936" i="2" s="1"/>
  <c r="S1936" i="2" s="1"/>
  <c r="W1936" i="2" s="1"/>
  <c r="Q1859" i="2" a="1"/>
  <c r="Q1859" i="2" s="1"/>
  <c r="S1859" i="2" s="1"/>
  <c r="W1859" i="2" s="1"/>
  <c r="Q2088" i="2" a="1"/>
  <c r="Q2088" i="2" s="1"/>
  <c r="S2088" i="2" s="1"/>
  <c r="W2088" i="2" s="1"/>
  <c r="Q1928" i="2" a="1"/>
  <c r="Q1928" i="2" s="1"/>
  <c r="S1928" i="2" s="1"/>
  <c r="W1928" i="2" s="1"/>
  <c r="Q1886" i="2" a="1"/>
  <c r="Q1886" i="2" s="1"/>
  <c r="S1886" i="2" s="1"/>
  <c r="W1886" i="2" s="1"/>
  <c r="Q2110" i="2" a="1"/>
  <c r="Q2110" i="2" s="1"/>
  <c r="S2110" i="2" s="1"/>
  <c r="W2110" i="2" s="1"/>
  <c r="Q1919" i="2" a="1"/>
  <c r="Q1919" i="2" s="1"/>
  <c r="S1919" i="2" s="1"/>
  <c r="W1919" i="2" s="1"/>
  <c r="Q2098" i="2" a="1"/>
  <c r="Q2098" i="2" s="1"/>
  <c r="S2098" i="2" s="1"/>
  <c r="W2098" i="2" s="1"/>
  <c r="Q1909" i="2" a="1"/>
  <c r="Q1909" i="2" s="1"/>
  <c r="S1909" i="2" s="1"/>
  <c r="W1909" i="2" s="1"/>
  <c r="Q1873" i="2" a="1"/>
  <c r="Q1873" i="2" s="1"/>
  <c r="S1873" i="2" s="1"/>
  <c r="W1873" i="2" s="1"/>
  <c r="Q2072" i="2" a="1"/>
  <c r="Q2072" i="2" s="1"/>
  <c r="S2072" i="2" s="1"/>
  <c r="W2072" i="2" s="1"/>
  <c r="Q2007" i="2" a="1"/>
  <c r="Q2007" i="2" s="1"/>
  <c r="S2007" i="2" s="1"/>
  <c r="W2007" i="2" s="1"/>
  <c r="Q1871" i="2" a="1"/>
  <c r="Q1871" i="2" s="1"/>
  <c r="S1871" i="2" s="1"/>
  <c r="W1871" i="2" s="1"/>
  <c r="Q1973" i="2" a="1"/>
  <c r="Q1973" i="2" s="1"/>
  <c r="S1973" i="2" s="1"/>
  <c r="W1973" i="2" s="1"/>
  <c r="Q1876" i="2" a="1"/>
  <c r="Q1876" i="2" s="1"/>
  <c r="S1876" i="2" s="1"/>
  <c r="W1876" i="2" s="1"/>
  <c r="Q1916" i="2" a="1"/>
  <c r="Q1916" i="2" s="1"/>
  <c r="S1916" i="2" s="1"/>
  <c r="W1916" i="2" s="1"/>
  <c r="Q1970" i="2" a="1"/>
  <c r="Q1970" i="2" s="1"/>
  <c r="S1970" i="2" s="1"/>
  <c r="W1970" i="2" s="1"/>
  <c r="Q2005" i="2" a="1"/>
  <c r="Q2005" i="2" s="1"/>
  <c r="S2005" i="2" s="1"/>
  <c r="W2005" i="2" s="1"/>
  <c r="Q2104" i="2" a="1"/>
  <c r="Q2104" i="2" s="1"/>
  <c r="S2104" i="2" s="1"/>
  <c r="W2104" i="2" s="1"/>
  <c r="Q1870" i="2" a="1"/>
  <c r="Q1870" i="2" s="1"/>
  <c r="S1870" i="2" s="1"/>
  <c r="W1870" i="2" s="1"/>
  <c r="Q1978" i="2" a="1"/>
  <c r="Q1978" i="2" s="1"/>
  <c r="S1978" i="2" s="1"/>
  <c r="W1978" i="2" s="1"/>
  <c r="L2" i="4" l="1"/>
  <c r="R1233" i="2" a="1"/>
  <c r="R1233" i="2" s="1"/>
  <c r="R869" i="2" a="1"/>
  <c r="R869" i="2" s="1"/>
  <c r="R1438" i="2" a="1"/>
  <c r="R1438" i="2" s="1"/>
  <c r="R1697" i="2" a="1"/>
  <c r="R1697" i="2" s="1"/>
  <c r="R899" i="2" a="1"/>
  <c r="R899" i="2" s="1"/>
  <c r="R1445" i="2" a="1"/>
  <c r="R1445" i="2" s="1"/>
  <c r="R1879" i="2" a="1"/>
  <c r="R1879" i="2" s="1"/>
  <c r="R508" i="2" a="1"/>
  <c r="R508" i="2" s="1"/>
  <c r="R1416" i="2" a="1"/>
  <c r="R1416" i="2" s="1"/>
  <c r="R466" i="2" a="1"/>
  <c r="R466" i="2" s="1"/>
  <c r="R1234" i="2" a="1"/>
  <c r="R1234" i="2" s="1"/>
  <c r="R1422" i="2" a="1"/>
  <c r="R1422" i="2" s="1"/>
  <c r="R1446" i="2" a="1"/>
  <c r="R1446" i="2" s="1"/>
  <c r="R138" i="2" a="1"/>
  <c r="R138" i="2" s="1"/>
  <c r="R1740" i="2" a="1"/>
  <c r="R1740" i="2" s="1"/>
  <c r="R2022" i="2" a="1"/>
  <c r="R2022" i="2" s="1"/>
  <c r="R1447" i="2" a="1"/>
  <c r="R1447" i="2" s="1"/>
  <c r="R247" i="2" a="1"/>
  <c r="R247" i="2" s="1"/>
  <c r="R1759" i="2" a="1"/>
  <c r="R1759" i="2" s="1"/>
  <c r="R1749" i="2" a="1"/>
  <c r="R1749" i="2" s="1"/>
  <c r="R428" i="2" a="1"/>
  <c r="R428" i="2" s="1"/>
  <c r="R1235" i="2" a="1"/>
  <c r="R1235" i="2" s="1"/>
  <c r="R1448" i="2" a="1"/>
  <c r="R1448" i="2" s="1"/>
  <c r="R1678" i="2" a="1"/>
  <c r="R1678" i="2" s="1"/>
  <c r="R542" i="2" a="1"/>
  <c r="R542" i="2" s="1"/>
  <c r="R1302" i="2" a="1"/>
  <c r="R1302" i="2" s="1"/>
  <c r="R1380" i="2" a="1"/>
  <c r="R1380" i="2" s="1"/>
  <c r="R2013" i="2" a="1"/>
  <c r="R2013" i="2" s="1"/>
  <c r="R1390" i="2" a="1"/>
  <c r="R1390" i="2" s="1"/>
  <c r="R1449" i="2" a="1"/>
  <c r="R1449" i="2" s="1"/>
  <c r="R1950" i="2" a="1"/>
  <c r="R1950" i="2" s="1"/>
  <c r="R1414" i="2" a="1"/>
  <c r="R1414" i="2" s="1"/>
  <c r="R858" i="2" a="1"/>
  <c r="R858" i="2" s="1"/>
  <c r="R1715" i="2" a="1"/>
  <c r="R1715" i="2" s="1"/>
  <c r="R195" i="2" a="1"/>
  <c r="R195" i="2" s="1"/>
  <c r="R1603" i="2" a="1"/>
  <c r="R1603" i="2" s="1"/>
  <c r="R1686" i="2" a="1"/>
  <c r="R1686" i="2" s="1"/>
  <c r="R1194" i="2" a="1"/>
  <c r="R1194" i="2" s="1"/>
  <c r="R306" i="2" a="1"/>
  <c r="R306" i="2" s="1"/>
  <c r="R1450" i="2" a="1"/>
  <c r="R1450" i="2" s="1"/>
  <c r="R1777" i="2" a="1"/>
  <c r="R1777" i="2" s="1"/>
  <c r="R1619" i="2" a="1"/>
  <c r="R1619" i="2" s="1"/>
  <c r="R1915" i="2" a="1"/>
  <c r="R1915" i="2" s="1"/>
  <c r="R849" i="2" a="1"/>
  <c r="R849" i="2" s="1"/>
  <c r="R1666" i="2" a="1"/>
  <c r="R1666" i="2" s="1"/>
  <c r="R1370" i="2" a="1"/>
  <c r="R1370" i="2" s="1"/>
  <c r="R1451" i="2" a="1"/>
  <c r="R1451" i="2" s="1"/>
  <c r="R139" i="2" a="1"/>
  <c r="R139" i="2" s="1"/>
  <c r="R1931" i="2" a="1"/>
  <c r="R1931" i="2" s="1"/>
  <c r="R859" i="2" a="1"/>
  <c r="R859" i="2" s="1"/>
  <c r="R1452" i="2" a="1"/>
  <c r="R1452" i="2" s="1"/>
  <c r="R1664" i="2" a="1"/>
  <c r="R1664" i="2" s="1"/>
  <c r="R1693" i="2" a="1"/>
  <c r="R1693" i="2" s="1"/>
  <c r="R1885" i="2" a="1"/>
  <c r="R1885" i="2" s="1"/>
  <c r="R870" i="2" a="1"/>
  <c r="R870" i="2" s="1"/>
  <c r="R1364" i="2" a="1"/>
  <c r="R1364" i="2" s="1"/>
  <c r="R1927" i="2" a="1"/>
  <c r="R1927" i="2" s="1"/>
  <c r="R2155" i="2" a="1"/>
  <c r="R2155" i="2" s="1"/>
  <c r="R1375" i="2" a="1"/>
  <c r="R1375" i="2" s="1"/>
  <c r="R1665" i="2" a="1"/>
  <c r="R1665" i="2" s="1"/>
  <c r="R930" i="2" a="1"/>
  <c r="R930" i="2" s="1"/>
  <c r="R1406" i="2" a="1"/>
  <c r="R1406" i="2" s="1"/>
  <c r="R1860" i="2" a="1"/>
  <c r="R1860" i="2" s="1"/>
  <c r="R1903" i="2" a="1"/>
  <c r="R1903" i="2" s="1"/>
  <c r="R1897" i="2" a="1"/>
  <c r="R1897" i="2" s="1"/>
  <c r="R1910" i="2" a="1"/>
  <c r="R1910" i="2" s="1"/>
  <c r="R1932" i="2" a="1"/>
  <c r="R1932" i="2" s="1"/>
  <c r="R1930" i="2" a="1"/>
  <c r="R1930" i="2" s="1"/>
  <c r="R1933" i="2" a="1"/>
  <c r="R1933" i="2" s="1"/>
  <c r="R238" i="2" a="1"/>
  <c r="R238" i="2" s="1"/>
  <c r="R1252" i="2" a="1"/>
  <c r="R1252" i="2" s="1"/>
  <c r="R1351" i="2" a="1"/>
  <c r="R1351" i="2" s="1"/>
  <c r="R1453" i="2" a="1"/>
  <c r="R1453" i="2" s="1"/>
  <c r="R384" i="2" a="1"/>
  <c r="R384" i="2" s="1"/>
  <c r="R1706" i="2" a="1"/>
  <c r="R1706" i="2" s="1"/>
  <c r="R1736" i="2" a="1"/>
  <c r="R1736" i="2" s="1"/>
  <c r="R1622" i="2" a="1"/>
  <c r="R1622" i="2" s="1"/>
  <c r="R1236" i="2" a="1"/>
  <c r="R1236" i="2" s="1"/>
  <c r="R248" i="2" a="1"/>
  <c r="R248" i="2" s="1"/>
  <c r="R850" i="2" a="1"/>
  <c r="R850" i="2" s="1"/>
  <c r="R1632" i="2" a="1"/>
  <c r="R1632" i="2" s="1"/>
  <c r="R1180" i="2" a="1"/>
  <c r="R1180" i="2" s="1"/>
  <c r="R1728" i="2" a="1"/>
  <c r="R1728" i="2" s="1"/>
  <c r="R1454" i="2" a="1"/>
  <c r="R1454" i="2" s="1"/>
  <c r="R1439" i="2" a="1"/>
  <c r="R1439" i="2" s="1"/>
  <c r="R1625" i="2" a="1"/>
  <c r="R1625" i="2" s="1"/>
  <c r="R1680" i="2" a="1"/>
  <c r="R1680" i="2" s="1"/>
  <c r="R1346" i="2" a="1"/>
  <c r="R1346" i="2" s="1"/>
  <c r="R1938" i="2" a="1"/>
  <c r="R1938" i="2" s="1"/>
  <c r="R2033" i="2" a="1"/>
  <c r="R2033" i="2" s="1"/>
  <c r="R2015" i="2" a="1"/>
  <c r="R2015" i="2" s="1"/>
  <c r="R2051" i="2" a="1"/>
  <c r="R2051" i="2" s="1"/>
  <c r="R2103" i="2" a="1"/>
  <c r="R2103" i="2" s="1"/>
  <c r="R2106" i="2" a="1"/>
  <c r="R2106" i="2" s="1"/>
  <c r="R1237" i="2" a="1"/>
  <c r="R1237" i="2" s="1"/>
  <c r="R1331" i="2" a="1"/>
  <c r="R1331" i="2" s="1"/>
  <c r="R419" i="2" a="1"/>
  <c r="R419" i="2" s="1"/>
  <c r="R1320" i="2" a="1"/>
  <c r="R1320" i="2" s="1"/>
  <c r="R1385" i="2" a="1"/>
  <c r="R1385" i="2" s="1"/>
  <c r="R1178" i="2" a="1"/>
  <c r="R1178" i="2" s="1"/>
  <c r="R1195" i="2" a="1"/>
  <c r="R1195" i="2" s="1"/>
  <c r="R401" i="2" a="1"/>
  <c r="R401" i="2" s="1"/>
  <c r="R1760" i="2" a="1"/>
  <c r="R1760" i="2" s="1"/>
  <c r="R860" i="2" a="1"/>
  <c r="R860" i="2" s="1"/>
  <c r="R1456" i="2" a="1"/>
  <c r="R1456" i="2" s="1"/>
  <c r="R851" i="2" a="1"/>
  <c r="R851" i="2" s="1"/>
  <c r="R1457" i="2" a="1"/>
  <c r="R1457" i="2" s="1"/>
  <c r="R249" i="2" a="1"/>
  <c r="R249" i="2" s="1"/>
  <c r="R1304" i="2" a="1"/>
  <c r="R1304" i="2" s="1"/>
  <c r="R1778" i="2" a="1"/>
  <c r="R1778" i="2" s="1"/>
  <c r="R1381" i="2" a="1"/>
  <c r="R1381" i="2" s="1"/>
  <c r="R1196" i="2" a="1"/>
  <c r="R1196" i="2" s="1"/>
  <c r="R1458" i="2" a="1"/>
  <c r="R1458" i="2" s="1"/>
  <c r="R1412" i="2" a="1"/>
  <c r="R1412" i="2" s="1"/>
  <c r="R140" i="2" a="1"/>
  <c r="R140" i="2" s="1"/>
  <c r="R2156" i="2" a="1"/>
  <c r="R2156" i="2" s="1"/>
  <c r="R1318" i="2" a="1"/>
  <c r="R1318" i="2" s="1"/>
  <c r="R250" i="2" a="1"/>
  <c r="R250" i="2" s="1"/>
  <c r="R1705" i="2" a="1"/>
  <c r="R1705" i="2" s="1"/>
  <c r="R2134" i="2" a="1"/>
  <c r="R2134" i="2" s="1"/>
  <c r="R1750" i="2" a="1"/>
  <c r="R1750" i="2" s="1"/>
  <c r="R1459" i="2" a="1"/>
  <c r="R1459" i="2" s="1"/>
  <c r="R2157" i="2" a="1"/>
  <c r="R2157" i="2" s="1"/>
  <c r="R1368" i="2" a="1"/>
  <c r="R1368" i="2" s="1"/>
  <c r="R2092" i="2" a="1"/>
  <c r="R2092" i="2" s="1"/>
  <c r="R1953" i="2" a="1"/>
  <c r="R1953" i="2" s="1"/>
  <c r="R1460" i="2" a="1"/>
  <c r="R1460" i="2" s="1"/>
  <c r="R1461" i="2" a="1"/>
  <c r="R1461" i="2" s="1"/>
  <c r="R1600" i="2" a="1"/>
  <c r="R1600" i="2" s="1"/>
  <c r="R1181" i="2" a="1"/>
  <c r="R1181" i="2" s="1"/>
  <c r="R1882" i="2" a="1"/>
  <c r="R1882" i="2" s="1"/>
  <c r="R1751" i="2" a="1"/>
  <c r="R1751" i="2" s="1"/>
  <c r="R1462" i="2" a="1"/>
  <c r="R1462" i="2" s="1"/>
  <c r="R239" i="2" a="1"/>
  <c r="R239" i="2" s="1"/>
  <c r="R1893" i="2" a="1"/>
  <c r="R1893" i="2" s="1"/>
  <c r="R1599" i="2" a="1"/>
  <c r="R1599" i="2" s="1"/>
  <c r="R1463" i="2" a="1"/>
  <c r="R1463" i="2" s="1"/>
  <c r="R2011" i="2" a="1"/>
  <c r="R2011" i="2" s="1"/>
  <c r="R1987" i="2" a="1"/>
  <c r="R1987" i="2" s="1"/>
  <c r="R402" i="2" a="1"/>
  <c r="R402" i="2" s="1"/>
  <c r="R2135" i="2" a="1"/>
  <c r="R2135" i="2" s="1"/>
  <c r="R1018" i="2" a="1"/>
  <c r="R1018" i="2" s="1"/>
  <c r="R1464" i="2" a="1"/>
  <c r="R1464" i="2" s="1"/>
  <c r="R2123" i="2" a="1"/>
  <c r="R2123" i="2" s="1"/>
  <c r="R2046" i="2" a="1"/>
  <c r="R2046" i="2" s="1"/>
  <c r="R1937" i="2" a="1"/>
  <c r="R1937" i="2" s="1"/>
  <c r="R2090" i="2" a="1"/>
  <c r="R2090" i="2" s="1"/>
  <c r="R2091" i="2" a="1"/>
  <c r="R2091" i="2" s="1"/>
  <c r="R1991" i="2" a="1"/>
  <c r="R1991" i="2" s="1"/>
  <c r="R1640" i="2" a="1"/>
  <c r="R1640" i="2" s="1"/>
  <c r="R1465" i="2" a="1"/>
  <c r="R1465" i="2" s="1"/>
  <c r="R871" i="2" a="1"/>
  <c r="R871" i="2" s="1"/>
  <c r="R381" i="2" a="1"/>
  <c r="R381" i="2" s="1"/>
  <c r="R471" i="2" a="1"/>
  <c r="R471" i="2" s="1"/>
  <c r="R872" i="2" a="1"/>
  <c r="R872" i="2" s="1"/>
  <c r="R690" i="2" a="1"/>
  <c r="R690" i="2" s="1"/>
  <c r="R1182" i="2" a="1"/>
  <c r="R1182" i="2" s="1"/>
  <c r="R2158" i="2" a="1"/>
  <c r="R2158" i="2" s="1"/>
  <c r="R1649" i="2" a="1"/>
  <c r="R1649" i="2" s="1"/>
  <c r="R1378" i="2" a="1"/>
  <c r="R1378" i="2" s="1"/>
  <c r="R1417" i="2" a="1"/>
  <c r="R1417" i="2" s="1"/>
  <c r="R1340" i="2" a="1"/>
  <c r="R1340" i="2" s="1"/>
  <c r="R1868" i="2" a="1"/>
  <c r="R1868" i="2" s="1"/>
  <c r="R540" i="2" a="1"/>
  <c r="R540" i="2" s="1"/>
  <c r="R1952" i="2" a="1"/>
  <c r="R1952" i="2" s="1"/>
  <c r="R1959" i="2" a="1"/>
  <c r="R1959" i="2" s="1"/>
  <c r="R1349" i="2" a="1"/>
  <c r="R1349" i="2" s="1"/>
  <c r="R1466" i="2" a="1"/>
  <c r="R1466" i="2" s="1"/>
  <c r="R403" i="2" a="1"/>
  <c r="R403" i="2" s="1"/>
  <c r="R465" i="2" a="1"/>
  <c r="R465" i="2" s="1"/>
  <c r="R1611" i="2" a="1"/>
  <c r="R1611" i="2" s="1"/>
  <c r="R1637" i="2" a="1"/>
  <c r="R1637" i="2" s="1"/>
  <c r="R1430" i="2" a="1"/>
  <c r="R1430" i="2" s="1"/>
  <c r="R251" i="2" a="1"/>
  <c r="R251" i="2" s="1"/>
  <c r="R2010" i="2" a="1"/>
  <c r="R2010" i="2" s="1"/>
  <c r="R1963" i="2" a="1"/>
  <c r="R1963" i="2" s="1"/>
  <c r="R160" i="2" a="1"/>
  <c r="R160" i="2" s="1"/>
  <c r="R1695" i="2" a="1"/>
  <c r="R1695" i="2" s="1"/>
  <c r="R1714" i="2" a="1"/>
  <c r="R1714" i="2" s="1"/>
  <c r="R1900" i="2" a="1"/>
  <c r="R1900" i="2" s="1"/>
  <c r="R900" i="2" a="1"/>
  <c r="R900" i="2" s="1"/>
  <c r="R852" i="2" a="1"/>
  <c r="R852" i="2" s="1"/>
  <c r="R1467" i="2" a="1"/>
  <c r="R1467" i="2" s="1"/>
  <c r="R413" i="2" a="1"/>
  <c r="R413" i="2" s="1"/>
  <c r="R1341" i="2" a="1"/>
  <c r="R1341" i="2" s="1"/>
  <c r="R153" i="2" a="1"/>
  <c r="R153" i="2" s="1"/>
  <c r="R861" i="2" a="1"/>
  <c r="R861" i="2" s="1"/>
  <c r="R1765" i="2" a="1"/>
  <c r="R1765" i="2" s="1"/>
  <c r="R1423" i="2" a="1"/>
  <c r="R1423" i="2" s="1"/>
  <c r="R768" i="2" a="1"/>
  <c r="R768" i="2" s="1"/>
  <c r="R1779" i="2" a="1"/>
  <c r="R1779" i="2" s="1"/>
  <c r="R1197" i="2" a="1"/>
  <c r="R1197" i="2" s="1"/>
  <c r="R252" i="2" a="1"/>
  <c r="R252" i="2" s="1"/>
  <c r="R1700" i="2" a="1"/>
  <c r="R1700" i="2" s="1"/>
  <c r="R1628" i="2" a="1"/>
  <c r="R1628" i="2" s="1"/>
  <c r="R253" i="2" a="1"/>
  <c r="R253" i="2" s="1"/>
  <c r="R1766" i="2" a="1"/>
  <c r="R1766" i="2" s="1"/>
  <c r="R1238" i="2" a="1"/>
  <c r="R1238" i="2" s="1"/>
  <c r="R141" i="2" a="1"/>
  <c r="R141" i="2" s="1"/>
  <c r="R1303" i="2" a="1"/>
  <c r="R1303" i="2" s="1"/>
  <c r="R1940" i="2" a="1"/>
  <c r="R1940" i="2" s="1"/>
  <c r="R1468" i="2" a="1"/>
  <c r="R1468" i="2" s="1"/>
  <c r="R1330" i="2" a="1"/>
  <c r="R1330" i="2" s="1"/>
  <c r="R1691" i="2" a="1"/>
  <c r="R1691" i="2" s="1"/>
  <c r="R1253" i="2" a="1"/>
  <c r="R1253" i="2" s="1"/>
  <c r="R1436" i="2" a="1"/>
  <c r="R1436" i="2" s="1"/>
  <c r="R1254" i="2" a="1"/>
  <c r="R1254" i="2" s="1"/>
  <c r="R1239" i="2" a="1"/>
  <c r="R1239" i="2" s="1"/>
  <c r="R1310" i="2" a="1"/>
  <c r="R1310" i="2" s="1"/>
  <c r="R1404" i="2" a="1"/>
  <c r="R1404" i="2" s="1"/>
  <c r="R1223" i="2" a="1"/>
  <c r="R1223" i="2" s="1"/>
  <c r="R414" i="2" a="1"/>
  <c r="R414" i="2" s="1"/>
  <c r="R254" i="2" a="1"/>
  <c r="R254" i="2" s="1"/>
  <c r="R1719" i="2" a="1"/>
  <c r="R1719" i="2" s="1"/>
  <c r="R1399" i="2" a="1"/>
  <c r="R1399" i="2" s="1"/>
  <c r="R1469" i="2" a="1"/>
  <c r="R1469" i="2" s="1"/>
  <c r="R1392" i="2" a="1"/>
  <c r="R1392" i="2" s="1"/>
  <c r="R1224" i="2" a="1"/>
  <c r="R1224" i="2" s="1"/>
  <c r="R1874" i="2" a="1"/>
  <c r="R1874" i="2" s="1"/>
  <c r="R255" i="2" a="1"/>
  <c r="R255" i="2" s="1"/>
  <c r="R1908" i="2" a="1"/>
  <c r="R1908" i="2" s="1"/>
  <c r="R256" i="2" a="1"/>
  <c r="R256" i="2" s="1"/>
  <c r="R1857" i="2" a="1"/>
  <c r="R1857" i="2" s="1"/>
  <c r="R1891" i="2" a="1"/>
  <c r="R1891" i="2" s="1"/>
  <c r="R1880" i="2" a="1"/>
  <c r="R1880" i="2" s="1"/>
  <c r="R257" i="2" a="1"/>
  <c r="R257" i="2" s="1"/>
  <c r="R258" i="2" a="1"/>
  <c r="R258" i="2" s="1"/>
  <c r="R259" i="2" a="1"/>
  <c r="R259" i="2" s="1"/>
  <c r="R379" i="2" a="1"/>
  <c r="R379" i="2" s="1"/>
  <c r="R1470" i="2" a="1"/>
  <c r="R1470" i="2" s="1"/>
  <c r="R1698" i="2" a="1"/>
  <c r="R1698" i="2" s="1"/>
  <c r="R1471" i="2" a="1"/>
  <c r="R1471" i="2" s="1"/>
  <c r="R2076" i="2" a="1"/>
  <c r="R2076" i="2" s="1"/>
  <c r="R1215" i="2" a="1"/>
  <c r="R1215" i="2" s="1"/>
  <c r="R1472" i="2" a="1"/>
  <c r="R1472" i="2" s="1"/>
  <c r="R1473" i="2" a="1"/>
  <c r="R1473" i="2" s="1"/>
  <c r="R1355" i="2" a="1"/>
  <c r="R1355" i="2" s="1"/>
  <c r="R1240" i="2" a="1"/>
  <c r="R1240" i="2" s="1"/>
  <c r="R1198" i="2" a="1"/>
  <c r="R1198" i="2" s="1"/>
  <c r="R385" i="2" a="1"/>
  <c r="R385" i="2" s="1"/>
  <c r="R1241" i="2" a="1"/>
  <c r="R1241" i="2" s="1"/>
  <c r="R260" i="2" a="1"/>
  <c r="R260" i="2" s="1"/>
  <c r="R1780" i="2" a="1"/>
  <c r="R1780" i="2" s="1"/>
  <c r="R2119" i="2" a="1"/>
  <c r="R2119" i="2" s="1"/>
  <c r="R2060" i="2" a="1"/>
  <c r="R2060" i="2" s="1"/>
  <c r="R2073" i="2" a="1"/>
  <c r="R2073" i="2" s="1"/>
  <c r="R435" i="2" a="1"/>
  <c r="R435" i="2" s="1"/>
  <c r="R873" i="2" a="1"/>
  <c r="R873" i="2" s="1"/>
  <c r="R240" i="2" a="1"/>
  <c r="R240" i="2" s="1"/>
  <c r="R1339" i="2" a="1"/>
  <c r="R1339" i="2" s="1"/>
  <c r="R1911" i="2" a="1"/>
  <c r="R1911" i="2" s="1"/>
  <c r="R1906" i="2" a="1"/>
  <c r="R1906" i="2" s="1"/>
  <c r="R1917" i="2" a="1"/>
  <c r="R1917" i="2" s="1"/>
  <c r="R2159" i="2" a="1"/>
  <c r="R2159" i="2" s="1"/>
  <c r="R874" i="2" a="1"/>
  <c r="R874" i="2" s="1"/>
  <c r="R1914" i="2" a="1"/>
  <c r="R1914" i="2" s="1"/>
  <c r="R1939" i="2" a="1"/>
  <c r="R1939" i="2" s="1"/>
  <c r="R1319" i="2" a="1"/>
  <c r="R1319" i="2" s="1"/>
  <c r="R161" i="2" a="1"/>
  <c r="R161" i="2" s="1"/>
  <c r="R1945" i="2" a="1"/>
  <c r="R1945" i="2" s="1"/>
  <c r="R1702" i="2" a="1"/>
  <c r="R1702" i="2" s="1"/>
  <c r="R1894" i="2" a="1"/>
  <c r="R1894" i="2" s="1"/>
  <c r="R142" i="2" a="1"/>
  <c r="R142" i="2" s="1"/>
  <c r="R1878" i="2" a="1"/>
  <c r="R1878" i="2" s="1"/>
  <c r="R1393" i="2" a="1"/>
  <c r="R1393" i="2" s="1"/>
  <c r="R1752" i="2" a="1"/>
  <c r="R1752" i="2" s="1"/>
  <c r="R1242" i="2" a="1"/>
  <c r="R1242" i="2" s="1"/>
  <c r="R1199" i="2" a="1"/>
  <c r="R1199" i="2" s="1"/>
  <c r="R1662" i="2" a="1"/>
  <c r="R1662" i="2" s="1"/>
  <c r="R1974" i="2" a="1"/>
  <c r="R1974" i="2" s="1"/>
  <c r="R1972" i="2" a="1"/>
  <c r="R1972" i="2" s="1"/>
  <c r="R1925" i="2" a="1"/>
  <c r="R1925" i="2" s="1"/>
  <c r="R2055" i="2" a="1"/>
  <c r="R2055" i="2" s="1"/>
  <c r="R1723" i="2" a="1"/>
  <c r="R1723" i="2" s="1"/>
  <c r="R1586" i="2" a="1"/>
  <c r="R1586" i="2" s="1"/>
  <c r="R1429" i="2" a="1"/>
  <c r="R1429" i="2" s="1"/>
  <c r="R2160" i="2" a="1"/>
  <c r="R2160" i="2" s="1"/>
  <c r="R1892" i="2" a="1"/>
  <c r="R1892" i="2" s="1"/>
  <c r="R395" i="2" a="1"/>
  <c r="R395" i="2" s="1"/>
  <c r="R1305" i="2" a="1"/>
  <c r="R1305" i="2" s="1"/>
  <c r="R1923" i="2" a="1"/>
  <c r="R1923" i="2" s="1"/>
  <c r="R1354" i="2" a="1"/>
  <c r="R1354" i="2" s="1"/>
  <c r="R1474" i="2" a="1"/>
  <c r="R1474" i="2" s="1"/>
  <c r="R261" i="2" a="1"/>
  <c r="R261" i="2" s="1"/>
  <c r="R1681" i="2" a="1"/>
  <c r="R1681" i="2" s="1"/>
  <c r="R1924" i="2" a="1"/>
  <c r="R1924" i="2" s="1"/>
  <c r="R262" i="2" a="1"/>
  <c r="R262" i="2" s="1"/>
  <c r="R263" i="2" a="1"/>
  <c r="R263" i="2" s="1"/>
  <c r="R404" i="2" a="1"/>
  <c r="R404" i="2" s="1"/>
  <c r="R1743" i="2" a="1"/>
  <c r="R1743" i="2" s="1"/>
  <c r="R1875" i="2" a="1"/>
  <c r="R1875" i="2" s="1"/>
  <c r="R1913" i="2" a="1"/>
  <c r="R1913" i="2" s="1"/>
  <c r="R1606" i="2" a="1"/>
  <c r="R1606" i="2" s="1"/>
  <c r="R875" i="2" a="1"/>
  <c r="R875" i="2" s="1"/>
  <c r="R1964" i="2" a="1"/>
  <c r="R1964" i="2" s="1"/>
  <c r="R2044" i="2" a="1"/>
  <c r="R2044" i="2" s="1"/>
  <c r="R2052" i="2" a="1"/>
  <c r="R2052" i="2" s="1"/>
  <c r="R1890" i="2" a="1"/>
  <c r="R1890" i="2" s="1"/>
  <c r="R1767" i="2" a="1"/>
  <c r="R1767" i="2" s="1"/>
  <c r="R853" i="2" a="1"/>
  <c r="R853" i="2" s="1"/>
  <c r="R1768" i="2" a="1"/>
  <c r="R1768" i="2" s="1"/>
  <c r="R862" i="2" a="1"/>
  <c r="R862" i="2" s="1"/>
  <c r="R1255" i="2" a="1"/>
  <c r="R1255" i="2" s="1"/>
  <c r="R2025" i="2" a="1"/>
  <c r="R2025" i="2" s="1"/>
  <c r="R1032" i="2" a="1"/>
  <c r="R1032" i="2" s="1"/>
  <c r="R143" i="2" a="1"/>
  <c r="R143" i="2" s="1"/>
  <c r="R2087" i="2" a="1"/>
  <c r="R2087" i="2" s="1"/>
  <c r="R1475" i="2" a="1"/>
  <c r="R1475" i="2" s="1"/>
  <c r="R1476" i="2" a="1"/>
  <c r="R1476" i="2" s="1"/>
  <c r="R1172" i="2" a="1"/>
  <c r="R1172" i="2" s="1"/>
  <c r="R437" i="2" a="1"/>
  <c r="R437" i="2" s="1"/>
  <c r="R645" i="2" a="1"/>
  <c r="R645" i="2" s="1"/>
  <c r="R468" i="2" a="1"/>
  <c r="R468" i="2" s="1"/>
  <c r="R241" i="2" a="1"/>
  <c r="R241" i="2" s="1"/>
  <c r="R1334" i="2" a="1"/>
  <c r="R1334" i="2" s="1"/>
  <c r="R1477" i="2" a="1"/>
  <c r="R1477" i="2" s="1"/>
  <c r="R2136" i="2" a="1"/>
  <c r="R2136" i="2" s="1"/>
  <c r="R1478" i="2" a="1"/>
  <c r="R1478" i="2" s="1"/>
  <c r="R1701" i="2" a="1"/>
  <c r="R1701" i="2" s="1"/>
  <c r="R1444" i="2" a="1"/>
  <c r="R1444" i="2" s="1"/>
  <c r="R1624" i="2" a="1"/>
  <c r="R1624" i="2" s="1"/>
  <c r="R1479" i="2" a="1"/>
  <c r="R1479" i="2" s="1"/>
  <c r="R399" i="2" a="1"/>
  <c r="R399" i="2" s="1"/>
  <c r="R1480" i="2" a="1"/>
  <c r="R1480" i="2" s="1"/>
  <c r="R1243" i="2" a="1"/>
  <c r="R1243" i="2" s="1"/>
  <c r="R1332" i="2" a="1"/>
  <c r="R1332" i="2" s="1"/>
  <c r="R1922" i="2" a="1"/>
  <c r="R1922" i="2" s="1"/>
  <c r="R1948" i="2" a="1"/>
  <c r="R1948" i="2" s="1"/>
  <c r="R1256" i="2" a="1"/>
  <c r="R1256" i="2" s="1"/>
  <c r="R472" i="2" a="1"/>
  <c r="R472" i="2" s="1"/>
  <c r="R544" i="2" a="1"/>
  <c r="R544" i="2" s="1"/>
  <c r="R1866" i="2" a="1"/>
  <c r="R1866" i="2" s="1"/>
  <c r="R876" i="2" a="1"/>
  <c r="R876" i="2" s="1"/>
  <c r="R1306" i="2" a="1"/>
  <c r="R1306" i="2" s="1"/>
  <c r="R463" i="2" a="1"/>
  <c r="R463" i="2" s="1"/>
  <c r="R469" i="2" a="1"/>
  <c r="R469" i="2" s="1"/>
  <c r="R1660" i="2" a="1"/>
  <c r="R1660" i="2" s="1"/>
  <c r="R1407" i="2" a="1"/>
  <c r="R1407" i="2" s="1"/>
  <c r="R1896" i="2" a="1"/>
  <c r="R1896" i="2" s="1"/>
  <c r="R1481" i="2" a="1"/>
  <c r="R1481" i="2" s="1"/>
  <c r="R522" i="2" a="1"/>
  <c r="R522" i="2" s="1"/>
  <c r="R405" i="2" a="1"/>
  <c r="R405" i="2" s="1"/>
  <c r="R1151" i="2" a="1"/>
  <c r="R1151" i="2" s="1"/>
  <c r="R929" i="2" a="1"/>
  <c r="R929" i="2" s="1"/>
  <c r="R1712" i="2" a="1"/>
  <c r="R1712" i="2" s="1"/>
  <c r="R854" i="2" a="1"/>
  <c r="R854" i="2" s="1"/>
  <c r="R470" i="2" a="1"/>
  <c r="R470" i="2" s="1"/>
  <c r="R1888" i="2" a="1"/>
  <c r="R1888" i="2" s="1"/>
  <c r="R2161" i="2" a="1"/>
  <c r="R2161" i="2" s="1"/>
  <c r="R1781" i="2" a="1"/>
  <c r="R1781" i="2" s="1"/>
  <c r="R1257" i="2" a="1"/>
  <c r="R1257" i="2" s="1"/>
  <c r="R1317" i="2" a="1"/>
  <c r="R1317" i="2" s="1"/>
  <c r="R1732" i="2" a="1"/>
  <c r="R1732" i="2" s="1"/>
  <c r="R1482" i="2" a="1"/>
  <c r="R1482" i="2" s="1"/>
  <c r="R1258" i="2" a="1"/>
  <c r="R1258" i="2" s="1"/>
  <c r="R1259" i="2" a="1"/>
  <c r="R1259" i="2" s="1"/>
  <c r="R377" i="2" a="1"/>
  <c r="R377" i="2" s="1"/>
  <c r="R154" i="2" a="1"/>
  <c r="R154" i="2" s="1"/>
  <c r="R877" i="2" a="1"/>
  <c r="R877" i="2" s="1"/>
  <c r="R1735" i="2" a="1"/>
  <c r="R1735" i="2" s="1"/>
  <c r="R177" i="2" a="1"/>
  <c r="R177" i="2" s="1"/>
  <c r="R1327" i="2" a="1"/>
  <c r="R1327" i="2" s="1"/>
  <c r="R1618" i="2" a="1"/>
  <c r="R1618" i="2" s="1"/>
  <c r="R1861" i="2" a="1"/>
  <c r="R1861" i="2" s="1"/>
  <c r="R1708" i="2" a="1"/>
  <c r="R1708" i="2" s="1"/>
  <c r="R863" i="2" a="1"/>
  <c r="R863" i="2" s="1"/>
  <c r="R1782" i="2" a="1"/>
  <c r="R1782" i="2" s="1"/>
  <c r="R1216" i="2" a="1"/>
  <c r="R1216" i="2" s="1"/>
  <c r="R569" i="2" a="1"/>
  <c r="R569" i="2" s="1"/>
  <c r="R1629" i="2" a="1"/>
  <c r="R1629" i="2" s="1"/>
  <c r="R388" i="2" a="1"/>
  <c r="R388" i="2" s="1"/>
  <c r="R1690" i="2" a="1"/>
  <c r="R1690" i="2" s="1"/>
  <c r="R1484" i="2" a="1"/>
  <c r="R1484" i="2" s="1"/>
  <c r="R1260" i="2" a="1"/>
  <c r="R1260" i="2" s="1"/>
  <c r="R193" i="2" a="1"/>
  <c r="R193" i="2" s="1"/>
  <c r="R1010" i="2" a="1"/>
  <c r="R1010" i="2" s="1"/>
  <c r="R1703" i="2" a="1"/>
  <c r="R1703" i="2" s="1"/>
  <c r="R382" i="2" a="1"/>
  <c r="R382" i="2" s="1"/>
  <c r="R1733" i="2" a="1"/>
  <c r="R1733" i="2" s="1"/>
  <c r="R878" i="2" a="1"/>
  <c r="R878" i="2" s="1"/>
  <c r="R1307" i="2" a="1"/>
  <c r="R1307" i="2" s="1"/>
  <c r="R1485" i="2" a="1"/>
  <c r="R1485" i="2" s="1"/>
  <c r="R1487" i="2" a="1"/>
  <c r="R1487" i="2" s="1"/>
  <c r="R1636" i="2" a="1"/>
  <c r="R1636" i="2" s="1"/>
  <c r="R879" i="2" a="1"/>
  <c r="R879" i="2" s="1"/>
  <c r="R264" i="2" a="1"/>
  <c r="R264" i="2" s="1"/>
  <c r="R1657" i="2" a="1"/>
  <c r="R1657" i="2" s="1"/>
  <c r="R1597" i="2" a="1"/>
  <c r="R1597" i="2" s="1"/>
  <c r="R1761" i="2" a="1"/>
  <c r="R1761" i="2" s="1"/>
  <c r="R396" i="2" a="1"/>
  <c r="R396" i="2" s="1"/>
  <c r="R1920" i="2" a="1"/>
  <c r="R1920" i="2" s="1"/>
  <c r="R1616" i="2" a="1"/>
  <c r="R1616" i="2" s="1"/>
  <c r="R1488" i="2" a="1"/>
  <c r="R1488" i="2" s="1"/>
  <c r="R2029" i="2" a="1"/>
  <c r="R2029" i="2" s="1"/>
  <c r="R1489" i="2" a="1"/>
  <c r="R1489" i="2" s="1"/>
  <c r="R1261" i="2" a="1"/>
  <c r="R1261" i="2" s="1"/>
  <c r="R855" i="2" a="1"/>
  <c r="R855" i="2" s="1"/>
  <c r="R162" i="2" a="1"/>
  <c r="R162" i="2" s="1"/>
  <c r="R1490" i="2" a="1"/>
  <c r="R1490" i="2" s="1"/>
  <c r="R880" i="2" a="1"/>
  <c r="R880" i="2" s="1"/>
  <c r="R1912" i="2" a="1"/>
  <c r="R1912" i="2" s="1"/>
  <c r="R1371" i="2" a="1"/>
  <c r="R1371" i="2" s="1"/>
  <c r="R1244" i="2" a="1"/>
  <c r="R1244" i="2" s="1"/>
  <c r="R1647" i="2" a="1"/>
  <c r="R1647" i="2" s="1"/>
  <c r="R1342" i="2" a="1"/>
  <c r="R1342" i="2" s="1"/>
  <c r="R1329" i="2" a="1"/>
  <c r="R1329" i="2" s="1"/>
  <c r="R1491" i="2" a="1"/>
  <c r="R1491" i="2" s="1"/>
  <c r="R1492" i="2" a="1"/>
  <c r="R1492" i="2" s="1"/>
  <c r="R1684" i="2" a="1"/>
  <c r="R1684" i="2" s="1"/>
  <c r="R1716" i="2" a="1"/>
  <c r="R1716" i="2" s="1"/>
  <c r="R1494" i="2" a="1"/>
  <c r="R1494" i="2" s="1"/>
  <c r="R1379" i="2" a="1"/>
  <c r="R1379" i="2" s="1"/>
  <c r="R881" i="2" a="1"/>
  <c r="R881" i="2" s="1"/>
  <c r="R1887" i="2" a="1"/>
  <c r="R1887" i="2" s="1"/>
  <c r="R1627" i="2" a="1"/>
  <c r="R1627" i="2" s="1"/>
  <c r="R1753" i="2" a="1"/>
  <c r="R1753" i="2" s="1"/>
  <c r="R1685" i="2" a="1"/>
  <c r="R1685" i="2" s="1"/>
  <c r="R1030" i="2" a="1"/>
  <c r="R1030" i="2" s="1"/>
  <c r="R421" i="2" a="1"/>
  <c r="R421" i="2" s="1"/>
  <c r="R1322" i="2" a="1"/>
  <c r="R1322" i="2" s="1"/>
  <c r="R1710" i="2" a="1"/>
  <c r="R1710" i="2" s="1"/>
  <c r="R1495" i="2" a="1"/>
  <c r="R1495" i="2" s="1"/>
  <c r="R1225" i="2" a="1"/>
  <c r="R1225" i="2" s="1"/>
  <c r="R1262" i="2" a="1"/>
  <c r="R1262" i="2" s="1"/>
  <c r="R2113" i="2" a="1"/>
  <c r="R2113" i="2" s="1"/>
  <c r="R1313" i="2" a="1"/>
  <c r="R1313" i="2" s="1"/>
  <c r="R1200" i="2" a="1"/>
  <c r="R1200" i="2" s="1"/>
  <c r="R864" i="2" a="1"/>
  <c r="R864" i="2" s="1"/>
  <c r="R1496" i="2" a="1"/>
  <c r="R1496" i="2" s="1"/>
  <c r="R1601" i="2" a="1"/>
  <c r="R1601" i="2" s="1"/>
  <c r="R1428" i="2" a="1"/>
  <c r="R1428" i="2" s="1"/>
  <c r="R1418" i="2" a="1"/>
  <c r="R1418" i="2" s="1"/>
  <c r="R266" i="2" a="1"/>
  <c r="R266" i="2" s="1"/>
  <c r="R1409" i="2" a="1"/>
  <c r="R1409" i="2" s="1"/>
  <c r="R1658" i="2" a="1"/>
  <c r="R1658" i="2" s="1"/>
  <c r="R1025" i="2" a="1"/>
  <c r="R1025" i="2" s="1"/>
  <c r="R1359" i="2" a="1"/>
  <c r="R1359" i="2" s="1"/>
  <c r="R2162" i="2" a="1"/>
  <c r="R2162" i="2" s="1"/>
  <c r="R1395" i="2" a="1"/>
  <c r="R1395" i="2" s="1"/>
  <c r="R1226" i="2" a="1"/>
  <c r="R1226" i="2" s="1"/>
  <c r="R1217" i="2" a="1"/>
  <c r="R1217" i="2" s="1"/>
  <c r="R415" i="2" a="1"/>
  <c r="R415" i="2" s="1"/>
  <c r="R1227" i="2" a="1"/>
  <c r="R1227" i="2" s="1"/>
  <c r="R1497" i="2" a="1"/>
  <c r="R1497" i="2" s="1"/>
  <c r="R1675" i="2" a="1"/>
  <c r="R1675" i="2" s="1"/>
  <c r="R1498" i="2" a="1"/>
  <c r="R1498" i="2" s="1"/>
  <c r="R1413" i="2" a="1"/>
  <c r="R1413" i="2" s="1"/>
  <c r="R1499" i="2" a="1"/>
  <c r="R1499" i="2" s="1"/>
  <c r="R1682" i="2" a="1"/>
  <c r="R1682" i="2" s="1"/>
  <c r="R1500" i="2" a="1"/>
  <c r="R1500" i="2" s="1"/>
  <c r="R1721" i="2" a="1"/>
  <c r="R1721" i="2" s="1"/>
  <c r="R390" i="2" a="1"/>
  <c r="R390" i="2" s="1"/>
  <c r="R1742" i="2" a="1"/>
  <c r="R1742" i="2" s="1"/>
  <c r="R1722" i="2" a="1"/>
  <c r="R1722" i="2" s="1"/>
  <c r="R7" i="2" a="1"/>
  <c r="R7" i="2" s="1"/>
  <c r="R1659" i="2" a="1"/>
  <c r="R1659" i="2" s="1"/>
  <c r="R1214" i="2" a="1"/>
  <c r="R1214" i="2" s="1"/>
  <c r="R1672" i="2" a="1"/>
  <c r="R1672" i="2" s="1"/>
  <c r="R1969" i="2" a="1"/>
  <c r="R1969" i="2" s="1"/>
  <c r="R2002" i="2" a="1"/>
  <c r="R2002" i="2" s="1"/>
  <c r="R144" i="2" a="1"/>
  <c r="R144" i="2" s="1"/>
  <c r="R1027" i="2" a="1"/>
  <c r="R1027" i="2" s="1"/>
  <c r="R474" i="2" a="1"/>
  <c r="R474" i="2" s="1"/>
  <c r="R1360" i="2" a="1"/>
  <c r="R1360" i="2" s="1"/>
  <c r="R1501" i="2" a="1"/>
  <c r="R1501" i="2" s="1"/>
  <c r="R1604" i="2" a="1"/>
  <c r="R1604" i="2" s="1"/>
  <c r="R267" i="2" a="1"/>
  <c r="R267" i="2" s="1"/>
  <c r="R901" i="2" a="1"/>
  <c r="R901" i="2" s="1"/>
  <c r="R1605" i="2" a="1"/>
  <c r="R1605" i="2" s="1"/>
  <c r="R1502" i="2" a="1"/>
  <c r="R1502" i="2" s="1"/>
  <c r="R1314" i="2" a="1"/>
  <c r="R1314" i="2" s="1"/>
  <c r="R1263" i="2" a="1"/>
  <c r="R1263" i="2" s="1"/>
  <c r="R1343" i="2" a="1"/>
  <c r="R1343" i="2" s="1"/>
  <c r="R2163" i="2" a="1"/>
  <c r="R2163" i="2" s="1"/>
  <c r="R268" i="2" a="1"/>
  <c r="R268" i="2" s="1"/>
  <c r="R1503" i="2" a="1"/>
  <c r="R1503" i="2" s="1"/>
  <c r="R269" i="2" a="1"/>
  <c r="R269" i="2" s="1"/>
  <c r="R1311" i="2" a="1"/>
  <c r="R1311" i="2" s="1"/>
  <c r="R375" i="2" a="1"/>
  <c r="R375" i="2" s="1"/>
  <c r="R242" i="2" a="1"/>
  <c r="R242" i="2" s="1"/>
  <c r="R611" i="2" a="1"/>
  <c r="R611" i="2" s="1"/>
  <c r="R1955" i="2" a="1"/>
  <c r="R1955" i="2" s="1"/>
  <c r="R2018" i="2" a="1"/>
  <c r="R2018" i="2" s="1"/>
  <c r="R383" i="2" a="1"/>
  <c r="R383" i="2" s="1"/>
  <c r="R2014" i="2" a="1"/>
  <c r="R2014" i="2" s="1"/>
  <c r="R1426" i="2" a="1"/>
  <c r="R1426" i="2" s="1"/>
  <c r="R1598" i="2" a="1"/>
  <c r="R1598" i="2" s="1"/>
  <c r="R2095" i="2" a="1"/>
  <c r="R2095" i="2" s="1"/>
  <c r="R2097" i="2" a="1"/>
  <c r="R2097" i="2" s="1"/>
  <c r="R1504" i="2" a="1"/>
  <c r="R1504" i="2" s="1"/>
  <c r="R1505" i="2" a="1"/>
  <c r="R1505" i="2" s="1"/>
  <c r="R1506" i="2" a="1"/>
  <c r="R1506" i="2" s="1"/>
  <c r="R2026" i="2" a="1"/>
  <c r="R2026" i="2" s="1"/>
  <c r="R1264" i="2" a="1"/>
  <c r="R1264" i="2" s="1"/>
  <c r="R1730" i="2" a="1"/>
  <c r="R1730" i="2" s="1"/>
  <c r="R1022" i="2" a="1"/>
  <c r="R1022" i="2" s="1"/>
  <c r="R1754" i="2" a="1"/>
  <c r="R1754" i="2" s="1"/>
  <c r="R1024" i="2" a="1"/>
  <c r="R1024" i="2" s="1"/>
  <c r="R1985" i="2" a="1"/>
  <c r="R1985" i="2" s="1"/>
  <c r="R1589" i="2" a="1"/>
  <c r="R1589" i="2" s="1"/>
  <c r="R1707" i="2" a="1"/>
  <c r="R1707" i="2" s="1"/>
  <c r="R1595" i="2" a="1"/>
  <c r="R1595" i="2" s="1"/>
  <c r="R1884" i="2" a="1"/>
  <c r="R1884" i="2" s="1"/>
  <c r="R1387" i="2" a="1"/>
  <c r="R1387" i="2" s="1"/>
  <c r="R1653" i="2" a="1"/>
  <c r="R1653" i="2" s="1"/>
  <c r="R2036" i="2" a="1"/>
  <c r="R2036" i="2" s="1"/>
  <c r="R1904" i="2" a="1"/>
  <c r="R1904" i="2" s="1"/>
  <c r="R1365" i="2" a="1"/>
  <c r="R1365" i="2" s="1"/>
  <c r="R1228" i="2" a="1"/>
  <c r="R1228" i="2" s="1"/>
  <c r="R1994" i="2" a="1"/>
  <c r="R1994" i="2" s="1"/>
  <c r="R1709" i="2" a="1"/>
  <c r="R1709" i="2" s="1"/>
  <c r="R2121" i="2" a="1"/>
  <c r="R2121" i="2" s="1"/>
  <c r="R1996" i="2" a="1"/>
  <c r="R1996" i="2" s="1"/>
  <c r="R2084" i="2" a="1"/>
  <c r="R2084" i="2" s="1"/>
  <c r="R2096" i="2" a="1"/>
  <c r="R2096" i="2" s="1"/>
  <c r="R1921" i="2" a="1"/>
  <c r="R1921" i="2" s="1"/>
  <c r="R1437" i="2" a="1"/>
  <c r="R1437" i="2" s="1"/>
  <c r="R1057" i="2" a="1"/>
  <c r="R1057" i="2" s="1"/>
  <c r="R2116" i="2" a="1"/>
  <c r="R2116" i="2" s="1"/>
  <c r="R1265" i="2" a="1"/>
  <c r="R1265" i="2" s="1"/>
  <c r="R1366" i="2" a="1"/>
  <c r="R1366" i="2" s="1"/>
  <c r="R400" i="2" a="1"/>
  <c r="R400" i="2" s="1"/>
  <c r="R1411" i="2" a="1"/>
  <c r="R1411" i="2" s="1"/>
  <c r="R902" i="2" a="1"/>
  <c r="R902" i="2" s="1"/>
  <c r="R2107" i="2" a="1"/>
  <c r="R2107" i="2" s="1"/>
  <c r="R1960" i="2" a="1"/>
  <c r="R1960" i="2" s="1"/>
  <c r="R2037" i="2" a="1"/>
  <c r="R2037" i="2" s="1"/>
  <c r="R2108" i="2" a="1"/>
  <c r="R2108" i="2" s="1"/>
  <c r="R2101" i="2" a="1"/>
  <c r="R2101" i="2" s="1"/>
  <c r="R1929" i="2" a="1"/>
  <c r="R1929" i="2" s="1"/>
  <c r="R924" i="2" a="1"/>
  <c r="R924" i="2" s="1"/>
  <c r="R1654" i="2" a="1"/>
  <c r="R1654" i="2" s="1"/>
  <c r="R1356" i="2" a="1"/>
  <c r="R1356" i="2" s="1"/>
  <c r="R2164" i="2" a="1"/>
  <c r="R2164" i="2" s="1"/>
  <c r="R386" i="2" a="1"/>
  <c r="R386" i="2" s="1"/>
  <c r="R392" i="2" a="1"/>
  <c r="R392" i="2" s="1"/>
  <c r="R1918" i="2" a="1"/>
  <c r="R1918" i="2" s="1"/>
  <c r="R2165" i="2" a="1"/>
  <c r="R2165" i="2" s="1"/>
  <c r="R1410" i="2" a="1"/>
  <c r="R1410" i="2" s="1"/>
  <c r="R1369" i="2" a="1"/>
  <c r="R1369" i="2" s="1"/>
  <c r="R1711" i="2" a="1"/>
  <c r="R1711" i="2" s="1"/>
  <c r="R1507" i="2" a="1"/>
  <c r="R1507" i="2" s="1"/>
  <c r="R1266" i="2" a="1"/>
  <c r="R1266" i="2" s="1"/>
  <c r="R1696" i="2" a="1"/>
  <c r="R1696" i="2" s="1"/>
  <c r="R1245" i="2" a="1"/>
  <c r="R1245" i="2" s="1"/>
  <c r="R145" i="2" a="1"/>
  <c r="R145" i="2" s="1"/>
  <c r="R1267" i="2" a="1"/>
  <c r="R1267" i="2" s="1"/>
  <c r="R1372" i="2" a="1"/>
  <c r="R1372" i="2" s="1"/>
  <c r="R112" i="2" a="1"/>
  <c r="R112" i="2" s="1"/>
  <c r="R646" i="2" a="1"/>
  <c r="R646" i="2" s="1"/>
  <c r="R270" i="2" a="1"/>
  <c r="R270" i="2" s="1"/>
  <c r="R1986" i="2" a="1"/>
  <c r="R1986" i="2" s="1"/>
  <c r="R1947" i="2" a="1"/>
  <c r="R1947" i="2" s="1"/>
  <c r="R1508" i="2" a="1"/>
  <c r="R1508" i="2" s="1"/>
  <c r="R2032" i="2" a="1"/>
  <c r="R2032" i="2" s="1"/>
  <c r="R1268" i="2" a="1"/>
  <c r="R1268" i="2" s="1"/>
  <c r="R1509" i="2" a="1"/>
  <c r="R1509" i="2" s="1"/>
  <c r="R271" i="2" a="1"/>
  <c r="R271" i="2" s="1"/>
  <c r="R1895" i="2" a="1"/>
  <c r="R1895" i="2" s="1"/>
  <c r="R1246" i="2" a="1"/>
  <c r="R1246" i="2" s="1"/>
  <c r="R272" i="2" a="1"/>
  <c r="R272" i="2" s="1"/>
  <c r="R1510" i="2" a="1"/>
  <c r="R1510" i="2" s="1"/>
  <c r="R1862" i="2" a="1"/>
  <c r="R1862" i="2" s="1"/>
  <c r="R1269" i="2" a="1"/>
  <c r="R1269" i="2" s="1"/>
  <c r="R1783" i="2" a="1"/>
  <c r="R1783" i="2" s="1"/>
  <c r="R1201" i="2" a="1"/>
  <c r="R1201" i="2" s="1"/>
  <c r="R163" i="2" a="1"/>
  <c r="R163" i="2" s="1"/>
  <c r="R406" i="2" a="1"/>
  <c r="R406" i="2" s="1"/>
  <c r="R2166" i="2" a="1"/>
  <c r="R2166" i="2" s="1"/>
  <c r="R903" i="2" a="1"/>
  <c r="R903" i="2" s="1"/>
  <c r="R319" i="2" a="1"/>
  <c r="R319" i="2" s="1"/>
  <c r="R1511" i="2" a="1"/>
  <c r="R1511" i="2" s="1"/>
  <c r="R1645" i="2" a="1"/>
  <c r="R1645" i="2" s="1"/>
  <c r="R476" i="2" a="1"/>
  <c r="R476" i="2" s="1"/>
  <c r="R882" i="2" a="1"/>
  <c r="R882" i="2" s="1"/>
  <c r="R1183" i="2" a="1"/>
  <c r="R1183" i="2" s="1"/>
  <c r="R1652" i="2" a="1"/>
  <c r="R1652" i="2" s="1"/>
  <c r="R1863" i="2" a="1"/>
  <c r="R1863" i="2" s="1"/>
  <c r="R1942" i="2" a="1"/>
  <c r="R1942" i="2" s="1"/>
  <c r="R1646" i="2" a="1"/>
  <c r="R1646" i="2" s="1"/>
  <c r="R1631" i="2" a="1"/>
  <c r="R1631" i="2" s="1"/>
  <c r="R1512" i="2" a="1"/>
  <c r="R1512" i="2" s="1"/>
  <c r="R1513" i="2" a="1"/>
  <c r="R1513" i="2" s="1"/>
  <c r="R1661" i="2" a="1"/>
  <c r="R1661" i="2" s="1"/>
  <c r="R1514" i="2" a="1"/>
  <c r="R1514" i="2" s="1"/>
  <c r="R1515" i="2" a="1"/>
  <c r="R1515" i="2" s="1"/>
  <c r="R1396" i="2" a="1"/>
  <c r="R1396" i="2" s="1"/>
  <c r="R1419" i="2" a="1"/>
  <c r="R1419" i="2" s="1"/>
  <c r="R1424" i="2" a="1"/>
  <c r="R1424" i="2" s="1"/>
  <c r="R928" i="2" a="1"/>
  <c r="R928" i="2" s="1"/>
  <c r="R1270" i="2" a="1"/>
  <c r="R1270" i="2" s="1"/>
  <c r="R1644" i="2" a="1"/>
  <c r="R1644" i="2" s="1"/>
  <c r="R2122" i="2" a="1"/>
  <c r="R2122" i="2" s="1"/>
  <c r="R1345" i="2" a="1"/>
  <c r="R1345" i="2" s="1"/>
  <c r="R1054" i="2" a="1"/>
  <c r="R1054" i="2" s="1"/>
  <c r="R273" i="2" a="1"/>
  <c r="R273" i="2" s="1"/>
  <c r="R1744" i="2" a="1"/>
  <c r="R1744" i="2" s="1"/>
  <c r="R1218" i="2" a="1"/>
  <c r="R1218" i="2" s="1"/>
  <c r="R1899" i="2" a="1"/>
  <c r="R1899" i="2" s="1"/>
  <c r="R1516" i="2" a="1"/>
  <c r="R1516" i="2" s="1"/>
  <c r="R865" i="2" a="1"/>
  <c r="R865" i="2" s="1"/>
  <c r="R1517" i="2" a="1"/>
  <c r="R1517" i="2" s="1"/>
  <c r="R243" i="2" a="1"/>
  <c r="R243" i="2" s="1"/>
  <c r="R1518" i="2" a="1"/>
  <c r="R1518" i="2" s="1"/>
  <c r="R1519" i="2" a="1"/>
  <c r="R1519" i="2" s="1"/>
  <c r="R1669" i="2" a="1"/>
  <c r="R1669" i="2" s="1"/>
  <c r="R1520" i="2" a="1"/>
  <c r="R1520" i="2" s="1"/>
  <c r="R1679" i="2" a="1"/>
  <c r="R1679" i="2" s="1"/>
  <c r="R1630" i="2" a="1"/>
  <c r="R1630" i="2" s="1"/>
  <c r="R1898" i="2" a="1"/>
  <c r="R1898" i="2" s="1"/>
  <c r="R1617" i="2" a="1"/>
  <c r="R1617" i="2" s="1"/>
  <c r="R1427" i="2" a="1"/>
  <c r="R1427" i="2" s="1"/>
  <c r="R1668" i="2" a="1"/>
  <c r="R1668" i="2" s="1"/>
  <c r="R1521" i="2" a="1"/>
  <c r="R1521" i="2" s="1"/>
  <c r="R1592" i="2" a="1"/>
  <c r="R1592" i="2" s="1"/>
  <c r="R1656" i="2" a="1"/>
  <c r="R1656" i="2" s="1"/>
  <c r="R1755" i="2" a="1"/>
  <c r="R1755" i="2" s="1"/>
  <c r="R1247" i="2" a="1"/>
  <c r="R1247" i="2" s="1"/>
  <c r="R1155" i="2" a="1"/>
  <c r="R1155" i="2" s="1"/>
  <c r="R1184" i="2" a="1"/>
  <c r="R1184" i="2" s="1"/>
  <c r="R2074" i="2" a="1"/>
  <c r="R2074" i="2" s="1"/>
  <c r="R1522" i="2" a="1"/>
  <c r="R1522" i="2" s="1"/>
  <c r="R1523" i="2" a="1"/>
  <c r="R1523" i="2" s="1"/>
  <c r="R742" i="2" a="1"/>
  <c r="R742" i="2" s="1"/>
  <c r="R475" i="2" a="1"/>
  <c r="R475" i="2" s="1"/>
  <c r="R2167" i="2" a="1"/>
  <c r="R2167" i="2" s="1"/>
  <c r="R1420" i="2" a="1"/>
  <c r="R1420" i="2" s="1"/>
  <c r="R883" i="2" a="1"/>
  <c r="R883" i="2" s="1"/>
  <c r="R647" i="2" a="1"/>
  <c r="R647" i="2" s="1"/>
  <c r="R174" i="2" a="1"/>
  <c r="R174" i="2" s="1"/>
  <c r="R244" i="2" a="1"/>
  <c r="R244" i="2" s="1"/>
  <c r="R2041" i="2" a="1"/>
  <c r="R2041" i="2" s="1"/>
  <c r="R1635" i="2" a="1"/>
  <c r="R1635" i="2" s="1"/>
  <c r="R394" i="2" a="1"/>
  <c r="R394" i="2" s="1"/>
  <c r="R1391" i="2" a="1"/>
  <c r="R1391" i="2" s="1"/>
  <c r="R1648" i="2" a="1"/>
  <c r="R1648" i="2" s="1"/>
  <c r="R1441" i="2" a="1"/>
  <c r="R1441" i="2" s="1"/>
  <c r="R1361" i="2" a="1"/>
  <c r="R1361" i="2" s="1"/>
  <c r="R1362" i="2" a="1"/>
  <c r="R1362" i="2" s="1"/>
  <c r="R904" i="2" a="1"/>
  <c r="R904" i="2" s="1"/>
  <c r="R1202" i="2" a="1"/>
  <c r="R1202" i="2" s="1"/>
  <c r="R1400" i="2" a="1"/>
  <c r="R1400" i="2" s="1"/>
  <c r="R1524" i="2" a="1"/>
  <c r="R1524" i="2" s="1"/>
  <c r="R146" i="2" a="1"/>
  <c r="R146" i="2" s="1"/>
  <c r="R648" i="2" a="1"/>
  <c r="R648" i="2" s="1"/>
  <c r="R1229" i="2" a="1"/>
  <c r="R1229" i="2" s="1"/>
  <c r="R1271" i="2" a="1"/>
  <c r="R1271" i="2" s="1"/>
  <c r="R884" i="2" a="1"/>
  <c r="R884" i="2" s="1"/>
  <c r="R1525" i="2" a="1"/>
  <c r="R1525" i="2" s="1"/>
  <c r="R1642" i="2" a="1"/>
  <c r="R1642" i="2" s="1"/>
  <c r="R1769" i="2" a="1"/>
  <c r="R1769" i="2" s="1"/>
  <c r="R1272" i="2" a="1"/>
  <c r="R1272" i="2" s="1"/>
  <c r="R1203" i="2" a="1"/>
  <c r="R1203" i="2" s="1"/>
  <c r="R1397" i="2" a="1"/>
  <c r="R1397" i="2" s="1"/>
  <c r="R649" i="2" a="1"/>
  <c r="R649" i="2" s="1"/>
  <c r="R1230" i="2" a="1"/>
  <c r="R1230" i="2" s="1"/>
  <c r="R1352" i="2" a="1"/>
  <c r="R1352" i="2" s="1"/>
  <c r="R1718" i="2" a="1"/>
  <c r="R1718" i="2" s="1"/>
  <c r="R1784" i="2" a="1"/>
  <c r="R1784" i="2" s="1"/>
  <c r="R1273" i="2" a="1"/>
  <c r="R1273" i="2" s="1"/>
  <c r="R885" i="2" a="1"/>
  <c r="R885" i="2" s="1"/>
  <c r="R2168" i="2" a="1"/>
  <c r="R2168" i="2" s="1"/>
  <c r="R2169" i="2" a="1"/>
  <c r="R2169" i="2" s="1"/>
  <c r="R274" i="2" a="1"/>
  <c r="R274" i="2" s="1"/>
  <c r="R1526" i="2" a="1"/>
  <c r="R1526" i="2" s="1"/>
  <c r="R1185" i="2" a="1"/>
  <c r="R1185" i="2" s="1"/>
  <c r="R164" i="2" a="1"/>
  <c r="R164" i="2" s="1"/>
  <c r="R1315" i="2" a="1"/>
  <c r="R1315" i="2" s="1"/>
  <c r="R1674" i="2" a="1"/>
  <c r="R1674" i="2" s="1"/>
  <c r="R1300" i="2" a="1"/>
  <c r="R1300" i="2" s="1"/>
  <c r="R2012" i="2" a="1"/>
  <c r="R2012" i="2" s="1"/>
  <c r="R2170" i="2" a="1"/>
  <c r="R2170" i="2" s="1"/>
  <c r="R2049" i="2" a="1"/>
  <c r="R2049" i="2" s="1"/>
  <c r="R1626" i="2" a="1"/>
  <c r="R1626" i="2" s="1"/>
  <c r="R1527" i="2" a="1"/>
  <c r="R1527" i="2" s="1"/>
  <c r="R1901" i="2" a="1"/>
  <c r="R1901" i="2" s="1"/>
  <c r="R1770" i="2" a="1"/>
  <c r="R1770" i="2" s="1"/>
  <c r="R1373" i="2" a="1"/>
  <c r="R1373" i="2" s="1"/>
  <c r="R1374" i="2" a="1"/>
  <c r="R1374" i="2" s="1"/>
  <c r="R541" i="2" a="1"/>
  <c r="R541" i="2" s="1"/>
  <c r="R1877" i="2" a="1"/>
  <c r="R1877" i="2" s="1"/>
  <c r="R275" i="2" a="1"/>
  <c r="R275" i="2" s="1"/>
  <c r="R1528" i="2" a="1"/>
  <c r="R1528" i="2" s="1"/>
  <c r="R1926" i="2" a="1"/>
  <c r="R1926" i="2" s="1"/>
  <c r="R1529" i="2" a="1"/>
  <c r="R1529" i="2" s="1"/>
  <c r="R1858" i="2" a="1"/>
  <c r="R1858" i="2" s="1"/>
  <c r="R1382" i="2" a="1"/>
  <c r="R1382" i="2" s="1"/>
  <c r="R1274" i="2" a="1"/>
  <c r="R1274" i="2" s="1"/>
  <c r="R1530" i="2" a="1"/>
  <c r="R1530" i="2" s="1"/>
  <c r="R276" i="2" a="1"/>
  <c r="R276" i="2" s="1"/>
  <c r="R389" i="2" a="1"/>
  <c r="R389" i="2" s="1"/>
  <c r="R1026" i="2" a="1"/>
  <c r="R1026" i="2" s="1"/>
  <c r="R456" i="2" a="1"/>
  <c r="R456" i="2" s="1"/>
  <c r="R1771" i="2" a="1"/>
  <c r="R1771" i="2" s="1"/>
  <c r="R1531" i="2" a="1"/>
  <c r="R1531" i="2" s="1"/>
  <c r="R1000" i="2" a="1"/>
  <c r="R1000" i="2" s="1"/>
  <c r="R277" i="2" a="1"/>
  <c r="R277" i="2" s="1"/>
  <c r="R1275" i="2" a="1"/>
  <c r="R1275" i="2" s="1"/>
  <c r="R1177" i="2" a="1"/>
  <c r="R1177" i="2" s="1"/>
  <c r="R1415" i="2" a="1"/>
  <c r="R1415" i="2" s="1"/>
  <c r="R2120" i="2" a="1"/>
  <c r="R2120" i="2" s="1"/>
  <c r="R416" i="2" a="1"/>
  <c r="R416" i="2" s="1"/>
  <c r="R1431" i="2" a="1"/>
  <c r="R1431" i="2" s="1"/>
  <c r="R155" i="2" a="1"/>
  <c r="R155" i="2" s="1"/>
  <c r="R1029" i="2" a="1"/>
  <c r="R1029" i="2" s="1"/>
  <c r="R1745" i="2" a="1"/>
  <c r="R1745" i="2" s="1"/>
  <c r="R1762" i="2" a="1"/>
  <c r="R1762" i="2" s="1"/>
  <c r="R927" i="2" a="1"/>
  <c r="R927" i="2" s="1"/>
  <c r="R1532" i="2" a="1"/>
  <c r="R1532" i="2" s="1"/>
  <c r="R1276" i="2" a="1"/>
  <c r="R1276" i="2" s="1"/>
  <c r="R1934" i="2" a="1"/>
  <c r="R1934" i="2" s="1"/>
  <c r="R2109" i="2" a="1"/>
  <c r="R2109" i="2" s="1"/>
  <c r="R650" i="2" a="1"/>
  <c r="R650" i="2" s="1"/>
  <c r="R1613" i="2" a="1"/>
  <c r="R1613" i="2" s="1"/>
  <c r="R2171" i="2" a="1"/>
  <c r="R2171" i="2" s="1"/>
  <c r="R1785" i="2" a="1"/>
  <c r="R1785" i="2" s="1"/>
  <c r="R1168" i="2" a="1"/>
  <c r="R1168" i="2" s="1"/>
  <c r="R1277" i="2" a="1"/>
  <c r="R1277" i="2" s="1"/>
  <c r="R1533" i="2" a="1"/>
  <c r="R1533" i="2" s="1"/>
  <c r="R1946" i="2" a="1"/>
  <c r="R1946" i="2" s="1"/>
  <c r="R886" i="2" a="1"/>
  <c r="R886" i="2" s="1"/>
  <c r="R905" i="2" a="1"/>
  <c r="R905" i="2" s="1"/>
  <c r="R356" i="2" a="1"/>
  <c r="R356" i="2" s="1"/>
  <c r="R165" i="2" a="1"/>
  <c r="R165" i="2" s="1"/>
  <c r="R1907" i="2" a="1"/>
  <c r="R1907" i="2" s="1"/>
  <c r="R363" i="2" a="1"/>
  <c r="R363" i="2" s="1"/>
  <c r="R417" i="2" a="1"/>
  <c r="R417" i="2" s="1"/>
  <c r="R1534" i="2" a="1"/>
  <c r="R1534" i="2" s="1"/>
  <c r="R1278" i="2" a="1"/>
  <c r="R1278" i="2" s="1"/>
  <c r="R1633" i="2" a="1"/>
  <c r="R1633" i="2" s="1"/>
  <c r="R156" i="2" a="1"/>
  <c r="R156" i="2" s="1"/>
  <c r="R1279" i="2" a="1"/>
  <c r="R1279" i="2" s="1"/>
  <c r="R887" i="2" a="1"/>
  <c r="R887" i="2" s="1"/>
  <c r="R1864" i="2" a="1"/>
  <c r="R1864" i="2" s="1"/>
  <c r="R1248" i="2" a="1"/>
  <c r="R1248" i="2" s="1"/>
  <c r="R1535" i="2" a="1"/>
  <c r="R1535" i="2" s="1"/>
  <c r="R1536" i="2" a="1"/>
  <c r="R1536" i="2" s="1"/>
  <c r="R1725" i="2" a="1"/>
  <c r="R1725" i="2" s="1"/>
  <c r="R1154" i="2" a="1"/>
  <c r="R1154" i="2" s="1"/>
  <c r="R1433" i="2" a="1"/>
  <c r="R1433" i="2" s="1"/>
  <c r="R1363" i="2" a="1"/>
  <c r="R1363" i="2" s="1"/>
  <c r="R1869" i="2" a="1"/>
  <c r="R1869" i="2" s="1"/>
  <c r="R1772" i="2" a="1"/>
  <c r="R1772" i="2" s="1"/>
  <c r="R473" i="2" a="1"/>
  <c r="R473" i="2" s="1"/>
  <c r="R2053" i="2" a="1"/>
  <c r="R2053" i="2" s="1"/>
  <c r="R1537" i="2" a="1"/>
  <c r="R1537" i="2" s="1"/>
  <c r="R1773" i="2" a="1"/>
  <c r="R1773" i="2" s="1"/>
  <c r="R1367" i="2" a="1"/>
  <c r="R1367" i="2" s="1"/>
  <c r="R278" i="2" a="1"/>
  <c r="R278" i="2" s="1"/>
  <c r="R1881" i="2" a="1"/>
  <c r="R1881" i="2" s="1"/>
  <c r="R1249" i="2" a="1"/>
  <c r="R1249" i="2" s="1"/>
  <c r="R1204" i="2" a="1"/>
  <c r="R1204" i="2" s="1"/>
  <c r="R1883" i="2" a="1"/>
  <c r="R1883" i="2" s="1"/>
  <c r="R1186" i="2" a="1"/>
  <c r="R1186" i="2" s="1"/>
  <c r="R418" i="2" a="1"/>
  <c r="R418" i="2" s="1"/>
  <c r="R1442" i="2" a="1"/>
  <c r="R1442" i="2" s="1"/>
  <c r="R1634" i="2" a="1"/>
  <c r="R1634" i="2" s="1"/>
  <c r="R245" i="2" a="1"/>
  <c r="R245" i="2" s="1"/>
  <c r="R1651" i="2" a="1"/>
  <c r="R1651" i="2" s="1"/>
  <c r="R1205" i="2" a="1"/>
  <c r="R1205" i="2" s="1"/>
  <c r="R166" i="2" a="1"/>
  <c r="R166" i="2" s="1"/>
  <c r="R147" i="2" a="1"/>
  <c r="R147" i="2" s="1"/>
  <c r="R1865" i="2" a="1"/>
  <c r="R1865" i="2" s="1"/>
  <c r="R2114" i="2" a="1"/>
  <c r="R2114" i="2" s="1"/>
  <c r="R1902" i="2" a="1"/>
  <c r="R1902" i="2" s="1"/>
  <c r="R888" i="2" a="1"/>
  <c r="R888" i="2" s="1"/>
  <c r="R889" i="2" a="1"/>
  <c r="R889" i="2" s="1"/>
  <c r="R1623" i="2" a="1"/>
  <c r="R1623" i="2" s="1"/>
  <c r="R1538" i="2" a="1"/>
  <c r="R1538" i="2" s="1"/>
  <c r="R1231" i="2" a="1"/>
  <c r="R1231" i="2" s="1"/>
  <c r="R651" i="2" a="1"/>
  <c r="R651" i="2" s="1"/>
  <c r="R1394" i="2" a="1"/>
  <c r="R1394" i="2" s="1"/>
  <c r="R1389" i="2" a="1"/>
  <c r="R1389" i="2" s="1"/>
  <c r="R652" i="2" a="1"/>
  <c r="R652" i="2" s="1"/>
  <c r="R1643" i="2" a="1"/>
  <c r="R1643" i="2" s="1"/>
  <c r="R1386" i="2" a="1"/>
  <c r="R1386" i="2" s="1"/>
  <c r="R1432" i="2" a="1"/>
  <c r="R1432" i="2" s="1"/>
  <c r="R1316" i="2" a="1"/>
  <c r="R1316" i="2" s="1"/>
  <c r="R1206" i="2" a="1"/>
  <c r="R1206" i="2" s="1"/>
  <c r="R1539" i="2" a="1"/>
  <c r="R1539" i="2" s="1"/>
  <c r="R1540" i="2" a="1"/>
  <c r="R1540" i="2" s="1"/>
  <c r="R1328" i="2" a="1"/>
  <c r="R1328" i="2" s="1"/>
  <c r="R1333" i="2" a="1"/>
  <c r="R1333" i="2" s="1"/>
  <c r="R478" i="2" a="1"/>
  <c r="R478" i="2" s="1"/>
  <c r="R1541" i="2" a="1"/>
  <c r="R1541" i="2" s="1"/>
  <c r="R1219" i="2" a="1"/>
  <c r="R1219" i="2" s="1"/>
  <c r="R1694" i="2" a="1"/>
  <c r="R1694" i="2" s="1"/>
  <c r="R1187" i="2" a="1"/>
  <c r="R1187" i="2" s="1"/>
  <c r="R1376" i="2" a="1"/>
  <c r="R1376" i="2" s="1"/>
  <c r="R523" i="2" a="1"/>
  <c r="R523" i="2" s="1"/>
  <c r="R1542" i="2" a="1"/>
  <c r="R1542" i="2" s="1"/>
  <c r="R1543" i="2" a="1"/>
  <c r="R1543" i="2" s="1"/>
  <c r="R995" i="2" a="1"/>
  <c r="R995" i="2" s="1"/>
  <c r="R1544" i="2" a="1"/>
  <c r="R1544" i="2" s="1"/>
  <c r="R1250" i="2" a="1"/>
  <c r="R1250" i="2" s="1"/>
  <c r="R1545" i="2" a="1"/>
  <c r="R1545" i="2" s="1"/>
  <c r="R1612" i="2" a="1"/>
  <c r="R1612" i="2" s="1"/>
  <c r="R1280" i="2" a="1"/>
  <c r="R1280" i="2" s="1"/>
  <c r="R1335" i="2" a="1"/>
  <c r="R1335" i="2" s="1"/>
  <c r="R1741" i="2" a="1"/>
  <c r="R1741" i="2" s="1"/>
  <c r="R1786" i="2" a="1"/>
  <c r="R1786" i="2" s="1"/>
  <c r="R1997" i="2" a="1"/>
  <c r="R1997" i="2" s="1"/>
  <c r="R890" i="2" a="1"/>
  <c r="R890" i="2" s="1"/>
  <c r="R157" i="2" a="1"/>
  <c r="R157" i="2" s="1"/>
  <c r="R1357" i="2" a="1"/>
  <c r="R1357" i="2" s="1"/>
  <c r="R2117" i="2" a="1"/>
  <c r="R2117" i="2" s="1"/>
  <c r="R1638" i="2" a="1"/>
  <c r="R1638" i="2" s="1"/>
  <c r="R1336" i="2" a="1"/>
  <c r="R1336" i="2" s="1"/>
  <c r="R2129" i="2" a="1"/>
  <c r="R2129" i="2" s="1"/>
  <c r="R1405" i="2" a="1"/>
  <c r="R1405" i="2" s="1"/>
  <c r="R1353" i="2" a="1"/>
  <c r="R1353" i="2" s="1"/>
  <c r="R424" i="2" a="1"/>
  <c r="R424" i="2" s="1"/>
  <c r="R1281" i="2" a="1"/>
  <c r="R1281" i="2" s="1"/>
  <c r="R1435" i="2" a="1"/>
  <c r="R1435" i="2" s="1"/>
  <c r="R1282" i="2" a="1"/>
  <c r="R1282" i="2" s="1"/>
  <c r="R1546" i="2" a="1"/>
  <c r="R1546" i="2" s="1"/>
  <c r="R1283" i="2" a="1"/>
  <c r="R1283" i="2" s="1"/>
  <c r="R1402" i="2" a="1"/>
  <c r="R1402" i="2" s="1"/>
  <c r="R906" i="2" a="1"/>
  <c r="R906" i="2" s="1"/>
  <c r="R1284" i="2" a="1"/>
  <c r="R1284" i="2" s="1"/>
  <c r="R1547" i="2" a="1"/>
  <c r="R1547" i="2" s="1"/>
  <c r="R1548" i="2" a="1"/>
  <c r="R1548" i="2" s="1"/>
  <c r="R1440" i="2" a="1"/>
  <c r="R1440" i="2" s="1"/>
  <c r="R279" i="2" a="1"/>
  <c r="R279" i="2" s="1"/>
  <c r="R1285" i="2" a="1"/>
  <c r="R1285" i="2" s="1"/>
  <c r="R1549" i="2" a="1"/>
  <c r="R1549" i="2" s="1"/>
  <c r="R1747" i="2" a="1"/>
  <c r="R1747" i="2" s="1"/>
  <c r="R1663" i="2" a="1"/>
  <c r="R1663" i="2" s="1"/>
  <c r="R196" i="2" a="1"/>
  <c r="R196" i="2" s="1"/>
  <c r="R1889" i="2" a="1"/>
  <c r="R1889" i="2" s="1"/>
  <c r="R1207" i="2" a="1"/>
  <c r="R1207" i="2" s="1"/>
  <c r="R1550" i="2" a="1"/>
  <c r="R1550" i="2" s="1"/>
  <c r="R1299" i="2" a="1"/>
  <c r="R1299" i="2" s="1"/>
  <c r="R1641" i="2" a="1"/>
  <c r="R1641" i="2" s="1"/>
  <c r="R1551" i="2" a="1"/>
  <c r="R1551" i="2" s="1"/>
  <c r="R1621" i="2" a="1"/>
  <c r="R1621" i="2" s="1"/>
  <c r="R538" i="2" a="1"/>
  <c r="R538" i="2" s="1"/>
  <c r="R167" i="2" a="1"/>
  <c r="R167" i="2" s="1"/>
  <c r="R1763" i="2" a="1"/>
  <c r="R1763" i="2" s="1"/>
  <c r="R1552" i="2" a="1"/>
  <c r="R1552" i="2" s="1"/>
  <c r="R1999" i="2" a="1"/>
  <c r="R1999" i="2" s="1"/>
  <c r="R1323" i="2" a="1"/>
  <c r="R1323" i="2" s="1"/>
  <c r="R1692" i="2" a="1"/>
  <c r="R1692" i="2" s="1"/>
  <c r="R1667" i="2" a="1"/>
  <c r="R1667" i="2" s="1"/>
  <c r="R1286" i="2" a="1"/>
  <c r="R1286" i="2" s="1"/>
  <c r="R539" i="2" a="1"/>
  <c r="R539" i="2" s="1"/>
  <c r="R891" i="2" a="1"/>
  <c r="R891" i="2" s="1"/>
  <c r="R1287" i="2" a="1"/>
  <c r="R1287" i="2" s="1"/>
  <c r="R1596" i="2" a="1"/>
  <c r="R1596" i="2" s="1"/>
  <c r="R1553" i="2" a="1"/>
  <c r="R1553" i="2" s="1"/>
  <c r="R1344" i="2" a="1"/>
  <c r="R1344" i="2" s="1"/>
  <c r="R1301" i="2" a="1"/>
  <c r="R1301" i="2" s="1"/>
  <c r="R1288" i="2" a="1"/>
  <c r="R1288" i="2" s="1"/>
  <c r="R1554" i="2" a="1"/>
  <c r="R1554" i="2" s="1"/>
  <c r="R1555" i="2" a="1"/>
  <c r="R1555" i="2" s="1"/>
  <c r="R1188" i="2" a="1"/>
  <c r="R1188" i="2" s="1"/>
  <c r="R1189" i="2" a="1"/>
  <c r="R1189" i="2" s="1"/>
  <c r="R545" i="2" a="1"/>
  <c r="R545" i="2" s="1"/>
  <c r="R1774" i="2" a="1"/>
  <c r="R1774" i="2" s="1"/>
  <c r="R1556" i="2" a="1"/>
  <c r="R1556" i="2" s="1"/>
  <c r="R1557" i="2" a="1"/>
  <c r="R1557" i="2" s="1"/>
  <c r="R158" i="2" a="1"/>
  <c r="R158" i="2" s="1"/>
  <c r="R1289" i="2" a="1"/>
  <c r="R1289" i="2" s="1"/>
  <c r="R2137" i="2" a="1"/>
  <c r="R2137" i="2" s="1"/>
  <c r="R907" i="2" a="1"/>
  <c r="R907" i="2" s="1"/>
  <c r="R407" i="2" a="1"/>
  <c r="R407" i="2" s="1"/>
  <c r="R1704" i="2" a="1"/>
  <c r="R1704" i="2" s="1"/>
  <c r="R1558" i="2" a="1"/>
  <c r="R1558" i="2" s="1"/>
  <c r="R734" i="2" a="1"/>
  <c r="R734" i="2" s="1"/>
  <c r="R1384" i="2" a="1"/>
  <c r="R1384" i="2" s="1"/>
  <c r="R366" i="2" a="1"/>
  <c r="R366" i="2" s="1"/>
  <c r="R1208" i="2" a="1"/>
  <c r="R1208" i="2" s="1"/>
  <c r="R1290" i="2" a="1"/>
  <c r="R1290" i="2" s="1"/>
  <c r="R408" i="2" a="1"/>
  <c r="R408" i="2" s="1"/>
  <c r="R409" i="2" a="1"/>
  <c r="R409" i="2" s="1"/>
  <c r="R1291" i="2" a="1"/>
  <c r="R1291" i="2" s="1"/>
  <c r="R2083" i="2" a="1"/>
  <c r="R2083" i="2" s="1"/>
  <c r="R2006" i="2" a="1"/>
  <c r="R2006" i="2" s="1"/>
  <c r="R2047" i="2" a="1"/>
  <c r="R2047" i="2" s="1"/>
  <c r="R2008" i="2" a="1"/>
  <c r="R2008" i="2" s="1"/>
  <c r="R1209" i="2" a="1"/>
  <c r="R1209" i="2" s="1"/>
  <c r="R1312" i="2" a="1"/>
  <c r="R1312" i="2" s="1"/>
  <c r="R1867" i="2" a="1"/>
  <c r="R1867" i="2" s="1"/>
  <c r="R1559" i="2" a="1"/>
  <c r="R1559" i="2" s="1"/>
  <c r="R1001" i="2" a="1"/>
  <c r="R1001" i="2" s="1"/>
  <c r="R1671" i="2" a="1"/>
  <c r="R1671" i="2" s="1"/>
  <c r="R1388" i="2" a="1"/>
  <c r="R1388" i="2" s="1"/>
  <c r="R410" i="2" a="1"/>
  <c r="R410" i="2" s="1"/>
  <c r="R866" i="2" a="1"/>
  <c r="R866" i="2" s="1"/>
  <c r="R1560" i="2" a="1"/>
  <c r="R1560" i="2" s="1"/>
  <c r="R892" i="2" a="1"/>
  <c r="R892" i="2" s="1"/>
  <c r="R1756" i="2" a="1"/>
  <c r="R1756" i="2" s="1"/>
  <c r="R1731" i="2" a="1"/>
  <c r="R1731" i="2" s="1"/>
  <c r="R1561" i="2" a="1"/>
  <c r="R1561" i="2" s="1"/>
  <c r="R1775" i="2" a="1"/>
  <c r="R1775" i="2" s="1"/>
  <c r="R2128" i="2" a="1"/>
  <c r="R2128" i="2" s="1"/>
  <c r="R1220" i="2" a="1"/>
  <c r="R1220" i="2" s="1"/>
  <c r="R1292" i="2" a="1"/>
  <c r="R1292" i="2" s="1"/>
  <c r="R1935" i="2" a="1"/>
  <c r="R1935" i="2" s="1"/>
  <c r="R1872" i="2" a="1"/>
  <c r="R1872" i="2" s="1"/>
  <c r="R1905" i="2" a="1"/>
  <c r="R1905" i="2" s="1"/>
  <c r="R1936" i="2" a="1"/>
  <c r="R1936" i="2" s="1"/>
  <c r="R280" i="2" a="1"/>
  <c r="R280" i="2" s="1"/>
  <c r="R1562" i="2" a="1"/>
  <c r="R1562" i="2" s="1"/>
  <c r="R1293" i="2" a="1"/>
  <c r="R1293" i="2" s="1"/>
  <c r="R1859" i="2" a="1"/>
  <c r="R1859" i="2" s="1"/>
  <c r="R2088" i="2" a="1"/>
  <c r="R2088" i="2" s="1"/>
  <c r="R411" i="2" a="1"/>
  <c r="R411" i="2" s="1"/>
  <c r="R1443" i="2" a="1"/>
  <c r="R1443" i="2" s="1"/>
  <c r="R1639" i="2" a="1"/>
  <c r="R1639" i="2" s="1"/>
  <c r="R1764" i="2" a="1"/>
  <c r="R1764" i="2" s="1"/>
  <c r="R1170" i="2" a="1"/>
  <c r="R1170" i="2" s="1"/>
  <c r="R1350" i="2" a="1"/>
  <c r="R1350" i="2" s="1"/>
  <c r="R364" i="2" a="1"/>
  <c r="R364" i="2" s="1"/>
  <c r="R1607" i="2" a="1"/>
  <c r="R1607" i="2" s="1"/>
  <c r="R1190" i="2" a="1"/>
  <c r="R1190" i="2" s="1"/>
  <c r="R570" i="2" a="1"/>
  <c r="R570" i="2" s="1"/>
  <c r="R1421" i="2" a="1"/>
  <c r="R1421" i="2" s="1"/>
  <c r="R1563" i="2" a="1"/>
  <c r="R1563" i="2" s="1"/>
  <c r="R1294" i="2" a="1"/>
  <c r="R1294" i="2" s="1"/>
  <c r="R1221" i="2" a="1"/>
  <c r="R1221" i="2" s="1"/>
  <c r="R1564" i="2" a="1"/>
  <c r="R1564" i="2" s="1"/>
  <c r="R1338" i="2" a="1"/>
  <c r="R1338" i="2" s="1"/>
  <c r="R1620" i="2" a="1"/>
  <c r="R1620" i="2" s="1"/>
  <c r="R893" i="2" a="1"/>
  <c r="R893" i="2" s="1"/>
  <c r="R1928" i="2" a="1"/>
  <c r="R1928" i="2" s="1"/>
  <c r="R1717" i="2" a="1"/>
  <c r="R1717" i="2" s="1"/>
  <c r="R1748" i="2" a="1"/>
  <c r="R1748" i="2" s="1"/>
  <c r="R148" i="2" a="1"/>
  <c r="R148" i="2" s="1"/>
  <c r="R1031" i="2" a="1"/>
  <c r="R1031" i="2" s="1"/>
  <c r="R320" i="2" a="1"/>
  <c r="R320" i="2" s="1"/>
  <c r="R1886" i="2" a="1"/>
  <c r="R1886" i="2" s="1"/>
  <c r="R894" i="2" a="1"/>
  <c r="R894" i="2" s="1"/>
  <c r="R2110" i="2" a="1"/>
  <c r="R2110" i="2" s="1"/>
  <c r="R1251" i="2" a="1"/>
  <c r="R1251" i="2" s="1"/>
  <c r="R149" i="2" a="1"/>
  <c r="R149" i="2" s="1"/>
  <c r="R1919" i="2" a="1"/>
  <c r="R1919" i="2" s="1"/>
  <c r="R2098" i="2" a="1"/>
  <c r="R2098" i="2" s="1"/>
  <c r="R1909" i="2" a="1"/>
  <c r="R1909" i="2" s="1"/>
  <c r="R1726" i="2" a="1"/>
  <c r="R1726" i="2" s="1"/>
  <c r="R1873" i="2" a="1"/>
  <c r="R1873" i="2" s="1"/>
  <c r="R387" i="2" a="1"/>
  <c r="R387" i="2" s="1"/>
  <c r="R2072" i="2" a="1"/>
  <c r="R2072" i="2" s="1"/>
  <c r="R1358" i="2" a="1"/>
  <c r="R1358" i="2" s="1"/>
  <c r="R1565" i="2" a="1"/>
  <c r="R1565" i="2" s="1"/>
  <c r="R150" i="2" a="1"/>
  <c r="R150" i="2" s="1"/>
  <c r="R2007" i="2" a="1"/>
  <c r="R2007" i="2" s="1"/>
  <c r="R1871" i="2" a="1"/>
  <c r="R1871" i="2" s="1"/>
  <c r="R908" i="2" a="1"/>
  <c r="R908" i="2" s="1"/>
  <c r="R1324" i="2" a="1"/>
  <c r="R1324" i="2" s="1"/>
  <c r="R391" i="2" a="1"/>
  <c r="R391" i="2" s="1"/>
  <c r="R1210" i="2" a="1"/>
  <c r="R1210" i="2" s="1"/>
  <c r="R1295" i="2" a="1"/>
  <c r="R1295" i="2" s="1"/>
  <c r="R895" i="2" a="1"/>
  <c r="R895" i="2" s="1"/>
  <c r="R1383" i="2" a="1"/>
  <c r="R1383" i="2" s="1"/>
  <c r="R896" i="2" a="1"/>
  <c r="R896" i="2" s="1"/>
  <c r="R398" i="2" a="1"/>
  <c r="R398" i="2" s="1"/>
  <c r="R397" i="2" a="1"/>
  <c r="R397" i="2" s="1"/>
  <c r="R1211" i="2" a="1"/>
  <c r="R1211" i="2" s="1"/>
  <c r="R1408" i="2" a="1"/>
  <c r="R1408" i="2" s="1"/>
  <c r="R168" i="2" a="1"/>
  <c r="R168" i="2" s="1"/>
  <c r="R897" i="2" a="1"/>
  <c r="R897" i="2" s="1"/>
  <c r="R856" i="2" a="1"/>
  <c r="R856" i="2" s="1"/>
  <c r="R1973" i="2" a="1"/>
  <c r="R1973" i="2" s="1"/>
  <c r="R1566" i="2" a="1"/>
  <c r="R1566" i="2" s="1"/>
  <c r="R1567" i="2" a="1"/>
  <c r="R1567" i="2" s="1"/>
  <c r="R1568" i="2" a="1"/>
  <c r="R1568" i="2" s="1"/>
  <c r="R1569" i="2" a="1"/>
  <c r="R1569" i="2" s="1"/>
  <c r="R1401" i="2" a="1"/>
  <c r="R1401" i="2" s="1"/>
  <c r="R281" i="2" a="1"/>
  <c r="R281" i="2" s="1"/>
  <c r="R857" i="2" a="1"/>
  <c r="R857" i="2" s="1"/>
  <c r="R898" i="2" a="1"/>
  <c r="R898" i="2" s="1"/>
  <c r="R1570" i="2" a="1"/>
  <c r="R1570" i="2" s="1"/>
  <c r="R1677" i="2" a="1"/>
  <c r="R1677" i="2" s="1"/>
  <c r="R1403" i="2" a="1"/>
  <c r="R1403" i="2" s="1"/>
  <c r="R546" i="2" a="1"/>
  <c r="R546" i="2" s="1"/>
  <c r="R1757" i="2" a="1"/>
  <c r="R1757" i="2" s="1"/>
  <c r="R1758" i="2" a="1"/>
  <c r="R1758" i="2" s="1"/>
  <c r="R1308" i="2" a="1"/>
  <c r="R1308" i="2" s="1"/>
  <c r="R1572" i="2" a="1"/>
  <c r="R1572" i="2" s="1"/>
  <c r="R2111" i="2" a="1"/>
  <c r="R2111" i="2" s="1"/>
  <c r="R1326" i="2" a="1"/>
  <c r="R1326" i="2" s="1"/>
  <c r="R547" i="2" a="1"/>
  <c r="R547" i="2" s="1"/>
  <c r="R1573" i="2" a="1"/>
  <c r="R1573" i="2" s="1"/>
  <c r="R1610" i="2" a="1"/>
  <c r="R1610" i="2" s="1"/>
  <c r="R1574" i="2" a="1"/>
  <c r="R1574" i="2" s="1"/>
  <c r="R1591" i="2" a="1"/>
  <c r="R1591" i="2" s="1"/>
  <c r="R867" i="2" a="1"/>
  <c r="R867" i="2" s="1"/>
  <c r="R868" i="2" a="1"/>
  <c r="R868" i="2" s="1"/>
  <c r="R1727" i="2" a="1"/>
  <c r="R1727" i="2" s="1"/>
  <c r="R1575" i="2" a="1"/>
  <c r="R1575" i="2" s="1"/>
  <c r="R1608" i="2" a="1"/>
  <c r="R1608" i="2" s="1"/>
  <c r="R1602" i="2" a="1"/>
  <c r="R1602" i="2" s="1"/>
  <c r="R151" i="2" a="1"/>
  <c r="R151" i="2" s="1"/>
  <c r="R1876" i="2" a="1"/>
  <c r="R1876" i="2" s="1"/>
  <c r="R1232" i="2" a="1"/>
  <c r="R1232" i="2" s="1"/>
  <c r="R1588" i="2" a="1"/>
  <c r="R1588" i="2" s="1"/>
  <c r="R1916" i="2" a="1"/>
  <c r="R1916" i="2" s="1"/>
  <c r="R1296" i="2" a="1"/>
  <c r="R1296" i="2" s="1"/>
  <c r="R1176" i="2" a="1"/>
  <c r="R1176" i="2" s="1"/>
  <c r="R1576" i="2" a="1"/>
  <c r="R1576" i="2" s="1"/>
  <c r="R1348" i="2" a="1"/>
  <c r="R1348" i="2" s="1"/>
  <c r="R282" i="2" a="1"/>
  <c r="R282" i="2" s="1"/>
  <c r="R1734" i="2" a="1"/>
  <c r="R1734" i="2" s="1"/>
  <c r="R152" i="2" a="1"/>
  <c r="R152" i="2" s="1"/>
  <c r="R1699" i="2" a="1"/>
  <c r="R1699" i="2" s="1"/>
  <c r="R246" i="2" a="1"/>
  <c r="R246" i="2" s="1"/>
  <c r="R283" i="2" a="1"/>
  <c r="R283" i="2" s="1"/>
  <c r="R653" i="2" a="1"/>
  <c r="R653" i="2" s="1"/>
  <c r="R169" i="2" a="1"/>
  <c r="R169" i="2" s="1"/>
  <c r="R1347" i="2" a="1"/>
  <c r="R1347" i="2" s="1"/>
  <c r="R1590" i="2" a="1"/>
  <c r="R1590" i="2" s="1"/>
  <c r="R412" i="2" a="1"/>
  <c r="R412" i="2" s="1"/>
  <c r="R1746" i="2" a="1"/>
  <c r="R1746" i="2" s="1"/>
  <c r="R1577" i="2" a="1"/>
  <c r="R1577" i="2" s="1"/>
  <c r="R1578" i="2" a="1"/>
  <c r="R1578" i="2" s="1"/>
  <c r="R1191" i="2" a="1"/>
  <c r="R1191" i="2" s="1"/>
  <c r="R2172" i="2" a="1"/>
  <c r="R2172" i="2" s="1"/>
  <c r="R909" i="2" a="1"/>
  <c r="R909" i="2" s="1"/>
  <c r="R1579" i="2" a="1"/>
  <c r="R1579" i="2" s="1"/>
  <c r="R1425" i="2" a="1"/>
  <c r="R1425" i="2" s="1"/>
  <c r="R1325" i="2" a="1"/>
  <c r="R1325" i="2" s="1"/>
  <c r="R1713" i="2" a="1"/>
  <c r="R1713" i="2" s="1"/>
  <c r="R378" i="2" a="1"/>
  <c r="R378" i="2" s="1"/>
  <c r="R1970" i="2" a="1"/>
  <c r="R1970" i="2" s="1"/>
  <c r="R1212" i="2" a="1"/>
  <c r="R1212" i="2" s="1"/>
  <c r="R1192" i="2" a="1"/>
  <c r="R1192" i="2" s="1"/>
  <c r="R1683" i="2" a="1"/>
  <c r="R1683" i="2" s="1"/>
  <c r="R1297" i="2" a="1"/>
  <c r="R1297" i="2" s="1"/>
  <c r="R1321" i="2" a="1"/>
  <c r="R1321" i="2" s="1"/>
  <c r="R2138" i="2" a="1"/>
  <c r="R2138" i="2" s="1"/>
  <c r="R2005" i="2" a="1"/>
  <c r="R2005" i="2" s="1"/>
  <c r="R1298" i="2" a="1"/>
  <c r="R1298" i="2" s="1"/>
  <c r="R1609" i="2" a="1"/>
  <c r="R1609" i="2" s="1"/>
  <c r="R1724" i="2" a="1"/>
  <c r="R1724" i="2" s="1"/>
  <c r="R2104" i="2" a="1"/>
  <c r="R2104" i="2" s="1"/>
  <c r="R1580" i="2" a="1"/>
  <c r="R1580" i="2" s="1"/>
  <c r="R2173" i="2" a="1"/>
  <c r="R2173" i="2" s="1"/>
  <c r="R1398" i="2" a="1"/>
  <c r="R1398" i="2" s="1"/>
  <c r="R1222" i="2" a="1"/>
  <c r="R1222" i="2" s="1"/>
  <c r="R1787" i="2" a="1"/>
  <c r="R1787" i="2" s="1"/>
  <c r="R1023" i="2" a="1"/>
  <c r="R1023" i="2" s="1"/>
  <c r="R1581" i="2" a="1"/>
  <c r="R1581" i="2" s="1"/>
  <c r="R1614" i="2" a="1"/>
  <c r="R1614" i="2" s="1"/>
  <c r="R1377" i="2" a="1"/>
  <c r="R1377" i="2" s="1"/>
  <c r="R393" i="2" a="1"/>
  <c r="R393" i="2" s="1"/>
  <c r="R654" i="2" a="1"/>
  <c r="R654" i="2" s="1"/>
  <c r="R284" i="2" a="1"/>
  <c r="R284" i="2" s="1"/>
  <c r="R1213" i="2" a="1"/>
  <c r="R1213" i="2" s="1"/>
  <c r="R1738" i="2" a="1"/>
  <c r="R1738" i="2" s="1"/>
  <c r="R373" i="2" a="1"/>
  <c r="R373" i="2" s="1"/>
  <c r="R1615" i="2" a="1"/>
  <c r="R1615" i="2" s="1"/>
  <c r="R1434" i="2" a="1"/>
  <c r="R1434" i="2" s="1"/>
  <c r="R159" i="2" a="1"/>
  <c r="R159" i="2" s="1"/>
  <c r="R1309" i="2" a="1"/>
  <c r="R1309" i="2" s="1"/>
  <c r="R1582" i="2" a="1"/>
  <c r="R1582" i="2" s="1"/>
  <c r="R1583" i="2" a="1"/>
  <c r="R1583" i="2" s="1"/>
  <c r="R1193" i="2" a="1"/>
  <c r="R1193" i="2" s="1"/>
  <c r="R1337" i="2" a="1"/>
  <c r="R1337" i="2" s="1"/>
  <c r="R380" i="2" a="1"/>
  <c r="R380" i="2" s="1"/>
  <c r="R1584" i="2" a="1"/>
  <c r="R1584" i="2" s="1"/>
  <c r="R1776" i="2" a="1"/>
  <c r="R1776" i="2" s="1"/>
  <c r="R1870" i="2" a="1"/>
  <c r="R1870" i="2" s="1"/>
  <c r="R1788" i="2" a="1"/>
  <c r="R1788" i="2" s="1"/>
  <c r="R1978" i="2" a="1"/>
  <c r="R1978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148" i="2"/>
  <c r="A2149" i="2"/>
  <c r="A2150" i="2"/>
  <c r="A2151" i="2"/>
  <c r="A2152" i="2"/>
  <c r="A2153" i="2"/>
  <c r="A2154" i="2"/>
  <c r="A2140" i="2"/>
  <c r="A2141" i="2"/>
  <c r="A2142" i="2"/>
  <c r="A2143" i="2"/>
  <c r="A2144" i="2"/>
  <c r="A2145" i="2"/>
  <c r="A2146" i="2"/>
  <c r="A2147" i="2"/>
  <c r="A2139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857" i="2"/>
  <c r="X1918" i="2"/>
  <c r="X2074" i="2"/>
  <c r="X2041" i="2"/>
  <c r="X2049" i="2"/>
  <c r="X1909" i="2"/>
  <c r="X1890" i="2"/>
  <c r="X2007" i="2"/>
  <c r="X1879" i="2"/>
  <c r="X2022" i="2"/>
  <c r="X2013" i="2"/>
  <c r="X1950" i="2"/>
  <c r="X1915" i="2"/>
  <c r="X1931" i="2"/>
  <c r="X1885" i="2"/>
  <c r="X1927" i="2"/>
  <c r="X1860" i="2"/>
  <c r="X1903" i="2"/>
  <c r="X1897" i="2"/>
  <c r="X1910" i="2"/>
  <c r="X1932" i="2"/>
  <c r="X1930" i="2"/>
  <c r="X1933" i="2"/>
  <c r="X1938" i="2"/>
  <c r="X2033" i="2"/>
  <c r="X2015" i="2"/>
  <c r="X2051" i="2"/>
  <c r="X2103" i="2"/>
  <c r="X2106" i="2"/>
  <c r="X2092" i="2"/>
  <c r="X1953" i="2"/>
  <c r="X1882" i="2"/>
  <c r="X1893" i="2"/>
  <c r="X2011" i="2"/>
  <c r="X1987" i="2"/>
  <c r="X2046" i="2"/>
  <c r="X1937" i="2"/>
  <c r="X2090" i="2"/>
  <c r="X2091" i="2"/>
  <c r="X1991" i="2"/>
  <c r="X1868" i="2"/>
  <c r="X1952" i="2"/>
  <c r="X1959" i="2"/>
  <c r="X2010" i="2"/>
  <c r="X1963" i="2"/>
  <c r="X1900" i="2"/>
  <c r="X1940" i="2"/>
  <c r="X1874" i="2"/>
  <c r="X1908" i="2"/>
  <c r="X1891" i="2"/>
  <c r="X1880" i="2"/>
  <c r="X2076" i="2"/>
  <c r="X2060" i="2"/>
  <c r="X2073" i="2"/>
  <c r="X1911" i="2"/>
  <c r="X1906" i="2"/>
  <c r="X1917" i="2"/>
  <c r="X1914" i="2"/>
  <c r="X1939" i="2"/>
  <c r="X1945" i="2"/>
  <c r="X1894" i="2"/>
  <c r="X1878" i="2"/>
  <c r="X1974" i="2"/>
  <c r="X1972" i="2"/>
  <c r="X1925" i="2"/>
  <c r="X2055" i="2"/>
  <c r="X1892" i="2"/>
  <c r="X1923" i="2"/>
  <c r="X1924" i="2"/>
  <c r="X1875" i="2"/>
  <c r="X1913" i="2"/>
  <c r="X1964" i="2"/>
  <c r="X2044" i="2"/>
  <c r="X2052" i="2"/>
  <c r="X2025" i="2"/>
  <c r="X2087" i="2"/>
  <c r="X1922" i="2"/>
  <c r="X1948" i="2"/>
  <c r="X1866" i="2"/>
  <c r="X1896" i="2"/>
  <c r="X1888" i="2"/>
  <c r="X1861" i="2"/>
  <c r="X1920" i="2"/>
  <c r="X2029" i="2"/>
  <c r="X1912" i="2"/>
  <c r="X1887" i="2"/>
  <c r="X1969" i="2"/>
  <c r="X2002" i="2"/>
  <c r="X1955" i="2"/>
  <c r="X2018" i="2"/>
  <c r="X2014" i="2"/>
  <c r="X2095" i="2"/>
  <c r="X2097" i="2"/>
  <c r="X2026" i="2"/>
  <c r="X1985" i="2"/>
  <c r="X1884" i="2"/>
  <c r="X2036" i="2"/>
  <c r="X1904" i="2"/>
  <c r="X1994" i="2"/>
  <c r="X1996" i="2"/>
  <c r="X2084" i="2"/>
  <c r="X2096" i="2"/>
  <c r="X1921" i="2"/>
  <c r="X2107" i="2"/>
  <c r="X1960" i="2"/>
  <c r="X2037" i="2"/>
  <c r="X2108" i="2"/>
  <c r="X2101" i="2"/>
  <c r="X1929" i="2"/>
  <c r="X1986" i="2"/>
  <c r="X1947" i="2"/>
  <c r="X2032" i="2"/>
  <c r="X1895" i="2"/>
  <c r="X1862" i="2"/>
  <c r="X1863" i="2"/>
  <c r="X1942" i="2"/>
  <c r="X1899" i="2"/>
  <c r="X1898" i="2"/>
  <c r="X2012" i="2"/>
  <c r="X1901" i="2"/>
  <c r="X1877" i="2"/>
  <c r="X1926" i="2"/>
  <c r="X1858" i="2"/>
  <c r="X1934" i="2"/>
  <c r="X2109" i="2"/>
  <c r="X1946" i="2"/>
  <c r="X1907" i="2"/>
  <c r="X1864" i="2"/>
  <c r="X1869" i="2"/>
  <c r="X2053" i="2"/>
  <c r="X1881" i="2"/>
  <c r="X1883" i="2"/>
  <c r="X1865" i="2"/>
  <c r="X1902" i="2"/>
  <c r="X1997" i="2"/>
  <c r="X1889" i="2"/>
  <c r="X1999" i="2"/>
  <c r="X2083" i="2"/>
  <c r="X2006" i="2"/>
  <c r="X2047" i="2"/>
  <c r="X2008" i="2"/>
  <c r="X1867" i="2"/>
  <c r="X1935" i="2"/>
  <c r="X1872" i="2"/>
  <c r="X1905" i="2"/>
  <c r="X1936" i="2"/>
  <c r="X1859" i="2"/>
  <c r="X2088" i="2"/>
  <c r="X1928" i="2"/>
  <c r="X1886" i="2"/>
  <c r="X2110" i="2"/>
  <c r="X1919" i="2"/>
  <c r="X2098" i="2"/>
  <c r="X1873" i="2"/>
  <c r="X2072" i="2"/>
  <c r="X1871" i="2"/>
  <c r="X1973" i="2"/>
  <c r="X1876" i="2"/>
  <c r="X1916" i="2"/>
  <c r="X1970" i="2"/>
  <c r="X2005" i="2"/>
  <c r="X2104" i="2"/>
  <c r="X1870" i="2"/>
  <c r="X1978" i="2"/>
  <c r="O6" i="4" l="1" a="1"/>
  <c r="O6" i="4" s="1"/>
  <c r="A637" i="2"/>
  <c r="A636" i="2"/>
  <c r="A635" i="2"/>
  <c r="A634" i="2"/>
  <c r="A633" i="2"/>
  <c r="A632" i="2"/>
  <c r="A630" i="2"/>
  <c r="A563" i="2"/>
  <c r="K5" i="4" l="1" a="1"/>
  <c r="A1909" i="2"/>
  <c r="A1720" i="2"/>
  <c r="A1729" i="2"/>
  <c r="A362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1640" i="2"/>
  <c r="A196" i="2"/>
  <c r="A1206" i="2"/>
  <c r="A1698" i="2"/>
  <c r="A1222" i="2"/>
  <c r="A906" i="2"/>
  <c r="A1189" i="2"/>
  <c r="A1582" i="2"/>
  <c r="A1553" i="2"/>
  <c r="A1504" i="2"/>
  <c r="A1556" i="2"/>
  <c r="A1529" i="2"/>
  <c r="A1562" i="2"/>
  <c r="A1542" i="2"/>
  <c r="A1551" i="2"/>
  <c r="A1586" i="2"/>
  <c r="A1569" i="2"/>
  <c r="A1550" i="2"/>
  <c r="A863" i="2"/>
  <c r="A1180" i="2"/>
  <c r="A1200" i="2"/>
  <c r="A1672" i="2"/>
  <c r="A1591" i="2"/>
  <c r="A1564" i="2"/>
  <c r="A1579" i="2"/>
  <c r="A1557" i="2"/>
  <c r="A1516" i="2"/>
  <c r="A1488" i="2"/>
  <c r="A1733" i="2"/>
  <c r="A1190" i="2"/>
  <c r="A1480" i="2"/>
  <c r="A1644" i="2"/>
  <c r="A1597" i="2"/>
  <c r="A1679" i="2"/>
  <c r="A1722" i="2"/>
  <c r="A1460" i="2"/>
  <c r="A1503" i="2"/>
  <c r="A1576" i="2"/>
  <c r="A1713" i="2"/>
  <c r="A1568" i="2"/>
  <c r="A1515" i="2"/>
  <c r="A1636" i="2"/>
  <c r="A1462" i="2"/>
  <c r="A1742" i="2"/>
  <c r="A1453" i="2"/>
  <c r="A1514" i="2"/>
  <c r="A1502" i="2"/>
  <c r="A1565" i="2"/>
  <c r="A1484" i="2"/>
  <c r="A1616" i="2"/>
  <c r="A1547" i="2"/>
  <c r="A1548" i="2"/>
  <c r="A1696" i="2"/>
  <c r="A1750" i="2"/>
  <c r="A867" i="2"/>
  <c r="A1530" i="2"/>
  <c r="A1522" i="2"/>
  <c r="A1193" i="2"/>
  <c r="A1537" i="2"/>
  <c r="A1675" i="2"/>
  <c r="A1528" i="2"/>
  <c r="A1561" i="2"/>
  <c r="A1609" i="2"/>
  <c r="A1544" i="2"/>
  <c r="A1664" i="2"/>
  <c r="A1526" i="2"/>
  <c r="A1220" i="2"/>
  <c r="A1738" i="2"/>
  <c r="A1198" i="2"/>
  <c r="A1588" i="2"/>
  <c r="A860" i="2"/>
  <c r="A1523" i="2"/>
  <c r="A1188" i="2"/>
  <c r="A1726" i="2"/>
  <c r="A1481" i="2"/>
  <c r="A1680" i="2"/>
  <c r="A1701" i="2"/>
  <c r="A1692" i="2"/>
  <c r="A1566" i="2"/>
  <c r="A1754" i="2"/>
  <c r="A1448" i="2"/>
  <c r="A1725" i="2"/>
  <c r="A1755" i="2"/>
  <c r="A1638" i="2"/>
  <c r="A1532" i="2"/>
  <c r="A1785" i="2"/>
  <c r="A1463" i="2"/>
  <c r="A1625" i="2"/>
  <c r="A866" i="2"/>
  <c r="A1192" i="2"/>
  <c r="A1226" i="2"/>
  <c r="A1621" i="2"/>
  <c r="A1660" i="2"/>
  <c r="A1671" i="2"/>
  <c r="A1658" i="2"/>
  <c r="A1645" i="2"/>
  <c r="A1667" i="2"/>
  <c r="A1654" i="2"/>
  <c r="A1691" i="2"/>
  <c r="A1613" i="2"/>
  <c r="A1662" i="2"/>
  <c r="A1520" i="2"/>
  <c r="A1181" i="2"/>
  <c r="A1219" i="2"/>
  <c r="A1706" i="2"/>
  <c r="A1543" i="2"/>
  <c r="A1627" i="2"/>
  <c r="A1186" i="2"/>
  <c r="A861" i="2"/>
  <c r="A1182" i="2"/>
  <c r="A1477" i="2"/>
  <c r="A1232" i="2"/>
  <c r="A1213" i="2"/>
  <c r="A1665" i="2"/>
  <c r="A1489" i="2"/>
  <c r="A1681" i="2"/>
  <c r="A1606" i="2"/>
  <c r="A1447" i="2"/>
  <c r="A1615" i="2"/>
  <c r="A1196" i="2"/>
  <c r="A1781" i="2"/>
  <c r="A1456" i="2"/>
  <c r="A1554" i="2"/>
  <c r="A1639" i="2"/>
  <c r="A1732" i="2"/>
  <c r="A1657" i="2"/>
  <c r="A158" i="2"/>
  <c r="A1546" i="2"/>
  <c r="A1570" i="2"/>
  <c r="A1228" i="2"/>
  <c r="A1736" i="2"/>
  <c r="A862" i="2"/>
  <c r="A1472" i="2"/>
  <c r="A1492" i="2"/>
  <c r="A1707" i="2"/>
  <c r="A1704" i="2"/>
  <c r="A1684" i="2"/>
  <c r="A1719" i="2"/>
  <c r="A1195" i="2"/>
  <c r="A1555" i="2"/>
  <c r="A151" i="2"/>
  <c r="A1203" i="2"/>
  <c r="A1446" i="2"/>
  <c r="A1505" i="2"/>
  <c r="A1452" i="2"/>
  <c r="A1614" i="2"/>
  <c r="A1194" i="2"/>
  <c r="A1497" i="2"/>
  <c r="A1475" i="2"/>
  <c r="A1199" i="2"/>
  <c r="A239" i="2"/>
  <c r="A1653" i="2"/>
  <c r="A1201" i="2"/>
  <c r="A1491" i="2"/>
  <c r="A1204" i="2"/>
  <c r="A1450" i="2"/>
  <c r="A650" i="2"/>
  <c r="A1224" i="2"/>
  <c r="A1478" i="2"/>
  <c r="A1445" i="2"/>
  <c r="A1511" i="2"/>
  <c r="A1714" i="2"/>
  <c r="A1711" i="2"/>
  <c r="A1643" i="2"/>
  <c r="A1508" i="2"/>
  <c r="A1584" i="2"/>
  <c r="A1603" i="2"/>
  <c r="A1512" i="2"/>
  <c r="A1778" i="2"/>
  <c r="A1459" i="2"/>
  <c r="A1748" i="2"/>
  <c r="A1509" i="2"/>
  <c r="A1646" i="2"/>
  <c r="A1629" i="2"/>
  <c r="A1513" i="2"/>
  <c r="A1454" i="2"/>
  <c r="A1572" i="2"/>
  <c r="A1533" i="2"/>
  <c r="A1495" i="2"/>
  <c r="A1230" i="2"/>
  <c r="A1183" i="2"/>
  <c r="A1535" i="2"/>
  <c r="A1458" i="2"/>
  <c r="A1694" i="2"/>
  <c r="A1539" i="2"/>
  <c r="A1652" i="2"/>
  <c r="A1467" i="2"/>
  <c r="A653" i="2"/>
  <c r="A1624" i="2"/>
  <c r="A1527" i="2"/>
  <c r="A1626" i="2"/>
  <c r="A1656" i="2"/>
  <c r="A1612" i="2"/>
  <c r="A1545" i="2"/>
  <c r="A1783" i="2"/>
  <c r="A1683" i="2"/>
  <c r="A1641" i="2"/>
  <c r="A1661" i="2"/>
  <c r="A1780" i="2"/>
  <c r="A1464" i="2"/>
  <c r="A1451" i="2"/>
  <c r="A1605" i="2"/>
  <c r="A1710" i="2"/>
  <c r="A1519" i="2"/>
  <c r="A1630" i="2"/>
  <c r="A1608" i="2"/>
  <c r="A1577" i="2"/>
  <c r="A1468" i="2"/>
  <c r="A1470" i="2"/>
  <c r="A1724" i="2"/>
  <c r="A1534" i="2"/>
  <c r="A1501" i="2"/>
  <c r="A1782" i="2"/>
  <c r="A1648" i="2"/>
  <c r="A1469" i="2"/>
  <c r="A1618" i="2"/>
  <c r="A1563" i="2"/>
  <c r="A1610" i="2"/>
  <c r="A1212" i="2"/>
  <c r="A1734" i="2"/>
  <c r="A1525" i="2"/>
  <c r="A1718" i="2"/>
  <c r="A1578" i="2"/>
  <c r="A150" i="2"/>
  <c r="A1573" i="2"/>
  <c r="A1487" i="2"/>
  <c r="A1476" i="2"/>
  <c r="A864" i="2"/>
  <c r="A1575" i="2"/>
  <c r="A1741" i="2"/>
  <c r="A1215" i="2"/>
  <c r="A1787" i="2"/>
  <c r="A1517" i="2"/>
  <c r="A1757" i="2"/>
  <c r="A859" i="2"/>
  <c r="A1788" i="2"/>
  <c r="A1723" i="2"/>
  <c r="A865" i="2"/>
  <c r="A1595" i="2"/>
  <c r="A1622" i="2"/>
  <c r="A1589" i="2"/>
  <c r="A1777" i="2"/>
  <c r="A1743" i="2"/>
  <c r="A1506" i="2"/>
  <c r="A1191" i="2"/>
  <c r="A1223" i="2"/>
  <c r="A1187" i="2"/>
  <c r="A1740" i="2"/>
  <c r="A1633" i="2"/>
  <c r="A240" i="2"/>
  <c r="A146" i="2"/>
  <c r="A1758" i="2"/>
  <c r="A1496" i="2"/>
  <c r="A1218" i="2"/>
  <c r="A1600" i="2"/>
  <c r="A1632" i="2"/>
  <c r="A1682" i="2"/>
  <c r="A1745" i="2"/>
  <c r="A1677" i="2"/>
  <c r="A1604" i="2"/>
  <c r="A1500" i="2"/>
  <c r="A1471" i="2"/>
  <c r="A1466" i="2"/>
  <c r="A140" i="2"/>
  <c r="A1685" i="2"/>
  <c r="A1227" i="2"/>
  <c r="A1524" i="2"/>
  <c r="A1559" i="2"/>
  <c r="A1712" i="2"/>
  <c r="A1674" i="2"/>
  <c r="A1786" i="2"/>
  <c r="A1538" i="2"/>
  <c r="A1540" i="2"/>
  <c r="A1752" i="2"/>
  <c r="A1668" i="2"/>
  <c r="A1637" i="2"/>
  <c r="A1474" i="2"/>
  <c r="A1716" i="2"/>
  <c r="A1567" i="2"/>
  <c r="A1695" i="2"/>
  <c r="A1581" i="2"/>
  <c r="A1499" i="2"/>
  <c r="A1730" i="2"/>
  <c r="A1642" i="2"/>
  <c r="A1541" i="2"/>
  <c r="A1607" i="2"/>
  <c r="A1634" i="2"/>
  <c r="A1217" i="2"/>
  <c r="A1449" i="2"/>
  <c r="A1207" i="2"/>
  <c r="A1494" i="2"/>
  <c r="A1457" i="2"/>
  <c r="A1461" i="2"/>
  <c r="A1700" i="2"/>
  <c r="A1708" i="2"/>
  <c r="A1735" i="2"/>
  <c r="A1221" i="2"/>
  <c r="A1560" i="2"/>
  <c r="A1184" i="2"/>
  <c r="A1617" i="2"/>
  <c r="A1482" i="2"/>
  <c r="A1717" i="2"/>
  <c r="A1784" i="2"/>
  <c r="A1709" i="2"/>
  <c r="A1521" i="2"/>
  <c r="A1596" i="2"/>
  <c r="A1592" i="2"/>
  <c r="A1631" i="2"/>
  <c r="A1705" i="2"/>
  <c r="A1185" i="2"/>
  <c r="A1225" i="2"/>
  <c r="A1666" i="2"/>
  <c r="A1601" i="2"/>
  <c r="A1549" i="2"/>
  <c r="A1690" i="2"/>
  <c r="A1599" i="2"/>
  <c r="A1473" i="2"/>
  <c r="A1518" i="2"/>
  <c r="A1580" i="2"/>
  <c r="A1659" i="2"/>
  <c r="A1727" i="2"/>
  <c r="A1747" i="2"/>
  <c r="A1558" i="2"/>
  <c r="A1552" i="2"/>
  <c r="A1536" i="2"/>
  <c r="A1583" i="2"/>
  <c r="A1507" i="2"/>
  <c r="A1686" i="2"/>
  <c r="A1678" i="2"/>
  <c r="A1598" i="2"/>
  <c r="A141" i="2"/>
  <c r="A1715" i="2"/>
  <c r="A1779" i="2"/>
  <c r="A1620" i="2"/>
  <c r="A1702" i="2"/>
  <c r="A144" i="2"/>
  <c r="A1485" i="2"/>
  <c r="A1602" i="2"/>
  <c r="A1746" i="2"/>
  <c r="A147" i="2"/>
  <c r="A1574" i="2"/>
  <c r="A1479" i="2"/>
  <c r="A1703" i="2"/>
  <c r="A1858" i="2"/>
  <c r="A1623" i="2"/>
  <c r="A152" i="2"/>
  <c r="A1721" i="2"/>
  <c r="A1647" i="2"/>
  <c r="A1699" i="2"/>
  <c r="A1465" i="2"/>
  <c r="A1697" i="2"/>
  <c r="A142" i="2"/>
  <c r="A1611" i="2"/>
  <c r="A1590" i="2"/>
  <c r="A1649" i="2"/>
  <c r="A1216" i="2"/>
  <c r="A1651" i="2"/>
  <c r="A139" i="2"/>
  <c r="A145" i="2"/>
  <c r="A1231" i="2"/>
  <c r="A148" i="2"/>
  <c r="A1498" i="2"/>
  <c r="A1531" i="2"/>
  <c r="A143" i="2"/>
  <c r="A1635" i="2"/>
  <c r="A1229" i="2"/>
  <c r="A1669" i="2"/>
  <c r="A1693" i="2"/>
  <c r="A1490" i="2"/>
  <c r="A1214" i="2"/>
  <c r="A1510" i="2"/>
  <c r="A1663" i="2"/>
  <c r="A1628" i="2"/>
  <c r="A149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1311" i="2"/>
  <c r="A645" i="2"/>
  <c r="A643" i="2"/>
  <c r="A646" i="2"/>
  <c r="A652" i="2"/>
  <c r="A648" i="2"/>
  <c r="A651" i="2"/>
  <c r="A654" i="2"/>
  <c r="A649" i="2"/>
  <c r="A644" i="2"/>
  <c r="A1046" i="2"/>
  <c r="A1037" i="2"/>
  <c r="A1035" i="2"/>
  <c r="A1045" i="2"/>
  <c r="A647" i="2"/>
  <c r="A431" i="2"/>
  <c r="A432" i="2"/>
  <c r="A433" i="2"/>
  <c r="A434" i="2"/>
  <c r="A435" i="2"/>
  <c r="A436" i="2"/>
  <c r="A437" i="2"/>
  <c r="A438" i="2"/>
  <c r="A439" i="2"/>
  <c r="A440" i="2"/>
  <c r="A441" i="2"/>
  <c r="A525" i="2"/>
  <c r="A526" i="2"/>
  <c r="A527" i="2"/>
  <c r="A528" i="2"/>
  <c r="A529" i="2"/>
  <c r="A530" i="2"/>
  <c r="A532" i="2"/>
  <c r="A1117" i="2"/>
  <c r="A2166" i="2"/>
  <c r="A2164" i="2"/>
  <c r="A2162" i="2"/>
  <c r="A2156" i="2"/>
  <c r="C5" i="16"/>
  <c r="A265" i="2"/>
  <c r="A1593" i="2"/>
  <c r="A1619" i="2"/>
  <c r="A1728" i="2"/>
  <c r="A1655" i="2"/>
  <c r="A1455" i="2"/>
  <c r="A1587" i="2"/>
  <c r="A1687" i="2"/>
  <c r="A1483" i="2"/>
  <c r="A1650" i="2"/>
  <c r="A1676" i="2"/>
  <c r="A1486" i="2"/>
  <c r="A1739" i="2"/>
  <c r="A1493" i="2"/>
  <c r="A1737" i="2"/>
  <c r="A1744" i="2"/>
  <c r="A1731" i="2"/>
  <c r="A1594" i="2"/>
  <c r="A1571" i="2"/>
  <c r="A2165" i="2"/>
  <c r="A1756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27" i="2"/>
  <c r="A1028" i="2"/>
  <c r="A1029" i="2"/>
  <c r="A1031" i="2"/>
  <c r="A1032" i="2"/>
  <c r="A1033" i="2"/>
  <c r="A1131" i="2"/>
  <c r="A1132" i="2"/>
  <c r="A1133" i="2"/>
  <c r="A1134" i="2"/>
  <c r="A1135" i="2"/>
  <c r="A1136" i="2"/>
  <c r="A1137" i="2"/>
  <c r="A1138" i="2"/>
  <c r="A1139" i="2"/>
  <c r="A1140" i="2"/>
  <c r="A1141" i="2"/>
  <c r="A1048" i="2"/>
  <c r="A1049" i="2"/>
  <c r="A1050" i="2"/>
  <c r="A1051" i="2"/>
  <c r="A1052" i="2"/>
  <c r="A1053" i="2"/>
  <c r="A1055" i="2"/>
  <c r="A1056" i="2"/>
  <c r="A1058" i="2"/>
  <c r="A1039" i="2"/>
  <c r="A1040" i="2"/>
  <c r="A1041" i="2"/>
  <c r="A1042" i="2"/>
  <c r="A1043" i="2"/>
  <c r="A1044" i="2"/>
  <c r="A1047" i="2"/>
  <c r="A1169" i="2"/>
  <c r="A1171" i="2"/>
  <c r="A1173" i="2"/>
  <c r="A1174" i="2"/>
  <c r="A1175" i="2"/>
  <c r="A1177" i="2"/>
  <c r="A1179" i="2"/>
  <c r="A1142" i="2"/>
  <c r="A1143" i="2"/>
  <c r="A1144" i="2"/>
  <c r="A1145" i="2"/>
  <c r="A1146" i="2"/>
  <c r="A1147" i="2"/>
  <c r="A1148" i="2"/>
  <c r="A1149" i="2"/>
  <c r="A1150" i="2"/>
  <c r="A1152" i="2"/>
  <c r="A1153" i="2"/>
  <c r="A1157" i="2"/>
  <c r="A1004" i="2"/>
  <c r="A1005" i="2"/>
  <c r="A1006" i="2"/>
  <c r="A1007" i="2"/>
  <c r="A1008" i="2"/>
  <c r="A1009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83" i="2"/>
  <c r="A926" i="2"/>
  <c r="A931" i="2"/>
  <c r="A932" i="2"/>
  <c r="A933" i="2"/>
  <c r="A934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011" i="2"/>
  <c r="A1012" i="2"/>
  <c r="A1013" i="2"/>
  <c r="A1014" i="2"/>
  <c r="A1015" i="2"/>
  <c r="A1016" i="2"/>
  <c r="A1017" i="2"/>
  <c r="A1019" i="2"/>
  <c r="A1020" i="2"/>
  <c r="A1021" i="2"/>
  <c r="A993" i="2"/>
  <c r="A994" i="2"/>
  <c r="A996" i="2"/>
  <c r="A997" i="2"/>
  <c r="A998" i="2"/>
  <c r="A999" i="2"/>
  <c r="A1000" i="2"/>
  <c r="A1001" i="2"/>
  <c r="A1002" i="2"/>
  <c r="A1003" i="2"/>
  <c r="A1108" i="2"/>
  <c r="A1109" i="2"/>
  <c r="A1110" i="2"/>
  <c r="A1111" i="2"/>
  <c r="A1112" i="2"/>
  <c r="A1113" i="2"/>
  <c r="A1114" i="2"/>
  <c r="A1115" i="2"/>
  <c r="A1116" i="2"/>
  <c r="A1156" i="2"/>
  <c r="A1118" i="2"/>
  <c r="A1119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981" i="2"/>
  <c r="A982" i="2"/>
  <c r="A925" i="2"/>
  <c r="A984" i="2"/>
  <c r="A985" i="2"/>
  <c r="A986" i="2"/>
  <c r="A987" i="2"/>
  <c r="A988" i="2"/>
  <c r="A989" i="2"/>
  <c r="A990" i="2"/>
  <c r="A991" i="2"/>
  <c r="A992" i="2"/>
  <c r="A947" i="2"/>
  <c r="A948" i="2"/>
  <c r="A949" i="2"/>
  <c r="A950" i="2"/>
  <c r="A951" i="2"/>
  <c r="A952" i="2"/>
  <c r="A953" i="2"/>
  <c r="A954" i="2"/>
  <c r="A955" i="2"/>
  <c r="A956" i="2"/>
  <c r="A1120" i="2"/>
  <c r="A1121" i="2"/>
  <c r="A1122" i="2"/>
  <c r="A1123" i="2"/>
  <c r="A1124" i="2"/>
  <c r="A1125" i="2"/>
  <c r="A1126" i="2"/>
  <c r="A1127" i="2"/>
  <c r="A1128" i="2"/>
  <c r="A1129" i="2"/>
  <c r="A1130" i="2"/>
  <c r="A1158" i="2"/>
  <c r="A1159" i="2"/>
  <c r="A1160" i="2"/>
  <c r="A1161" i="2"/>
  <c r="A1162" i="2"/>
  <c r="A1163" i="2"/>
  <c r="A1164" i="2"/>
  <c r="A1165" i="2"/>
  <c r="A1166" i="2"/>
  <c r="A1167" i="2"/>
  <c r="A1086" i="2"/>
  <c r="A1087" i="2"/>
  <c r="A1088" i="2"/>
  <c r="A1089" i="2"/>
  <c r="A1090" i="2"/>
  <c r="A1091" i="2"/>
  <c r="A1092" i="2"/>
  <c r="A1093" i="2"/>
  <c r="A1094" i="2"/>
  <c r="A1095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1034" i="2"/>
  <c r="A1036" i="2"/>
  <c r="A1038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12" i="2"/>
  <c r="A2115" i="2"/>
  <c r="A2118" i="2"/>
  <c r="A2124" i="2"/>
  <c r="A2125" i="2"/>
  <c r="A2126" i="2"/>
  <c r="A2127" i="2"/>
  <c r="A2130" i="2"/>
  <c r="A2131" i="2"/>
  <c r="A2132" i="2"/>
  <c r="A2133" i="2"/>
  <c r="A1804" i="2"/>
  <c r="A1805" i="2"/>
  <c r="A1806" i="2"/>
  <c r="A1807" i="2"/>
  <c r="A1808" i="2"/>
  <c r="A1809" i="2"/>
  <c r="A1810" i="2"/>
  <c r="A1811" i="2"/>
  <c r="A1812" i="2"/>
  <c r="A1813" i="2"/>
  <c r="A1814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15" i="2"/>
  <c r="A1816" i="2"/>
  <c r="A1817" i="2"/>
  <c r="A1818" i="2"/>
  <c r="A1819" i="2"/>
  <c r="A1820" i="2"/>
  <c r="A1821" i="2"/>
  <c r="A1822" i="2"/>
  <c r="A1823" i="2"/>
  <c r="A1824" i="2"/>
  <c r="A1825" i="2"/>
  <c r="A629" i="2"/>
  <c r="A568" i="2"/>
  <c r="A625" i="2"/>
  <c r="A549" i="2"/>
  <c r="A578" i="2"/>
  <c r="A624" i="2"/>
  <c r="A572" i="2"/>
  <c r="A552" i="2"/>
  <c r="A621" i="2"/>
  <c r="A615" i="2"/>
  <c r="A623" i="2"/>
  <c r="A551" i="2"/>
  <c r="A582" i="2"/>
  <c r="A641" i="2"/>
  <c r="A607" i="2"/>
  <c r="A571" i="2"/>
  <c r="A557" i="2"/>
  <c r="A619" i="2"/>
  <c r="A560" i="2"/>
  <c r="A610" i="2"/>
  <c r="A567" i="2"/>
  <c r="A638" i="2"/>
  <c r="A620" i="2"/>
  <c r="A631" i="2"/>
  <c r="A556" i="2"/>
  <c r="A558" i="2"/>
  <c r="A627" i="2"/>
  <c r="A639" i="2"/>
  <c r="A576" i="2"/>
  <c r="A590" i="2"/>
  <c r="A642" i="2"/>
  <c r="A562" i="2"/>
  <c r="A618" i="2"/>
  <c r="A574" i="2"/>
  <c r="A640" i="2"/>
  <c r="A628" i="2"/>
  <c r="A606" i="2"/>
  <c r="A561" i="2"/>
  <c r="A588" i="2"/>
  <c r="A612" i="2"/>
  <c r="A554" i="2"/>
  <c r="A565" i="2"/>
  <c r="A564" i="2"/>
  <c r="A614" i="2"/>
  <c r="A585" i="2"/>
  <c r="A617" i="2"/>
  <c r="A550" i="2"/>
  <c r="A548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577" i="2"/>
  <c r="A553" i="2"/>
  <c r="A555" i="2"/>
  <c r="A613" i="2"/>
  <c r="A573" i="2"/>
  <c r="A584" i="2"/>
  <c r="A580" i="2"/>
  <c r="A589" i="2"/>
  <c r="A616" i="2"/>
  <c r="A583" i="2"/>
  <c r="A575" i="2"/>
  <c r="A609" i="2"/>
  <c r="A626" i="2"/>
  <c r="A587" i="2"/>
  <c r="A566" i="2"/>
  <c r="A579" i="2"/>
  <c r="A586" i="2"/>
  <c r="A581" i="2"/>
  <c r="A608" i="2"/>
  <c r="A559" i="2"/>
  <c r="A622" i="2"/>
  <c r="A420" i="2"/>
  <c r="A422" i="2"/>
  <c r="A423" i="2"/>
  <c r="A425" i="2"/>
  <c r="A426" i="2"/>
  <c r="A531" i="2"/>
  <c r="A427" i="2"/>
  <c r="A429" i="2"/>
  <c r="A464" i="2"/>
  <c r="A465" i="2"/>
  <c r="A467" i="2"/>
  <c r="A470" i="2"/>
  <c r="A471" i="2"/>
  <c r="A472" i="2"/>
  <c r="A473" i="2"/>
  <c r="A477" i="2"/>
  <c r="A479" i="2"/>
  <c r="A480" i="2"/>
  <c r="A481" i="2"/>
  <c r="A482" i="2"/>
  <c r="A483" i="2"/>
  <c r="A484" i="2"/>
  <c r="A533" i="2"/>
  <c r="A534" i="2"/>
  <c r="A535" i="2"/>
  <c r="A536" i="2"/>
  <c r="A537" i="2"/>
  <c r="A538" i="2"/>
  <c r="A541" i="2"/>
  <c r="A492" i="2"/>
  <c r="A493" i="2"/>
  <c r="A494" i="2"/>
  <c r="A495" i="2"/>
  <c r="A496" i="2"/>
  <c r="A497" i="2"/>
  <c r="A498" i="2"/>
  <c r="A499" i="2"/>
  <c r="A500" i="2"/>
  <c r="A501" i="2"/>
  <c r="A485" i="2"/>
  <c r="A486" i="2"/>
  <c r="A487" i="2"/>
  <c r="A488" i="2"/>
  <c r="A489" i="2"/>
  <c r="A490" i="2"/>
  <c r="A49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9" i="2"/>
  <c r="A458" i="2"/>
  <c r="A460" i="2"/>
  <c r="A461" i="2"/>
  <c r="A462" i="2"/>
  <c r="A524" i="2"/>
  <c r="A543" i="2"/>
  <c r="A430" i="2"/>
  <c r="A1912" i="2"/>
  <c r="A1257" i="2"/>
  <c r="A373" i="2"/>
  <c r="A168" i="2"/>
  <c r="A167" i="2"/>
  <c r="A280" i="2"/>
  <c r="A387" i="2"/>
  <c r="A380" i="2"/>
  <c r="A1264" i="2"/>
  <c r="A1265" i="2"/>
  <c r="A386" i="2"/>
  <c r="A392" i="2"/>
  <c r="A394" i="2"/>
  <c r="A1290" i="2"/>
  <c r="A1390" i="2"/>
  <c r="A254" i="2"/>
  <c r="A1776" i="2"/>
  <c r="A284" i="2"/>
  <c r="A379" i="2"/>
  <c r="A282" i="2"/>
  <c r="A169" i="2"/>
  <c r="A393" i="2"/>
  <c r="A413" i="2"/>
  <c r="A857" i="2"/>
  <c r="A1425" i="2"/>
  <c r="A1401" i="2"/>
  <c r="A1326" i="2"/>
  <c r="A547" i="2"/>
  <c r="A412" i="2"/>
  <c r="A908" i="2"/>
  <c r="A1210" i="2"/>
  <c r="A1350" i="2"/>
  <c r="A1383" i="2"/>
  <c r="A896" i="2"/>
  <c r="A1764" i="2"/>
  <c r="A250" i="2"/>
  <c r="A1358" i="2"/>
  <c r="A411" i="2"/>
  <c r="A410" i="2"/>
  <c r="A1443" i="2"/>
  <c r="A409" i="2"/>
  <c r="A907" i="2"/>
  <c r="A1291" i="2"/>
  <c r="A1344" i="2"/>
  <c r="A1342" i="2"/>
  <c r="A1301" i="2"/>
  <c r="A891" i="2"/>
  <c r="A279" i="2"/>
  <c r="A1208" i="2"/>
  <c r="A407" i="2"/>
  <c r="A539" i="2"/>
  <c r="A1250" i="2"/>
  <c r="A1774" i="2"/>
  <c r="A1763" i="2"/>
  <c r="A995" i="2"/>
  <c r="A418" i="2"/>
  <c r="A1442" i="2"/>
  <c r="A1394" i="2"/>
  <c r="A1333" i="2"/>
  <c r="A905" i="2"/>
  <c r="A1367" i="2"/>
  <c r="A886" i="2"/>
  <c r="A157" i="2"/>
  <c r="A1337" i="2"/>
  <c r="A1248" i="2"/>
  <c r="A417" i="2"/>
  <c r="A416" i="2"/>
  <c r="A155" i="2"/>
  <c r="A1382" i="2"/>
  <c r="A1373" i="2"/>
  <c r="A276" i="2"/>
  <c r="A2049" i="2"/>
  <c r="A1770" i="2"/>
  <c r="A1400" i="2"/>
  <c r="A1441" i="2"/>
  <c r="A885" i="2"/>
  <c r="A274" i="2"/>
  <c r="A1273" i="2"/>
  <c r="A164" i="2"/>
  <c r="A1300" i="2"/>
  <c r="A1315" i="2"/>
  <c r="A883" i="2"/>
  <c r="A1769" i="2"/>
  <c r="A1420" i="2"/>
  <c r="A2168" i="2"/>
  <c r="A273" i="2"/>
  <c r="A1424" i="2"/>
  <c r="A272" i="2"/>
  <c r="A319" i="2"/>
  <c r="A476" i="2"/>
  <c r="A1419" i="2"/>
  <c r="A1369" i="2"/>
  <c r="A270" i="2"/>
  <c r="A1245" i="2"/>
  <c r="A271" i="2"/>
  <c r="A1410" i="2"/>
  <c r="A1246" i="2"/>
  <c r="A1437" i="2"/>
  <c r="A902" i="2"/>
  <c r="A1372" i="2"/>
  <c r="A903" i="2"/>
  <c r="A268" i="2"/>
  <c r="A1418" i="2"/>
  <c r="A901" i="2"/>
  <c r="A1359" i="2"/>
  <c r="A415" i="2"/>
  <c r="A390" i="2"/>
  <c r="A1343" i="2"/>
  <c r="A1263" i="2"/>
  <c r="A881" i="2"/>
  <c r="A266" i="2"/>
  <c r="A1379" i="2"/>
  <c r="A879" i="2"/>
  <c r="A1261" i="2"/>
  <c r="A1371" i="2"/>
  <c r="A162" i="2"/>
  <c r="A154" i="2"/>
  <c r="A396" i="2"/>
  <c r="A1761" i="2"/>
  <c r="A878" i="2"/>
  <c r="A1260" i="2"/>
  <c r="A522" i="2"/>
  <c r="A388" i="2"/>
  <c r="A876" i="2"/>
  <c r="A463" i="2"/>
  <c r="A544" i="2"/>
  <c r="A1444" i="2"/>
  <c r="A263" i="2"/>
  <c r="A161" i="2"/>
  <c r="A377" i="2"/>
  <c r="A1243" i="2"/>
  <c r="A404" i="2"/>
  <c r="A1767" i="2"/>
  <c r="A1242" i="2"/>
  <c r="A1393" i="2"/>
  <c r="A1319" i="2"/>
  <c r="A262" i="2"/>
  <c r="A260" i="2"/>
  <c r="A1355" i="2"/>
  <c r="A385" i="2"/>
  <c r="A2159" i="2"/>
  <c r="A873" i="2"/>
  <c r="A1339" i="2"/>
  <c r="A1768" i="2"/>
  <c r="A1241" i="2"/>
  <c r="A1423" i="2"/>
  <c r="A160" i="2"/>
  <c r="A414" i="2"/>
  <c r="A1399" i="2"/>
  <c r="A1765" i="2"/>
  <c r="A256" i="2"/>
  <c r="A153" i="2"/>
  <c r="A259" i="2"/>
  <c r="A255" i="2"/>
  <c r="A1392" i="2"/>
  <c r="A1340" i="2"/>
  <c r="A1197" i="2"/>
  <c r="A852" i="2"/>
  <c r="A1341" i="2"/>
  <c r="A253" i="2"/>
  <c r="A872" i="2"/>
  <c r="A1766" i="2"/>
  <c r="A1237" i="2"/>
  <c r="A1304" i="2"/>
  <c r="A1318" i="2"/>
  <c r="A466" i="2"/>
  <c r="A1234" i="2"/>
  <c r="A1370" i="2"/>
  <c r="A1235" i="2"/>
  <c r="A1759" i="2"/>
  <c r="A1302" i="2"/>
  <c r="A1760" i="2"/>
  <c r="A542" i="2"/>
  <c r="A1380" i="2"/>
  <c r="A3" i="29" l="1" a="1"/>
  <c r="K5" i="4"/>
  <c r="Q6" i="4" a="1"/>
  <c r="Q6" i="4" s="1"/>
  <c r="Q8" i="4" l="1"/>
  <c r="U8" i="4" s="1"/>
  <c r="R2081" i="2" a="1"/>
  <c r="R2081" i="2" s="1"/>
  <c r="Q1979" i="2" a="1"/>
  <c r="Q1979" i="2" s="1"/>
  <c r="S1979" i="2" s="1"/>
  <c r="W1979" i="2" s="1"/>
  <c r="X1979" i="2" s="1"/>
  <c r="Q1944" i="2" a="1"/>
  <c r="Q1944" i="2" s="1"/>
  <c r="S1944" i="2" s="1"/>
  <c r="W1944" i="2" s="1"/>
  <c r="X1944" i="2" s="1"/>
  <c r="Q2042" i="2" a="1"/>
  <c r="Q2042" i="2" s="1"/>
  <c r="S2042" i="2" s="1"/>
  <c r="W2042" i="2" s="1"/>
  <c r="X2042" i="2" s="1"/>
  <c r="R2042" i="2" a="1"/>
  <c r="R2042" i="2" s="1"/>
  <c r="Q2040" i="2" a="1"/>
  <c r="Q2040" i="2" s="1"/>
  <c r="S2040" i="2" s="1"/>
  <c r="W2040" i="2" s="1"/>
  <c r="X2040" i="2" s="1"/>
  <c r="R2040" i="2" a="1"/>
  <c r="R2040" i="2" s="1"/>
  <c r="A3" i="29"/>
  <c r="Q782" i="2" s="1" a="1"/>
  <c r="Q782" i="2" s="1"/>
  <c r="S782" i="2" s="1"/>
  <c r="W782" i="2" s="1"/>
  <c r="X782" i="2" s="1"/>
  <c r="N5" i="4" a="1"/>
  <c r="N5" i="4" s="1"/>
  <c r="Q7" i="4"/>
  <c r="O4" i="4"/>
  <c r="R190" i="2" l="1" a="1"/>
  <c r="R190" i="2" s="1"/>
  <c r="Q190" i="2" a="1"/>
  <c r="Q190" i="2" s="1"/>
  <c r="S190" i="2" s="1"/>
  <c r="W190" i="2" s="1"/>
  <c r="X190" i="2" s="1"/>
  <c r="R191" i="2" a="1"/>
  <c r="R191" i="2" s="1"/>
  <c r="Q191" i="2" a="1"/>
  <c r="Q191" i="2" s="1"/>
  <c r="S191" i="2" s="1"/>
  <c r="W191" i="2" s="1"/>
  <c r="X191" i="2" s="1"/>
  <c r="R192" i="2" a="1"/>
  <c r="R192" i="2" s="1"/>
  <c r="Q192" i="2" a="1"/>
  <c r="Q192" i="2" s="1"/>
  <c r="S192" i="2" s="1"/>
  <c r="W192" i="2" s="1"/>
  <c r="X192" i="2" s="1"/>
  <c r="R194" i="2" a="1"/>
  <c r="R194" i="2" s="1"/>
  <c r="Q194" i="2" a="1"/>
  <c r="Q194" i="2" s="1"/>
  <c r="S194" i="2" s="1"/>
  <c r="W194" i="2" s="1"/>
  <c r="X194" i="2" s="1"/>
  <c r="R170" i="2" a="1"/>
  <c r="R170" i="2" s="1"/>
  <c r="Q170" i="2" a="1"/>
  <c r="Q170" i="2" s="1"/>
  <c r="S170" i="2" s="1"/>
  <c r="W170" i="2" s="1"/>
  <c r="X170" i="2" s="1"/>
  <c r="Q172" i="2" a="1"/>
  <c r="Q172" i="2" s="1"/>
  <c r="S172" i="2" s="1"/>
  <c r="W172" i="2" s="1"/>
  <c r="X172" i="2" s="1"/>
  <c r="R171" i="2" a="1"/>
  <c r="R171" i="2" s="1"/>
  <c r="Q171" i="2" a="1"/>
  <c r="Q171" i="2" s="1"/>
  <c r="S171" i="2" s="1"/>
  <c r="W171" i="2" s="1"/>
  <c r="X171" i="2" s="1"/>
  <c r="R172" i="2" a="1"/>
  <c r="R172" i="2" s="1"/>
  <c r="R173" i="2" a="1"/>
  <c r="R173" i="2" s="1"/>
  <c r="Q173" i="2" a="1"/>
  <c r="Q173" i="2" s="1"/>
  <c r="S173" i="2" s="1"/>
  <c r="W173" i="2" s="1"/>
  <c r="X173" i="2" s="1"/>
  <c r="R175" i="2" a="1"/>
  <c r="R175" i="2" s="1"/>
  <c r="Q175" i="2" a="1"/>
  <c r="Q175" i="2" s="1"/>
  <c r="S175" i="2" s="1"/>
  <c r="W175" i="2" s="1"/>
  <c r="X175" i="2" s="1"/>
  <c r="R176" i="2" a="1"/>
  <c r="R176" i="2" s="1"/>
  <c r="Q176" i="2" a="1"/>
  <c r="Q176" i="2" s="1"/>
  <c r="S176" i="2" s="1"/>
  <c r="W176" i="2" s="1"/>
  <c r="X176" i="2" s="1"/>
  <c r="R179" i="2" a="1"/>
  <c r="R179" i="2" s="1"/>
  <c r="Q179" i="2" a="1"/>
  <c r="Q179" i="2" s="1"/>
  <c r="S179" i="2" s="1"/>
  <c r="W179" i="2" s="1"/>
  <c r="X179" i="2" s="1"/>
  <c r="R178" i="2" a="1"/>
  <c r="R178" i="2" s="1"/>
  <c r="Q178" i="2" a="1"/>
  <c r="Q178" i="2" s="1"/>
  <c r="S178" i="2" s="1"/>
  <c r="W178" i="2" s="1"/>
  <c r="X178" i="2" s="1"/>
  <c r="R180" i="2" a="1"/>
  <c r="R180" i="2" s="1"/>
  <c r="Q180" i="2" a="1"/>
  <c r="Q180" i="2" s="1"/>
  <c r="S180" i="2" s="1"/>
  <c r="W180" i="2" s="1"/>
  <c r="X180" i="2" s="1"/>
  <c r="R181" i="2" a="1"/>
  <c r="R181" i="2" s="1"/>
  <c r="Q181" i="2" a="1"/>
  <c r="Q181" i="2" s="1"/>
  <c r="S181" i="2" s="1"/>
  <c r="W181" i="2" s="1"/>
  <c r="X181" i="2" s="1"/>
  <c r="R182" i="2" a="1"/>
  <c r="R182" i="2" s="1"/>
  <c r="Q182" i="2" a="1"/>
  <c r="Q182" i="2" s="1"/>
  <c r="S182" i="2" s="1"/>
  <c r="W182" i="2" s="1"/>
  <c r="X182" i="2" s="1"/>
  <c r="R183" i="2" a="1"/>
  <c r="R183" i="2" s="1"/>
  <c r="Q183" i="2" a="1"/>
  <c r="Q183" i="2" s="1"/>
  <c r="S183" i="2" s="1"/>
  <c r="W183" i="2" s="1"/>
  <c r="X183" i="2" s="1"/>
  <c r="R184" i="2" a="1"/>
  <c r="R184" i="2" s="1"/>
  <c r="Q184" i="2" a="1"/>
  <c r="Q184" i="2" s="1"/>
  <c r="S184" i="2" s="1"/>
  <c r="W184" i="2" s="1"/>
  <c r="X184" i="2" s="1"/>
  <c r="R185" i="2" a="1"/>
  <c r="R185" i="2" s="1"/>
  <c r="Q185" i="2" a="1"/>
  <c r="Q185" i="2" s="1"/>
  <c r="S185" i="2" s="1"/>
  <c r="W185" i="2" s="1"/>
  <c r="X185" i="2" s="1"/>
  <c r="R187" i="2" a="1"/>
  <c r="R187" i="2" s="1"/>
  <c r="Q187" i="2" a="1"/>
  <c r="Q187" i="2" s="1"/>
  <c r="S187" i="2" s="1"/>
  <c r="W187" i="2" s="1"/>
  <c r="X187" i="2" s="1"/>
  <c r="R186" i="2" a="1"/>
  <c r="R186" i="2" s="1"/>
  <c r="Q186" i="2" a="1"/>
  <c r="Q186" i="2" s="1"/>
  <c r="S186" i="2" s="1"/>
  <c r="W186" i="2" s="1"/>
  <c r="X186" i="2" s="1"/>
  <c r="R188" i="2" a="1"/>
  <c r="R188" i="2" s="1"/>
  <c r="Q188" i="2" a="1"/>
  <c r="Q188" i="2" s="1"/>
  <c r="S188" i="2" s="1"/>
  <c r="W188" i="2" s="1"/>
  <c r="X188" i="2" s="1"/>
  <c r="R189" i="2" a="1"/>
  <c r="R189" i="2" s="1"/>
  <c r="Q189" i="2" a="1"/>
  <c r="Q189" i="2" s="1"/>
  <c r="S189" i="2" s="1"/>
  <c r="W189" i="2" s="1"/>
  <c r="X189" i="2" s="1"/>
  <c r="Q368" i="2" a="1"/>
  <c r="Q368" i="2" s="1"/>
  <c r="S368" i="2" s="1"/>
  <c r="W368" i="2" s="1"/>
  <c r="X368" i="2" s="1"/>
  <c r="R368" i="2" a="1"/>
  <c r="R368" i="2" s="1"/>
  <c r="R369" i="2" a="1"/>
  <c r="R369" i="2" s="1"/>
  <c r="Q369" i="2" a="1"/>
  <c r="Q369" i="2" s="1"/>
  <c r="S369" i="2" s="1"/>
  <c r="W369" i="2" s="1"/>
  <c r="X369" i="2" s="1"/>
  <c r="R370" i="2" a="1"/>
  <c r="R370" i="2" s="1"/>
  <c r="Q370" i="2" a="1"/>
  <c r="Q370" i="2" s="1"/>
  <c r="S370" i="2" s="1"/>
  <c r="W370" i="2" s="1"/>
  <c r="X370" i="2" s="1"/>
  <c r="R372" i="2" a="1"/>
  <c r="R372" i="2" s="1"/>
  <c r="Q372" i="2" a="1"/>
  <c r="Q372" i="2" s="1"/>
  <c r="S372" i="2" s="1"/>
  <c r="W372" i="2" s="1"/>
  <c r="X372" i="2" s="1"/>
  <c r="R371" i="2" a="1"/>
  <c r="R371" i="2" s="1"/>
  <c r="Q371" i="2" a="1"/>
  <c r="Q371" i="2" s="1"/>
  <c r="S371" i="2" s="1"/>
  <c r="W371" i="2" s="1"/>
  <c r="X371" i="2" s="1"/>
  <c r="R374" i="2" a="1"/>
  <c r="R374" i="2" s="1"/>
  <c r="Q374" i="2" a="1"/>
  <c r="Q374" i="2" s="1"/>
  <c r="S374" i="2" s="1"/>
  <c r="W374" i="2" s="1"/>
  <c r="X374" i="2" s="1"/>
  <c r="R376" i="2" a="1"/>
  <c r="R376" i="2" s="1"/>
  <c r="Q376" i="2" a="1"/>
  <c r="Q376" i="2" s="1"/>
  <c r="S376" i="2" s="1"/>
  <c r="W376" i="2" s="1"/>
  <c r="X376" i="2" s="1"/>
  <c r="Q365" i="2" a="1"/>
  <c r="Q365" i="2" s="1"/>
  <c r="S365" i="2" s="1"/>
  <c r="W365" i="2" s="1"/>
  <c r="X365" i="2" s="1"/>
  <c r="R367" i="2" a="1"/>
  <c r="R367" i="2" s="1"/>
  <c r="Q367" i="2" a="1"/>
  <c r="Q367" i="2" s="1"/>
  <c r="S367" i="2" s="1"/>
  <c r="W367" i="2" s="1"/>
  <c r="X367" i="2" s="1"/>
  <c r="R365" i="2" a="1"/>
  <c r="R365" i="2" s="1"/>
  <c r="R359" i="2" a="1"/>
  <c r="R359" i="2" s="1"/>
  <c r="Q358" i="2" a="1"/>
  <c r="Q358" i="2" s="1"/>
  <c r="S358" i="2" s="1"/>
  <c r="W358" i="2" s="1"/>
  <c r="X358" i="2" s="1"/>
  <c r="R358" i="2" a="1"/>
  <c r="R358" i="2" s="1"/>
  <c r="R357" i="2" a="1"/>
  <c r="R357" i="2" s="1"/>
  <c r="Q359" i="2" a="1"/>
  <c r="Q359" i="2" s="1"/>
  <c r="S359" i="2" s="1"/>
  <c r="W359" i="2" s="1"/>
  <c r="X359" i="2" s="1"/>
  <c r="Q357" i="2" a="1"/>
  <c r="Q357" i="2" s="1"/>
  <c r="S357" i="2" s="1"/>
  <c r="W357" i="2" s="1"/>
  <c r="X357" i="2" s="1"/>
  <c r="R360" i="2" a="1"/>
  <c r="R360" i="2" s="1"/>
  <c r="Q360" i="2" a="1"/>
  <c r="Q360" i="2" s="1"/>
  <c r="S360" i="2" s="1"/>
  <c r="W360" i="2" s="1"/>
  <c r="X360" i="2" s="1"/>
  <c r="R361" i="2" a="1"/>
  <c r="R361" i="2" s="1"/>
  <c r="Q361" i="2" a="1"/>
  <c r="Q361" i="2" s="1"/>
  <c r="S361" i="2" s="1"/>
  <c r="W361" i="2" s="1"/>
  <c r="X361" i="2" s="1"/>
  <c r="R342" i="2" a="1"/>
  <c r="R342" i="2" s="1"/>
  <c r="R341" i="2" a="1"/>
  <c r="R341" i="2" s="1"/>
  <c r="Q342" i="2" a="1"/>
  <c r="Q342" i="2" s="1"/>
  <c r="S342" i="2" s="1"/>
  <c r="W342" i="2" s="1"/>
  <c r="X342" i="2" s="1"/>
  <c r="Q341" i="2" a="1"/>
  <c r="Q341" i="2" s="1"/>
  <c r="S341" i="2" s="1"/>
  <c r="W341" i="2" s="1"/>
  <c r="X341" i="2" s="1"/>
  <c r="R343" i="2" a="1"/>
  <c r="R343" i="2" s="1"/>
  <c r="Q343" i="2" a="1"/>
  <c r="Q343" i="2" s="1"/>
  <c r="S343" i="2" s="1"/>
  <c r="W343" i="2" s="1"/>
  <c r="X343" i="2" s="1"/>
  <c r="R344" i="2" a="1"/>
  <c r="R344" i="2" s="1"/>
  <c r="Q344" i="2" a="1"/>
  <c r="Q344" i="2" s="1"/>
  <c r="S344" i="2" s="1"/>
  <c r="W344" i="2" s="1"/>
  <c r="X344" i="2" s="1"/>
  <c r="Q345" i="2" a="1"/>
  <c r="Q345" i="2" s="1"/>
  <c r="S345" i="2" s="1"/>
  <c r="W345" i="2" s="1"/>
  <c r="X345" i="2" s="1"/>
  <c r="R345" i="2" a="1"/>
  <c r="R345" i="2" s="1"/>
  <c r="R346" i="2" a="1"/>
  <c r="R346" i="2" s="1"/>
  <c r="R347" i="2" a="1"/>
  <c r="R347" i="2" s="1"/>
  <c r="Q346" i="2" a="1"/>
  <c r="Q346" i="2" s="1"/>
  <c r="S346" i="2" s="1"/>
  <c r="W346" i="2" s="1"/>
  <c r="X346" i="2" s="1"/>
  <c r="Q347" i="2" a="1"/>
  <c r="Q347" i="2" s="1"/>
  <c r="S347" i="2" s="1"/>
  <c r="W347" i="2" s="1"/>
  <c r="X347" i="2" s="1"/>
  <c r="R348" i="2" a="1"/>
  <c r="R348" i="2" s="1"/>
  <c r="Q348" i="2" a="1"/>
  <c r="Q348" i="2" s="1"/>
  <c r="S348" i="2" s="1"/>
  <c r="W348" i="2" s="1"/>
  <c r="X348" i="2" s="1"/>
  <c r="R349" i="2" a="1"/>
  <c r="R349" i="2" s="1"/>
  <c r="Q349" i="2" a="1"/>
  <c r="Q349" i="2" s="1"/>
  <c r="S349" i="2" s="1"/>
  <c r="W349" i="2" s="1"/>
  <c r="X349" i="2" s="1"/>
  <c r="R350" i="2" a="1"/>
  <c r="R350" i="2" s="1"/>
  <c r="Q350" i="2" a="1"/>
  <c r="Q350" i="2" s="1"/>
  <c r="S350" i="2" s="1"/>
  <c r="W350" i="2" s="1"/>
  <c r="X350" i="2" s="1"/>
  <c r="R351" i="2" a="1"/>
  <c r="R351" i="2" s="1"/>
  <c r="Q351" i="2" a="1"/>
  <c r="Q351" i="2" s="1"/>
  <c r="S351" i="2" s="1"/>
  <c r="W351" i="2" s="1"/>
  <c r="X351" i="2" s="1"/>
  <c r="R352" i="2" a="1"/>
  <c r="R352" i="2" s="1"/>
  <c r="Q352" i="2" a="1"/>
  <c r="Q352" i="2" s="1"/>
  <c r="S352" i="2" s="1"/>
  <c r="W352" i="2" s="1"/>
  <c r="X352" i="2" s="1"/>
  <c r="R353" i="2" a="1"/>
  <c r="R353" i="2" s="1"/>
  <c r="Q353" i="2" a="1"/>
  <c r="Q353" i="2" s="1"/>
  <c r="S353" i="2" s="1"/>
  <c r="W353" i="2" s="1"/>
  <c r="X353" i="2" s="1"/>
  <c r="R354" i="2" a="1"/>
  <c r="R354" i="2" s="1"/>
  <c r="Q354" i="2" a="1"/>
  <c r="Q354" i="2" s="1"/>
  <c r="S354" i="2" s="1"/>
  <c r="W354" i="2" s="1"/>
  <c r="X354" i="2" s="1"/>
  <c r="R355" i="2" a="1"/>
  <c r="R355" i="2" s="1"/>
  <c r="Q355" i="2" a="1"/>
  <c r="Q355" i="2" s="1"/>
  <c r="S355" i="2" s="1"/>
  <c r="W355" i="2" s="1"/>
  <c r="X355" i="2" s="1"/>
  <c r="Q340" i="2" a="1"/>
  <c r="Q340" i="2" s="1"/>
  <c r="S340" i="2" s="1"/>
  <c r="W340" i="2" s="1"/>
  <c r="X340" i="2" s="1"/>
  <c r="R340" i="2" a="1"/>
  <c r="R340" i="2" s="1"/>
  <c r="R333" i="2" a="1"/>
  <c r="R333" i="2" s="1"/>
  <c r="Q333" i="2" a="1"/>
  <c r="Q333" i="2" s="1"/>
  <c r="S333" i="2" s="1"/>
  <c r="W333" i="2" s="1"/>
  <c r="X333" i="2" s="1"/>
  <c r="R332" i="2" a="1"/>
  <c r="R332" i="2" s="1"/>
  <c r="Q332" i="2" a="1"/>
  <c r="Q332" i="2" s="1"/>
  <c r="S332" i="2" s="1"/>
  <c r="W332" i="2" s="1"/>
  <c r="X332" i="2" s="1"/>
  <c r="Q334" i="2" a="1"/>
  <c r="Q334" i="2" s="1"/>
  <c r="S334" i="2" s="1"/>
  <c r="W334" i="2" s="1"/>
  <c r="X334" i="2" s="1"/>
  <c r="R334" i="2" a="1"/>
  <c r="R334" i="2" s="1"/>
  <c r="R335" i="2" a="1"/>
  <c r="R335" i="2" s="1"/>
  <c r="Q335" i="2" a="1"/>
  <c r="Q335" i="2" s="1"/>
  <c r="S335" i="2" s="1"/>
  <c r="W335" i="2" s="1"/>
  <c r="X335" i="2" s="1"/>
  <c r="Q336" i="2" a="1"/>
  <c r="Q336" i="2" s="1"/>
  <c r="S336" i="2" s="1"/>
  <c r="W336" i="2" s="1"/>
  <c r="X336" i="2" s="1"/>
  <c r="R336" i="2" a="1"/>
  <c r="R336" i="2" s="1"/>
  <c r="R337" i="2" a="1"/>
  <c r="R337" i="2" s="1"/>
  <c r="Q337" i="2" a="1"/>
  <c r="Q337" i="2" s="1"/>
  <c r="S337" i="2" s="1"/>
  <c r="W337" i="2" s="1"/>
  <c r="X337" i="2" s="1"/>
  <c r="R338" i="2" a="1"/>
  <c r="R338" i="2" s="1"/>
  <c r="Q338" i="2" a="1"/>
  <c r="Q338" i="2" s="1"/>
  <c r="S338" i="2" s="1"/>
  <c r="W338" i="2" s="1"/>
  <c r="X338" i="2" s="1"/>
  <c r="Q339" i="2" a="1"/>
  <c r="Q339" i="2" s="1"/>
  <c r="S339" i="2" s="1"/>
  <c r="W339" i="2" s="1"/>
  <c r="X339" i="2" s="1"/>
  <c r="R339" i="2" a="1"/>
  <c r="R339" i="2" s="1"/>
  <c r="R331" i="2" a="1"/>
  <c r="R331" i="2" s="1"/>
  <c r="Q331" i="2" a="1"/>
  <c r="Q331" i="2" s="1"/>
  <c r="S331" i="2" s="1"/>
  <c r="W331" i="2" s="1"/>
  <c r="X331" i="2" s="1"/>
  <c r="R321" i="2" a="1"/>
  <c r="R321" i="2" s="1"/>
  <c r="Q321" i="2" a="1"/>
  <c r="Q321" i="2" s="1"/>
  <c r="S321" i="2" s="1"/>
  <c r="W321" i="2" s="1"/>
  <c r="X321" i="2" s="1"/>
  <c r="R322" i="2" a="1"/>
  <c r="R322" i="2" s="1"/>
  <c r="Q322" i="2" a="1"/>
  <c r="Q322" i="2" s="1"/>
  <c r="S322" i="2" s="1"/>
  <c r="W322" i="2" s="1"/>
  <c r="X322" i="2" s="1"/>
  <c r="R323" i="2" a="1"/>
  <c r="R323" i="2" s="1"/>
  <c r="Q323" i="2" a="1"/>
  <c r="Q323" i="2" s="1"/>
  <c r="S323" i="2" s="1"/>
  <c r="W323" i="2" s="1"/>
  <c r="X323" i="2" s="1"/>
  <c r="R324" i="2" a="1"/>
  <c r="R324" i="2" s="1"/>
  <c r="Q324" i="2" a="1"/>
  <c r="Q324" i="2" s="1"/>
  <c r="S324" i="2" s="1"/>
  <c r="W324" i="2" s="1"/>
  <c r="X324" i="2" s="1"/>
  <c r="R325" i="2" a="1"/>
  <c r="R325" i="2" s="1"/>
  <c r="Q325" i="2" a="1"/>
  <c r="Q325" i="2" s="1"/>
  <c r="S325" i="2" s="1"/>
  <c r="W325" i="2" s="1"/>
  <c r="X325" i="2" s="1"/>
  <c r="R326" i="2" a="1"/>
  <c r="R326" i="2" s="1"/>
  <c r="Q326" i="2" a="1"/>
  <c r="Q326" i="2" s="1"/>
  <c r="S326" i="2" s="1"/>
  <c r="W326" i="2" s="1"/>
  <c r="X326" i="2" s="1"/>
  <c r="R327" i="2" a="1"/>
  <c r="R327" i="2" s="1"/>
  <c r="Q327" i="2" a="1"/>
  <c r="Q327" i="2" s="1"/>
  <c r="S327" i="2" s="1"/>
  <c r="W327" i="2" s="1"/>
  <c r="X327" i="2" s="1"/>
  <c r="Q328" i="2" a="1"/>
  <c r="Q328" i="2" s="1"/>
  <c r="S328" i="2" s="1"/>
  <c r="W328" i="2" s="1"/>
  <c r="X328" i="2" s="1"/>
  <c r="R328" i="2" a="1"/>
  <c r="R328" i="2" s="1"/>
  <c r="R329" i="2" a="1"/>
  <c r="R329" i="2" s="1"/>
  <c r="Q329" i="2" a="1"/>
  <c r="Q329" i="2" s="1"/>
  <c r="S329" i="2" s="1"/>
  <c r="W329" i="2" s="1"/>
  <c r="X329" i="2" s="1"/>
  <c r="R330" i="2" a="1"/>
  <c r="R330" i="2" s="1"/>
  <c r="Q330" i="2" a="1"/>
  <c r="Q330" i="2" s="1"/>
  <c r="S330" i="2" s="1"/>
  <c r="W330" i="2" s="1"/>
  <c r="X330" i="2" s="1"/>
  <c r="R307" i="2" a="1"/>
  <c r="R307" i="2" s="1"/>
  <c r="Q307" i="2" a="1"/>
  <c r="Q307" i="2" s="1"/>
  <c r="S307" i="2" s="1"/>
  <c r="W307" i="2" s="1"/>
  <c r="X307" i="2" s="1"/>
  <c r="Q309" i="2" a="1"/>
  <c r="Q309" i="2" s="1"/>
  <c r="S309" i="2" s="1"/>
  <c r="W309" i="2" s="1"/>
  <c r="X309" i="2" s="1"/>
  <c r="R309" i="2" a="1"/>
  <c r="R309" i="2" s="1"/>
  <c r="R308" i="2" a="1"/>
  <c r="R308" i="2" s="1"/>
  <c r="Q308" i="2" a="1"/>
  <c r="Q308" i="2" s="1"/>
  <c r="S308" i="2" s="1"/>
  <c r="W308" i="2" s="1"/>
  <c r="X308" i="2" s="1"/>
  <c r="Q310" i="2" a="1"/>
  <c r="Q310" i="2" s="1"/>
  <c r="S310" i="2" s="1"/>
  <c r="W310" i="2" s="1"/>
  <c r="X310" i="2" s="1"/>
  <c r="R310" i="2" a="1"/>
  <c r="R310" i="2" s="1"/>
  <c r="R311" i="2" a="1"/>
  <c r="R311" i="2" s="1"/>
  <c r="Q311" i="2" a="1"/>
  <c r="Q311" i="2" s="1"/>
  <c r="S311" i="2" s="1"/>
  <c r="W311" i="2" s="1"/>
  <c r="X311" i="2" s="1"/>
  <c r="R312" i="2" a="1"/>
  <c r="R312" i="2" s="1"/>
  <c r="Q312" i="2" a="1"/>
  <c r="Q312" i="2" s="1"/>
  <c r="S312" i="2" s="1"/>
  <c r="W312" i="2" s="1"/>
  <c r="X312" i="2" s="1"/>
  <c r="R313" i="2" a="1"/>
  <c r="R313" i="2" s="1"/>
  <c r="Q313" i="2" a="1"/>
  <c r="Q313" i="2" s="1"/>
  <c r="S313" i="2" s="1"/>
  <c r="W313" i="2" s="1"/>
  <c r="X313" i="2" s="1"/>
  <c r="R314" i="2" a="1"/>
  <c r="R314" i="2" s="1"/>
  <c r="Q314" i="2" a="1"/>
  <c r="Q314" i="2" s="1"/>
  <c r="S314" i="2" s="1"/>
  <c r="W314" i="2" s="1"/>
  <c r="X314" i="2" s="1"/>
  <c r="R315" i="2" a="1"/>
  <c r="R315" i="2" s="1"/>
  <c r="Q315" i="2" a="1"/>
  <c r="Q315" i="2" s="1"/>
  <c r="S315" i="2" s="1"/>
  <c r="W315" i="2" s="1"/>
  <c r="X315" i="2" s="1"/>
  <c r="R316" i="2" a="1"/>
  <c r="R316" i="2" s="1"/>
  <c r="Q316" i="2" a="1"/>
  <c r="Q316" i="2" s="1"/>
  <c r="S316" i="2" s="1"/>
  <c r="W316" i="2" s="1"/>
  <c r="X316" i="2" s="1"/>
  <c r="R317" i="2" a="1"/>
  <c r="R317" i="2" s="1"/>
  <c r="Q317" i="2" a="1"/>
  <c r="Q317" i="2" s="1"/>
  <c r="S317" i="2" s="1"/>
  <c r="W317" i="2" s="1"/>
  <c r="X317" i="2" s="1"/>
  <c r="R318" i="2" a="1"/>
  <c r="R318" i="2" s="1"/>
  <c r="Q318" i="2" a="1"/>
  <c r="Q318" i="2" s="1"/>
  <c r="S318" i="2" s="1"/>
  <c r="W318" i="2" s="1"/>
  <c r="X318" i="2" s="1"/>
  <c r="R1670" i="2" a="1"/>
  <c r="R1670" i="2" s="1"/>
  <c r="Q1670" i="2" a="1"/>
  <c r="Q1670" i="2" s="1"/>
  <c r="S1670" i="2" s="1"/>
  <c r="W1670" i="2" s="1"/>
  <c r="X1670" i="2" s="1"/>
  <c r="Q285" i="2" a="1"/>
  <c r="Q285" i="2" s="1"/>
  <c r="S285" i="2" s="1"/>
  <c r="W285" i="2" s="1"/>
  <c r="X285" i="2" s="1"/>
  <c r="R285" i="2" a="1"/>
  <c r="R285" i="2" s="1"/>
  <c r="R286" i="2" a="1"/>
  <c r="R286" i="2" s="1"/>
  <c r="Q286" i="2" a="1"/>
  <c r="Q286" i="2" s="1"/>
  <c r="S286" i="2" s="1"/>
  <c r="W286" i="2" s="1"/>
  <c r="X286" i="2" s="1"/>
  <c r="R287" i="2" a="1"/>
  <c r="R287" i="2" s="1"/>
  <c r="Q287" i="2" a="1"/>
  <c r="Q287" i="2" s="1"/>
  <c r="S287" i="2" s="1"/>
  <c r="W287" i="2" s="1"/>
  <c r="X287" i="2" s="1"/>
  <c r="R288" i="2" a="1"/>
  <c r="R288" i="2" s="1"/>
  <c r="Q288" i="2" a="1"/>
  <c r="Q288" i="2" s="1"/>
  <c r="S288" i="2" s="1"/>
  <c r="W288" i="2" s="1"/>
  <c r="X288" i="2" s="1"/>
  <c r="Q289" i="2" a="1"/>
  <c r="Q289" i="2" s="1"/>
  <c r="S289" i="2" s="1"/>
  <c r="W289" i="2" s="1"/>
  <c r="X289" i="2" s="1"/>
  <c r="R289" i="2" a="1"/>
  <c r="R289" i="2" s="1"/>
  <c r="R290" i="2" a="1"/>
  <c r="R290" i="2" s="1"/>
  <c r="Q290" i="2" a="1"/>
  <c r="Q290" i="2" s="1"/>
  <c r="S290" i="2" s="1"/>
  <c r="W290" i="2" s="1"/>
  <c r="X290" i="2" s="1"/>
  <c r="R291" i="2" a="1"/>
  <c r="R291" i="2" s="1"/>
  <c r="Q291" i="2" a="1"/>
  <c r="Q291" i="2" s="1"/>
  <c r="S291" i="2" s="1"/>
  <c r="W291" i="2" s="1"/>
  <c r="X291" i="2" s="1"/>
  <c r="R292" i="2" a="1"/>
  <c r="R292" i="2" s="1"/>
  <c r="Q292" i="2" a="1"/>
  <c r="Q292" i="2" s="1"/>
  <c r="S292" i="2" s="1"/>
  <c r="W292" i="2" s="1"/>
  <c r="X292" i="2" s="1"/>
  <c r="R293" i="2" a="1"/>
  <c r="R293" i="2" s="1"/>
  <c r="Q293" i="2" a="1"/>
  <c r="Q293" i="2" s="1"/>
  <c r="S293" i="2" s="1"/>
  <c r="W293" i="2" s="1"/>
  <c r="X293" i="2" s="1"/>
  <c r="R294" i="2" a="1"/>
  <c r="R294" i="2" s="1"/>
  <c r="Q294" i="2" a="1"/>
  <c r="Q294" i="2" s="1"/>
  <c r="S294" i="2" s="1"/>
  <c r="W294" i="2" s="1"/>
  <c r="X294" i="2" s="1"/>
  <c r="Q295" i="2" a="1"/>
  <c r="Q295" i="2" s="1"/>
  <c r="S295" i="2" s="1"/>
  <c r="W295" i="2" s="1"/>
  <c r="X295" i="2" s="1"/>
  <c r="R295" i="2" a="1"/>
  <c r="R295" i="2" s="1"/>
  <c r="R297" i="2" a="1"/>
  <c r="R297" i="2" s="1"/>
  <c r="Q297" i="2" a="1"/>
  <c r="Q297" i="2" s="1"/>
  <c r="S297" i="2" s="1"/>
  <c r="W297" i="2" s="1"/>
  <c r="X297" i="2" s="1"/>
  <c r="R296" i="2" a="1"/>
  <c r="R296" i="2" s="1"/>
  <c r="Q296" i="2" a="1"/>
  <c r="Q296" i="2" s="1"/>
  <c r="S296" i="2" s="1"/>
  <c r="W296" i="2" s="1"/>
  <c r="X296" i="2" s="1"/>
  <c r="Q298" i="2" a="1"/>
  <c r="Q298" i="2" s="1"/>
  <c r="S298" i="2" s="1"/>
  <c r="W298" i="2" s="1"/>
  <c r="X298" i="2" s="1"/>
  <c r="R298" i="2" a="1"/>
  <c r="R298" i="2" s="1"/>
  <c r="Q299" i="2" a="1"/>
  <c r="Q299" i="2" s="1"/>
  <c r="S299" i="2" s="1"/>
  <c r="W299" i="2" s="1"/>
  <c r="X299" i="2" s="1"/>
  <c r="R299" i="2" a="1"/>
  <c r="R299" i="2" s="1"/>
  <c r="R300" i="2" a="1"/>
  <c r="R300" i="2" s="1"/>
  <c r="R301" i="2" a="1"/>
  <c r="R301" i="2" s="1"/>
  <c r="Q300" i="2" a="1"/>
  <c r="Q300" i="2" s="1"/>
  <c r="S300" i="2" s="1"/>
  <c r="W300" i="2" s="1"/>
  <c r="X300" i="2" s="1"/>
  <c r="Q301" i="2" a="1"/>
  <c r="Q301" i="2" s="1"/>
  <c r="S301" i="2" s="1"/>
  <c r="W301" i="2" s="1"/>
  <c r="X301" i="2" s="1"/>
  <c r="R302" i="2" a="1"/>
  <c r="R302" i="2" s="1"/>
  <c r="Q302" i="2" a="1"/>
  <c r="Q302" i="2" s="1"/>
  <c r="S302" i="2" s="1"/>
  <c r="W302" i="2" s="1"/>
  <c r="X302" i="2" s="1"/>
  <c r="R303" i="2" a="1"/>
  <c r="R303" i="2" s="1"/>
  <c r="Q303" i="2" a="1"/>
  <c r="Q303" i="2" s="1"/>
  <c r="S303" i="2" s="1"/>
  <c r="W303" i="2" s="1"/>
  <c r="X303" i="2" s="1"/>
  <c r="R304" i="2" a="1"/>
  <c r="R304" i="2" s="1"/>
  <c r="Q304" i="2" a="1"/>
  <c r="Q304" i="2" s="1"/>
  <c r="S304" i="2" s="1"/>
  <c r="W304" i="2" s="1"/>
  <c r="X304" i="2" s="1"/>
  <c r="R305" i="2" a="1"/>
  <c r="R305" i="2" s="1"/>
  <c r="Q305" i="2" a="1"/>
  <c r="Q305" i="2" s="1"/>
  <c r="S305" i="2" s="1"/>
  <c r="W305" i="2" s="1"/>
  <c r="X305" i="2" s="1"/>
  <c r="W7" i="4"/>
  <c r="R2065" i="2" a="1"/>
  <c r="R2065" i="2" s="1"/>
  <c r="Q2065" i="2" a="1"/>
  <c r="Q2065" i="2" s="1"/>
  <c r="S2065" i="2" s="1"/>
  <c r="W2065" i="2" s="1"/>
  <c r="X2065" i="2" s="1"/>
  <c r="R1971" i="2" a="1"/>
  <c r="R1971" i="2" s="1"/>
  <c r="Q1971" i="2" a="1"/>
  <c r="Q1971" i="2" s="1"/>
  <c r="S1971" i="2" s="1"/>
  <c r="W1971" i="2" s="1"/>
  <c r="X1971" i="2" s="1"/>
  <c r="R1976" i="2" a="1"/>
  <c r="R1976" i="2" s="1"/>
  <c r="Q1976" i="2" a="1"/>
  <c r="Q1976" i="2" s="1"/>
  <c r="S1976" i="2" s="1"/>
  <c r="W1976" i="2" s="1"/>
  <c r="X1976" i="2" s="1"/>
  <c r="R1975" i="2" a="1"/>
  <c r="R1975" i="2" s="1"/>
  <c r="Q1975" i="2" a="1"/>
  <c r="Q1975" i="2" s="1"/>
  <c r="S1975" i="2" s="1"/>
  <c r="W1975" i="2" s="1"/>
  <c r="X1975" i="2" s="1"/>
  <c r="R1977" i="2" a="1"/>
  <c r="R1977" i="2" s="1"/>
  <c r="Q1977" i="2" a="1"/>
  <c r="Q1977" i="2" s="1"/>
  <c r="S1977" i="2" s="1"/>
  <c r="W1977" i="2" s="1"/>
  <c r="X1977" i="2" s="1"/>
  <c r="Q1968" i="2" a="1"/>
  <c r="Q1968" i="2" s="1"/>
  <c r="S1968" i="2" s="1"/>
  <c r="W1968" i="2" s="1"/>
  <c r="X1968" i="2" s="1"/>
  <c r="R1967" i="2" a="1"/>
  <c r="R1967" i="2" s="1"/>
  <c r="Q1967" i="2" a="1"/>
  <c r="Q1967" i="2" s="1"/>
  <c r="S1967" i="2" s="1"/>
  <c r="W1967" i="2" s="1"/>
  <c r="X1967" i="2" s="1"/>
  <c r="R1968" i="2" a="1"/>
  <c r="R1968" i="2" s="1"/>
  <c r="R2004" i="2" a="1"/>
  <c r="R2004" i="2" s="1"/>
  <c r="Q2004" i="2" a="1"/>
  <c r="Q2004" i="2" s="1"/>
  <c r="S2004" i="2" s="1"/>
  <c r="W2004" i="2" s="1"/>
  <c r="X2004" i="2" s="1"/>
  <c r="R1995" i="2" a="1"/>
  <c r="R1995" i="2" s="1"/>
  <c r="Q1995" i="2" a="1"/>
  <c r="Q1995" i="2" s="1"/>
  <c r="S1995" i="2" s="1"/>
  <c r="W1995" i="2" s="1"/>
  <c r="X1995" i="2" s="1"/>
  <c r="R1998" i="2" a="1"/>
  <c r="R1998" i="2" s="1"/>
  <c r="Q1998" i="2" a="1"/>
  <c r="Q1998" i="2" s="1"/>
  <c r="S1998" i="2" s="1"/>
  <c r="W1998" i="2" s="1"/>
  <c r="X1998" i="2" s="1"/>
  <c r="R2000" i="2" a="1"/>
  <c r="R2000" i="2" s="1"/>
  <c r="Q2000" i="2" a="1"/>
  <c r="Q2000" i="2" s="1"/>
  <c r="S2000" i="2" s="1"/>
  <c r="W2000" i="2" s="1"/>
  <c r="X2000" i="2" s="1"/>
  <c r="R2001" i="2" a="1"/>
  <c r="R2001" i="2" s="1"/>
  <c r="Q2001" i="2" a="1"/>
  <c r="Q2001" i="2" s="1"/>
  <c r="S2001" i="2" s="1"/>
  <c r="W2001" i="2" s="1"/>
  <c r="X2001" i="2" s="1"/>
  <c r="R2003" i="2" a="1"/>
  <c r="R2003" i="2" s="1"/>
  <c r="Q2003" i="2" a="1"/>
  <c r="Q2003" i="2" s="1"/>
  <c r="S2003" i="2" s="1"/>
  <c r="W2003" i="2" s="1"/>
  <c r="X2003" i="2" s="1"/>
  <c r="R2031" i="2" a="1"/>
  <c r="R2031" i="2" s="1"/>
  <c r="Q2031" i="2" a="1"/>
  <c r="Q2031" i="2" s="1"/>
  <c r="S2031" i="2" s="1"/>
  <c r="W2031" i="2" s="1"/>
  <c r="X2031" i="2" s="1"/>
  <c r="R2030" i="2" a="1"/>
  <c r="R2030" i="2" s="1"/>
  <c r="Q2030" i="2" a="1"/>
  <c r="Q2030" i="2" s="1"/>
  <c r="S2030" i="2" s="1"/>
  <c r="W2030" i="2" s="1"/>
  <c r="X2030" i="2" s="1"/>
  <c r="R2038" i="2" a="1"/>
  <c r="R2038" i="2" s="1"/>
  <c r="Q2038" i="2" a="1"/>
  <c r="Q2038" i="2" s="1"/>
  <c r="S2038" i="2" s="1"/>
  <c r="W2038" i="2" s="1"/>
  <c r="X2038" i="2" s="1"/>
  <c r="R2039" i="2" a="1"/>
  <c r="R2039" i="2" s="1"/>
  <c r="Q2039" i="2" a="1"/>
  <c r="Q2039" i="2" s="1"/>
  <c r="S2039" i="2" s="1"/>
  <c r="W2039" i="2" s="1"/>
  <c r="X2039" i="2" s="1"/>
  <c r="R2035" i="2" a="1"/>
  <c r="R2035" i="2" s="1"/>
  <c r="Q2035" i="2" a="1"/>
  <c r="Q2035" i="2" s="1"/>
  <c r="S2035" i="2" s="1"/>
  <c r="W2035" i="2" s="1"/>
  <c r="X2035" i="2" s="1"/>
  <c r="R2034" i="2" a="1"/>
  <c r="R2034" i="2" s="1"/>
  <c r="Q2034" i="2" a="1"/>
  <c r="Q2034" i="2" s="1"/>
  <c r="S2034" i="2" s="1"/>
  <c r="W2034" i="2" s="1"/>
  <c r="X2034" i="2" s="1"/>
  <c r="R2028" i="2" a="1"/>
  <c r="R2028" i="2" s="1"/>
  <c r="Q2028" i="2" a="1"/>
  <c r="Q2028" i="2" s="1"/>
  <c r="S2028" i="2" s="1"/>
  <c r="W2028" i="2" s="1"/>
  <c r="X2028" i="2" s="1"/>
  <c r="R2027" i="2" a="1"/>
  <c r="R2027" i="2" s="1"/>
  <c r="Q2027" i="2" a="1"/>
  <c r="Q2027" i="2" s="1"/>
  <c r="S2027" i="2" s="1"/>
  <c r="W2027" i="2" s="1"/>
  <c r="X2027" i="2" s="1"/>
  <c r="R2024" i="2" a="1"/>
  <c r="R2024" i="2" s="1"/>
  <c r="Q2024" i="2" a="1"/>
  <c r="Q2024" i="2" s="1"/>
  <c r="S2024" i="2" s="1"/>
  <c r="W2024" i="2" s="1"/>
  <c r="X2024" i="2" s="1"/>
  <c r="R2023" i="2" a="1"/>
  <c r="R2023" i="2" s="1"/>
  <c r="Q2023" i="2" a="1"/>
  <c r="Q2023" i="2" s="1"/>
  <c r="S2023" i="2" s="1"/>
  <c r="W2023" i="2" s="1"/>
  <c r="X2023" i="2" s="1"/>
  <c r="R2021" i="2" a="1"/>
  <c r="R2021" i="2" s="1"/>
  <c r="Q2021" i="2" a="1"/>
  <c r="Q2021" i="2" s="1"/>
  <c r="S2021" i="2" s="1"/>
  <c r="W2021" i="2" s="1"/>
  <c r="X2021" i="2" s="1"/>
  <c r="R2020" i="2" a="1"/>
  <c r="R2020" i="2" s="1"/>
  <c r="Q2020" i="2" a="1"/>
  <c r="Q2020" i="2" s="1"/>
  <c r="S2020" i="2" s="1"/>
  <c r="W2020" i="2" s="1"/>
  <c r="X2020" i="2" s="1"/>
  <c r="R2019" i="2" a="1"/>
  <c r="R2019" i="2" s="1"/>
  <c r="Q2019" i="2" a="1"/>
  <c r="Q2019" i="2" s="1"/>
  <c r="S2019" i="2" s="1"/>
  <c r="W2019" i="2" s="1"/>
  <c r="X2019" i="2" s="1"/>
  <c r="R2017" i="2" a="1"/>
  <c r="R2017" i="2" s="1"/>
  <c r="Q2017" i="2" a="1"/>
  <c r="Q2017" i="2" s="1"/>
  <c r="S2017" i="2" s="1"/>
  <c r="W2017" i="2" s="1"/>
  <c r="X2017" i="2" s="1"/>
  <c r="R2016" i="2" a="1"/>
  <c r="R2016" i="2" s="1"/>
  <c r="Q2016" i="2" a="1"/>
  <c r="Q2016" i="2" s="1"/>
  <c r="S2016" i="2" s="1"/>
  <c r="W2016" i="2" s="1"/>
  <c r="X2016" i="2" s="1"/>
  <c r="R2058" i="2" a="1"/>
  <c r="R2058" i="2" s="1"/>
  <c r="Q2058" i="2" a="1"/>
  <c r="Q2058" i="2" s="1"/>
  <c r="S2058" i="2" s="1"/>
  <c r="W2058" i="2" s="1"/>
  <c r="X2058" i="2" s="1"/>
  <c r="R1966" i="2" a="1"/>
  <c r="R1966" i="2" s="1"/>
  <c r="Q1966" i="2" a="1"/>
  <c r="Q1966" i="2" s="1"/>
  <c r="S1966" i="2" s="1"/>
  <c r="W1966" i="2" s="1"/>
  <c r="X1966" i="2" s="1"/>
  <c r="R1965" i="2" a="1"/>
  <c r="R1965" i="2" s="1"/>
  <c r="Q1965" i="2" a="1"/>
  <c r="Q1965" i="2" s="1"/>
  <c r="S1965" i="2" s="1"/>
  <c r="W1965" i="2" s="1"/>
  <c r="X1965" i="2" s="1"/>
  <c r="R1962" i="2" a="1"/>
  <c r="R1962" i="2" s="1"/>
  <c r="Q1962" i="2" a="1"/>
  <c r="Q1962" i="2" s="1"/>
  <c r="S1962" i="2" s="1"/>
  <c r="W1962" i="2" s="1"/>
  <c r="X1962" i="2" s="1"/>
  <c r="R1961" i="2" a="1"/>
  <c r="R1961" i="2" s="1"/>
  <c r="Q1961" i="2" a="1"/>
  <c r="Q1961" i="2" s="1"/>
  <c r="S1961" i="2" s="1"/>
  <c r="W1961" i="2" s="1"/>
  <c r="X1961" i="2" s="1"/>
  <c r="R1958" i="2" a="1"/>
  <c r="R1958" i="2" s="1"/>
  <c r="Q1958" i="2" a="1"/>
  <c r="Q1958" i="2" s="1"/>
  <c r="S1958" i="2" s="1"/>
  <c r="W1958" i="2" s="1"/>
  <c r="X1958" i="2" s="1"/>
  <c r="R1957" i="2" a="1"/>
  <c r="R1957" i="2" s="1"/>
  <c r="Q1957" i="2" a="1"/>
  <c r="Q1957" i="2" s="1"/>
  <c r="S1957" i="2" s="1"/>
  <c r="W1957" i="2" s="1"/>
  <c r="X1957" i="2" s="1"/>
  <c r="R1956" i="2" a="1"/>
  <c r="R1956" i="2" s="1"/>
  <c r="Q1956" i="2" a="1"/>
  <c r="Q1956" i="2" s="1"/>
  <c r="S1956" i="2" s="1"/>
  <c r="W1956" i="2" s="1"/>
  <c r="X1956" i="2" s="1"/>
  <c r="R1954" i="2" a="1"/>
  <c r="R1954" i="2" s="1"/>
  <c r="Q1954" i="2" a="1"/>
  <c r="Q1954" i="2" s="1"/>
  <c r="S1954" i="2" s="1"/>
  <c r="W1954" i="2" s="1"/>
  <c r="X1954" i="2" s="1"/>
  <c r="R1951" i="2" a="1"/>
  <c r="R1951" i="2" s="1"/>
  <c r="Q1951" i="2" a="1"/>
  <c r="Q1951" i="2" s="1"/>
  <c r="S1951" i="2" s="1"/>
  <c r="W1951" i="2" s="1"/>
  <c r="X1951" i="2" s="1"/>
  <c r="R2009" i="2" a="1"/>
  <c r="R2009" i="2" s="1"/>
  <c r="Q2009" i="2" a="1"/>
  <c r="Q2009" i="2" s="1"/>
  <c r="S2009" i="2" s="1"/>
  <c r="W2009" i="2" s="1"/>
  <c r="X2009" i="2" s="1"/>
  <c r="R2102" i="2" a="1"/>
  <c r="R2102" i="2" s="1"/>
  <c r="Q2102" i="2" a="1"/>
  <c r="Q2102" i="2" s="1"/>
  <c r="S2102" i="2" s="1"/>
  <c r="W2102" i="2" s="1"/>
  <c r="X2102" i="2" s="1"/>
  <c r="R2100" i="2" a="1"/>
  <c r="R2100" i="2" s="1"/>
  <c r="Q2100" i="2" a="1"/>
  <c r="Q2100" i="2" s="1"/>
  <c r="S2100" i="2" s="1"/>
  <c r="W2100" i="2" s="1"/>
  <c r="X2100" i="2" s="1"/>
  <c r="R2099" i="2" a="1"/>
  <c r="R2099" i="2" s="1"/>
  <c r="Q2099" i="2" a="1"/>
  <c r="Q2099" i="2" s="1"/>
  <c r="S2099" i="2" s="1"/>
  <c r="W2099" i="2" s="1"/>
  <c r="X2099" i="2" s="1"/>
  <c r="R2094" i="2" a="1"/>
  <c r="R2094" i="2" s="1"/>
  <c r="Q2094" i="2" a="1"/>
  <c r="Q2094" i="2" s="1"/>
  <c r="S2094" i="2" s="1"/>
  <c r="W2094" i="2" s="1"/>
  <c r="X2094" i="2" s="1"/>
  <c r="R2093" i="2" a="1"/>
  <c r="R2093" i="2" s="1"/>
  <c r="Q2093" i="2" a="1"/>
  <c r="Q2093" i="2" s="1"/>
  <c r="S2093" i="2" s="1"/>
  <c r="W2093" i="2" s="1"/>
  <c r="X2093" i="2" s="1"/>
  <c r="R2089" i="2" a="1"/>
  <c r="R2089" i="2" s="1"/>
  <c r="Q2089" i="2" a="1"/>
  <c r="Q2089" i="2" s="1"/>
  <c r="S2089" i="2" s="1"/>
  <c r="W2089" i="2" s="1"/>
  <c r="X2089" i="2" s="1"/>
  <c r="R2086" i="2" a="1"/>
  <c r="R2086" i="2" s="1"/>
  <c r="Q2086" i="2" a="1"/>
  <c r="Q2086" i="2" s="1"/>
  <c r="S2086" i="2" s="1"/>
  <c r="W2086" i="2" s="1"/>
  <c r="X2086" i="2" s="1"/>
  <c r="R2068" i="2" a="1"/>
  <c r="R2068" i="2" s="1"/>
  <c r="Q2068" i="2" a="1"/>
  <c r="Q2068" i="2" s="1"/>
  <c r="S2068" i="2" s="1"/>
  <c r="W2068" i="2" s="1"/>
  <c r="X2068" i="2" s="1"/>
  <c r="R2066" i="2" a="1"/>
  <c r="R2066" i="2" s="1"/>
  <c r="Q2066" i="2" a="1"/>
  <c r="Q2066" i="2" s="1"/>
  <c r="S2066" i="2" s="1"/>
  <c r="W2066" i="2" s="1"/>
  <c r="X2066" i="2" s="1"/>
  <c r="R2067" i="2" a="1"/>
  <c r="R2067" i="2" s="1"/>
  <c r="Q2067" i="2" a="1"/>
  <c r="Q2067" i="2" s="1"/>
  <c r="S2067" i="2" s="1"/>
  <c r="W2067" i="2" s="1"/>
  <c r="X2067" i="2" s="1"/>
  <c r="R2064" i="2" a="1"/>
  <c r="R2064" i="2" s="1"/>
  <c r="Q2064" i="2" a="1"/>
  <c r="Q2064" i="2" s="1"/>
  <c r="S2064" i="2" s="1"/>
  <c r="W2064" i="2" s="1"/>
  <c r="X2064" i="2" s="1"/>
  <c r="R2063" i="2" a="1"/>
  <c r="R2063" i="2" s="1"/>
  <c r="Q2063" i="2" a="1"/>
  <c r="Q2063" i="2" s="1"/>
  <c r="S2063" i="2" s="1"/>
  <c r="W2063" i="2" s="1"/>
  <c r="X2063" i="2" s="1"/>
  <c r="R2062" i="2" a="1"/>
  <c r="R2062" i="2" s="1"/>
  <c r="Q2062" i="2" a="1"/>
  <c r="Q2062" i="2" s="1"/>
  <c r="S2062" i="2" s="1"/>
  <c r="W2062" i="2" s="1"/>
  <c r="X2062" i="2" s="1"/>
  <c r="R2061" i="2" a="1"/>
  <c r="R2061" i="2" s="1"/>
  <c r="Q2061" i="2" a="1"/>
  <c r="Q2061" i="2" s="1"/>
  <c r="S2061" i="2" s="1"/>
  <c r="W2061" i="2" s="1"/>
  <c r="X2061" i="2" s="1"/>
  <c r="R2059" i="2" a="1"/>
  <c r="R2059" i="2" s="1"/>
  <c r="Q2059" i="2" a="1"/>
  <c r="Q2059" i="2" s="1"/>
  <c r="S2059" i="2" s="1"/>
  <c r="W2059" i="2" s="1"/>
  <c r="X2059" i="2" s="1"/>
  <c r="R2057" i="2" a="1"/>
  <c r="R2057" i="2" s="1"/>
  <c r="Q2057" i="2" a="1"/>
  <c r="Q2057" i="2" s="1"/>
  <c r="S2057" i="2" s="1"/>
  <c r="W2057" i="2" s="1"/>
  <c r="X2057" i="2" s="1"/>
  <c r="R2056" i="2" a="1"/>
  <c r="R2056" i="2" s="1"/>
  <c r="Q2056" i="2" a="1"/>
  <c r="Q2056" i="2" s="1"/>
  <c r="S2056" i="2" s="1"/>
  <c r="W2056" i="2" s="1"/>
  <c r="X2056" i="2" s="1"/>
  <c r="R2054" i="2" a="1"/>
  <c r="R2054" i="2" s="1"/>
  <c r="Q2054" i="2" a="1"/>
  <c r="Q2054" i="2" s="1"/>
  <c r="S2054" i="2" s="1"/>
  <c r="W2054" i="2" s="1"/>
  <c r="X2054" i="2" s="1"/>
  <c r="R2085" i="2" a="1"/>
  <c r="R2085" i="2" s="1"/>
  <c r="Q2085" i="2" a="1"/>
  <c r="Q2085" i="2" s="1"/>
  <c r="S2085" i="2" s="1"/>
  <c r="W2085" i="2" s="1"/>
  <c r="X2085" i="2" s="1"/>
  <c r="R2082" i="2" a="1"/>
  <c r="R2082" i="2" s="1"/>
  <c r="Q2082" i="2" a="1"/>
  <c r="Q2082" i="2" s="1"/>
  <c r="S2082" i="2" s="1"/>
  <c r="W2082" i="2" s="1"/>
  <c r="X2082" i="2" s="1"/>
  <c r="Q2081" i="2" a="1"/>
  <c r="Q2081" i="2" s="1"/>
  <c r="S2081" i="2" s="1"/>
  <c r="W2081" i="2" s="1"/>
  <c r="X2081" i="2" s="1"/>
  <c r="R2080" i="2" a="1"/>
  <c r="R2080" i="2" s="1"/>
  <c r="Q2080" i="2" a="1"/>
  <c r="Q2080" i="2" s="1"/>
  <c r="S2080" i="2" s="1"/>
  <c r="W2080" i="2" s="1"/>
  <c r="X2080" i="2" s="1"/>
  <c r="R2079" i="2" a="1"/>
  <c r="R2079" i="2" s="1"/>
  <c r="Q2079" i="2" a="1"/>
  <c r="Q2079" i="2" s="1"/>
  <c r="S2079" i="2" s="1"/>
  <c r="W2079" i="2" s="1"/>
  <c r="X2079" i="2" s="1"/>
  <c r="R2078" i="2" a="1"/>
  <c r="R2078" i="2" s="1"/>
  <c r="Q2078" i="2" a="1"/>
  <c r="Q2078" i="2" s="1"/>
  <c r="S2078" i="2" s="1"/>
  <c r="W2078" i="2" s="1"/>
  <c r="X2078" i="2" s="1"/>
  <c r="R2077" i="2" a="1"/>
  <c r="R2077" i="2" s="1"/>
  <c r="Q2077" i="2" a="1"/>
  <c r="Q2077" i="2" s="1"/>
  <c r="S2077" i="2" s="1"/>
  <c r="W2077" i="2" s="1"/>
  <c r="X2077" i="2" s="1"/>
  <c r="R2075" i="2" a="1"/>
  <c r="R2075" i="2" s="1"/>
  <c r="Q2075" i="2" a="1"/>
  <c r="Q2075" i="2" s="1"/>
  <c r="S2075" i="2" s="1"/>
  <c r="W2075" i="2" s="1"/>
  <c r="X2075" i="2" s="1"/>
  <c r="R2071" i="2" a="1"/>
  <c r="R2071" i="2" s="1"/>
  <c r="Q2071" i="2" a="1"/>
  <c r="Q2071" i="2" s="1"/>
  <c r="S2071" i="2" s="1"/>
  <c r="W2071" i="2" s="1"/>
  <c r="X2071" i="2" s="1"/>
  <c r="R2070" i="2" a="1"/>
  <c r="R2070" i="2" s="1"/>
  <c r="Q2070" i="2" a="1"/>
  <c r="Q2070" i="2" s="1"/>
  <c r="S2070" i="2" s="1"/>
  <c r="W2070" i="2" s="1"/>
  <c r="X2070" i="2" s="1"/>
  <c r="R2069" i="2" a="1"/>
  <c r="R2069" i="2" s="1"/>
  <c r="Q2069" i="2" a="1"/>
  <c r="Q2069" i="2" s="1"/>
  <c r="S2069" i="2" s="1"/>
  <c r="W2069" i="2" s="1"/>
  <c r="X2069" i="2" s="1"/>
  <c r="R1993" i="2" a="1"/>
  <c r="R1993" i="2" s="1"/>
  <c r="Q1993" i="2" a="1"/>
  <c r="Q1993" i="2" s="1"/>
  <c r="S1993" i="2" s="1"/>
  <c r="W1993" i="2" s="1"/>
  <c r="X1993" i="2" s="1"/>
  <c r="R1992" i="2" a="1"/>
  <c r="R1992" i="2" s="1"/>
  <c r="Q1992" i="2" a="1"/>
  <c r="Q1992" i="2" s="1"/>
  <c r="S1992" i="2" s="1"/>
  <c r="W1992" i="2" s="1"/>
  <c r="X1992" i="2" s="1"/>
  <c r="R1990" i="2" a="1"/>
  <c r="R1990" i="2" s="1"/>
  <c r="Q1990" i="2" a="1"/>
  <c r="Q1990" i="2" s="1"/>
  <c r="S1990" i="2" s="1"/>
  <c r="W1990" i="2" s="1"/>
  <c r="X1990" i="2" s="1"/>
  <c r="R1989" i="2" a="1"/>
  <c r="R1989" i="2" s="1"/>
  <c r="Q1989" i="2" a="1"/>
  <c r="Q1989" i="2" s="1"/>
  <c r="S1989" i="2" s="1"/>
  <c r="W1989" i="2" s="1"/>
  <c r="X1989" i="2" s="1"/>
  <c r="R1988" i="2" a="1"/>
  <c r="R1988" i="2" s="1"/>
  <c r="Q1988" i="2" a="1"/>
  <c r="Q1988" i="2" s="1"/>
  <c r="S1988" i="2" s="1"/>
  <c r="W1988" i="2" s="1"/>
  <c r="X1988" i="2" s="1"/>
  <c r="R1984" i="2" a="1"/>
  <c r="R1984" i="2" s="1"/>
  <c r="Q1984" i="2" a="1"/>
  <c r="Q1984" i="2" s="1"/>
  <c r="S1984" i="2" s="1"/>
  <c r="W1984" i="2" s="1"/>
  <c r="X1984" i="2" s="1"/>
  <c r="R1983" i="2" a="1"/>
  <c r="R1983" i="2" s="1"/>
  <c r="Q1983" i="2" a="1"/>
  <c r="Q1983" i="2" s="1"/>
  <c r="S1983" i="2" s="1"/>
  <c r="W1983" i="2" s="1"/>
  <c r="X1983" i="2" s="1"/>
  <c r="R1982" i="2" a="1"/>
  <c r="R1982" i="2" s="1"/>
  <c r="Q1982" i="2" a="1"/>
  <c r="Q1982" i="2" s="1"/>
  <c r="S1982" i="2" s="1"/>
  <c r="W1982" i="2" s="1"/>
  <c r="X1982" i="2" s="1"/>
  <c r="R1981" i="2" a="1"/>
  <c r="R1981" i="2" s="1"/>
  <c r="Q1981" i="2" a="1"/>
  <c r="Q1981" i="2" s="1"/>
  <c r="S1981" i="2" s="1"/>
  <c r="W1981" i="2" s="1"/>
  <c r="X1981" i="2" s="1"/>
  <c r="R1980" i="2" a="1"/>
  <c r="R1980" i="2" s="1"/>
  <c r="Q1980" i="2" a="1"/>
  <c r="Q1980" i="2" s="1"/>
  <c r="S1980" i="2" s="1"/>
  <c r="W1980" i="2" s="1"/>
  <c r="X1980" i="2" s="1"/>
  <c r="R1979" i="2" a="1"/>
  <c r="R1979" i="2" s="1"/>
  <c r="R1949" i="2" a="1"/>
  <c r="R1949" i="2" s="1"/>
  <c r="Q1949" i="2" a="1"/>
  <c r="Q1949" i="2" s="1"/>
  <c r="S1949" i="2" s="1"/>
  <c r="W1949" i="2" s="1"/>
  <c r="X1949" i="2" s="1"/>
  <c r="R1944" i="2" a="1"/>
  <c r="R1944" i="2" s="1"/>
  <c r="R1943" i="2" a="1"/>
  <c r="R1943" i="2" s="1"/>
  <c r="Q1943" i="2" a="1"/>
  <c r="Q1943" i="2" s="1"/>
  <c r="S1943" i="2" s="1"/>
  <c r="W1943" i="2" s="1"/>
  <c r="X1943" i="2" s="1"/>
  <c r="R1941" i="2" a="1"/>
  <c r="R1941" i="2" s="1"/>
  <c r="Q1941" i="2" a="1"/>
  <c r="Q1941" i="2" s="1"/>
  <c r="S1941" i="2" s="1"/>
  <c r="W1941" i="2" s="1"/>
  <c r="X1941" i="2" s="1"/>
  <c r="R2050" i="2" a="1"/>
  <c r="R2050" i="2" s="1"/>
  <c r="Q2050" i="2" a="1"/>
  <c r="Q2050" i="2" s="1"/>
  <c r="S2050" i="2" s="1"/>
  <c r="W2050" i="2" s="1"/>
  <c r="X2050" i="2" s="1"/>
  <c r="R2048" i="2" a="1"/>
  <c r="R2048" i="2" s="1"/>
  <c r="Q2048" i="2" a="1"/>
  <c r="Q2048" i="2" s="1"/>
  <c r="S2048" i="2" s="1"/>
  <c r="W2048" i="2" s="1"/>
  <c r="X2048" i="2" s="1"/>
  <c r="R2045" i="2" a="1"/>
  <c r="R2045" i="2" s="1"/>
  <c r="Q2045" i="2" a="1"/>
  <c r="Q2045" i="2" s="1"/>
  <c r="S2045" i="2" s="1"/>
  <c r="W2045" i="2" s="1"/>
  <c r="X2045" i="2" s="1"/>
  <c r="R2043" i="2" a="1"/>
  <c r="R2043" i="2" s="1"/>
  <c r="Q2043" i="2" a="1"/>
  <c r="Q2043" i="2" s="1"/>
  <c r="S2043" i="2" s="1"/>
  <c r="W2043" i="2" s="1"/>
  <c r="X2043" i="2" s="1"/>
  <c r="Q1828" i="2" a="1"/>
  <c r="Q1828" i="2" s="1"/>
  <c r="S1828" i="2" s="1"/>
  <c r="W1828" i="2" s="1"/>
  <c r="X1828" i="2" s="1"/>
  <c r="R1827" i="2" a="1"/>
  <c r="R1827" i="2" s="1"/>
  <c r="Q1827" i="2" a="1"/>
  <c r="Q1827" i="2" s="1"/>
  <c r="S1827" i="2" s="1"/>
  <c r="W1827" i="2" s="1"/>
  <c r="X1827" i="2" s="1"/>
  <c r="R1835" i="2" a="1"/>
  <c r="R1835" i="2" s="1"/>
  <c r="R1826" i="2" a="1"/>
  <c r="R1826" i="2" s="1"/>
  <c r="R1837" i="2" a="1"/>
  <c r="R1837" i="2" s="1"/>
  <c r="R1828" i="2" a="1"/>
  <c r="R1828" i="2" s="1"/>
  <c r="Q1826" i="2" a="1"/>
  <c r="Q1826" i="2" s="1"/>
  <c r="S1826" i="2" s="1"/>
  <c r="W1826" i="2" s="1"/>
  <c r="X1826" i="2" s="1"/>
  <c r="R1829" i="2" a="1"/>
  <c r="R1829" i="2" s="1"/>
  <c r="Q1829" i="2" a="1"/>
  <c r="Q1829" i="2" s="1"/>
  <c r="S1829" i="2" s="1"/>
  <c r="W1829" i="2" s="1"/>
  <c r="X1829" i="2" s="1"/>
  <c r="R1830" i="2" a="1"/>
  <c r="R1830" i="2" s="1"/>
  <c r="Q1830" i="2" a="1"/>
  <c r="Q1830" i="2" s="1"/>
  <c r="S1830" i="2" s="1"/>
  <c r="W1830" i="2" s="1"/>
  <c r="X1830" i="2" s="1"/>
  <c r="R1834" i="2" a="1"/>
  <c r="R1834" i="2" s="1"/>
  <c r="R1831" i="2" a="1"/>
  <c r="R1831" i="2" s="1"/>
  <c r="Q1831" i="2" a="1"/>
  <c r="Q1831" i="2" s="1"/>
  <c r="S1831" i="2" s="1"/>
  <c r="W1831" i="2" s="1"/>
  <c r="X1831" i="2" s="1"/>
  <c r="R1832" i="2" a="1"/>
  <c r="R1832" i="2" s="1"/>
  <c r="R1840" i="2" a="1"/>
  <c r="R1840" i="2" s="1"/>
  <c r="Q1832" i="2" a="1"/>
  <c r="Q1832" i="2" s="1"/>
  <c r="S1832" i="2" s="1"/>
  <c r="W1832" i="2" s="1"/>
  <c r="X1832" i="2" s="1"/>
  <c r="Q1834" i="2" a="1"/>
  <c r="Q1834" i="2" s="1"/>
  <c r="S1834" i="2" s="1"/>
  <c r="W1834" i="2" s="1"/>
  <c r="X1834" i="2" s="1"/>
  <c r="Q1833" i="2" a="1"/>
  <c r="Q1833" i="2" s="1"/>
  <c r="S1833" i="2" s="1"/>
  <c r="W1833" i="2" s="1"/>
  <c r="X1833" i="2" s="1"/>
  <c r="R1833" i="2" a="1"/>
  <c r="R1833" i="2" s="1"/>
  <c r="Q1835" i="2" a="1"/>
  <c r="Q1835" i="2" s="1"/>
  <c r="S1835" i="2" s="1"/>
  <c r="W1835" i="2" s="1"/>
  <c r="X1835" i="2" s="1"/>
  <c r="R1836" i="2" a="1"/>
  <c r="R1836" i="2" s="1"/>
  <c r="Q1836" i="2" a="1"/>
  <c r="Q1836" i="2" s="1"/>
  <c r="S1836" i="2" s="1"/>
  <c r="W1836" i="2" s="1"/>
  <c r="X1836" i="2" s="1"/>
  <c r="Q1837" i="2" a="1"/>
  <c r="Q1837" i="2" s="1"/>
  <c r="S1837" i="2" s="1"/>
  <c r="W1837" i="2" s="1"/>
  <c r="X1837" i="2" s="1"/>
  <c r="R1839" i="2" a="1"/>
  <c r="R1839" i="2" s="1"/>
  <c r="R1838" i="2" a="1"/>
  <c r="R1838" i="2" s="1"/>
  <c r="Q1838" i="2" a="1"/>
  <c r="Q1838" i="2" s="1"/>
  <c r="S1838" i="2" s="1"/>
  <c r="W1838" i="2" s="1"/>
  <c r="X1838" i="2" s="1"/>
  <c r="Q1839" i="2" a="1"/>
  <c r="Q1839" i="2" s="1"/>
  <c r="S1839" i="2" s="1"/>
  <c r="W1839" i="2" s="1"/>
  <c r="X1839" i="2" s="1"/>
  <c r="Q1840" i="2" a="1"/>
  <c r="Q1840" i="2" s="1"/>
  <c r="S1840" i="2" s="1"/>
  <c r="W1840" i="2" s="1"/>
  <c r="X1840" i="2" s="1"/>
  <c r="R128" i="2" a="1"/>
  <c r="R128" i="2" s="1"/>
  <c r="R124" i="2" a="1"/>
  <c r="R124" i="2" s="1"/>
  <c r="Q124" i="2" a="1"/>
  <c r="Q124" i="2" s="1"/>
  <c r="S124" i="2" s="1"/>
  <c r="W124" i="2" s="1"/>
  <c r="X124" i="2" s="1"/>
  <c r="R122" i="2" a="1"/>
  <c r="R122" i="2" s="1"/>
  <c r="Q122" i="2" a="1"/>
  <c r="Q122" i="2" s="1"/>
  <c r="S122" i="2" s="1"/>
  <c r="W122" i="2" s="1"/>
  <c r="X122" i="2" s="1"/>
  <c r="Q123" i="2" a="1"/>
  <c r="Q123" i="2" s="1"/>
  <c r="S123" i="2" s="1"/>
  <c r="W123" i="2" s="1"/>
  <c r="X123" i="2" s="1"/>
  <c r="R123" i="2" a="1"/>
  <c r="R123" i="2" s="1"/>
  <c r="R129" i="2" a="1"/>
  <c r="R129" i="2" s="1"/>
  <c r="Q129" i="2" a="1"/>
  <c r="Q129" i="2" s="1"/>
  <c r="S129" i="2" s="1"/>
  <c r="W129" i="2" s="1"/>
  <c r="X129" i="2" s="1"/>
  <c r="R125" i="2" a="1"/>
  <c r="R125" i="2" s="1"/>
  <c r="Q125" i="2" a="1"/>
  <c r="Q125" i="2" s="1"/>
  <c r="S125" i="2" s="1"/>
  <c r="W125" i="2" s="1"/>
  <c r="X125" i="2" s="1"/>
  <c r="R126" i="2" a="1"/>
  <c r="R126" i="2" s="1"/>
  <c r="Q126" i="2" a="1"/>
  <c r="Q126" i="2" s="1"/>
  <c r="S126" i="2" s="1"/>
  <c r="W126" i="2" s="1"/>
  <c r="X126" i="2" s="1"/>
  <c r="Q128" i="2" a="1"/>
  <c r="Q128" i="2" s="1"/>
  <c r="S128" i="2" s="1"/>
  <c r="W128" i="2" s="1"/>
  <c r="X128" i="2" s="1"/>
  <c r="R127" i="2" a="1"/>
  <c r="R127" i="2" s="1"/>
  <c r="Q127" i="2" a="1"/>
  <c r="Q127" i="2" s="1"/>
  <c r="S127" i="2" s="1"/>
  <c r="W127" i="2" s="1"/>
  <c r="X127" i="2" s="1"/>
  <c r="R134" i="2" a="1"/>
  <c r="R134" i="2" s="1"/>
  <c r="R132" i="2" a="1"/>
  <c r="R132" i="2" s="1"/>
  <c r="R130" i="2" a="1"/>
  <c r="R130" i="2" s="1"/>
  <c r="Q130" i="2" a="1"/>
  <c r="Q130" i="2" s="1"/>
  <c r="S130" i="2" s="1"/>
  <c r="W130" i="2" s="1"/>
  <c r="X130" i="2" s="1"/>
  <c r="Q132" i="2" a="1"/>
  <c r="Q132" i="2" s="1"/>
  <c r="S132" i="2" s="1"/>
  <c r="W132" i="2" s="1"/>
  <c r="X132" i="2" s="1"/>
  <c r="R131" i="2" a="1"/>
  <c r="R131" i="2" s="1"/>
  <c r="Q131" i="2" a="1"/>
  <c r="Q131" i="2" s="1"/>
  <c r="S131" i="2" s="1"/>
  <c r="W131" i="2" s="1"/>
  <c r="X131" i="2" s="1"/>
  <c r="Q134" i="2" a="1"/>
  <c r="Q134" i="2" s="1"/>
  <c r="S134" i="2" s="1"/>
  <c r="W134" i="2" s="1"/>
  <c r="X134" i="2" s="1"/>
  <c r="Q133" i="2" a="1"/>
  <c r="Q133" i="2" s="1"/>
  <c r="S133" i="2" s="1"/>
  <c r="W133" i="2" s="1"/>
  <c r="X133" i="2" s="1"/>
  <c r="R133" i="2" a="1"/>
  <c r="R133" i="2" s="1"/>
  <c r="R136" i="2" a="1"/>
  <c r="R136" i="2" s="1"/>
  <c r="R135" i="2" a="1"/>
  <c r="R135" i="2" s="1"/>
  <c r="R727" i="2" a="1"/>
  <c r="R727" i="2" s="1"/>
  <c r="Q135" i="2" a="1"/>
  <c r="Q135" i="2" s="1"/>
  <c r="S135" i="2" s="1"/>
  <c r="W135" i="2" s="1"/>
  <c r="X135" i="2" s="1"/>
  <c r="Q136" i="2" a="1"/>
  <c r="Q136" i="2" s="1"/>
  <c r="S136" i="2" s="1"/>
  <c r="W136" i="2" s="1"/>
  <c r="X136" i="2" s="1"/>
  <c r="Q137" i="2" a="1"/>
  <c r="Q137" i="2" s="1"/>
  <c r="S137" i="2" s="1"/>
  <c r="W137" i="2" s="1"/>
  <c r="X137" i="2" s="1"/>
  <c r="R137" i="2" a="1"/>
  <c r="R137" i="2" s="1"/>
  <c r="Q720" i="2" a="1"/>
  <c r="Q720" i="2" s="1"/>
  <c r="S720" i="2" s="1"/>
  <c r="W720" i="2" s="1"/>
  <c r="X720" i="2" s="1"/>
  <c r="Q749" i="2" a="1"/>
  <c r="Q749" i="2" s="1"/>
  <c r="S749" i="2" s="1"/>
  <c r="W749" i="2" s="1"/>
  <c r="X749" i="2" s="1"/>
  <c r="Q745" i="2" a="1"/>
  <c r="Q745" i="2" s="1"/>
  <c r="S745" i="2" s="1"/>
  <c r="W745" i="2" s="1"/>
  <c r="X745" i="2" s="1"/>
  <c r="Q743" i="2" a="1"/>
  <c r="Q743" i="2" s="1"/>
  <c r="S743" i="2" s="1"/>
  <c r="W743" i="2" s="1"/>
  <c r="X743" i="2" s="1"/>
  <c r="R738" i="2" a="1"/>
  <c r="R738" i="2" s="1"/>
  <c r="R724" i="2" a="1"/>
  <c r="R724" i="2" s="1"/>
  <c r="R728" i="2" a="1"/>
  <c r="R728" i="2" s="1"/>
  <c r="R719" i="2" a="1"/>
  <c r="R719" i="2" s="1"/>
  <c r="R746" i="2" a="1"/>
  <c r="R746" i="2" s="1"/>
  <c r="R737" i="2" a="1"/>
  <c r="R737" i="2" s="1"/>
  <c r="Q727" i="2" a="1"/>
  <c r="Q727" i="2" s="1"/>
  <c r="S727" i="2" s="1"/>
  <c r="W727" i="2" s="1"/>
  <c r="X727" i="2" s="1"/>
  <c r="Q736" i="2" a="1"/>
  <c r="Q736" i="2" s="1"/>
  <c r="S736" i="2" s="1"/>
  <c r="W736" i="2" s="1"/>
  <c r="X736" i="2" s="1"/>
  <c r="Q726" i="2" a="1"/>
  <c r="Q726" i="2" s="1"/>
  <c r="S726" i="2" s="1"/>
  <c r="W726" i="2" s="1"/>
  <c r="X726" i="2" s="1"/>
  <c r="Q733" i="2" a="1"/>
  <c r="Q733" i="2" s="1"/>
  <c r="S733" i="2" s="1"/>
  <c r="W733" i="2" s="1"/>
  <c r="X733" i="2" s="1"/>
  <c r="Q740" i="2" a="1"/>
  <c r="Q740" i="2" s="1"/>
  <c r="S740" i="2" s="1"/>
  <c r="W740" i="2" s="1"/>
  <c r="X740" i="2" s="1"/>
  <c r="R725" i="2" a="1"/>
  <c r="R725" i="2" s="1"/>
  <c r="Q738" i="2" a="1"/>
  <c r="Q738" i="2" s="1"/>
  <c r="S738" i="2" s="1"/>
  <c r="W738" i="2" s="1"/>
  <c r="X738" i="2" s="1"/>
  <c r="R720" i="2" a="1"/>
  <c r="R720" i="2" s="1"/>
  <c r="Q737" i="2" a="1"/>
  <c r="Q737" i="2" s="1"/>
  <c r="S737" i="2" s="1"/>
  <c r="W737" i="2" s="1"/>
  <c r="X737" i="2" s="1"/>
  <c r="R718" i="2" a="1"/>
  <c r="R718" i="2" s="1"/>
  <c r="R747" i="2" a="1"/>
  <c r="R747" i="2" s="1"/>
  <c r="Q735" i="2" a="1"/>
  <c r="Q735" i="2" s="1"/>
  <c r="S735" i="2" s="1"/>
  <c r="W735" i="2" s="1"/>
  <c r="X735" i="2" s="1"/>
  <c r="Q732" i="2" a="1"/>
  <c r="Q732" i="2" s="1"/>
  <c r="S732" i="2" s="1"/>
  <c r="W732" i="2" s="1"/>
  <c r="X732" i="2" s="1"/>
  <c r="Q739" i="2" a="1"/>
  <c r="Q739" i="2" s="1"/>
  <c r="S739" i="2" s="1"/>
  <c r="W739" i="2" s="1"/>
  <c r="X739" i="2" s="1"/>
  <c r="R745" i="2" a="1"/>
  <c r="R745" i="2" s="1"/>
  <c r="R736" i="2" a="1"/>
  <c r="R736" i="2" s="1"/>
  <c r="Q725" i="2" a="1"/>
  <c r="Q725" i="2" s="1"/>
  <c r="S725" i="2" s="1"/>
  <c r="W725" i="2" s="1"/>
  <c r="X725" i="2" s="1"/>
  <c r="R722" i="2" a="1"/>
  <c r="R722" i="2" s="1"/>
  <c r="R716" i="2" a="1"/>
  <c r="R716" i="2" s="1"/>
  <c r="R750" i="2" a="1"/>
  <c r="R750" i="2" s="1"/>
  <c r="R717" i="2" a="1"/>
  <c r="R717" i="2" s="1"/>
  <c r="R741" i="2" a="1"/>
  <c r="R741" i="2" s="1"/>
  <c r="R743" i="2" a="1"/>
  <c r="R743" i="2" s="1"/>
  <c r="R732" i="2" a="1"/>
  <c r="R732" i="2" s="1"/>
  <c r="R748" i="2" a="1"/>
  <c r="R748" i="2" s="1"/>
  <c r="R726" i="2" a="1"/>
  <c r="R726" i="2" s="1"/>
  <c r="R739" i="2" a="1"/>
  <c r="R739" i="2" s="1"/>
  <c r="R721" i="2" a="1"/>
  <c r="R721" i="2" s="1"/>
  <c r="R744" i="2" a="1"/>
  <c r="R744" i="2" s="1"/>
  <c r="R740" i="2" a="1"/>
  <c r="R740" i="2" s="1"/>
  <c r="Q722" i="2" a="1"/>
  <c r="Q722" i="2" s="1"/>
  <c r="S722" i="2" s="1"/>
  <c r="W722" i="2" s="1"/>
  <c r="X722" i="2" s="1"/>
  <c r="R735" i="2" a="1"/>
  <c r="R735" i="2" s="1"/>
  <c r="R733" i="2" a="1"/>
  <c r="R733" i="2" s="1"/>
  <c r="Q718" i="2" a="1"/>
  <c r="Q718" i="2" s="1"/>
  <c r="S718" i="2" s="1"/>
  <c r="W718" i="2" s="1"/>
  <c r="X718" i="2" s="1"/>
  <c r="Q719" i="2" a="1"/>
  <c r="Q719" i="2" s="1"/>
  <c r="S719" i="2" s="1"/>
  <c r="W719" i="2" s="1"/>
  <c r="X719" i="2" s="1"/>
  <c r="Q724" i="2" a="1"/>
  <c r="Q724" i="2" s="1"/>
  <c r="S724" i="2" s="1"/>
  <c r="W724" i="2" s="1"/>
  <c r="X724" i="2" s="1"/>
  <c r="R686" i="2" a="1"/>
  <c r="R686" i="2" s="1"/>
  <c r="R729" i="2" a="1"/>
  <c r="R729" i="2" s="1"/>
  <c r="R723" i="2" a="1"/>
  <c r="R723" i="2" s="1"/>
  <c r="Q716" i="2" a="1"/>
  <c r="Q716" i="2" s="1"/>
  <c r="S716" i="2" s="1"/>
  <c r="W716" i="2" s="1"/>
  <c r="X716" i="2" s="1"/>
  <c r="Q750" i="2" a="1"/>
  <c r="Q750" i="2" s="1"/>
  <c r="S750" i="2" s="1"/>
  <c r="W750" i="2" s="1"/>
  <c r="X750" i="2" s="1"/>
  <c r="Q721" i="2" a="1"/>
  <c r="Q721" i="2" s="1"/>
  <c r="S721" i="2" s="1"/>
  <c r="W721" i="2" s="1"/>
  <c r="X721" i="2" s="1"/>
  <c r="Q729" i="2" a="1"/>
  <c r="Q729" i="2" s="1"/>
  <c r="S729" i="2" s="1"/>
  <c r="W729" i="2" s="1"/>
  <c r="X729" i="2" s="1"/>
  <c r="R749" i="2" a="1"/>
  <c r="R749" i="2" s="1"/>
  <c r="Q747" i="2" a="1"/>
  <c r="Q747" i="2" s="1"/>
  <c r="S747" i="2" s="1"/>
  <c r="W747" i="2" s="1"/>
  <c r="X747" i="2" s="1"/>
  <c r="Q748" i="2" a="1"/>
  <c r="Q748" i="2" s="1"/>
  <c r="S748" i="2" s="1"/>
  <c r="W748" i="2" s="1"/>
  <c r="X748" i="2" s="1"/>
  <c r="Q717" i="2" a="1"/>
  <c r="Q717" i="2" s="1"/>
  <c r="S717" i="2" s="1"/>
  <c r="W717" i="2" s="1"/>
  <c r="X717" i="2" s="1"/>
  <c r="Q723" i="2" a="1"/>
  <c r="Q723" i="2" s="1"/>
  <c r="S723" i="2" s="1"/>
  <c r="W723" i="2" s="1"/>
  <c r="X723" i="2" s="1"/>
  <c r="Q741" i="2" a="1"/>
  <c r="Q741" i="2" s="1"/>
  <c r="S741" i="2" s="1"/>
  <c r="W741" i="2" s="1"/>
  <c r="X741" i="2" s="1"/>
  <c r="Q744" i="2" a="1"/>
  <c r="Q744" i="2" s="1"/>
  <c r="S744" i="2" s="1"/>
  <c r="W744" i="2" s="1"/>
  <c r="X744" i="2" s="1"/>
  <c r="Q746" i="2" a="1"/>
  <c r="Q746" i="2" s="1"/>
  <c r="S746" i="2" s="1"/>
  <c r="W746" i="2" s="1"/>
  <c r="X746" i="2" s="1"/>
  <c r="Q728" i="2" a="1"/>
  <c r="Q728" i="2" s="1"/>
  <c r="S728" i="2" s="1"/>
  <c r="W728" i="2" s="1"/>
  <c r="X728" i="2" s="1"/>
  <c r="Q713" i="2" a="1"/>
  <c r="Q713" i="2" s="1"/>
  <c r="S713" i="2" s="1"/>
  <c r="W713" i="2" s="1"/>
  <c r="X713" i="2" s="1"/>
  <c r="Q705" i="2" a="1"/>
  <c r="Q705" i="2" s="1"/>
  <c r="S705" i="2" s="1"/>
  <c r="W705" i="2" s="1"/>
  <c r="X705" i="2" s="1"/>
  <c r="R731" i="2" a="1"/>
  <c r="R731" i="2" s="1"/>
  <c r="R708" i="2" a="1"/>
  <c r="R708" i="2" s="1"/>
  <c r="R704" i="2" a="1"/>
  <c r="R704" i="2" s="1"/>
  <c r="Q731" i="2" a="1"/>
  <c r="Q731" i="2" s="1"/>
  <c r="S731" i="2" s="1"/>
  <c r="W731" i="2" s="1"/>
  <c r="X731" i="2" s="1"/>
  <c r="R712" i="2" a="1"/>
  <c r="R712" i="2" s="1"/>
  <c r="Q712" i="2" a="1"/>
  <c r="Q712" i="2" s="1"/>
  <c r="S712" i="2" s="1"/>
  <c r="W712" i="2" s="1"/>
  <c r="X712" i="2" s="1"/>
  <c r="Q710" i="2" a="1"/>
  <c r="Q710" i="2" s="1"/>
  <c r="S710" i="2" s="1"/>
  <c r="W710" i="2" s="1"/>
  <c r="X710" i="2" s="1"/>
  <c r="Q715" i="2" a="1"/>
  <c r="Q715" i="2" s="1"/>
  <c r="S715" i="2" s="1"/>
  <c r="W715" i="2" s="1"/>
  <c r="X715" i="2" s="1"/>
  <c r="R693" i="2" a="1"/>
  <c r="R693" i="2" s="1"/>
  <c r="Q708" i="2" a="1"/>
  <c r="Q708" i="2" s="1"/>
  <c r="S708" i="2" s="1"/>
  <c r="W708" i="2" s="1"/>
  <c r="X708" i="2" s="1"/>
  <c r="Q706" i="2" a="1"/>
  <c r="Q706" i="2" s="1"/>
  <c r="S706" i="2" s="1"/>
  <c r="W706" i="2" s="1"/>
  <c r="X706" i="2" s="1"/>
  <c r="Q709" i="2" a="1"/>
  <c r="Q709" i="2" s="1"/>
  <c r="S709" i="2" s="1"/>
  <c r="W709" i="2" s="1"/>
  <c r="X709" i="2" s="1"/>
  <c r="R730" i="2" a="1"/>
  <c r="R730" i="2" s="1"/>
  <c r="Q730" i="2" a="1"/>
  <c r="Q730" i="2" s="1"/>
  <c r="S730" i="2" s="1"/>
  <c r="W730" i="2" s="1"/>
  <c r="X730" i="2" s="1"/>
  <c r="R715" i="2" a="1"/>
  <c r="R715" i="2" s="1"/>
  <c r="Q693" i="2" a="1"/>
  <c r="Q693" i="2" s="1"/>
  <c r="S693" i="2" s="1"/>
  <c r="W693" i="2" s="1"/>
  <c r="X693" i="2" s="1"/>
  <c r="Q689" i="2" a="1"/>
  <c r="Q689" i="2" s="1"/>
  <c r="S689" i="2" s="1"/>
  <c r="W689" i="2" s="1"/>
  <c r="X689" i="2" s="1"/>
  <c r="R705" i="2" a="1"/>
  <c r="R705" i="2" s="1"/>
  <c r="R709" i="2" a="1"/>
  <c r="R709" i="2" s="1"/>
  <c r="Q711" i="2" a="1"/>
  <c r="Q711" i="2" s="1"/>
  <c r="S711" i="2" s="1"/>
  <c r="W711" i="2" s="1"/>
  <c r="X711" i="2" s="1"/>
  <c r="R707" i="2" a="1"/>
  <c r="R707" i="2" s="1"/>
  <c r="Q707" i="2" a="1"/>
  <c r="Q707" i="2" s="1"/>
  <c r="S707" i="2" s="1"/>
  <c r="W707" i="2" s="1"/>
  <c r="X707" i="2" s="1"/>
  <c r="R711" i="2" a="1"/>
  <c r="R711" i="2" s="1"/>
  <c r="R694" i="2" a="1"/>
  <c r="R694" i="2" s="1"/>
  <c r="R706" i="2" a="1"/>
  <c r="R706" i="2" s="1"/>
  <c r="R714" i="2" a="1"/>
  <c r="R714" i="2" s="1"/>
  <c r="Q714" i="2" a="1"/>
  <c r="Q714" i="2" s="1"/>
  <c r="S714" i="2" s="1"/>
  <c r="W714" i="2" s="1"/>
  <c r="X714" i="2" s="1"/>
  <c r="Q694" i="2" a="1"/>
  <c r="Q694" i="2" s="1"/>
  <c r="S694" i="2" s="1"/>
  <c r="W694" i="2" s="1"/>
  <c r="X694" i="2" s="1"/>
  <c r="R713" i="2" a="1"/>
  <c r="R713" i="2" s="1"/>
  <c r="R710" i="2" a="1"/>
  <c r="R710" i="2" s="1"/>
  <c r="Q704" i="2" a="1"/>
  <c r="Q704" i="2" s="1"/>
  <c r="S704" i="2" s="1"/>
  <c r="W704" i="2" s="1"/>
  <c r="X704" i="2" s="1"/>
  <c r="R698" i="2" a="1"/>
  <c r="R698" i="2" s="1"/>
  <c r="R687" i="2" a="1"/>
  <c r="R687" i="2" s="1"/>
  <c r="R695" i="2" a="1"/>
  <c r="R695" i="2" s="1"/>
  <c r="Q687" i="2" a="1"/>
  <c r="Q687" i="2" s="1"/>
  <c r="S687" i="2" s="1"/>
  <c r="W687" i="2" s="1"/>
  <c r="X687" i="2" s="1"/>
  <c r="R688" i="2" a="1"/>
  <c r="R688" i="2" s="1"/>
  <c r="Q695" i="2" a="1"/>
  <c r="Q695" i="2" s="1"/>
  <c r="S695" i="2" s="1"/>
  <c r="W695" i="2" s="1"/>
  <c r="X695" i="2" s="1"/>
  <c r="Q697" i="2" a="1"/>
  <c r="Q697" i="2" s="1"/>
  <c r="S697" i="2" s="1"/>
  <c r="W697" i="2" s="1"/>
  <c r="X697" i="2" s="1"/>
  <c r="R697" i="2" a="1"/>
  <c r="R697" i="2" s="1"/>
  <c r="Q698" i="2" a="1"/>
  <c r="Q698" i="2" s="1"/>
  <c r="S698" i="2" s="1"/>
  <c r="W698" i="2" s="1"/>
  <c r="X698" i="2" s="1"/>
  <c r="Q688" i="2" a="1"/>
  <c r="Q688" i="2" s="1"/>
  <c r="S688" i="2" s="1"/>
  <c r="W688" i="2" s="1"/>
  <c r="X688" i="2" s="1"/>
  <c r="Q696" i="2" a="1"/>
  <c r="Q696" i="2" s="1"/>
  <c r="S696" i="2" s="1"/>
  <c r="W696" i="2" s="1"/>
  <c r="X696" i="2" s="1"/>
  <c r="R689" i="2" a="1"/>
  <c r="R689" i="2" s="1"/>
  <c r="R696" i="2" a="1"/>
  <c r="R696" i="2" s="1"/>
  <c r="Q685" i="2" a="1"/>
  <c r="Q685" i="2" s="1"/>
  <c r="S685" i="2" s="1"/>
  <c r="W685" i="2" s="1"/>
  <c r="X685" i="2" s="1"/>
  <c r="R691" i="2" a="1"/>
  <c r="R691" i="2" s="1"/>
  <c r="Q691" i="2" a="1"/>
  <c r="Q691" i="2" s="1"/>
  <c r="S691" i="2" s="1"/>
  <c r="W691" i="2" s="1"/>
  <c r="X691" i="2" s="1"/>
  <c r="Q753" i="2" a="1"/>
  <c r="Q753" i="2" s="1"/>
  <c r="S753" i="2" s="1"/>
  <c r="W753" i="2" s="1"/>
  <c r="X753" i="2" s="1"/>
  <c r="R692" i="2" a="1"/>
  <c r="R692" i="2" s="1"/>
  <c r="Q692" i="2" a="1"/>
  <c r="Q692" i="2" s="1"/>
  <c r="S692" i="2" s="1"/>
  <c r="W692" i="2" s="1"/>
  <c r="X692" i="2" s="1"/>
  <c r="Q761" i="2" a="1"/>
  <c r="Q761" i="2" s="1"/>
  <c r="S761" i="2" s="1"/>
  <c r="W761" i="2" s="1"/>
  <c r="X761" i="2" s="1"/>
  <c r="Q699" i="2" a="1"/>
  <c r="Q699" i="2" s="1"/>
  <c r="S699" i="2" s="1"/>
  <c r="W699" i="2" s="1"/>
  <c r="X699" i="2" s="1"/>
  <c r="Q683" i="2" a="1"/>
  <c r="Q683" i="2" s="1"/>
  <c r="S683" i="2" s="1"/>
  <c r="W683" i="2" s="1"/>
  <c r="X683" i="2" s="1"/>
  <c r="Q762" i="2" a="1"/>
  <c r="Q762" i="2" s="1"/>
  <c r="S762" i="2" s="1"/>
  <c r="W762" i="2" s="1"/>
  <c r="X762" i="2" s="1"/>
  <c r="R703" i="2" a="1"/>
  <c r="R703" i="2" s="1"/>
  <c r="R678" i="2" a="1"/>
  <c r="R678" i="2" s="1"/>
  <c r="Q760" i="2" a="1"/>
  <c r="Q760" i="2" s="1"/>
  <c r="S760" i="2" s="1"/>
  <c r="W760" i="2" s="1"/>
  <c r="X760" i="2" s="1"/>
  <c r="Q755" i="2" a="1"/>
  <c r="Q755" i="2" s="1"/>
  <c r="S755" i="2" s="1"/>
  <c r="W755" i="2" s="1"/>
  <c r="X755" i="2" s="1"/>
  <c r="R700" i="2" a="1"/>
  <c r="R700" i="2" s="1"/>
  <c r="R680" i="2" a="1"/>
  <c r="R680" i="2" s="1"/>
  <c r="Q682" i="2" a="1"/>
  <c r="Q682" i="2" s="1"/>
  <c r="S682" i="2" s="1"/>
  <c r="W682" i="2" s="1"/>
  <c r="X682" i="2" s="1"/>
  <c r="R685" i="2" a="1"/>
  <c r="R685" i="2" s="1"/>
  <c r="R682" i="2" a="1"/>
  <c r="R682" i="2" s="1"/>
  <c r="R699" i="2" a="1"/>
  <c r="R699" i="2" s="1"/>
  <c r="R760" i="2" a="1"/>
  <c r="R760" i="2" s="1"/>
  <c r="R681" i="2" a="1"/>
  <c r="R681" i="2" s="1"/>
  <c r="Q686" i="2" a="1"/>
  <c r="Q686" i="2" s="1"/>
  <c r="S686" i="2" s="1"/>
  <c r="W686" i="2" s="1"/>
  <c r="X686" i="2" s="1"/>
  <c r="R684" i="2" a="1"/>
  <c r="R684" i="2" s="1"/>
  <c r="R761" i="2" a="1"/>
  <c r="R761" i="2" s="1"/>
  <c r="Q680" i="2" a="1"/>
  <c r="Q680" i="2" s="1"/>
  <c r="S680" i="2" s="1"/>
  <c r="W680" i="2" s="1"/>
  <c r="X680" i="2" s="1"/>
  <c r="R683" i="2" a="1"/>
  <c r="R683" i="2" s="1"/>
  <c r="R757" i="2" a="1"/>
  <c r="R757" i="2" s="1"/>
  <c r="Q679" i="2" a="1"/>
  <c r="Q679" i="2" s="1"/>
  <c r="S679" i="2" s="1"/>
  <c r="W679" i="2" s="1"/>
  <c r="X679" i="2" s="1"/>
  <c r="R758" i="2" a="1"/>
  <c r="R758" i="2" s="1"/>
  <c r="R702" i="2" a="1"/>
  <c r="R702" i="2" s="1"/>
  <c r="R754" i="2" a="1"/>
  <c r="R754" i="2" s="1"/>
  <c r="Q702" i="2" a="1"/>
  <c r="Q702" i="2" s="1"/>
  <c r="S702" i="2" s="1"/>
  <c r="W702" i="2" s="1"/>
  <c r="X702" i="2" s="1"/>
  <c r="Q701" i="2" a="1"/>
  <c r="Q701" i="2" s="1"/>
  <c r="S701" i="2" s="1"/>
  <c r="W701" i="2" s="1"/>
  <c r="X701" i="2" s="1"/>
  <c r="Q684" i="2" a="1"/>
  <c r="Q684" i="2" s="1"/>
  <c r="S684" i="2" s="1"/>
  <c r="W684" i="2" s="1"/>
  <c r="X684" i="2" s="1"/>
  <c r="R679" i="2" a="1"/>
  <c r="R679" i="2" s="1"/>
  <c r="R701" i="2" a="1"/>
  <c r="R701" i="2" s="1"/>
  <c r="Q756" i="2" a="1"/>
  <c r="Q756" i="2" s="1"/>
  <c r="S756" i="2" s="1"/>
  <c r="W756" i="2" s="1"/>
  <c r="X756" i="2" s="1"/>
  <c r="R755" i="2" a="1"/>
  <c r="R755" i="2" s="1"/>
  <c r="Q681" i="2" a="1"/>
  <c r="Q681" i="2" s="1"/>
  <c r="S681" i="2" s="1"/>
  <c r="W681" i="2" s="1"/>
  <c r="X681" i="2" s="1"/>
  <c r="Q700" i="2" a="1"/>
  <c r="Q700" i="2" s="1"/>
  <c r="S700" i="2" s="1"/>
  <c r="W700" i="2" s="1"/>
  <c r="X700" i="2" s="1"/>
  <c r="Q757" i="2" a="1"/>
  <c r="Q757" i="2" s="1"/>
  <c r="S757" i="2" s="1"/>
  <c r="W757" i="2" s="1"/>
  <c r="X757" i="2" s="1"/>
  <c r="R756" i="2" a="1"/>
  <c r="R756" i="2" s="1"/>
  <c r="Q703" i="2" a="1"/>
  <c r="Q703" i="2" s="1"/>
  <c r="S703" i="2" s="1"/>
  <c r="W703" i="2" s="1"/>
  <c r="X703" i="2" s="1"/>
  <c r="R753" i="2" a="1"/>
  <c r="R753" i="2" s="1"/>
  <c r="Q678" i="2" a="1"/>
  <c r="Q678" i="2" s="1"/>
  <c r="S678" i="2" s="1"/>
  <c r="W678" i="2" s="1"/>
  <c r="X678" i="2" s="1"/>
  <c r="Q758" i="2" a="1"/>
  <c r="Q758" i="2" s="1"/>
  <c r="S758" i="2" s="1"/>
  <c r="W758" i="2" s="1"/>
  <c r="X758" i="2" s="1"/>
  <c r="R762" i="2" a="1"/>
  <c r="R762" i="2" s="1"/>
  <c r="Q754" i="2" a="1"/>
  <c r="Q754" i="2" s="1"/>
  <c r="S754" i="2" s="1"/>
  <c r="W754" i="2" s="1"/>
  <c r="X754" i="2" s="1"/>
  <c r="R1824" i="2" a="1"/>
  <c r="R1824" i="2" s="1"/>
  <c r="Q474" i="2" a="1"/>
  <c r="Q474" i="2" s="1"/>
  <c r="S474" i="2" s="1"/>
  <c r="W474" i="2" s="1"/>
  <c r="X474" i="2" s="1"/>
  <c r="R72" i="2" a="1"/>
  <c r="R72" i="2" s="1"/>
  <c r="R80" i="2" a="1"/>
  <c r="R80" i="2" s="1"/>
  <c r="R636" i="2" a="1"/>
  <c r="R636" i="2" s="1"/>
  <c r="R200" i="2" a="1"/>
  <c r="R200" i="2" s="1"/>
  <c r="R676" i="2" a="1"/>
  <c r="R676" i="2" s="1"/>
  <c r="R438" i="2" a="1"/>
  <c r="R438" i="2" s="1"/>
  <c r="R1802" i="2" a="1"/>
  <c r="R1802" i="2" s="1"/>
  <c r="Q659" i="2" a="1"/>
  <c r="Q659" i="2" s="1"/>
  <c r="S659" i="2" s="1"/>
  <c r="W659" i="2" s="1"/>
  <c r="X659" i="2" s="1"/>
  <c r="R94" i="2" a="1"/>
  <c r="R94" i="2" s="1"/>
  <c r="Q663" i="2" a="1"/>
  <c r="Q663" i="2" s="1"/>
  <c r="S663" i="2" s="1"/>
  <c r="W663" i="2" s="1"/>
  <c r="X663" i="2" s="1"/>
  <c r="R1059" i="2" a="1"/>
  <c r="R1059" i="2" s="1"/>
  <c r="R1035" i="2" a="1"/>
  <c r="R1035" i="2" s="1"/>
  <c r="Q676" i="2" a="1"/>
  <c r="Q676" i="2" s="1"/>
  <c r="S676" i="2" s="1"/>
  <c r="W676" i="2" s="1"/>
  <c r="X676" i="2" s="1"/>
  <c r="R1128" i="2" a="1"/>
  <c r="R1128" i="2" s="1"/>
  <c r="R945" i="2" a="1"/>
  <c r="R945" i="2" s="1"/>
  <c r="R19" i="2" a="1"/>
  <c r="R19" i="2" s="1"/>
  <c r="R431" i="2" a="1"/>
  <c r="R431" i="2" s="1"/>
  <c r="R669" i="2" a="1"/>
  <c r="R669" i="2" s="1"/>
  <c r="R10" i="2" a="1"/>
  <c r="R10" i="2" s="1"/>
  <c r="R69" i="2" a="1"/>
  <c r="R69" i="2" s="1"/>
  <c r="R976" i="2" a="1"/>
  <c r="R976" i="2" s="1"/>
  <c r="R97" i="2" a="1"/>
  <c r="R97" i="2" s="1"/>
  <c r="R594" i="2" a="1"/>
  <c r="R594" i="2" s="1"/>
  <c r="R1008" i="2" a="1"/>
  <c r="R1008" i="2" s="1"/>
  <c r="Q665" i="2" a="1"/>
  <c r="Q665" i="2" s="1"/>
  <c r="S665" i="2" s="1"/>
  <c r="W665" i="2" s="1"/>
  <c r="X665" i="2" s="1"/>
  <c r="R1798" i="2" a="1"/>
  <c r="R1798" i="2" s="1"/>
  <c r="R120" i="2" a="1"/>
  <c r="R120" i="2" s="1"/>
  <c r="R111" i="2" a="1"/>
  <c r="R111" i="2" s="1"/>
  <c r="R1088" i="2" a="1"/>
  <c r="R1088" i="2" s="1"/>
  <c r="R661" i="2" a="1"/>
  <c r="R661" i="2" s="1"/>
  <c r="R604" i="2" a="1"/>
  <c r="R604" i="2" s="1"/>
  <c r="R1115" i="2" a="1"/>
  <c r="R1115" i="2" s="1"/>
  <c r="R1174" i="2" a="1"/>
  <c r="R1174" i="2" s="1"/>
  <c r="R933" i="2" a="1"/>
  <c r="R933" i="2" s="1"/>
  <c r="R462" i="2" a="1"/>
  <c r="R462" i="2" s="1"/>
  <c r="R1015" i="2" a="1"/>
  <c r="R1015" i="2" s="1"/>
  <c r="Q769" i="2" a="1"/>
  <c r="Q769" i="2" s="1"/>
  <c r="S769" i="2" s="1"/>
  <c r="W769" i="2" s="1"/>
  <c r="X769" i="2" s="1"/>
  <c r="R450" i="2" a="1"/>
  <c r="R450" i="2" s="1"/>
  <c r="R88" i="2" a="1"/>
  <c r="R88" i="2" s="1"/>
  <c r="R1066" i="2" a="1"/>
  <c r="R1066" i="2" s="1"/>
  <c r="Q51" i="2" a="1"/>
  <c r="Q51" i="2" s="1"/>
  <c r="S51" i="2" s="1"/>
  <c r="W51" i="2" s="1"/>
  <c r="X51" i="2" s="1"/>
  <c r="R770" i="2" a="1"/>
  <c r="R770" i="2" s="1"/>
  <c r="R767" i="2" a="1"/>
  <c r="R767" i="2" s="1"/>
  <c r="R2139" i="2" a="1"/>
  <c r="R2139" i="2" s="1"/>
  <c r="R1045" i="2" a="1"/>
  <c r="R1045" i="2" s="1"/>
  <c r="R455" i="2" a="1"/>
  <c r="R455" i="2" s="1"/>
  <c r="R213" i="2" a="1"/>
  <c r="R213" i="2" s="1"/>
  <c r="Q387" i="2" a="1"/>
  <c r="Q387" i="2" s="1"/>
  <c r="S387" i="2" s="1"/>
  <c r="W387" i="2" s="1"/>
  <c r="X387" i="2" s="1"/>
  <c r="R666" i="2" a="1"/>
  <c r="R666" i="2" s="1"/>
  <c r="R534" i="2" a="1"/>
  <c r="R534" i="2" s="1"/>
  <c r="R362" i="2" a="1"/>
  <c r="R362" i="2" s="1"/>
  <c r="R509" i="2" a="1"/>
  <c r="R509" i="2" s="1"/>
  <c r="R464" i="2" a="1"/>
  <c r="R464" i="2" s="1"/>
  <c r="R39" i="2" a="1"/>
  <c r="R39" i="2" s="1"/>
  <c r="Q145" i="2" a="1"/>
  <c r="Q145" i="2" s="1"/>
  <c r="S145" i="2" s="1"/>
  <c r="W145" i="2" s="1"/>
  <c r="X145" i="2" s="1"/>
  <c r="R674" i="2" a="1"/>
  <c r="R674" i="2" s="1"/>
  <c r="R13" i="2" a="1"/>
  <c r="R13" i="2" s="1"/>
  <c r="R44" i="2" a="1"/>
  <c r="R44" i="2" s="1"/>
  <c r="R448" i="2" a="1"/>
  <c r="R448" i="2" s="1"/>
  <c r="R1848" i="2" a="1"/>
  <c r="R1848" i="2" s="1"/>
  <c r="R1090" i="2" a="1"/>
  <c r="R1090" i="2" s="1"/>
  <c r="Q1715" i="2" a="1"/>
  <c r="Q1715" i="2" s="1"/>
  <c r="S1715" i="2" s="1"/>
  <c r="W1715" i="2" s="1"/>
  <c r="X1715" i="2" s="1"/>
  <c r="R667" i="2" a="1"/>
  <c r="R667" i="2" s="1"/>
  <c r="R202" i="2" a="1"/>
  <c r="R202" i="2" s="1"/>
  <c r="R1039" i="2" a="1"/>
  <c r="R1039" i="2" s="1"/>
  <c r="R214" i="2" a="1"/>
  <c r="R214" i="2" s="1"/>
  <c r="R1720" i="2" a="1"/>
  <c r="R1720" i="2" s="1"/>
  <c r="R66" i="2" a="1"/>
  <c r="R66" i="2" s="1"/>
  <c r="Q1300" i="2" a="1"/>
  <c r="Q1300" i="2" s="1"/>
  <c r="S1300" i="2" s="1"/>
  <c r="W1300" i="2" s="1"/>
  <c r="X1300" i="2" s="1"/>
  <c r="Q770" i="2" a="1"/>
  <c r="Q770" i="2" s="1"/>
  <c r="S770" i="2" s="1"/>
  <c r="W770" i="2" s="1"/>
  <c r="X770" i="2" s="1"/>
  <c r="Q666" i="2" a="1"/>
  <c r="Q666" i="2" s="1"/>
  <c r="S666" i="2" s="1"/>
  <c r="W666" i="2" s="1"/>
  <c r="X666" i="2" s="1"/>
  <c r="Q664" i="2" a="1"/>
  <c r="Q664" i="2" s="1"/>
  <c r="S664" i="2" s="1"/>
  <c r="W664" i="2" s="1"/>
  <c r="X664" i="2" s="1"/>
  <c r="R662" i="2" a="1"/>
  <c r="R662" i="2" s="1"/>
  <c r="Q672" i="2" a="1"/>
  <c r="Q672" i="2" s="1"/>
  <c r="S672" i="2" s="1"/>
  <c r="W672" i="2" s="1"/>
  <c r="X672" i="2" s="1"/>
  <c r="Q767" i="2" a="1"/>
  <c r="Q767" i="2" s="1"/>
  <c r="S767" i="2" s="1"/>
  <c r="W767" i="2" s="1"/>
  <c r="X767" i="2" s="1"/>
  <c r="R670" i="2" a="1"/>
  <c r="R670" i="2" s="1"/>
  <c r="Q670" i="2" a="1"/>
  <c r="Q670" i="2" s="1"/>
  <c r="S670" i="2" s="1"/>
  <c r="W670" i="2" s="1"/>
  <c r="X670" i="2" s="1"/>
  <c r="Q1624" i="2" a="1"/>
  <c r="Q1624" i="2" s="1"/>
  <c r="S1624" i="2" s="1"/>
  <c r="W1624" i="2" s="1"/>
  <c r="X1624" i="2" s="1"/>
  <c r="Q669" i="2" a="1"/>
  <c r="Q669" i="2" s="1"/>
  <c r="S669" i="2" s="1"/>
  <c r="W669" i="2" s="1"/>
  <c r="X669" i="2" s="1"/>
  <c r="R658" i="2" a="1"/>
  <c r="R658" i="2" s="1"/>
  <c r="Q660" i="2" a="1"/>
  <c r="Q660" i="2" s="1"/>
  <c r="S660" i="2" s="1"/>
  <c r="W660" i="2" s="1"/>
  <c r="X660" i="2" s="1"/>
  <c r="Q671" i="2" a="1"/>
  <c r="Q671" i="2" s="1"/>
  <c r="S671" i="2" s="1"/>
  <c r="W671" i="2" s="1"/>
  <c r="X671" i="2" s="1"/>
  <c r="R677" i="2" a="1"/>
  <c r="R677" i="2" s="1"/>
  <c r="Q674" i="2" a="1"/>
  <c r="Q674" i="2" s="1"/>
  <c r="S674" i="2" s="1"/>
  <c r="W674" i="2" s="1"/>
  <c r="X674" i="2" s="1"/>
  <c r="R521" i="2" a="1"/>
  <c r="R521" i="2" s="1"/>
  <c r="R759" i="2" a="1"/>
  <c r="R759" i="2" s="1"/>
  <c r="Q661" i="2" a="1"/>
  <c r="Q661" i="2" s="1"/>
  <c r="S661" i="2" s="1"/>
  <c r="W661" i="2" s="1"/>
  <c r="X661" i="2" s="1"/>
  <c r="R657" i="2" a="1"/>
  <c r="R657" i="2" s="1"/>
  <c r="Q677" i="2" a="1"/>
  <c r="Q677" i="2" s="1"/>
  <c r="S677" i="2" s="1"/>
  <c r="W677" i="2" s="1"/>
  <c r="X677" i="2" s="1"/>
  <c r="R494" i="2" a="1"/>
  <c r="R494" i="2" s="1"/>
  <c r="R447" i="2" a="1"/>
  <c r="R447" i="2" s="1"/>
  <c r="R763" i="2" a="1"/>
  <c r="R763" i="2" s="1"/>
  <c r="Q673" i="2" a="1"/>
  <c r="Q673" i="2" s="1"/>
  <c r="S673" i="2" s="1"/>
  <c r="W673" i="2" s="1"/>
  <c r="X673" i="2" s="1"/>
  <c r="R663" i="2" a="1"/>
  <c r="R663" i="2" s="1"/>
  <c r="Q657" i="2" a="1"/>
  <c r="Q657" i="2" s="1"/>
  <c r="S657" i="2" s="1"/>
  <c r="W657" i="2" s="1"/>
  <c r="X657" i="2" s="1"/>
  <c r="Q763" i="2" a="1"/>
  <c r="Q763" i="2" s="1"/>
  <c r="S763" i="2" s="1"/>
  <c r="W763" i="2" s="1"/>
  <c r="X763" i="2" s="1"/>
  <c r="R665" i="2" a="1"/>
  <c r="R665" i="2" s="1"/>
  <c r="R751" i="2" a="1"/>
  <c r="R751" i="2" s="1"/>
  <c r="R671" i="2" a="1"/>
  <c r="R671" i="2" s="1"/>
  <c r="R2145" i="2" a="1"/>
  <c r="R2145" i="2" s="1"/>
  <c r="R752" i="2" a="1"/>
  <c r="R752" i="2" s="1"/>
  <c r="Q667" i="2" a="1"/>
  <c r="Q667" i="2" s="1"/>
  <c r="S667" i="2" s="1"/>
  <c r="W667" i="2" s="1"/>
  <c r="X667" i="2" s="1"/>
  <c r="R668" i="2" a="1"/>
  <c r="R668" i="2" s="1"/>
  <c r="Q751" i="2" a="1"/>
  <c r="Q751" i="2" s="1"/>
  <c r="S751" i="2" s="1"/>
  <c r="W751" i="2" s="1"/>
  <c r="X751" i="2" s="1"/>
  <c r="R966" i="2" a="1"/>
  <c r="R966" i="2" s="1"/>
  <c r="R1013" i="2" a="1"/>
  <c r="R1013" i="2" s="1"/>
  <c r="Q752" i="2" a="1"/>
  <c r="Q752" i="2" s="1"/>
  <c r="S752" i="2" s="1"/>
  <c r="W752" i="2" s="1"/>
  <c r="X752" i="2" s="1"/>
  <c r="Q675" i="2" a="1"/>
  <c r="Q675" i="2" s="1"/>
  <c r="S675" i="2" s="1"/>
  <c r="W675" i="2" s="1"/>
  <c r="X675" i="2" s="1"/>
  <c r="R664" i="2" a="1"/>
  <c r="R664" i="2" s="1"/>
  <c r="Q668" i="2" a="1"/>
  <c r="Q668" i="2" s="1"/>
  <c r="S668" i="2" s="1"/>
  <c r="W668" i="2" s="1"/>
  <c r="X668" i="2" s="1"/>
  <c r="R1169" i="2" a="1"/>
  <c r="R1169" i="2" s="1"/>
  <c r="R9" i="2" a="1"/>
  <c r="R9" i="2" s="1"/>
  <c r="R769" i="2" a="1"/>
  <c r="R769" i="2" s="1"/>
  <c r="R659" i="2" a="1"/>
  <c r="R659" i="2" s="1"/>
  <c r="R672" i="2" a="1"/>
  <c r="R672" i="2" s="1"/>
  <c r="Q662" i="2" a="1"/>
  <c r="Q662" i="2" s="1"/>
  <c r="S662" i="2" s="1"/>
  <c r="W662" i="2" s="1"/>
  <c r="X662" i="2" s="1"/>
  <c r="R2132" i="2" a="1"/>
  <c r="R2132" i="2" s="1"/>
  <c r="R673" i="2" a="1"/>
  <c r="R673" i="2" s="1"/>
  <c r="R675" i="2" a="1"/>
  <c r="R675" i="2" s="1"/>
  <c r="R660" i="2" a="1"/>
  <c r="R660" i="2" s="1"/>
  <c r="Q658" i="2" a="1"/>
  <c r="Q658" i="2" s="1"/>
  <c r="S658" i="2" s="1"/>
  <c r="W658" i="2" s="1"/>
  <c r="X658" i="2" s="1"/>
  <c r="Q759" i="2" a="1"/>
  <c r="Q759" i="2" s="1"/>
  <c r="S759" i="2" s="1"/>
  <c r="W759" i="2" s="1"/>
  <c r="X759" i="2" s="1"/>
  <c r="R765" i="2" a="1"/>
  <c r="R765" i="2" s="1"/>
  <c r="R764" i="2" a="1"/>
  <c r="R764" i="2" s="1"/>
  <c r="R1803" i="2" a="1"/>
  <c r="R1803" i="2" s="1"/>
  <c r="Q764" i="2" a="1"/>
  <c r="Q764" i="2" s="1"/>
  <c r="S764" i="2" s="1"/>
  <c r="W764" i="2" s="1"/>
  <c r="X764" i="2" s="1"/>
  <c r="Q765" i="2" a="1"/>
  <c r="Q765" i="2" s="1"/>
  <c r="S765" i="2" s="1"/>
  <c r="W765" i="2" s="1"/>
  <c r="X765" i="2" s="1"/>
  <c r="R766" i="2" a="1"/>
  <c r="R766" i="2" s="1"/>
  <c r="Q766" i="2" a="1"/>
  <c r="Q766" i="2" s="1"/>
  <c r="S766" i="2" s="1"/>
  <c r="W766" i="2" s="1"/>
  <c r="X766" i="2" s="1"/>
  <c r="R842" i="2" a="1"/>
  <c r="R842" i="2" s="1"/>
  <c r="R836" i="2" a="1"/>
  <c r="R836" i="2" s="1"/>
  <c r="R835" i="2" a="1"/>
  <c r="R835" i="2" s="1"/>
  <c r="R834" i="2" a="1"/>
  <c r="R834" i="2" s="1"/>
  <c r="Q834" i="2" a="1"/>
  <c r="Q834" i="2" s="1"/>
  <c r="S834" i="2" s="1"/>
  <c r="W834" i="2" s="1"/>
  <c r="X834" i="2" s="1"/>
  <c r="R833" i="2" a="1"/>
  <c r="R833" i="2" s="1"/>
  <c r="Q833" i="2" a="1"/>
  <c r="Q833" i="2" s="1"/>
  <c r="S833" i="2" s="1"/>
  <c r="W833" i="2" s="1"/>
  <c r="X833" i="2" s="1"/>
  <c r="Q835" i="2" a="1"/>
  <c r="Q835" i="2" s="1"/>
  <c r="S835" i="2" s="1"/>
  <c r="W835" i="2" s="1"/>
  <c r="X835" i="2" s="1"/>
  <c r="Q836" i="2" a="1"/>
  <c r="Q836" i="2" s="1"/>
  <c r="S836" i="2" s="1"/>
  <c r="W836" i="2" s="1"/>
  <c r="X836" i="2" s="1"/>
  <c r="Q842" i="2" a="1"/>
  <c r="Q842" i="2" s="1"/>
  <c r="S842" i="2" s="1"/>
  <c r="W842" i="2" s="1"/>
  <c r="X842" i="2" s="1"/>
  <c r="R838" i="2" a="1"/>
  <c r="R838" i="2" s="1"/>
  <c r="Q838" i="2" a="1"/>
  <c r="Q838" i="2" s="1"/>
  <c r="S838" i="2" s="1"/>
  <c r="W838" i="2" s="1"/>
  <c r="X838" i="2" s="1"/>
  <c r="R837" i="2" a="1"/>
  <c r="R837" i="2" s="1"/>
  <c r="R590" i="2" a="1"/>
  <c r="R590" i="2" s="1"/>
  <c r="Q837" i="2" a="1"/>
  <c r="Q837" i="2" s="1"/>
  <c r="S837" i="2" s="1"/>
  <c r="W837" i="2" s="1"/>
  <c r="X837" i="2" s="1"/>
  <c r="R839" i="2" a="1"/>
  <c r="R839" i="2" s="1"/>
  <c r="Q839" i="2" a="1"/>
  <c r="Q839" i="2" s="1"/>
  <c r="S839" i="2" s="1"/>
  <c r="W839" i="2" s="1"/>
  <c r="X839" i="2" s="1"/>
  <c r="R841" i="2" a="1"/>
  <c r="R841" i="2" s="1"/>
  <c r="Q841" i="2" a="1"/>
  <c r="Q841" i="2" s="1"/>
  <c r="S841" i="2" s="1"/>
  <c r="W841" i="2" s="1"/>
  <c r="X841" i="2" s="1"/>
  <c r="R840" i="2" a="1"/>
  <c r="R840" i="2" s="1"/>
  <c r="Q840" i="2" a="1"/>
  <c r="Q840" i="2" s="1"/>
  <c r="S840" i="2" s="1"/>
  <c r="W840" i="2" s="1"/>
  <c r="X840" i="2" s="1"/>
  <c r="R814" i="2" a="1"/>
  <c r="R814" i="2" s="1"/>
  <c r="Q844" i="2" a="1"/>
  <c r="Q844" i="2" s="1"/>
  <c r="S844" i="2" s="1"/>
  <c r="W844" i="2" s="1"/>
  <c r="X844" i="2" s="1"/>
  <c r="R75" i="2" a="1"/>
  <c r="R75" i="2" s="1"/>
  <c r="R807" i="2" a="1"/>
  <c r="R807" i="2" s="1"/>
  <c r="R958" i="2" a="1"/>
  <c r="R958" i="2" s="1"/>
  <c r="R1087" i="2" a="1"/>
  <c r="R1087" i="2" s="1"/>
  <c r="Q809" i="2" a="1"/>
  <c r="Q809" i="2" s="1"/>
  <c r="S809" i="2" s="1"/>
  <c r="W809" i="2" s="1"/>
  <c r="X809" i="2" s="1"/>
  <c r="R1109" i="2" a="1"/>
  <c r="R1109" i="2" s="1"/>
  <c r="R1852" i="2" a="1"/>
  <c r="R1852" i="2" s="1"/>
  <c r="R1043" i="2" a="1"/>
  <c r="R1043" i="2" s="1"/>
  <c r="Q1620" i="2" a="1"/>
  <c r="Q1620" i="2" s="1"/>
  <c r="S1620" i="2" s="1"/>
  <c r="W1620" i="2" s="1"/>
  <c r="X1620" i="2" s="1"/>
  <c r="R808" i="2" a="1"/>
  <c r="R808" i="2" s="1"/>
  <c r="R637" i="2" a="1"/>
  <c r="R637" i="2" s="1"/>
  <c r="Q587" i="2" a="1"/>
  <c r="Q587" i="2" s="1"/>
  <c r="S587" i="2" s="1"/>
  <c r="W587" i="2" s="1"/>
  <c r="X587" i="2" s="1"/>
  <c r="R812" i="2" a="1"/>
  <c r="R812" i="2" s="1"/>
  <c r="R914" i="2" a="1"/>
  <c r="R914" i="2" s="1"/>
  <c r="Q206" i="2" a="1"/>
  <c r="Q206" i="2" s="1"/>
  <c r="S206" i="2" s="1"/>
  <c r="W206" i="2" s="1"/>
  <c r="X206" i="2" s="1"/>
  <c r="R810" i="2" a="1"/>
  <c r="R810" i="2" s="1"/>
  <c r="R806" i="2" a="1"/>
  <c r="R806" i="2" s="1"/>
  <c r="R809" i="2" a="1"/>
  <c r="R809" i="2" s="1"/>
  <c r="Q807" i="2" a="1"/>
  <c r="Q807" i="2" s="1"/>
  <c r="S807" i="2" s="1"/>
  <c r="W807" i="2" s="1"/>
  <c r="X807" i="2" s="1"/>
  <c r="R1063" i="2" a="1"/>
  <c r="R1063" i="2" s="1"/>
  <c r="Q846" i="2" a="1"/>
  <c r="Q846" i="2" s="1"/>
  <c r="S846" i="2" s="1"/>
  <c r="W846" i="2" s="1"/>
  <c r="X846" i="2" s="1"/>
  <c r="R845" i="2" a="1"/>
  <c r="R845" i="2" s="1"/>
  <c r="R586" i="2" a="1"/>
  <c r="R586" i="2" s="1"/>
  <c r="R846" i="2" a="1"/>
  <c r="R846" i="2" s="1"/>
  <c r="Q843" i="2" a="1"/>
  <c r="Q843" i="2" s="1"/>
  <c r="S843" i="2" s="1"/>
  <c r="W843" i="2" s="1"/>
  <c r="X843" i="2" s="1"/>
  <c r="R14" i="2" a="1"/>
  <c r="R14" i="2" s="1"/>
  <c r="R52" i="2" a="1"/>
  <c r="R52" i="2" s="1"/>
  <c r="Q808" i="2" a="1"/>
  <c r="Q808" i="2" s="1"/>
  <c r="S808" i="2" s="1"/>
  <c r="W808" i="2" s="1"/>
  <c r="X808" i="2" s="1"/>
  <c r="R459" i="2" a="1"/>
  <c r="R459" i="2" s="1"/>
  <c r="R956" i="2" a="1"/>
  <c r="R956" i="2" s="1"/>
  <c r="R811" i="2" a="1"/>
  <c r="R811" i="2" s="1"/>
  <c r="R816" i="2" a="1"/>
  <c r="R816" i="2" s="1"/>
  <c r="R1081" i="2" a="1"/>
  <c r="R1081" i="2" s="1"/>
  <c r="R487" i="2" a="1"/>
  <c r="R487" i="2" s="1"/>
  <c r="Q816" i="2" a="1"/>
  <c r="Q816" i="2" s="1"/>
  <c r="S816" i="2" s="1"/>
  <c r="W816" i="2" s="1"/>
  <c r="X816" i="2" s="1"/>
  <c r="R815" i="2" a="1"/>
  <c r="R815" i="2" s="1"/>
  <c r="Q814" i="2" a="1"/>
  <c r="Q814" i="2" s="1"/>
  <c r="S814" i="2" s="1"/>
  <c r="W814" i="2" s="1"/>
  <c r="X814" i="2" s="1"/>
  <c r="Q845" i="2" a="1"/>
  <c r="Q845" i="2" s="1"/>
  <c r="S845" i="2" s="1"/>
  <c r="W845" i="2" s="1"/>
  <c r="X845" i="2" s="1"/>
  <c r="Q815" i="2" a="1"/>
  <c r="Q815" i="2" s="1"/>
  <c r="S815" i="2" s="1"/>
  <c r="W815" i="2" s="1"/>
  <c r="X815" i="2" s="1"/>
  <c r="R844" i="2" a="1"/>
  <c r="R844" i="2" s="1"/>
  <c r="Q813" i="2" a="1"/>
  <c r="Q813" i="2" s="1"/>
  <c r="S813" i="2" s="1"/>
  <c r="W813" i="2" s="1"/>
  <c r="X813" i="2" s="1"/>
  <c r="R848" i="2" a="1"/>
  <c r="R848" i="2" s="1"/>
  <c r="Q811" i="2" a="1"/>
  <c r="Q811" i="2" s="1"/>
  <c r="S811" i="2" s="1"/>
  <c r="W811" i="2" s="1"/>
  <c r="X811" i="2" s="1"/>
  <c r="Q812" i="2" a="1"/>
  <c r="Q812" i="2" s="1"/>
  <c r="S812" i="2" s="1"/>
  <c r="W812" i="2" s="1"/>
  <c r="X812" i="2" s="1"/>
  <c r="R947" i="2" a="1"/>
  <c r="R947" i="2" s="1"/>
  <c r="R847" i="2" a="1"/>
  <c r="R847" i="2" s="1"/>
  <c r="R843" i="2" a="1"/>
  <c r="R843" i="2" s="1"/>
  <c r="Q810" i="2" a="1"/>
  <c r="Q810" i="2" s="1"/>
  <c r="S810" i="2" s="1"/>
  <c r="W810" i="2" s="1"/>
  <c r="X810" i="2" s="1"/>
  <c r="R1160" i="2" a="1"/>
  <c r="R1160" i="2" s="1"/>
  <c r="Q847" i="2" a="1"/>
  <c r="Q847" i="2" s="1"/>
  <c r="S847" i="2" s="1"/>
  <c r="W847" i="2" s="1"/>
  <c r="X847" i="2" s="1"/>
  <c r="R813" i="2" a="1"/>
  <c r="R813" i="2" s="1"/>
  <c r="Q806" i="2" a="1"/>
  <c r="Q806" i="2" s="1"/>
  <c r="S806" i="2" s="1"/>
  <c r="W806" i="2" s="1"/>
  <c r="X806" i="2" s="1"/>
  <c r="Q848" i="2" a="1"/>
  <c r="Q848" i="2" s="1"/>
  <c r="S848" i="2" s="1"/>
  <c r="W848" i="2" s="1"/>
  <c r="X848" i="2" s="1"/>
  <c r="R656" i="2" a="1"/>
  <c r="R656" i="2" s="1"/>
  <c r="Q656" i="2" a="1"/>
  <c r="Q656" i="2" s="1"/>
  <c r="S656" i="2" s="1"/>
  <c r="W656" i="2" s="1"/>
  <c r="X656" i="2" s="1"/>
  <c r="R655" i="2" a="1"/>
  <c r="R655" i="2" s="1"/>
  <c r="Q655" i="2" a="1"/>
  <c r="Q655" i="2" s="1"/>
  <c r="S655" i="2" s="1"/>
  <c r="W655" i="2" s="1"/>
  <c r="X655" i="2" s="1"/>
  <c r="Q1465" i="2" a="1"/>
  <c r="Q1465" i="2" s="1"/>
  <c r="S1465" i="2" s="1"/>
  <c r="W1465" i="2" s="1"/>
  <c r="X1465" i="2" s="1"/>
  <c r="Q1528" i="2" a="1"/>
  <c r="Q1528" i="2" s="1"/>
  <c r="S1528" i="2" s="1"/>
  <c r="W1528" i="2" s="1"/>
  <c r="X1528" i="2" s="1"/>
  <c r="Q1730" i="2" a="1"/>
  <c r="Q1730" i="2" s="1"/>
  <c r="S1730" i="2" s="1"/>
  <c r="W1730" i="2" s="1"/>
  <c r="X1730" i="2" s="1"/>
  <c r="R1823" i="2" a="1"/>
  <c r="R1823" i="2" s="1"/>
  <c r="R627" i="2" a="1"/>
  <c r="R627" i="2" s="1"/>
  <c r="R829" i="2" a="1"/>
  <c r="R829" i="2" s="1"/>
  <c r="R562" i="2" a="1"/>
  <c r="R562" i="2" s="1"/>
  <c r="Q1141" i="2" a="1"/>
  <c r="Q1141" i="2" s="1"/>
  <c r="S1141" i="2" s="1"/>
  <c r="W1141" i="2" s="1"/>
  <c r="X1141" i="2" s="1"/>
  <c r="Q829" i="2" a="1"/>
  <c r="Q829" i="2" s="1"/>
  <c r="S829" i="2" s="1"/>
  <c r="W829" i="2" s="1"/>
  <c r="X829" i="2" s="1"/>
  <c r="R794" i="2" a="1"/>
  <c r="R794" i="2" s="1"/>
  <c r="R793" i="2" a="1"/>
  <c r="R793" i="2" s="1"/>
  <c r="Q793" i="2" a="1"/>
  <c r="Q793" i="2" s="1"/>
  <c r="S793" i="2" s="1"/>
  <c r="W793" i="2" s="1"/>
  <c r="X793" i="2" s="1"/>
  <c r="Q794" i="2" a="1"/>
  <c r="Q794" i="2" s="1"/>
  <c r="S794" i="2" s="1"/>
  <c r="W794" i="2" s="1"/>
  <c r="X794" i="2" s="1"/>
  <c r="Q1461" i="2" a="1"/>
  <c r="Q1461" i="2" s="1"/>
  <c r="S1461" i="2" s="1"/>
  <c r="W1461" i="2" s="1"/>
  <c r="X1461" i="2" s="1"/>
  <c r="R992" i="2" a="1"/>
  <c r="R992" i="2" s="1"/>
  <c r="R615" i="2" a="1"/>
  <c r="R615" i="2" s="1"/>
  <c r="R635" i="2" a="1"/>
  <c r="R635" i="2" s="1"/>
  <c r="R84" i="2" a="1"/>
  <c r="R84" i="2" s="1"/>
  <c r="R1042" i="2" a="1"/>
  <c r="R1042" i="2" s="1"/>
  <c r="Q1775" i="2" a="1"/>
  <c r="Q1775" i="2" s="1"/>
  <c r="S1775" i="2" s="1"/>
  <c r="W1775" i="2" s="1"/>
  <c r="X1775" i="2" s="1"/>
  <c r="Q831" i="2" a="1"/>
  <c r="Q831" i="2" s="1"/>
  <c r="S831" i="2" s="1"/>
  <c r="W831" i="2" s="1"/>
  <c r="X831" i="2" s="1"/>
  <c r="R571" i="2" a="1"/>
  <c r="R571" i="2" s="1"/>
  <c r="R984" i="2" a="1"/>
  <c r="R984" i="2" s="1"/>
  <c r="R212" i="2" a="1"/>
  <c r="R212" i="2" s="1"/>
  <c r="R33" i="2" a="1"/>
  <c r="R33" i="2" s="1"/>
  <c r="R1038" i="2" a="1"/>
  <c r="R1038" i="2" s="1"/>
  <c r="R461" i="2" a="1"/>
  <c r="R461" i="2" s="1"/>
  <c r="R601" i="2" a="1"/>
  <c r="R601" i="2" s="1"/>
  <c r="Q635" i="2" a="1"/>
  <c r="Q635" i="2" s="1"/>
  <c r="S635" i="2" s="1"/>
  <c r="W635" i="2" s="1"/>
  <c r="X635" i="2" s="1"/>
  <c r="R831" i="2" a="1"/>
  <c r="R831" i="2" s="1"/>
  <c r="R2112" i="2" a="1"/>
  <c r="R2112" i="2" s="1"/>
  <c r="R918" i="2" a="1"/>
  <c r="R918" i="2" s="1"/>
  <c r="R1849" i="2" a="1"/>
  <c r="R1849" i="2" s="1"/>
  <c r="R582" i="2" a="1"/>
  <c r="R582" i="2" s="1"/>
  <c r="R53" i="2" a="1"/>
  <c r="R53" i="2" s="1"/>
  <c r="R526" i="2" a="1"/>
  <c r="R526" i="2" s="1"/>
  <c r="R425" i="2" a="1"/>
  <c r="R425" i="2" s="1"/>
  <c r="R1003" i="2" a="1"/>
  <c r="R1003" i="2" s="1"/>
  <c r="Q1291" i="2" a="1"/>
  <c r="Q1291" i="2" s="1"/>
  <c r="S1291" i="2" s="1"/>
  <c r="W1291" i="2" s="1"/>
  <c r="X1291" i="2" s="1"/>
  <c r="R830" i="2" a="1"/>
  <c r="R830" i="2" s="1"/>
  <c r="R434" i="2" a="1"/>
  <c r="R434" i="2" s="1"/>
  <c r="R1075" i="2" a="1"/>
  <c r="R1075" i="2" s="1"/>
  <c r="R1729" i="2" a="1"/>
  <c r="R1729" i="2" s="1"/>
  <c r="R1122" i="2" a="1"/>
  <c r="R1122" i="2" s="1"/>
  <c r="R484" i="2" a="1"/>
  <c r="R484" i="2" s="1"/>
  <c r="R25" i="2" a="1"/>
  <c r="R25" i="2" s="1"/>
  <c r="R937" i="2" a="1"/>
  <c r="R937" i="2" s="1"/>
  <c r="R68" i="2" a="1"/>
  <c r="R68" i="2" s="1"/>
  <c r="Q1038" i="2" a="1"/>
  <c r="Q1038" i="2" s="1"/>
  <c r="S1038" i="2" s="1"/>
  <c r="W1038" i="2" s="1"/>
  <c r="X1038" i="2" s="1"/>
  <c r="Q830" i="2" a="1"/>
  <c r="Q830" i="2" s="1"/>
  <c r="S830" i="2" s="1"/>
  <c r="W830" i="2" s="1"/>
  <c r="X830" i="2" s="1"/>
  <c r="R962" i="2" a="1"/>
  <c r="R962" i="2" s="1"/>
  <c r="R1005" i="2" a="1"/>
  <c r="R1005" i="2" s="1"/>
  <c r="R599" i="2" a="1"/>
  <c r="R599" i="2" s="1"/>
  <c r="R990" i="2" a="1"/>
  <c r="R990" i="2" s="1"/>
  <c r="R5" i="2" a="1"/>
  <c r="R5" i="2" s="1"/>
  <c r="R1112" i="2" a="1"/>
  <c r="R1112" i="2" s="1"/>
  <c r="R429" i="2" a="1"/>
  <c r="R429" i="2" s="1"/>
  <c r="R486" i="2" a="1"/>
  <c r="R486" i="2" s="1"/>
  <c r="R1021" i="2" a="1"/>
  <c r="R1021" i="2" s="1"/>
  <c r="Q988" i="2" a="1"/>
  <c r="Q988" i="2" s="1"/>
  <c r="S988" i="2" s="1"/>
  <c r="W988" i="2" s="1"/>
  <c r="X988" i="2" s="1"/>
  <c r="Q795" i="2" a="1"/>
  <c r="Q795" i="2" s="1"/>
  <c r="S795" i="2" s="1"/>
  <c r="W795" i="2" s="1"/>
  <c r="X795" i="2" s="1"/>
  <c r="R215" i="2" a="1"/>
  <c r="R215" i="2" s="1"/>
  <c r="R993" i="2" a="1"/>
  <c r="R993" i="2" s="1"/>
  <c r="R1801" i="2" a="1"/>
  <c r="R1801" i="2" s="1"/>
  <c r="R519" i="2" a="1"/>
  <c r="R519" i="2" s="1"/>
  <c r="R1797" i="2" a="1"/>
  <c r="R1797" i="2" s="1"/>
  <c r="R553" i="2" a="1"/>
  <c r="R553" i="2" s="1"/>
  <c r="R632" i="2" a="1"/>
  <c r="R632" i="2" s="1"/>
  <c r="R535" i="2" a="1"/>
  <c r="R535" i="2" s="1"/>
  <c r="R42" i="2" a="1"/>
  <c r="R42" i="2" s="1"/>
  <c r="Q2156" i="2" a="1"/>
  <c r="Q2156" i="2" s="1"/>
  <c r="S2156" i="2" s="1"/>
  <c r="W2156" i="2" s="1"/>
  <c r="X2156" i="2" s="1"/>
  <c r="R795" i="2" a="1"/>
  <c r="R795" i="2" s="1"/>
  <c r="R1819" i="2" a="1"/>
  <c r="R1819" i="2" s="1"/>
  <c r="R1814" i="2" a="1"/>
  <c r="R1814" i="2" s="1"/>
  <c r="R1179" i="2" a="1"/>
  <c r="R1179" i="2" s="1"/>
  <c r="R1082" i="2" a="1"/>
  <c r="R1082" i="2" s="1"/>
  <c r="R973" i="2" a="1"/>
  <c r="R973" i="2" s="1"/>
  <c r="R603" i="2" a="1"/>
  <c r="R603" i="2" s="1"/>
  <c r="R497" i="2" a="1"/>
  <c r="R497" i="2" s="1"/>
  <c r="R955" i="2" a="1"/>
  <c r="R955" i="2" s="1"/>
  <c r="R1070" i="2" a="1"/>
  <c r="R1070" i="2" s="1"/>
  <c r="Q279" i="2" a="1"/>
  <c r="Q279" i="2" s="1"/>
  <c r="S279" i="2" s="1"/>
  <c r="W279" i="2" s="1"/>
  <c r="X279" i="2" s="1"/>
  <c r="Q832" i="2" a="1"/>
  <c r="Q832" i="2" s="1"/>
  <c r="S832" i="2" s="1"/>
  <c r="W832" i="2" s="1"/>
  <c r="X832" i="2" s="1"/>
  <c r="R1014" i="2" a="1"/>
  <c r="R1014" i="2" s="1"/>
  <c r="R54" i="2" a="1"/>
  <c r="R54" i="2" s="1"/>
  <c r="R2130" i="2" a="1"/>
  <c r="R2130" i="2" s="1"/>
  <c r="R1019" i="2" a="1"/>
  <c r="R1019" i="2" s="1"/>
  <c r="R1455" i="2" a="1"/>
  <c r="R1455" i="2" s="1"/>
  <c r="R591" i="2" a="1"/>
  <c r="R591" i="2" s="1"/>
  <c r="R201" i="2" a="1"/>
  <c r="R201" i="2" s="1"/>
  <c r="R95" i="2" a="1"/>
  <c r="R95" i="2" s="1"/>
  <c r="R71" i="2" a="1"/>
  <c r="R71" i="2" s="1"/>
  <c r="Q652" i="2" a="1"/>
  <c r="Q652" i="2" s="1"/>
  <c r="S652" i="2" s="1"/>
  <c r="W652" i="2" s="1"/>
  <c r="X652" i="2" s="1"/>
  <c r="R832" i="2" a="1"/>
  <c r="R832" i="2" s="1"/>
  <c r="R1110" i="2" a="1"/>
  <c r="R1110" i="2" s="1"/>
  <c r="R491" i="2" a="1"/>
  <c r="R491" i="2" s="1"/>
  <c r="R2118" i="2" a="1"/>
  <c r="R2118" i="2" s="1"/>
  <c r="R485" i="2" a="1"/>
  <c r="R485" i="2" s="1"/>
  <c r="R1807" i="2" a="1"/>
  <c r="R1807" i="2" s="1"/>
  <c r="R60" i="2" a="1"/>
  <c r="R60" i="2" s="1"/>
  <c r="R1809" i="2" a="1"/>
  <c r="R1809" i="2" s="1"/>
  <c r="R61" i="2" a="1"/>
  <c r="R61" i="2" s="1"/>
  <c r="R1074" i="2" a="1"/>
  <c r="R1074" i="2" s="1"/>
  <c r="R28" i="2" a="1"/>
  <c r="R28" i="2" s="1"/>
  <c r="R1041" i="2" a="1"/>
  <c r="R1041" i="2" s="1"/>
  <c r="Q1296" i="2" a="1"/>
  <c r="Q1296" i="2" s="1"/>
  <c r="S1296" i="2" s="1"/>
  <c r="W1296" i="2" s="1"/>
  <c r="X1296" i="2" s="1"/>
  <c r="R797" i="2" a="1"/>
  <c r="R797" i="2" s="1"/>
  <c r="R968" i="2" a="1"/>
  <c r="R968" i="2" s="1"/>
  <c r="R1118" i="2" a="1"/>
  <c r="R1118" i="2" s="1"/>
  <c r="R559" i="2" a="1"/>
  <c r="R559" i="2" s="1"/>
  <c r="R100" i="2" a="1"/>
  <c r="R100" i="2" s="1"/>
  <c r="R47" i="2" a="1"/>
  <c r="R47" i="2" s="1"/>
  <c r="R1097" i="2" a="1"/>
  <c r="R1097" i="2" s="1"/>
  <c r="R938" i="2" a="1"/>
  <c r="R938" i="2" s="1"/>
  <c r="R560" i="2" a="1"/>
  <c r="R560" i="2" s="1"/>
  <c r="R1101" i="2" a="1"/>
  <c r="R1101" i="2" s="1"/>
  <c r="R1800" i="2" a="1"/>
  <c r="R1800" i="2" s="1"/>
  <c r="Q2124" i="2" a="1"/>
  <c r="Q2124" i="2" s="1"/>
  <c r="S2124" i="2" s="1"/>
  <c r="W2124" i="2" s="1"/>
  <c r="X2124" i="2" s="1"/>
  <c r="Q797" i="2" a="1"/>
  <c r="Q797" i="2" s="1"/>
  <c r="S797" i="2" s="1"/>
  <c r="W797" i="2" s="1"/>
  <c r="X797" i="2" s="1"/>
  <c r="R596" i="2" a="1"/>
  <c r="R596" i="2" s="1"/>
  <c r="R1587" i="2" a="1"/>
  <c r="R1587" i="2" s="1"/>
  <c r="R78" i="2" a="1"/>
  <c r="R78" i="2" s="1"/>
  <c r="R26" i="2" a="1"/>
  <c r="R26" i="2" s="1"/>
  <c r="R441" i="2" a="1"/>
  <c r="R441" i="2" s="1"/>
  <c r="R913" i="2" a="1"/>
  <c r="R913" i="2" s="1"/>
  <c r="R18" i="2" a="1"/>
  <c r="R18" i="2" s="1"/>
  <c r="R1141" i="2" a="1"/>
  <c r="R1141" i="2" s="1"/>
  <c r="R948" i="2" a="1"/>
  <c r="R948" i="2" s="1"/>
  <c r="R62" i="2" a="1"/>
  <c r="R62" i="2" s="1"/>
  <c r="R1093" i="2" a="1"/>
  <c r="R1093" i="2" s="1"/>
  <c r="R492" i="2" a="1"/>
  <c r="R492" i="2" s="1"/>
  <c r="R1166" i="2" a="1"/>
  <c r="R1166" i="2" s="1"/>
  <c r="R43" i="2" a="1"/>
  <c r="R43" i="2" s="1"/>
  <c r="Q1436" i="2" a="1"/>
  <c r="Q1436" i="2" s="1"/>
  <c r="S1436" i="2" s="1"/>
  <c r="W1436" i="2" s="1"/>
  <c r="X1436" i="2" s="1"/>
  <c r="Q2126" i="2" a="1"/>
  <c r="Q2126" i="2" s="1"/>
  <c r="S2126" i="2" s="1"/>
  <c r="W2126" i="2" s="1"/>
  <c r="X2126" i="2" s="1"/>
  <c r="R796" i="2" a="1"/>
  <c r="R796" i="2" s="1"/>
  <c r="R566" i="2" a="1"/>
  <c r="R566" i="2" s="1"/>
  <c r="R208" i="2" a="1"/>
  <c r="R208" i="2" s="1"/>
  <c r="R614" i="2" a="1"/>
  <c r="R614" i="2" s="1"/>
  <c r="R432" i="2" a="1"/>
  <c r="R432" i="2" s="1"/>
  <c r="R204" i="2" a="1"/>
  <c r="R204" i="2" s="1"/>
  <c r="R941" i="2" a="1"/>
  <c r="R941" i="2" s="1"/>
  <c r="R482" i="2" a="1"/>
  <c r="R482" i="2" s="1"/>
  <c r="R960" i="2" a="1"/>
  <c r="R960" i="2" s="1"/>
  <c r="R496" i="2" a="1"/>
  <c r="R496" i="2" s="1"/>
  <c r="R1825" i="2" a="1"/>
  <c r="R1825" i="2" s="1"/>
  <c r="R581" i="2" a="1"/>
  <c r="R581" i="2" s="1"/>
  <c r="R1102" i="2" a="1"/>
  <c r="R1102" i="2" s="1"/>
  <c r="R83" i="2" a="1"/>
  <c r="R83" i="2" s="1"/>
  <c r="R641" i="2" a="1"/>
  <c r="R641" i="2" s="1"/>
  <c r="R70" i="2" a="1"/>
  <c r="R70" i="2" s="1"/>
  <c r="Q1222" i="2" a="1"/>
  <c r="Q1222" i="2" s="1"/>
  <c r="S1222" i="2" s="1"/>
  <c r="W1222" i="2" s="1"/>
  <c r="X1222" i="2" s="1"/>
  <c r="Q1028" i="2" a="1"/>
  <c r="Q1028" i="2" s="1"/>
  <c r="S1028" i="2" s="1"/>
  <c r="W1028" i="2" s="1"/>
  <c r="X1028" i="2" s="1"/>
  <c r="Q796" i="2" a="1"/>
  <c r="Q796" i="2" s="1"/>
  <c r="S796" i="2" s="1"/>
  <c r="W796" i="2" s="1"/>
  <c r="X796" i="2" s="1"/>
  <c r="R798" i="2" a="1"/>
  <c r="R798" i="2" s="1"/>
  <c r="Q798" i="2" a="1"/>
  <c r="Q798" i="2" s="1"/>
  <c r="S798" i="2" s="1"/>
  <c r="W798" i="2" s="1"/>
  <c r="X798" i="2" s="1"/>
  <c r="R564" i="2" a="1"/>
  <c r="R564" i="2" s="1"/>
  <c r="R517" i="2" a="1"/>
  <c r="R517" i="2" s="1"/>
  <c r="R1079" i="2" a="1"/>
  <c r="R1079" i="2" s="1"/>
  <c r="R460" i="2" a="1"/>
  <c r="R460" i="2" s="1"/>
  <c r="Q561" i="2" a="1"/>
  <c r="Q561" i="2" s="1"/>
  <c r="S561" i="2" s="1"/>
  <c r="W561" i="2" s="1"/>
  <c r="X561" i="2" s="1"/>
  <c r="R920" i="2" a="1"/>
  <c r="R920" i="2" s="1"/>
  <c r="R533" i="2" a="1"/>
  <c r="R533" i="2" s="1"/>
  <c r="R1103" i="2" a="1"/>
  <c r="R1103" i="2" s="1"/>
  <c r="R493" i="2" a="1"/>
  <c r="R493" i="2" s="1"/>
  <c r="R801" i="2" a="1"/>
  <c r="R801" i="2" s="1"/>
  <c r="R41" i="2" a="1"/>
  <c r="R41" i="2" s="1"/>
  <c r="R972" i="2" a="1"/>
  <c r="R972" i="2" s="1"/>
  <c r="R1791" i="2" a="1"/>
  <c r="R1791" i="2" s="1"/>
  <c r="R1020" i="2" a="1"/>
  <c r="R1020" i="2" s="1"/>
  <c r="R35" i="2" a="1"/>
  <c r="R35" i="2" s="1"/>
  <c r="R1084" i="2" a="1"/>
  <c r="R1084" i="2" s="1"/>
  <c r="R1048" i="2" a="1"/>
  <c r="R1048" i="2" s="1"/>
  <c r="R911" i="2" a="1"/>
  <c r="R911" i="2" s="1"/>
  <c r="R1145" i="2" a="1"/>
  <c r="R1145" i="2" s="1"/>
  <c r="R38" i="2" a="1"/>
  <c r="R38" i="2" s="1"/>
  <c r="R579" i="2" a="1"/>
  <c r="R579" i="2" s="1"/>
  <c r="R1655" i="2" a="1"/>
  <c r="R1655" i="2" s="1"/>
  <c r="R89" i="2" a="1"/>
  <c r="R89" i="2" s="1"/>
  <c r="R1072" i="2" a="1"/>
  <c r="R1072" i="2" s="1"/>
  <c r="R602" i="2" a="1"/>
  <c r="R602" i="2" s="1"/>
  <c r="R77" i="2" a="1"/>
  <c r="R77" i="2" s="1"/>
  <c r="R427" i="2" a="1"/>
  <c r="R427" i="2" s="1"/>
  <c r="R1119" i="2" a="1"/>
  <c r="R1119" i="2" s="1"/>
  <c r="R1158" i="2" a="1"/>
  <c r="R1158" i="2" s="1"/>
  <c r="Q1671" i="2" a="1"/>
  <c r="Q1671" i="2" s="1"/>
  <c r="S1671" i="2" s="1"/>
  <c r="W1671" i="2" s="1"/>
  <c r="X1671" i="2" s="1"/>
  <c r="Q1041" i="2" a="1"/>
  <c r="Q1041" i="2" s="1"/>
  <c r="S1041" i="2" s="1"/>
  <c r="W1041" i="2" s="1"/>
  <c r="X1041" i="2" s="1"/>
  <c r="Q2111" i="2" a="1"/>
  <c r="Q2111" i="2" s="1"/>
  <c r="S2111" i="2" s="1"/>
  <c r="W2111" i="2" s="1"/>
  <c r="X2111" i="2" s="1"/>
  <c r="R800" i="2" a="1"/>
  <c r="R800" i="2" s="1"/>
  <c r="R489" i="2" a="1"/>
  <c r="R489" i="2" s="1"/>
  <c r="R583" i="2" a="1"/>
  <c r="R583" i="2" s="1"/>
  <c r="R967" i="2" a="1"/>
  <c r="R967" i="2" s="1"/>
  <c r="R46" i="2" a="1"/>
  <c r="R46" i="2" s="1"/>
  <c r="R514" i="2" a="1"/>
  <c r="R514" i="2" s="1"/>
  <c r="Q1704" i="2" a="1"/>
  <c r="Q1704" i="2" s="1"/>
  <c r="S1704" i="2" s="1"/>
  <c r="W1704" i="2" s="1"/>
  <c r="X1704" i="2" s="1"/>
  <c r="R116" i="2" a="1"/>
  <c r="R116" i="2" s="1"/>
  <c r="R1846" i="2" a="1"/>
  <c r="R1846" i="2" s="1"/>
  <c r="R420" i="2" a="1"/>
  <c r="R420" i="2" s="1"/>
  <c r="R22" i="2" a="1"/>
  <c r="R22" i="2" s="1"/>
  <c r="R944" i="2" a="1"/>
  <c r="R944" i="2" s="1"/>
  <c r="Q517" i="2" a="1"/>
  <c r="Q517" i="2" s="1"/>
  <c r="S517" i="2" s="1"/>
  <c r="W517" i="2" s="1"/>
  <c r="X517" i="2" s="1"/>
  <c r="R628" i="2" a="1"/>
  <c r="R628" i="2" s="1"/>
  <c r="R504" i="2" a="1"/>
  <c r="R504" i="2" s="1"/>
  <c r="R1055" i="2" a="1"/>
  <c r="R1055" i="2" s="1"/>
  <c r="R1140" i="2" a="1"/>
  <c r="R1140" i="2" s="1"/>
  <c r="R1134" i="2" a="1"/>
  <c r="R1134" i="2" s="1"/>
  <c r="R1167" i="2" a="1"/>
  <c r="R1167" i="2" s="1"/>
  <c r="R1052" i="2" a="1"/>
  <c r="R1052" i="2" s="1"/>
  <c r="R567" i="2" a="1"/>
  <c r="R567" i="2" s="1"/>
  <c r="R524" i="2" a="1"/>
  <c r="R524" i="2" s="1"/>
  <c r="R974" i="2" a="1"/>
  <c r="R974" i="2" s="1"/>
  <c r="R981" i="2" a="1"/>
  <c r="R981" i="2" s="1"/>
  <c r="R2127" i="2" a="1"/>
  <c r="R2127" i="2" s="1"/>
  <c r="R558" i="2" a="1"/>
  <c r="R558" i="2" s="1"/>
  <c r="R480" i="2" a="1"/>
  <c r="R480" i="2" s="1"/>
  <c r="R548" i="2" a="1"/>
  <c r="R548" i="2" s="1"/>
  <c r="R3" i="2" a="1"/>
  <c r="R3" i="2" s="1"/>
  <c r="R623" i="2" a="1"/>
  <c r="R623" i="2" s="1"/>
  <c r="R1486" i="2" a="1"/>
  <c r="R1486" i="2" s="1"/>
  <c r="R20" i="2" a="1"/>
  <c r="R20" i="2" s="1"/>
  <c r="Q1283" i="2" a="1"/>
  <c r="Q1283" i="2" s="1"/>
  <c r="S1283" i="2" s="1"/>
  <c r="W1283" i="2" s="1"/>
  <c r="X1283" i="2" s="1"/>
  <c r="Q1089" i="2" a="1"/>
  <c r="Q1089" i="2" s="1"/>
  <c r="S1089" i="2" s="1"/>
  <c r="W1089" i="2" s="1"/>
  <c r="X1089" i="2" s="1"/>
  <c r="Q1621" i="2" a="1"/>
  <c r="Q1621" i="2" s="1"/>
  <c r="S1621" i="2" s="1"/>
  <c r="W1621" i="2" s="1"/>
  <c r="X1621" i="2" s="1"/>
  <c r="Q800" i="2" a="1"/>
  <c r="Q800" i="2" s="1"/>
  <c r="S800" i="2" s="1"/>
  <c r="W800" i="2" s="1"/>
  <c r="X800" i="2" s="1"/>
  <c r="R910" i="2" a="1"/>
  <c r="R910" i="2" s="1"/>
  <c r="R1121" i="2" a="1"/>
  <c r="R1121" i="2" s="1"/>
  <c r="R1673" i="2" a="1"/>
  <c r="R1673" i="2" s="1"/>
  <c r="R1805" i="2" a="1"/>
  <c r="R1805" i="2" s="1"/>
  <c r="R198" i="2" a="1"/>
  <c r="R198" i="2" s="1"/>
  <c r="R1810" i="2" a="1"/>
  <c r="R1810" i="2" s="1"/>
  <c r="R513" i="2" a="1"/>
  <c r="R513" i="2" s="1"/>
  <c r="R943" i="2" a="1"/>
  <c r="R943" i="2" s="1"/>
  <c r="R1136" i="2" a="1"/>
  <c r="R1136" i="2" s="1"/>
  <c r="R1137" i="2" a="1"/>
  <c r="R1137" i="2" s="1"/>
  <c r="Q914" i="2" a="1"/>
  <c r="Q914" i="2" s="1"/>
  <c r="S914" i="2" s="1"/>
  <c r="W914" i="2" s="1"/>
  <c r="X914" i="2" s="1"/>
  <c r="R512" i="2" a="1"/>
  <c r="R512" i="2" s="1"/>
  <c r="R952" i="2" a="1"/>
  <c r="R952" i="2" s="1"/>
  <c r="R979" i="2" a="1"/>
  <c r="R979" i="2" s="1"/>
  <c r="R1687" i="2" a="1"/>
  <c r="R1687" i="2" s="1"/>
  <c r="R102" i="2" a="1"/>
  <c r="R102" i="2" s="1"/>
  <c r="R1847" i="2" a="1"/>
  <c r="R1847" i="2" s="1"/>
  <c r="R1149" i="2" a="1"/>
  <c r="R1149" i="2" s="1"/>
  <c r="R117" i="2" a="1"/>
  <c r="R117" i="2" s="1"/>
  <c r="R11" i="2" a="1"/>
  <c r="R11" i="2" s="1"/>
  <c r="R605" i="2" a="1"/>
  <c r="R605" i="2" s="1"/>
  <c r="R1002" i="2" a="1"/>
  <c r="R1002" i="2" s="1"/>
  <c r="R985" i="2" a="1"/>
  <c r="R985" i="2" s="1"/>
  <c r="R499" i="2" a="1"/>
  <c r="R499" i="2" s="1"/>
  <c r="R430" i="2" a="1"/>
  <c r="R430" i="2" s="1"/>
  <c r="R1139" i="2" a="1"/>
  <c r="R1139" i="2" s="1"/>
  <c r="R65" i="2" a="1"/>
  <c r="R65" i="2" s="1"/>
  <c r="R971" i="2" a="1"/>
  <c r="R971" i="2" s="1"/>
  <c r="R620" i="2" a="1"/>
  <c r="R620" i="2" s="1"/>
  <c r="R91" i="2" a="1"/>
  <c r="R91" i="2" s="1"/>
  <c r="Q605" i="2" a="1"/>
  <c r="Q605" i="2" s="1"/>
  <c r="S605" i="2" s="1"/>
  <c r="W605" i="2" s="1"/>
  <c r="X605" i="2" s="1"/>
  <c r="Q246" i="2" a="1"/>
  <c r="Q246" i="2" s="1"/>
  <c r="S246" i="2" s="1"/>
  <c r="W246" i="2" s="1"/>
  <c r="X246" i="2" s="1"/>
  <c r="Q1543" i="2" a="1"/>
  <c r="Q1543" i="2" s="1"/>
  <c r="S1543" i="2" s="1"/>
  <c r="W1543" i="2" s="1"/>
  <c r="X1543" i="2" s="1"/>
  <c r="R799" i="2" a="1"/>
  <c r="R799" i="2" s="1"/>
  <c r="R1012" i="2" a="1"/>
  <c r="R1012" i="2" s="1"/>
  <c r="R1156" i="2" a="1"/>
  <c r="R1156" i="2" s="1"/>
  <c r="R1804" i="2" a="1"/>
  <c r="R1804" i="2" s="1"/>
  <c r="R577" i="2" a="1"/>
  <c r="R577" i="2" s="1"/>
  <c r="R915" i="2" a="1"/>
  <c r="R915" i="2" s="1"/>
  <c r="Q1386" i="2" a="1"/>
  <c r="Q1386" i="2" s="1"/>
  <c r="S1386" i="2" s="1"/>
  <c r="W1386" i="2" s="1"/>
  <c r="X1386" i="2" s="1"/>
  <c r="R73" i="2" a="1"/>
  <c r="R73" i="2" s="1"/>
  <c r="R207" i="2" a="1"/>
  <c r="R207" i="2" s="1"/>
  <c r="R15" i="2" a="1"/>
  <c r="R15" i="2" s="1"/>
  <c r="R503" i="2" a="1"/>
  <c r="R503" i="2" s="1"/>
  <c r="R982" i="2" a="1"/>
  <c r="R982" i="2" s="1"/>
  <c r="Q896" i="2" a="1"/>
  <c r="Q896" i="2" s="1"/>
  <c r="S896" i="2" s="1"/>
  <c r="W896" i="2" s="1"/>
  <c r="X896" i="2" s="1"/>
  <c r="R638" i="2" a="1"/>
  <c r="R638" i="2" s="1"/>
  <c r="R48" i="2" a="1"/>
  <c r="R48" i="2" s="1"/>
  <c r="R210" i="2" a="1"/>
  <c r="R210" i="2" s="1"/>
  <c r="R498" i="2" a="1"/>
  <c r="R498" i="2" s="1"/>
  <c r="R595" i="2" a="1"/>
  <c r="R595" i="2" s="1"/>
  <c r="R1108" i="2" a="1"/>
  <c r="R1108" i="2" s="1"/>
  <c r="R36" i="2" a="1"/>
  <c r="R36" i="2" s="1"/>
  <c r="R217" i="2" a="1"/>
  <c r="R217" i="2" s="1"/>
  <c r="R511" i="2" a="1"/>
  <c r="R511" i="2" s="1"/>
  <c r="R592" i="2" a="1"/>
  <c r="R592" i="2" s="1"/>
  <c r="R1105" i="2" a="1"/>
  <c r="R1105" i="2" s="1"/>
  <c r="R568" i="2" a="1"/>
  <c r="R568" i="2" s="1"/>
  <c r="R935" i="2" a="1"/>
  <c r="R935" i="2" s="1"/>
  <c r="R1004" i="2" a="1"/>
  <c r="R1004" i="2" s="1"/>
  <c r="R481" i="2" a="1"/>
  <c r="R481" i="2" s="1"/>
  <c r="R554" i="2" a="1"/>
  <c r="R554" i="2" s="1"/>
  <c r="R442" i="2" a="1"/>
  <c r="R442" i="2" s="1"/>
  <c r="R532" i="2" a="1"/>
  <c r="R532" i="2" s="1"/>
  <c r="R1100" i="2" a="1"/>
  <c r="R1100" i="2" s="1"/>
  <c r="Q602" i="2" a="1"/>
  <c r="Q602" i="2" s="1"/>
  <c r="S602" i="2" s="1"/>
  <c r="W602" i="2" s="1"/>
  <c r="X602" i="2" s="1"/>
  <c r="Q1793" i="2" a="1"/>
  <c r="Q1793" i="2" s="1"/>
  <c r="S1793" i="2" s="1"/>
  <c r="W1793" i="2" s="1"/>
  <c r="X1793" i="2" s="1"/>
  <c r="Q928" i="2" a="1"/>
  <c r="Q928" i="2" s="1"/>
  <c r="S928" i="2" s="1"/>
  <c r="W928" i="2" s="1"/>
  <c r="X928" i="2" s="1"/>
  <c r="Q799" i="2" a="1"/>
  <c r="Q799" i="2" s="1"/>
  <c r="S799" i="2" s="1"/>
  <c r="W799" i="2" s="1"/>
  <c r="X799" i="2" s="1"/>
  <c r="Q801" i="2" a="1"/>
  <c r="Q801" i="2" s="1"/>
  <c r="S801" i="2" s="1"/>
  <c r="W801" i="2" s="1"/>
  <c r="X801" i="2" s="1"/>
  <c r="R444" i="2" a="1"/>
  <c r="R444" i="2" s="1"/>
  <c r="R502" i="2" a="1"/>
  <c r="R502" i="2" s="1"/>
  <c r="R1062" i="2" a="1"/>
  <c r="R1062" i="2" s="1"/>
  <c r="R1017" i="2" a="1"/>
  <c r="R1017" i="2" s="1"/>
  <c r="R24" i="2" a="1"/>
  <c r="R24" i="2" s="1"/>
  <c r="R588" i="2" a="1"/>
  <c r="R588" i="2" s="1"/>
  <c r="R452" i="2" a="1"/>
  <c r="R452" i="2" s="1"/>
  <c r="R600" i="2" a="1"/>
  <c r="R600" i="2" s="1"/>
  <c r="Q1428" i="2" a="1"/>
  <c r="Q1428" i="2" s="1"/>
  <c r="S1428" i="2" s="1"/>
  <c r="W1428" i="2" s="1"/>
  <c r="X1428" i="2" s="1"/>
  <c r="R63" i="2" a="1"/>
  <c r="R63" i="2" s="1"/>
  <c r="R16" i="2" a="1"/>
  <c r="R16" i="2" s="1"/>
  <c r="R101" i="2" a="1"/>
  <c r="R101" i="2" s="1"/>
  <c r="R593" i="2" a="1"/>
  <c r="R593" i="2" s="1"/>
  <c r="R1813" i="2" a="1"/>
  <c r="R1813" i="2" s="1"/>
  <c r="R954" i="2" a="1"/>
  <c r="R954" i="2" s="1"/>
  <c r="R224" i="2" a="1"/>
  <c r="R224" i="2" s="1"/>
  <c r="R1739" i="2" a="1"/>
  <c r="R1739" i="2" s="1"/>
  <c r="Q804" i="2" a="1"/>
  <c r="Q804" i="2" s="1"/>
  <c r="S804" i="2" s="1"/>
  <c r="W804" i="2" s="1"/>
  <c r="X804" i="2" s="1"/>
  <c r="R950" i="2" a="1"/>
  <c r="R950" i="2" s="1"/>
  <c r="R598" i="2" a="1"/>
  <c r="R598" i="2" s="1"/>
  <c r="R74" i="2" a="1"/>
  <c r="R74" i="2" s="1"/>
  <c r="R457" i="2" a="1"/>
  <c r="R457" i="2" s="1"/>
  <c r="R433" i="2" a="1"/>
  <c r="R433" i="2" s="1"/>
  <c r="R986" i="2" a="1"/>
  <c r="R986" i="2" s="1"/>
  <c r="R1034" i="2" a="1"/>
  <c r="R1034" i="2" s="1"/>
  <c r="R998" i="2" a="1"/>
  <c r="R998" i="2" s="1"/>
  <c r="R1011" i="2" a="1"/>
  <c r="R1011" i="2" s="1"/>
  <c r="R1120" i="2" a="1"/>
  <c r="R1120" i="2" s="1"/>
  <c r="R1132" i="2" a="1"/>
  <c r="R1132" i="2" s="1"/>
  <c r="R961" i="2" a="1"/>
  <c r="R961" i="2" s="1"/>
  <c r="R479" i="2" a="1"/>
  <c r="R479" i="2" s="1"/>
  <c r="R536" i="2" a="1"/>
  <c r="R536" i="2" s="1"/>
  <c r="R426" i="2" a="1"/>
  <c r="R426" i="2" s="1"/>
  <c r="R608" i="2" a="1"/>
  <c r="R608" i="2" s="1"/>
  <c r="R98" i="2" a="1"/>
  <c r="R98" i="2" s="1"/>
  <c r="R626" i="2" a="1"/>
  <c r="R626" i="2" s="1"/>
  <c r="R1650" i="2" a="1"/>
  <c r="R1650" i="2" s="1"/>
  <c r="R1792" i="2" a="1"/>
  <c r="R1792" i="2" s="1"/>
  <c r="R999" i="2" a="1"/>
  <c r="R999" i="2" s="1"/>
  <c r="R1796" i="2" a="1"/>
  <c r="R1796" i="2" s="1"/>
  <c r="R454" i="2" a="1"/>
  <c r="R454" i="2" s="1"/>
  <c r="R2146" i="2" a="1"/>
  <c r="R2146" i="2" s="1"/>
  <c r="R631" i="2" a="1"/>
  <c r="R631" i="2" s="1"/>
  <c r="R1842" i="2" a="1"/>
  <c r="R1842" i="2" s="1"/>
  <c r="R1077" i="2" a="1"/>
  <c r="R1077" i="2" s="1"/>
  <c r="R2" i="2" a="1"/>
  <c r="R2" i="2" s="1"/>
  <c r="R1135" i="2" a="1"/>
  <c r="R1135" i="2" s="1"/>
  <c r="R624" i="2" a="1"/>
  <c r="R624" i="2" s="1"/>
  <c r="R916" i="2" a="1"/>
  <c r="R916" i="2" s="1"/>
  <c r="R1844" i="2" a="1"/>
  <c r="R1844" i="2" s="1"/>
  <c r="Q2143" i="2" a="1"/>
  <c r="Q2143" i="2" s="1"/>
  <c r="S2143" i="2" s="1"/>
  <c r="W2143" i="2" s="1"/>
  <c r="X2143" i="2" s="1"/>
  <c r="Q1500" i="2" a="1"/>
  <c r="Q1500" i="2" s="1"/>
  <c r="S1500" i="2" s="1"/>
  <c r="W1500" i="2" s="1"/>
  <c r="X1500" i="2" s="1"/>
  <c r="Q366" i="2" a="1"/>
  <c r="Q366" i="2" s="1"/>
  <c r="S366" i="2" s="1"/>
  <c r="W366" i="2" s="1"/>
  <c r="X366" i="2" s="1"/>
  <c r="Q552" i="2" a="1"/>
  <c r="Q552" i="2" s="1"/>
  <c r="S552" i="2" s="1"/>
  <c r="W552" i="2" s="1"/>
  <c r="X552" i="2" s="1"/>
  <c r="R803" i="2" a="1"/>
  <c r="R803" i="2" s="1"/>
  <c r="R940" i="2" a="1"/>
  <c r="R940" i="2" s="1"/>
  <c r="R589" i="2" a="1"/>
  <c r="R589" i="2" s="1"/>
  <c r="R446" i="2" a="1"/>
  <c r="R446" i="2" s="1"/>
  <c r="R561" i="2" a="1"/>
  <c r="R561" i="2" s="1"/>
  <c r="R1114" i="2" a="1"/>
  <c r="R1114" i="2" s="1"/>
  <c r="R49" i="2" a="1"/>
  <c r="R49" i="2" s="1"/>
  <c r="R1853" i="2" a="1"/>
  <c r="R1853" i="2" s="1"/>
  <c r="R4" i="2" a="1"/>
  <c r="R4" i="2" s="1"/>
  <c r="Q1546" i="2" a="1"/>
  <c r="Q1546" i="2" s="1"/>
  <c r="S1546" i="2" s="1"/>
  <c r="W1546" i="2" s="1"/>
  <c r="X1546" i="2" s="1"/>
  <c r="R1106" i="2" a="1"/>
  <c r="R1106" i="2" s="1"/>
  <c r="R983" i="2" a="1"/>
  <c r="R983" i="2" s="1"/>
  <c r="R90" i="2" a="1"/>
  <c r="R90" i="2" s="1"/>
  <c r="R1808" i="2" a="1"/>
  <c r="R1808" i="2" s="1"/>
  <c r="R527" i="2" a="1"/>
  <c r="R527" i="2" s="1"/>
  <c r="R964" i="2" a="1"/>
  <c r="R964" i="2" s="1"/>
  <c r="R1124" i="2" a="1"/>
  <c r="R1124" i="2" s="1"/>
  <c r="R923" i="2" a="1"/>
  <c r="R923" i="2" s="1"/>
  <c r="Q378" i="2" a="1"/>
  <c r="Q378" i="2" s="1"/>
  <c r="S378" i="2" s="1"/>
  <c r="W378" i="2" s="1"/>
  <c r="X378" i="2" s="1"/>
  <c r="Q537" i="2" a="1"/>
  <c r="Q537" i="2" s="1"/>
  <c r="S537" i="2" s="1"/>
  <c r="W537" i="2" s="1"/>
  <c r="X537" i="2" s="1"/>
  <c r="R51" i="2" a="1"/>
  <c r="R51" i="2" s="1"/>
  <c r="R529" i="2" a="1"/>
  <c r="R529" i="2" s="1"/>
  <c r="R96" i="2" a="1"/>
  <c r="R96" i="2" s="1"/>
  <c r="R76" i="2" a="1"/>
  <c r="R76" i="2" s="1"/>
  <c r="R922" i="2" a="1"/>
  <c r="R922" i="2" s="1"/>
  <c r="R105" i="2" a="1"/>
  <c r="R105" i="2" s="1"/>
  <c r="R975" i="2" a="1"/>
  <c r="R975" i="2" s="1"/>
  <c r="R2154" i="2" a="1"/>
  <c r="R2154" i="2" s="1"/>
  <c r="R211" i="2" a="1"/>
  <c r="R211" i="2" s="1"/>
  <c r="R2126" i="2" a="1"/>
  <c r="R2126" i="2" s="1"/>
  <c r="R495" i="2" a="1"/>
  <c r="R495" i="2" s="1"/>
  <c r="R1159" i="2" a="1"/>
  <c r="R1159" i="2" s="1"/>
  <c r="R640" i="2" a="1"/>
  <c r="R640" i="2" s="1"/>
  <c r="R488" i="2" a="1"/>
  <c r="R488" i="2" s="1"/>
  <c r="R1006" i="2" a="1"/>
  <c r="R1006" i="2" s="1"/>
  <c r="R587" i="2" a="1"/>
  <c r="R587" i="2" s="1"/>
  <c r="R1127" i="2" a="1"/>
  <c r="R1127" i="2" s="1"/>
  <c r="R67" i="2" a="1"/>
  <c r="R67" i="2" s="1"/>
  <c r="R643" i="2" a="1"/>
  <c r="R643" i="2" s="1"/>
  <c r="R219" i="2" a="1"/>
  <c r="R219" i="2" s="1"/>
  <c r="R585" i="2" a="1"/>
  <c r="R585" i="2" s="1"/>
  <c r="R946" i="2" a="1"/>
  <c r="R946" i="2" s="1"/>
  <c r="R221" i="2" a="1"/>
  <c r="R221" i="2" s="1"/>
  <c r="R1130" i="2" a="1"/>
  <c r="R1130" i="2" s="1"/>
  <c r="R520" i="2" a="1"/>
  <c r="R520" i="2" s="1"/>
  <c r="R197" i="2" a="1"/>
  <c r="R197" i="2" s="1"/>
  <c r="R951" i="2" a="1"/>
  <c r="R951" i="2" s="1"/>
  <c r="R2144" i="2" a="1"/>
  <c r="R2144" i="2" s="1"/>
  <c r="R606" i="2" a="1"/>
  <c r="R606" i="2" s="1"/>
  <c r="R549" i="2" a="1"/>
  <c r="R549" i="2" s="1"/>
  <c r="R634" i="2" a="1"/>
  <c r="R634" i="2" s="1"/>
  <c r="R106" i="2" a="1"/>
  <c r="R106" i="2" s="1"/>
  <c r="Q1577" i="2" a="1"/>
  <c r="Q1577" i="2" s="1"/>
  <c r="S1577" i="2" s="1"/>
  <c r="W1577" i="2" s="1"/>
  <c r="X1577" i="2" s="1"/>
  <c r="Q540" i="2" a="1"/>
  <c r="Q540" i="2" s="1"/>
  <c r="S540" i="2" s="1"/>
  <c r="W540" i="2" s="1"/>
  <c r="X540" i="2" s="1"/>
  <c r="Q447" i="2" a="1"/>
  <c r="Q447" i="2" s="1"/>
  <c r="S447" i="2" s="1"/>
  <c r="W447" i="2" s="1"/>
  <c r="X447" i="2" s="1"/>
  <c r="Q1769" i="2" a="1"/>
  <c r="Q1769" i="2" s="1"/>
  <c r="S1769" i="2" s="1"/>
  <c r="W1769" i="2" s="1"/>
  <c r="X1769" i="2" s="1"/>
  <c r="Q803" i="2" a="1"/>
  <c r="Q803" i="2" s="1"/>
  <c r="S803" i="2" s="1"/>
  <c r="W803" i="2" s="1"/>
  <c r="X803" i="2" s="1"/>
  <c r="R1855" i="2" a="1"/>
  <c r="R1855" i="2" s="1"/>
  <c r="R1053" i="2" a="1"/>
  <c r="R1053" i="2" s="1"/>
  <c r="R2153" i="2" a="1"/>
  <c r="R2153" i="2" s="1"/>
  <c r="R572" i="2" a="1"/>
  <c r="R572" i="2" s="1"/>
  <c r="R931" i="2" a="1"/>
  <c r="R931" i="2" s="1"/>
  <c r="R505" i="2" a="1"/>
  <c r="R505" i="2" s="1"/>
  <c r="R1806" i="2" a="1"/>
  <c r="R1806" i="2" s="1"/>
  <c r="R957" i="2" a="1"/>
  <c r="R957" i="2" s="1"/>
  <c r="Q108" i="2" a="1"/>
  <c r="Q108" i="2" s="1"/>
  <c r="S108" i="2" s="1"/>
  <c r="W108" i="2" s="1"/>
  <c r="X108" i="2" s="1"/>
  <c r="R804" i="2" a="1"/>
  <c r="R804" i="2" s="1"/>
  <c r="R621" i="2" a="1"/>
  <c r="R621" i="2" s="1"/>
  <c r="R557" i="2" a="1"/>
  <c r="R557" i="2" s="1"/>
  <c r="R1152" i="2" a="1"/>
  <c r="R1152" i="2" s="1"/>
  <c r="R925" i="2" a="1"/>
  <c r="R925" i="2" s="1"/>
  <c r="R2143" i="2" a="1"/>
  <c r="R2143" i="2" s="1"/>
  <c r="R477" i="2" a="1"/>
  <c r="R477" i="2" s="1"/>
  <c r="R115" i="2" a="1"/>
  <c r="R115" i="2" s="1"/>
  <c r="R989" i="2" a="1"/>
  <c r="R989" i="2" s="1"/>
  <c r="Q1856" i="2" a="1"/>
  <c r="Q1856" i="2" s="1"/>
  <c r="S1856" i="2" s="1"/>
  <c r="W1856" i="2" s="1"/>
  <c r="X1856" i="2" s="1"/>
  <c r="R109" i="2" a="1"/>
  <c r="R109" i="2" s="1"/>
  <c r="R1047" i="2" a="1"/>
  <c r="R1047" i="2" s="1"/>
  <c r="R92" i="2" a="1"/>
  <c r="R92" i="2" s="1"/>
  <c r="R597" i="2" a="1"/>
  <c r="R597" i="2" s="1"/>
  <c r="R610" i="2" a="1"/>
  <c r="R610" i="2" s="1"/>
  <c r="R205" i="2" a="1"/>
  <c r="R205" i="2" s="1"/>
  <c r="R949" i="2" a="1"/>
  <c r="R949" i="2" s="1"/>
  <c r="R2141" i="2" a="1"/>
  <c r="R2141" i="2" s="1"/>
  <c r="R1144" i="2" a="1"/>
  <c r="R1144" i="2" s="1"/>
  <c r="R31" i="2" a="1"/>
  <c r="R31" i="2" s="1"/>
  <c r="R114" i="2" a="1"/>
  <c r="R114" i="2" s="1"/>
  <c r="R1085" i="2" a="1"/>
  <c r="R1085" i="2" s="1"/>
  <c r="R642" i="2" a="1"/>
  <c r="R642" i="2" s="1"/>
  <c r="R1812" i="2" a="1"/>
  <c r="R1812" i="2" s="1"/>
  <c r="R501" i="2" a="1"/>
  <c r="R501" i="2" s="1"/>
  <c r="R1171" i="2" a="1"/>
  <c r="R1171" i="2" s="1"/>
  <c r="R265" i="2" a="1"/>
  <c r="R265" i="2" s="1"/>
  <c r="R934" i="2" a="1"/>
  <c r="R934" i="2" s="1"/>
  <c r="R1069" i="2" a="1"/>
  <c r="R1069" i="2" s="1"/>
  <c r="R515" i="2" a="1"/>
  <c r="R515" i="2" s="1"/>
  <c r="R1061" i="2" a="1"/>
  <c r="R1061" i="2" s="1"/>
  <c r="R2147" i="2" a="1"/>
  <c r="R2147" i="2" s="1"/>
  <c r="R506" i="2" a="1"/>
  <c r="R506" i="2" s="1"/>
  <c r="R1089" i="2" a="1"/>
  <c r="R1089" i="2" s="1"/>
  <c r="R518" i="2" a="1"/>
  <c r="R518" i="2" s="1"/>
  <c r="R55" i="2" a="1"/>
  <c r="R55" i="2" s="1"/>
  <c r="R1165" i="2" a="1"/>
  <c r="R1165" i="2" s="1"/>
  <c r="R1007" i="2" a="1"/>
  <c r="R1007" i="2" s="1"/>
  <c r="R6" i="2" a="1"/>
  <c r="R6" i="2" s="1"/>
  <c r="R220" i="2" a="1"/>
  <c r="R220" i="2" s="1"/>
  <c r="R550" i="2" a="1"/>
  <c r="R550" i="2" s="1"/>
  <c r="R516" i="2" a="1"/>
  <c r="R516" i="2" s="1"/>
  <c r="Q1383" i="2" a="1"/>
  <c r="Q1383" i="2" s="1"/>
  <c r="S1383" i="2" s="1"/>
  <c r="W1383" i="2" s="1"/>
  <c r="X1383" i="2" s="1"/>
  <c r="Q2118" i="2" a="1"/>
  <c r="Q2118" i="2" s="1"/>
  <c r="S2118" i="2" s="1"/>
  <c r="W2118" i="2" s="1"/>
  <c r="X2118" i="2" s="1"/>
  <c r="Q52" i="2" a="1"/>
  <c r="Q52" i="2" s="1"/>
  <c r="S52" i="2" s="1"/>
  <c r="W52" i="2" s="1"/>
  <c r="X52" i="2" s="1"/>
  <c r="Q1265" i="2" a="1"/>
  <c r="Q1265" i="2" s="1"/>
  <c r="S1265" i="2" s="1"/>
  <c r="W1265" i="2" s="1"/>
  <c r="X1265" i="2" s="1"/>
  <c r="Q802" i="2" a="1"/>
  <c r="Q802" i="2" s="1"/>
  <c r="S802" i="2" s="1"/>
  <c r="W802" i="2" s="1"/>
  <c r="X802" i="2" s="1"/>
  <c r="R1073" i="2" a="1"/>
  <c r="R1073" i="2" s="1"/>
  <c r="R1016" i="2" a="1"/>
  <c r="R1016" i="2" s="1"/>
  <c r="R59" i="2" a="1"/>
  <c r="R59" i="2" s="1"/>
  <c r="R203" i="2" a="1"/>
  <c r="R203" i="2" s="1"/>
  <c r="R110" i="2" a="1"/>
  <c r="R110" i="2" s="1"/>
  <c r="R1593" i="2" a="1"/>
  <c r="R1593" i="2" s="1"/>
  <c r="R563" i="2" a="1"/>
  <c r="R563" i="2" s="1"/>
  <c r="R919" i="2" a="1"/>
  <c r="R919" i="2" s="1"/>
  <c r="Q1090" i="2" a="1"/>
  <c r="Q1090" i="2" s="1"/>
  <c r="S1090" i="2" s="1"/>
  <c r="W1090" i="2" s="1"/>
  <c r="X1090" i="2" s="1"/>
  <c r="R1790" i="2" a="1"/>
  <c r="R1790" i="2" s="1"/>
  <c r="R612" i="2" a="1"/>
  <c r="R612" i="2" s="1"/>
  <c r="R2140" i="2" a="1"/>
  <c r="R2140" i="2" s="1"/>
  <c r="R980" i="2" a="1"/>
  <c r="R980" i="2" s="1"/>
  <c r="R1845" i="2" a="1"/>
  <c r="R1845" i="2" s="1"/>
  <c r="R629" i="2" a="1"/>
  <c r="R629" i="2" s="1"/>
  <c r="R1138" i="2" a="1"/>
  <c r="R1138" i="2" s="1"/>
  <c r="R1036" i="2" a="1"/>
  <c r="R1036" i="2" s="1"/>
  <c r="Q1612" i="2" a="1"/>
  <c r="Q1612" i="2" s="1"/>
  <c r="S1612" i="2" s="1"/>
  <c r="W1612" i="2" s="1"/>
  <c r="X1612" i="2" s="1"/>
  <c r="R108" i="2" a="1"/>
  <c r="R108" i="2" s="1"/>
  <c r="R1065" i="2" a="1"/>
  <c r="R1065" i="2" s="1"/>
  <c r="R978" i="2" a="1"/>
  <c r="R978" i="2" s="1"/>
  <c r="R490" i="2" a="1"/>
  <c r="R490" i="2" s="1"/>
  <c r="R40" i="2" a="1"/>
  <c r="R40" i="2" s="1"/>
  <c r="R1131" i="2" a="1"/>
  <c r="R1131" i="2" s="1"/>
  <c r="R1843" i="2" a="1"/>
  <c r="R1843" i="2" s="1"/>
  <c r="R1153" i="2" a="1"/>
  <c r="R1153" i="2" s="1"/>
  <c r="R467" i="2" a="1"/>
  <c r="R467" i="2" s="1"/>
  <c r="R609" i="2" a="1"/>
  <c r="R609" i="2" s="1"/>
  <c r="R1037" i="2" a="1"/>
  <c r="R1037" i="2" s="1"/>
  <c r="R1058" i="2" a="1"/>
  <c r="R1058" i="2" s="1"/>
  <c r="R996" i="2" a="1"/>
  <c r="R996" i="2" s="1"/>
  <c r="R500" i="2" a="1"/>
  <c r="R500" i="2" s="1"/>
  <c r="R1818" i="2" a="1"/>
  <c r="R1818" i="2" s="1"/>
  <c r="R528" i="2" a="1"/>
  <c r="R528" i="2" s="1"/>
  <c r="R81" i="2" a="1"/>
  <c r="R81" i="2" s="1"/>
  <c r="R1793" i="2" a="1"/>
  <c r="R1793" i="2" s="1"/>
  <c r="R619" i="2" a="1"/>
  <c r="R619" i="2" s="1"/>
  <c r="R2149" i="2" a="1"/>
  <c r="R2149" i="2" s="1"/>
  <c r="R1126" i="2" a="1"/>
  <c r="R1126" i="2" s="1"/>
  <c r="R107" i="2" a="1"/>
  <c r="R107" i="2" s="1"/>
  <c r="R1111" i="2" a="1"/>
  <c r="R1111" i="2" s="1"/>
  <c r="R616" i="2" a="1"/>
  <c r="R616" i="2" s="1"/>
  <c r="R1854" i="2" a="1"/>
  <c r="R1854" i="2" s="1"/>
  <c r="R936" i="2" a="1"/>
  <c r="R936" i="2" s="1"/>
  <c r="R1483" i="2" a="1"/>
  <c r="R1483" i="2" s="1"/>
  <c r="R1157" i="2" a="1"/>
  <c r="R1157" i="2" s="1"/>
  <c r="R436" i="2" a="1"/>
  <c r="R436" i="2" s="1"/>
  <c r="R2148" i="2" a="1"/>
  <c r="R2148" i="2" s="1"/>
  <c r="R507" i="2" a="1"/>
  <c r="R507" i="2" s="1"/>
  <c r="R939" i="2" a="1"/>
  <c r="R939" i="2" s="1"/>
  <c r="Q1120" i="2" a="1"/>
  <c r="Q1120" i="2" s="1"/>
  <c r="S1120" i="2" s="1"/>
  <c r="W1120" i="2" s="1"/>
  <c r="X1120" i="2" s="1"/>
  <c r="Q1741" i="2" a="1"/>
  <c r="Q1741" i="2" s="1"/>
  <c r="S1741" i="2" s="1"/>
  <c r="W1741" i="2" s="1"/>
  <c r="X1741" i="2" s="1"/>
  <c r="Q936" i="2" a="1"/>
  <c r="Q936" i="2" s="1"/>
  <c r="S936" i="2" s="1"/>
  <c r="W936" i="2" s="1"/>
  <c r="X936" i="2" s="1"/>
  <c r="Q922" i="2" a="1"/>
  <c r="Q922" i="2" s="1"/>
  <c r="S922" i="2" s="1"/>
  <c r="W922" i="2" s="1"/>
  <c r="X922" i="2" s="1"/>
  <c r="R802" i="2" a="1"/>
  <c r="R802" i="2" s="1"/>
  <c r="R1046" i="2" a="1"/>
  <c r="R1046" i="2" s="1"/>
  <c r="R103" i="2" a="1"/>
  <c r="R103" i="2" s="1"/>
  <c r="R1148" i="2" a="1"/>
  <c r="R1148" i="2" s="1"/>
  <c r="R222" i="2" a="1"/>
  <c r="R222" i="2" s="1"/>
  <c r="R969" i="2" a="1"/>
  <c r="R969" i="2" s="1"/>
  <c r="R2131" i="2" a="1"/>
  <c r="R2131" i="2" s="1"/>
  <c r="R2142" i="2" a="1"/>
  <c r="R2142" i="2" s="1"/>
  <c r="R1051" i="2" a="1"/>
  <c r="R1051" i="2" s="1"/>
  <c r="R997" i="2" a="1"/>
  <c r="R997" i="2" s="1"/>
  <c r="R1049" i="2" a="1"/>
  <c r="R1049" i="2" s="1"/>
  <c r="R104" i="2" a="1"/>
  <c r="R104" i="2" s="1"/>
  <c r="R1146" i="2" a="1"/>
  <c r="R1146" i="2" s="1"/>
  <c r="R1811" i="2" a="1"/>
  <c r="R1811" i="2" s="1"/>
  <c r="R1147" i="2" a="1"/>
  <c r="R1147" i="2" s="1"/>
  <c r="R1856" i="2" a="1"/>
  <c r="R1856" i="2" s="1"/>
  <c r="R57" i="2" a="1"/>
  <c r="R57" i="2" s="1"/>
  <c r="R32" i="2" a="1"/>
  <c r="R32" i="2" s="1"/>
  <c r="R1067" i="2" a="1"/>
  <c r="R1067" i="2" s="1"/>
  <c r="R199" i="2" a="1"/>
  <c r="R199" i="2" s="1"/>
  <c r="R1850" i="2" a="1"/>
  <c r="R1850" i="2" s="1"/>
  <c r="R58" i="2" a="1"/>
  <c r="R58" i="2" s="1"/>
  <c r="R607" i="2" a="1"/>
  <c r="R607" i="2" s="1"/>
  <c r="R921" i="2" a="1"/>
  <c r="R921" i="2" s="1"/>
  <c r="R1133" i="2" a="1"/>
  <c r="R1133" i="2" s="1"/>
  <c r="R119" i="2" a="1"/>
  <c r="R119" i="2" s="1"/>
  <c r="R531" i="2" a="1"/>
  <c r="R531" i="2" s="1"/>
  <c r="R565" i="2" a="1"/>
  <c r="R565" i="2" s="1"/>
  <c r="R1820" i="2" a="1"/>
  <c r="R1820" i="2" s="1"/>
  <c r="R988" i="2" a="1"/>
  <c r="R988" i="2" s="1"/>
  <c r="R1142" i="2" a="1"/>
  <c r="R1142" i="2" s="1"/>
  <c r="R1794" i="2" a="1"/>
  <c r="R1794" i="2" s="1"/>
  <c r="R1092" i="2" a="1"/>
  <c r="R1092" i="2" s="1"/>
  <c r="R30" i="2" a="1"/>
  <c r="R30" i="2" s="1"/>
  <c r="R953" i="2" a="1"/>
  <c r="R953" i="2" s="1"/>
  <c r="R1493" i="2" a="1"/>
  <c r="R1493" i="2" s="1"/>
  <c r="R64" i="2" a="1"/>
  <c r="R64" i="2" s="1"/>
  <c r="R1068" i="2" a="1"/>
  <c r="R1068" i="2" s="1"/>
  <c r="R1123" i="2" a="1"/>
  <c r="R1123" i="2" s="1"/>
  <c r="R537" i="2" a="1"/>
  <c r="R537" i="2" s="1"/>
  <c r="R584" i="2" a="1"/>
  <c r="R584" i="2" s="1"/>
  <c r="R1050" i="2" a="1"/>
  <c r="R1050" i="2" s="1"/>
  <c r="R1076" i="2" a="1"/>
  <c r="R1076" i="2" s="1"/>
  <c r="Q1734" i="2" a="1"/>
  <c r="Q1734" i="2" s="1"/>
  <c r="S1734" i="2" s="1"/>
  <c r="W1734" i="2" s="1"/>
  <c r="X1734" i="2" s="1"/>
  <c r="Q1596" i="2" a="1"/>
  <c r="Q1596" i="2" s="1"/>
  <c r="S1596" i="2" s="1"/>
  <c r="W1596" i="2" s="1"/>
  <c r="X1596" i="2" s="1"/>
  <c r="Q1615" i="2" a="1"/>
  <c r="Q1615" i="2" s="1"/>
  <c r="S1615" i="2" s="1"/>
  <c r="W1615" i="2" s="1"/>
  <c r="X1615" i="2" s="1"/>
  <c r="Q902" i="2" a="1"/>
  <c r="Q902" i="2" s="1"/>
  <c r="S902" i="2" s="1"/>
  <c r="W902" i="2" s="1"/>
  <c r="X902" i="2" s="1"/>
  <c r="Q1672" i="2" a="1"/>
  <c r="Q1672" i="2" s="1"/>
  <c r="S1672" i="2" s="1"/>
  <c r="W1672" i="2" s="1"/>
  <c r="X1672" i="2" s="1"/>
  <c r="R783" i="2" a="1"/>
  <c r="R783" i="2" s="1"/>
  <c r="R1795" i="2" a="1"/>
  <c r="R1795" i="2" s="1"/>
  <c r="R50" i="2" a="1"/>
  <c r="R50" i="2" s="1"/>
  <c r="R625" i="2" a="1"/>
  <c r="R625" i="2" s="1"/>
  <c r="R2124" i="2" a="1"/>
  <c r="R2124" i="2" s="1"/>
  <c r="R965" i="2" a="1"/>
  <c r="R965" i="2" s="1"/>
  <c r="R530" i="2" a="1"/>
  <c r="R530" i="2" s="1"/>
  <c r="R87" i="2" a="1"/>
  <c r="R87" i="2" s="1"/>
  <c r="R618" i="2" a="1"/>
  <c r="R618" i="2" s="1"/>
  <c r="R1033" i="2" a="1"/>
  <c r="R1033" i="2" s="1"/>
  <c r="R970" i="2" a="1"/>
  <c r="R970" i="2" s="1"/>
  <c r="R639" i="2" a="1"/>
  <c r="R639" i="2" s="1"/>
  <c r="R987" i="2" a="1"/>
  <c r="R987" i="2" s="1"/>
  <c r="R216" i="2" a="1"/>
  <c r="R216" i="2" s="1"/>
  <c r="R223" i="2" a="1"/>
  <c r="R223" i="2" s="1"/>
  <c r="R2152" i="2" a="1"/>
  <c r="R2152" i="2" s="1"/>
  <c r="R617" i="2" a="1"/>
  <c r="R617" i="2" s="1"/>
  <c r="R510" i="2" a="1"/>
  <c r="R510" i="2" s="1"/>
  <c r="R1107" i="2" a="1"/>
  <c r="R1107" i="2" s="1"/>
  <c r="R99" i="2" a="1"/>
  <c r="R99" i="2" s="1"/>
  <c r="R1822" i="2" a="1"/>
  <c r="R1822" i="2" s="1"/>
  <c r="R633" i="2" a="1"/>
  <c r="R633" i="2" s="1"/>
  <c r="R1116" i="2" a="1"/>
  <c r="R1116" i="2" s="1"/>
  <c r="R209" i="2" a="1"/>
  <c r="R209" i="2" s="1"/>
  <c r="R118" i="2" a="1"/>
  <c r="R118" i="2" s="1"/>
  <c r="R27" i="2" a="1"/>
  <c r="R27" i="2" s="1"/>
  <c r="R1104" i="2" a="1"/>
  <c r="R1104" i="2" s="1"/>
  <c r="R1150" i="2" a="1"/>
  <c r="R1150" i="2" s="1"/>
  <c r="R423" i="2" a="1"/>
  <c r="R423" i="2" s="1"/>
  <c r="R926" i="2" a="1"/>
  <c r="R926" i="2" s="1"/>
  <c r="R525" i="2" a="1"/>
  <c r="R525" i="2" s="1"/>
  <c r="R991" i="2" a="1"/>
  <c r="R991" i="2" s="1"/>
  <c r="R1129" i="2" a="1"/>
  <c r="R1129" i="2" s="1"/>
  <c r="R439" i="2" a="1"/>
  <c r="R439" i="2" s="1"/>
  <c r="R85" i="2" a="1"/>
  <c r="R85" i="2" s="1"/>
  <c r="R1175" i="2" a="1"/>
  <c r="R1175" i="2" s="1"/>
  <c r="R1851" i="2" a="1"/>
  <c r="R1851" i="2" s="1"/>
  <c r="R82" i="2" a="1"/>
  <c r="R82" i="2" s="1"/>
  <c r="R1817" i="2" a="1"/>
  <c r="R1817" i="2" s="1"/>
  <c r="R1789" i="2" a="1"/>
  <c r="R1789" i="2" s="1"/>
  <c r="R613" i="2" a="1"/>
  <c r="R613" i="2" s="1"/>
  <c r="R630" i="2" a="1"/>
  <c r="R630" i="2" s="1"/>
  <c r="Q1581" i="2" a="1"/>
  <c r="Q1581" i="2" s="1"/>
  <c r="S1581" i="2" s="1"/>
  <c r="W1581" i="2" s="1"/>
  <c r="X1581" i="2" s="1"/>
  <c r="Q1575" i="2" a="1"/>
  <c r="Q1575" i="2" s="1"/>
  <c r="S1575" i="2" s="1"/>
  <c r="W1575" i="2" s="1"/>
  <c r="X1575" i="2" s="1"/>
  <c r="Q1552" i="2" a="1"/>
  <c r="Q1552" i="2" s="1"/>
  <c r="S1552" i="2" s="1"/>
  <c r="W1552" i="2" s="1"/>
  <c r="X1552" i="2" s="1"/>
  <c r="Q1104" i="2" a="1"/>
  <c r="Q1104" i="2" s="1"/>
  <c r="S1104" i="2" s="1"/>
  <c r="W1104" i="2" s="1"/>
  <c r="X1104" i="2" s="1"/>
  <c r="Q1573" i="2" a="1"/>
  <c r="Q1573" i="2" s="1"/>
  <c r="S1573" i="2" s="1"/>
  <c r="W1573" i="2" s="1"/>
  <c r="X1573" i="2" s="1"/>
  <c r="Q262" i="2" a="1"/>
  <c r="Q262" i="2" s="1"/>
  <c r="S262" i="2" s="1"/>
  <c r="W262" i="2" s="1"/>
  <c r="X262" i="2" s="1"/>
  <c r="R776" i="2" a="1"/>
  <c r="R776" i="2" s="1"/>
  <c r="R575" i="2" a="1"/>
  <c r="R575" i="2" s="1"/>
  <c r="R449" i="2" a="1"/>
  <c r="R449" i="2" s="1"/>
  <c r="R644" i="2" a="1"/>
  <c r="R644" i="2" s="1"/>
  <c r="R23" i="2" a="1"/>
  <c r="R23" i="2" s="1"/>
  <c r="R574" i="2" a="1"/>
  <c r="R574" i="2" s="1"/>
  <c r="R1161" i="2" a="1"/>
  <c r="R1161" i="2" s="1"/>
  <c r="R977" i="2" a="1"/>
  <c r="R977" i="2" s="1"/>
  <c r="R12" i="2" a="1"/>
  <c r="R12" i="2" s="1"/>
  <c r="R37" i="2" a="1"/>
  <c r="R37" i="2" s="1"/>
  <c r="R1594" i="2" a="1"/>
  <c r="R1594" i="2" s="1"/>
  <c r="R1117" i="2" a="1"/>
  <c r="R1117" i="2" s="1"/>
  <c r="R932" i="2" a="1"/>
  <c r="R932" i="2" s="1"/>
  <c r="R440" i="2" a="1"/>
  <c r="R440" i="2" s="1"/>
  <c r="R45" i="2" a="1"/>
  <c r="R45" i="2" s="1"/>
  <c r="R622" i="2" a="1"/>
  <c r="R622" i="2" s="1"/>
  <c r="R1162" i="2" a="1"/>
  <c r="R1162" i="2" s="1"/>
  <c r="R551" i="2" a="1"/>
  <c r="R551" i="2" s="1"/>
  <c r="R1086" i="2" a="1"/>
  <c r="R1086" i="2" s="1"/>
  <c r="R1799" i="2" a="1"/>
  <c r="R1799" i="2" s="1"/>
  <c r="R56" i="2" a="1"/>
  <c r="R56" i="2" s="1"/>
  <c r="R1113" i="2" a="1"/>
  <c r="R1113" i="2" s="1"/>
  <c r="R93" i="2" a="1"/>
  <c r="R93" i="2" s="1"/>
  <c r="R86" i="2" a="1"/>
  <c r="R86" i="2" s="1"/>
  <c r="R1040" i="2" a="1"/>
  <c r="R1040" i="2" s="1"/>
  <c r="R113" i="2" a="1"/>
  <c r="R113" i="2" s="1"/>
  <c r="R1056" i="2" a="1"/>
  <c r="R1056" i="2" s="1"/>
  <c r="R483" i="2" a="1"/>
  <c r="R483" i="2" s="1"/>
  <c r="R1163" i="2" a="1"/>
  <c r="R1163" i="2" s="1"/>
  <c r="R573" i="2" a="1"/>
  <c r="R573" i="2" s="1"/>
  <c r="R1143" i="2" a="1"/>
  <c r="R1143" i="2" s="1"/>
  <c r="R1164" i="2" a="1"/>
  <c r="R1164" i="2" s="1"/>
  <c r="R1737" i="2" a="1"/>
  <c r="R1737" i="2" s="1"/>
  <c r="R422" i="2" a="1"/>
  <c r="R422" i="2" s="1"/>
  <c r="R8" i="2" a="1"/>
  <c r="R8" i="2" s="1"/>
  <c r="R79" i="2" a="1"/>
  <c r="R79" i="2" s="1"/>
  <c r="R17" i="2" a="1"/>
  <c r="R17" i="2" s="1"/>
  <c r="R580" i="2" a="1"/>
  <c r="R580" i="2" s="1"/>
  <c r="R453" i="2" a="1"/>
  <c r="R453" i="2" s="1"/>
  <c r="R1841" i="2" a="1"/>
  <c r="R1841" i="2" s="1"/>
  <c r="R555" i="2" a="1"/>
  <c r="R555" i="2" s="1"/>
  <c r="R1064" i="2" a="1"/>
  <c r="R1064" i="2" s="1"/>
  <c r="Q1058" i="2" a="1"/>
  <c r="Q1058" i="2" s="1"/>
  <c r="S1058" i="2" s="1"/>
  <c r="W1058" i="2" s="1"/>
  <c r="X1058" i="2" s="1"/>
  <c r="Q1758" i="2" a="1"/>
  <c r="Q1758" i="2" s="1"/>
  <c r="S1758" i="2" s="1"/>
  <c r="W1758" i="2" s="1"/>
  <c r="X1758" i="2" s="1"/>
  <c r="Q1551" i="2" a="1"/>
  <c r="Q1551" i="2" s="1"/>
  <c r="S1551" i="2" s="1"/>
  <c r="W1551" i="2" s="1"/>
  <c r="X1551" i="2" s="1"/>
  <c r="Q102" i="2" a="1"/>
  <c r="Q102" i="2" s="1"/>
  <c r="S102" i="2" s="1"/>
  <c r="W102" i="2" s="1"/>
  <c r="X102" i="2" s="1"/>
  <c r="Q107" i="2" a="1"/>
  <c r="Q107" i="2" s="1"/>
  <c r="S107" i="2" s="1"/>
  <c r="W107" i="2" s="1"/>
  <c r="X107" i="2" s="1"/>
  <c r="Q482" i="2" a="1"/>
  <c r="Q482" i="2" s="1"/>
  <c r="S482" i="2" s="1"/>
  <c r="W482" i="2" s="1"/>
  <c r="X482" i="2" s="1"/>
  <c r="R805" i="2" a="1"/>
  <c r="R805" i="2" s="1"/>
  <c r="R1009" i="2" a="1"/>
  <c r="R1009" i="2" s="1"/>
  <c r="R1676" i="2" a="1"/>
  <c r="R1676" i="2" s="1"/>
  <c r="R443" i="2" a="1"/>
  <c r="R443" i="2" s="1"/>
  <c r="R1091" i="2" a="1"/>
  <c r="R1091" i="2" s="1"/>
  <c r="R1060" i="2" a="1"/>
  <c r="R1060" i="2" s="1"/>
  <c r="R994" i="2" a="1"/>
  <c r="R994" i="2" s="1"/>
  <c r="R445" i="2" a="1"/>
  <c r="R445" i="2" s="1"/>
  <c r="R121" i="2" a="1"/>
  <c r="R121" i="2" s="1"/>
  <c r="R451" i="2" a="1"/>
  <c r="R451" i="2" s="1"/>
  <c r="R1815" i="2" a="1"/>
  <c r="R1815" i="2" s="1"/>
  <c r="R1173" i="2" a="1"/>
  <c r="R1173" i="2" s="1"/>
  <c r="R218" i="2" a="1"/>
  <c r="R218" i="2" s="1"/>
  <c r="R458" i="2" a="1"/>
  <c r="R458" i="2" s="1"/>
  <c r="R1071" i="2" a="1"/>
  <c r="R1071" i="2" s="1"/>
  <c r="R1571" i="2" a="1"/>
  <c r="R1571" i="2" s="1"/>
  <c r="R1816" i="2" a="1"/>
  <c r="R1816" i="2" s="1"/>
  <c r="R1098" i="2" a="1"/>
  <c r="R1098" i="2" s="1"/>
  <c r="R2151" i="2" a="1"/>
  <c r="R2151" i="2" s="1"/>
  <c r="R1094" i="2" a="1"/>
  <c r="R1094" i="2" s="1"/>
  <c r="R2150" i="2" a="1"/>
  <c r="R2150" i="2" s="1"/>
  <c r="R963" i="2" a="1"/>
  <c r="R963" i="2" s="1"/>
  <c r="R1096" i="2" a="1"/>
  <c r="R1096" i="2" s="1"/>
  <c r="R1028" i="2" a="1"/>
  <c r="R1028" i="2" s="1"/>
  <c r="R2133" i="2" a="1"/>
  <c r="R2133" i="2" s="1"/>
  <c r="R1099" i="2" a="1"/>
  <c r="R1099" i="2" s="1"/>
  <c r="R206" i="2" a="1"/>
  <c r="R206" i="2" s="1"/>
  <c r="R29" i="2" a="1"/>
  <c r="R29" i="2" s="1"/>
  <c r="R2115" i="2" a="1"/>
  <c r="R2115" i="2" s="1"/>
  <c r="R959" i="2" a="1"/>
  <c r="R959" i="2" s="1"/>
  <c r="R1095" i="2" a="1"/>
  <c r="R1095" i="2" s="1"/>
  <c r="R34" i="2" a="1"/>
  <c r="R34" i="2" s="1"/>
  <c r="R2125" i="2" a="1"/>
  <c r="R2125" i="2" s="1"/>
  <c r="R1083" i="2" a="1"/>
  <c r="R1083" i="2" s="1"/>
  <c r="R1821" i="2" a="1"/>
  <c r="R1821" i="2" s="1"/>
  <c r="R556" i="2" a="1"/>
  <c r="R556" i="2" s="1"/>
  <c r="R912" i="2" a="1"/>
  <c r="R912" i="2" s="1"/>
  <c r="R917" i="2" a="1"/>
  <c r="R917" i="2" s="1"/>
  <c r="R1125" i="2" a="1"/>
  <c r="R1125" i="2" s="1"/>
  <c r="R543" i="2" a="1"/>
  <c r="R543" i="2" s="1"/>
  <c r="R1078" i="2" a="1"/>
  <c r="R1078" i="2" s="1"/>
  <c r="R942" i="2" a="1"/>
  <c r="R942" i="2" s="1"/>
  <c r="Q2129" i="2" a="1"/>
  <c r="Q2129" i="2" s="1"/>
  <c r="S2129" i="2" s="1"/>
  <c r="W2129" i="2" s="1"/>
  <c r="X2129" i="2" s="1"/>
  <c r="Q1115" i="2" a="1"/>
  <c r="Q1115" i="2" s="1"/>
  <c r="S1115" i="2" s="1"/>
  <c r="W1115" i="2" s="1"/>
  <c r="X1115" i="2" s="1"/>
  <c r="Q1549" i="2" a="1"/>
  <c r="Q1549" i="2" s="1"/>
  <c r="S1549" i="2" s="1"/>
  <c r="W1549" i="2" s="1"/>
  <c r="X1549" i="2" s="1"/>
  <c r="Q977" i="2" a="1"/>
  <c r="Q977" i="2" s="1"/>
  <c r="S977" i="2" s="1"/>
  <c r="W977" i="2" s="1"/>
  <c r="X977" i="2" s="1"/>
  <c r="Q420" i="2" a="1"/>
  <c r="Q420" i="2" s="1"/>
  <c r="S420" i="2" s="1"/>
  <c r="W420" i="2" s="1"/>
  <c r="X420" i="2" s="1"/>
  <c r="Q577" i="2" a="1"/>
  <c r="Q577" i="2" s="1"/>
  <c r="S577" i="2" s="1"/>
  <c r="W577" i="2" s="1"/>
  <c r="X577" i="2" s="1"/>
  <c r="Q805" i="2" a="1"/>
  <c r="Q805" i="2" s="1"/>
  <c r="S805" i="2" s="1"/>
  <c r="W805" i="2" s="1"/>
  <c r="X805" i="2" s="1"/>
  <c r="R774" i="2" a="1"/>
  <c r="R774" i="2" s="1"/>
  <c r="R775" i="2" a="1"/>
  <c r="R775" i="2" s="1"/>
  <c r="Q11" i="2" a="1"/>
  <c r="Q11" i="2" s="1"/>
  <c r="S11" i="2" s="1"/>
  <c r="W11" i="2" s="1"/>
  <c r="X11" i="2" s="1"/>
  <c r="Q621" i="2" a="1"/>
  <c r="Q621" i="2" s="1"/>
  <c r="S621" i="2" s="1"/>
  <c r="W621" i="2" s="1"/>
  <c r="X621" i="2" s="1"/>
  <c r="Q1695" i="2" a="1"/>
  <c r="Q1695" i="2" s="1"/>
  <c r="S1695" i="2" s="1"/>
  <c r="W1695" i="2" s="1"/>
  <c r="X1695" i="2" s="1"/>
  <c r="R773" i="2" a="1"/>
  <c r="R773" i="2" s="1"/>
  <c r="Q1445" i="2" a="1"/>
  <c r="Q1445" i="2" s="1"/>
  <c r="S1445" i="2" s="1"/>
  <c r="W1445" i="2" s="1"/>
  <c r="X1445" i="2" s="1"/>
  <c r="Q1060" i="2" a="1"/>
  <c r="Q1060" i="2" s="1"/>
  <c r="S1060" i="2" s="1"/>
  <c r="W1060" i="2" s="1"/>
  <c r="X1060" i="2" s="1"/>
  <c r="Q382" i="2" a="1"/>
  <c r="Q382" i="2" s="1"/>
  <c r="S382" i="2" s="1"/>
  <c r="W382" i="2" s="1"/>
  <c r="X382" i="2" s="1"/>
  <c r="Q777" i="2" a="1"/>
  <c r="Q777" i="2" s="1"/>
  <c r="S777" i="2" s="1"/>
  <c r="W777" i="2" s="1"/>
  <c r="X777" i="2" s="1"/>
  <c r="Q1188" i="2" a="1"/>
  <c r="Q1188" i="2" s="1"/>
  <c r="S1188" i="2" s="1"/>
  <c r="W1188" i="2" s="1"/>
  <c r="X1188" i="2" s="1"/>
  <c r="Q1101" i="2" a="1"/>
  <c r="Q1101" i="2" s="1"/>
  <c r="S1101" i="2" s="1"/>
  <c r="W1101" i="2" s="1"/>
  <c r="X1101" i="2" s="1"/>
  <c r="Q1676" i="2" a="1"/>
  <c r="Q1676" i="2" s="1"/>
  <c r="S1676" i="2" s="1"/>
  <c r="W1676" i="2" s="1"/>
  <c r="X1676" i="2" s="1"/>
  <c r="Q33" i="2" a="1"/>
  <c r="Q33" i="2" s="1"/>
  <c r="S33" i="2" s="1"/>
  <c r="W33" i="2" s="1"/>
  <c r="X33" i="2" s="1"/>
  <c r="Q778" i="2" a="1"/>
  <c r="Q778" i="2" s="1"/>
  <c r="S778" i="2" s="1"/>
  <c r="W778" i="2" s="1"/>
  <c r="X778" i="2" s="1"/>
  <c r="Q994" i="2" a="1"/>
  <c r="Q994" i="2" s="1"/>
  <c r="S994" i="2" s="1"/>
  <c r="W994" i="2" s="1"/>
  <c r="X994" i="2" s="1"/>
  <c r="Q426" i="2" a="1"/>
  <c r="Q426" i="2" s="1"/>
  <c r="S426" i="2" s="1"/>
  <c r="W426" i="2" s="1"/>
  <c r="X426" i="2" s="1"/>
  <c r="Q775" i="2" a="1"/>
  <c r="Q775" i="2" s="1"/>
  <c r="S775" i="2" s="1"/>
  <c r="W775" i="2" s="1"/>
  <c r="X775" i="2" s="1"/>
  <c r="Q1274" i="2" a="1"/>
  <c r="Q1274" i="2" s="1"/>
  <c r="S1274" i="2" s="1"/>
  <c r="W1274" i="2" s="1"/>
  <c r="X1274" i="2" s="1"/>
  <c r="Q475" i="2" a="1"/>
  <c r="Q475" i="2" s="1"/>
  <c r="S475" i="2" s="1"/>
  <c r="W475" i="2" s="1"/>
  <c r="X475" i="2" s="1"/>
  <c r="Q1742" i="2" a="1"/>
  <c r="Q1742" i="2" s="1"/>
  <c r="S1742" i="2" s="1"/>
  <c r="W1742" i="2" s="1"/>
  <c r="X1742" i="2" s="1"/>
  <c r="Q774" i="2" a="1"/>
  <c r="Q774" i="2" s="1"/>
  <c r="S774" i="2" s="1"/>
  <c r="W774" i="2" s="1"/>
  <c r="X774" i="2" s="1"/>
  <c r="Q1547" i="2" a="1"/>
  <c r="Q1547" i="2" s="1"/>
  <c r="S1547" i="2" s="1"/>
  <c r="W1547" i="2" s="1"/>
  <c r="X1547" i="2" s="1"/>
  <c r="Q221" i="2" a="1"/>
  <c r="Q221" i="2" s="1"/>
  <c r="S221" i="2" s="1"/>
  <c r="W221" i="2" s="1"/>
  <c r="X221" i="2" s="1"/>
  <c r="Q89" i="2" a="1"/>
  <c r="Q89" i="2" s="1"/>
  <c r="S89" i="2" s="1"/>
  <c r="W89" i="2" s="1"/>
  <c r="X89" i="2" s="1"/>
  <c r="Q1392" i="2" a="1"/>
  <c r="Q1392" i="2" s="1"/>
  <c r="S1392" i="2" s="1"/>
  <c r="W1392" i="2" s="1"/>
  <c r="X1392" i="2" s="1"/>
  <c r="Q776" i="2" a="1"/>
  <c r="Q776" i="2" s="1"/>
  <c r="S776" i="2" s="1"/>
  <c r="W776" i="2" s="1"/>
  <c r="X776" i="2" s="1"/>
  <c r="Q1725" i="2" a="1"/>
  <c r="Q1725" i="2" s="1"/>
  <c r="S1725" i="2" s="1"/>
  <c r="W1725" i="2" s="1"/>
  <c r="X1725" i="2" s="1"/>
  <c r="Q638" i="2" a="1"/>
  <c r="Q638" i="2" s="1"/>
  <c r="S638" i="2" s="1"/>
  <c r="W638" i="2" s="1"/>
  <c r="X638" i="2" s="1"/>
  <c r="Q1045" i="2" a="1"/>
  <c r="Q1045" i="2" s="1"/>
  <c r="S1045" i="2" s="1"/>
  <c r="W1045" i="2" s="1"/>
  <c r="X1045" i="2" s="1"/>
  <c r="Q1803" i="2" a="1"/>
  <c r="Q1803" i="2" s="1"/>
  <c r="S1803" i="2" s="1"/>
  <c r="W1803" i="2" s="1"/>
  <c r="X1803" i="2" s="1"/>
  <c r="Q773" i="2" a="1"/>
  <c r="Q773" i="2" s="1"/>
  <c r="S773" i="2" s="1"/>
  <c r="W773" i="2" s="1"/>
  <c r="X773" i="2" s="1"/>
  <c r="Q783" i="2" a="1"/>
  <c r="Q783" i="2" s="1"/>
  <c r="S783" i="2" s="1"/>
  <c r="W783" i="2" s="1"/>
  <c r="X783" i="2" s="1"/>
  <c r="R779" i="2" a="1"/>
  <c r="R779" i="2" s="1"/>
  <c r="Q110" i="2" a="1"/>
  <c r="Q110" i="2" s="1"/>
  <c r="S110" i="2" s="1"/>
  <c r="W110" i="2" s="1"/>
  <c r="X110" i="2" s="1"/>
  <c r="R778" i="2" a="1"/>
  <c r="R778" i="2" s="1"/>
  <c r="Q1352" i="2" a="1"/>
  <c r="Q1352" i="2" s="1"/>
  <c r="S1352" i="2" s="1"/>
  <c r="W1352" i="2" s="1"/>
  <c r="X1352" i="2" s="1"/>
  <c r="R777" i="2" a="1"/>
  <c r="R777" i="2" s="1"/>
  <c r="Q144" i="2" a="1"/>
  <c r="Q144" i="2" s="1"/>
  <c r="S144" i="2" s="1"/>
  <c r="W144" i="2" s="1"/>
  <c r="X144" i="2" s="1"/>
  <c r="Q1082" i="2" a="1"/>
  <c r="Q1082" i="2" s="1"/>
  <c r="S1082" i="2" s="1"/>
  <c r="W1082" i="2" s="1"/>
  <c r="X1082" i="2" s="1"/>
  <c r="Q953" i="2" a="1"/>
  <c r="Q953" i="2" s="1"/>
  <c r="S953" i="2" s="1"/>
  <c r="W953" i="2" s="1"/>
  <c r="X953" i="2" s="1"/>
  <c r="Q779" i="2" a="1"/>
  <c r="Q779" i="2" s="1"/>
  <c r="S779" i="2" s="1"/>
  <c r="W779" i="2" s="1"/>
  <c r="X779" i="2" s="1"/>
  <c r="R781" i="2" a="1"/>
  <c r="R781" i="2" s="1"/>
  <c r="R780" i="2" a="1"/>
  <c r="R780" i="2" s="1"/>
  <c r="Q45" i="2" a="1"/>
  <c r="Q45" i="2" s="1"/>
  <c r="S45" i="2" s="1"/>
  <c r="W45" i="2" s="1"/>
  <c r="X45" i="2" s="1"/>
  <c r="Q780" i="2" a="1"/>
  <c r="Q780" i="2" s="1"/>
  <c r="S780" i="2" s="1"/>
  <c r="W780" i="2" s="1"/>
  <c r="X780" i="2" s="1"/>
  <c r="Q113" i="2" a="1"/>
  <c r="Q113" i="2" s="1"/>
  <c r="S113" i="2" s="1"/>
  <c r="W113" i="2" s="1"/>
  <c r="X113" i="2" s="1"/>
  <c r="Q781" i="2" a="1"/>
  <c r="Q781" i="2" s="1"/>
  <c r="S781" i="2" s="1"/>
  <c r="W781" i="2" s="1"/>
  <c r="X781" i="2" s="1"/>
  <c r="R782" i="2" a="1"/>
  <c r="R782" i="2" s="1"/>
  <c r="Q1233" i="2" a="1"/>
  <c r="Q1233" i="2" s="1"/>
  <c r="S1233" i="2" s="1"/>
  <c r="W1233" i="2" s="1"/>
  <c r="X1233" i="2" s="1"/>
  <c r="Q785" i="2" a="1"/>
  <c r="Q785" i="2" s="1"/>
  <c r="S785" i="2" s="1"/>
  <c r="W785" i="2" s="1"/>
  <c r="X785" i="2" s="1"/>
  <c r="Q926" i="2" a="1"/>
  <c r="Q926" i="2" s="1"/>
  <c r="S926" i="2" s="1"/>
  <c r="W926" i="2" s="1"/>
  <c r="X926" i="2" s="1"/>
  <c r="Q1820" i="2" a="1"/>
  <c r="Q1820" i="2" s="1"/>
  <c r="S1820" i="2" s="1"/>
  <c r="W1820" i="2" s="1"/>
  <c r="X1820" i="2" s="1"/>
  <c r="Q1006" i="2" a="1"/>
  <c r="Q1006" i="2" s="1"/>
  <c r="S1006" i="2" s="1"/>
  <c r="W1006" i="2" s="1"/>
  <c r="X1006" i="2" s="1"/>
  <c r="Q551" i="2" a="1"/>
  <c r="Q551" i="2" s="1"/>
  <c r="S551" i="2" s="1"/>
  <c r="W551" i="2" s="1"/>
  <c r="X551" i="2" s="1"/>
  <c r="Q1160" i="2" a="1"/>
  <c r="Q1160" i="2" s="1"/>
  <c r="S1160" i="2" s="1"/>
  <c r="W1160" i="2" s="1"/>
  <c r="X1160" i="2" s="1"/>
  <c r="Q477" i="2" a="1"/>
  <c r="Q477" i="2" s="1"/>
  <c r="S477" i="2" s="1"/>
  <c r="W477" i="2" s="1"/>
  <c r="X477" i="2" s="1"/>
  <c r="Q1404" i="2" a="1"/>
  <c r="Q1404" i="2" s="1"/>
  <c r="S1404" i="2" s="1"/>
  <c r="W1404" i="2" s="1"/>
  <c r="X1404" i="2" s="1"/>
  <c r="Q855" i="2" a="1"/>
  <c r="Q855" i="2" s="1"/>
  <c r="S855" i="2" s="1"/>
  <c r="W855" i="2" s="1"/>
  <c r="X855" i="2" s="1"/>
  <c r="Q6" i="2" a="1"/>
  <c r="Q6" i="2" s="1"/>
  <c r="S6" i="2" s="1"/>
  <c r="W6" i="2" s="1"/>
  <c r="X6" i="2" s="1"/>
  <c r="Q1538" i="2" a="1"/>
  <c r="Q1538" i="2" s="1"/>
  <c r="S1538" i="2" s="1"/>
  <c r="W1538" i="2" s="1"/>
  <c r="X1538" i="2" s="1"/>
  <c r="Q572" i="2" a="1"/>
  <c r="Q572" i="2" s="1"/>
  <c r="S572" i="2" s="1"/>
  <c r="W572" i="2" s="1"/>
  <c r="X572" i="2" s="1"/>
  <c r="Q1069" i="2" a="1"/>
  <c r="Q1069" i="2" s="1"/>
  <c r="S1069" i="2" s="1"/>
  <c r="W1069" i="2" s="1"/>
  <c r="X1069" i="2" s="1"/>
  <c r="Q1437" i="2" a="1"/>
  <c r="Q1437" i="2" s="1"/>
  <c r="S1437" i="2" s="1"/>
  <c r="W1437" i="2" s="1"/>
  <c r="X1437" i="2" s="1"/>
  <c r="Q1821" i="2" a="1"/>
  <c r="Q1821" i="2" s="1"/>
  <c r="S1821" i="2" s="1"/>
  <c r="W1821" i="2" s="1"/>
  <c r="X1821" i="2" s="1"/>
  <c r="Q1414" i="2" a="1"/>
  <c r="Q1414" i="2" s="1"/>
  <c r="S1414" i="2" s="1"/>
  <c r="W1414" i="2" s="1"/>
  <c r="X1414" i="2" s="1"/>
  <c r="Q941" i="2" a="1"/>
  <c r="Q941" i="2" s="1"/>
  <c r="S941" i="2" s="1"/>
  <c r="W941" i="2" s="1"/>
  <c r="X941" i="2" s="1"/>
  <c r="Q1818" i="2" a="1"/>
  <c r="Q1818" i="2" s="1"/>
  <c r="S1818" i="2" s="1"/>
  <c r="W1818" i="2" s="1"/>
  <c r="X1818" i="2" s="1"/>
  <c r="Q392" i="2" a="1"/>
  <c r="Q392" i="2" s="1"/>
  <c r="S392" i="2" s="1"/>
  <c r="W392" i="2" s="1"/>
  <c r="X392" i="2" s="1"/>
  <c r="Q1845" i="2" a="1"/>
  <c r="Q1845" i="2" s="1"/>
  <c r="S1845" i="2" s="1"/>
  <c r="W1845" i="2" s="1"/>
  <c r="X1845" i="2" s="1"/>
  <c r="Q465" i="2" a="1"/>
  <c r="Q465" i="2" s="1"/>
  <c r="S465" i="2" s="1"/>
  <c r="W465" i="2" s="1"/>
  <c r="X465" i="2" s="1"/>
  <c r="Q1660" i="2" a="1"/>
  <c r="Q1660" i="2" s="1"/>
  <c r="S1660" i="2" s="1"/>
  <c r="W1660" i="2" s="1"/>
  <c r="X1660" i="2" s="1"/>
  <c r="Q1598" i="2" a="1"/>
  <c r="Q1598" i="2" s="1"/>
  <c r="S1598" i="2" s="1"/>
  <c r="W1598" i="2" s="1"/>
  <c r="X1598" i="2" s="1"/>
  <c r="Q2130" i="2" a="1"/>
  <c r="Q2130" i="2" s="1"/>
  <c r="S2130" i="2" s="1"/>
  <c r="W2130" i="2" s="1"/>
  <c r="X2130" i="2" s="1"/>
  <c r="Q1706" i="2" a="1"/>
  <c r="Q1706" i="2" s="1"/>
  <c r="S1706" i="2" s="1"/>
  <c r="W1706" i="2" s="1"/>
  <c r="X1706" i="2" s="1"/>
  <c r="Q2131" i="2" a="1"/>
  <c r="Q2131" i="2" s="1"/>
  <c r="S2131" i="2" s="1"/>
  <c r="W2131" i="2" s="1"/>
  <c r="X2131" i="2" s="1"/>
  <c r="Q1675" i="2" a="1"/>
  <c r="Q1675" i="2" s="1"/>
  <c r="S1675" i="2" s="1"/>
  <c r="W1675" i="2" s="1"/>
  <c r="X1675" i="2" s="1"/>
  <c r="Q1525" i="2" a="1"/>
  <c r="Q1525" i="2" s="1"/>
  <c r="S1525" i="2" s="1"/>
  <c r="W1525" i="2" s="1"/>
  <c r="X1525" i="2" s="1"/>
  <c r="Q542" i="2" a="1"/>
  <c r="Q542" i="2" s="1"/>
  <c r="S542" i="2" s="1"/>
  <c r="W542" i="2" s="1"/>
  <c r="X542" i="2" s="1"/>
  <c r="Q950" i="2" a="1"/>
  <c r="Q950" i="2" s="1"/>
  <c r="S950" i="2" s="1"/>
  <c r="W950" i="2" s="1"/>
  <c r="X950" i="2" s="1"/>
  <c r="Q1761" i="2" a="1"/>
  <c r="Q1761" i="2" s="1"/>
  <c r="S1761" i="2" s="1"/>
  <c r="W1761" i="2" s="1"/>
  <c r="X1761" i="2" s="1"/>
  <c r="Q319" i="2" a="1"/>
  <c r="Q319" i="2" s="1"/>
  <c r="S319" i="2" s="1"/>
  <c r="W319" i="2" s="1"/>
  <c r="X319" i="2" s="1"/>
  <c r="Q1149" i="2" a="1"/>
  <c r="Q1149" i="2" s="1"/>
  <c r="S1149" i="2" s="1"/>
  <c r="W1149" i="2" s="1"/>
  <c r="X1149" i="2" s="1"/>
  <c r="Q1766" i="2" a="1"/>
  <c r="Q1766" i="2" s="1"/>
  <c r="S1766" i="2" s="1"/>
  <c r="W1766" i="2" s="1"/>
  <c r="X1766" i="2" s="1"/>
  <c r="Q1690" i="2" a="1"/>
  <c r="Q1690" i="2" s="1"/>
  <c r="S1690" i="2" s="1"/>
  <c r="W1690" i="2" s="1"/>
  <c r="X1690" i="2" s="1"/>
  <c r="Q56" i="2" a="1"/>
  <c r="Q56" i="2" s="1"/>
  <c r="S56" i="2" s="1"/>
  <c r="W56" i="2" s="1"/>
  <c r="X56" i="2" s="1"/>
  <c r="Q886" i="2" a="1"/>
  <c r="Q886" i="2" s="1"/>
  <c r="S886" i="2" s="1"/>
  <c r="W886" i="2" s="1"/>
  <c r="X886" i="2" s="1"/>
  <c r="Q2157" i="2" a="1"/>
  <c r="Q2157" i="2" s="1"/>
  <c r="S2157" i="2" s="1"/>
  <c r="W2157" i="2" s="1"/>
  <c r="X2157" i="2" s="1"/>
  <c r="Q468" i="2" a="1"/>
  <c r="Q468" i="2" s="1"/>
  <c r="S468" i="2" s="1"/>
  <c r="W468" i="2" s="1"/>
  <c r="X468" i="2" s="1"/>
  <c r="Q269" i="2" a="1"/>
  <c r="Q269" i="2" s="1"/>
  <c r="S269" i="2" s="1"/>
  <c r="W269" i="2" s="1"/>
  <c r="X269" i="2" s="1"/>
  <c r="Q1382" i="2" a="1"/>
  <c r="Q1382" i="2" s="1"/>
  <c r="S1382" i="2" s="1"/>
  <c r="W1382" i="2" s="1"/>
  <c r="X1382" i="2" s="1"/>
  <c r="Q21" i="2" a="1"/>
  <c r="Q21" i="2" s="1"/>
  <c r="S21" i="2" s="1"/>
  <c r="W21" i="2" s="1"/>
  <c r="X21" i="2" s="1"/>
  <c r="Q1846" i="2" a="1"/>
  <c r="Q1846" i="2" s="1"/>
  <c r="S1846" i="2" s="1"/>
  <c r="W1846" i="2" s="1"/>
  <c r="X1846" i="2" s="1"/>
  <c r="Q1114" i="2" a="1"/>
  <c r="Q1114" i="2" s="1"/>
  <c r="S1114" i="2" s="1"/>
  <c r="W1114" i="2" s="1"/>
  <c r="X1114" i="2" s="1"/>
  <c r="Q989" i="2" a="1"/>
  <c r="Q989" i="2" s="1"/>
  <c r="S989" i="2" s="1"/>
  <c r="W989" i="2" s="1"/>
  <c r="X989" i="2" s="1"/>
  <c r="Q1385" i="2" a="1"/>
  <c r="Q1385" i="2" s="1"/>
  <c r="S1385" i="2" s="1"/>
  <c r="W1385" i="2" s="1"/>
  <c r="X1385" i="2" s="1"/>
  <c r="Q404" i="2" a="1"/>
  <c r="Q404" i="2" s="1"/>
  <c r="S404" i="2" s="1"/>
  <c r="W404" i="2" s="1"/>
  <c r="X404" i="2" s="1"/>
  <c r="Q1682" i="2" a="1"/>
  <c r="Q1682" i="2" s="1"/>
  <c r="S1682" i="2" s="1"/>
  <c r="W1682" i="2" s="1"/>
  <c r="X1682" i="2" s="1"/>
  <c r="Q1630" i="2" a="1"/>
  <c r="Q1630" i="2" s="1"/>
  <c r="S1630" i="2" s="1"/>
  <c r="W1630" i="2" s="1"/>
  <c r="X1630" i="2" s="1"/>
  <c r="Q1599" i="2" a="1"/>
  <c r="Q1599" i="2" s="1"/>
  <c r="S1599" i="2" s="1"/>
  <c r="W1599" i="2" s="1"/>
  <c r="X1599" i="2" s="1"/>
  <c r="Q1301" i="2" a="1"/>
  <c r="Q1301" i="2" s="1"/>
  <c r="S1301" i="2" s="1"/>
  <c r="W1301" i="2" s="1"/>
  <c r="X1301" i="2" s="1"/>
  <c r="Q283" i="2" a="1"/>
  <c r="Q283" i="2" s="1"/>
  <c r="S283" i="2" s="1"/>
  <c r="W283" i="2" s="1"/>
  <c r="X283" i="2" s="1"/>
  <c r="Q20" i="2" a="1"/>
  <c r="Q20" i="2" s="1"/>
  <c r="S20" i="2" s="1"/>
  <c r="W20" i="2" s="1"/>
  <c r="X20" i="2" s="1"/>
  <c r="Q1405" i="2" a="1"/>
  <c r="Q1405" i="2" s="1"/>
  <c r="S1405" i="2" s="1"/>
  <c r="W1405" i="2" s="1"/>
  <c r="X1405" i="2" s="1"/>
  <c r="Q1326" i="2" a="1"/>
  <c r="Q1326" i="2" s="1"/>
  <c r="S1326" i="2" s="1"/>
  <c r="W1326" i="2" s="1"/>
  <c r="X1326" i="2" s="1"/>
  <c r="Q1166" i="2" a="1"/>
  <c r="Q1166" i="2" s="1"/>
  <c r="S1166" i="2" s="1"/>
  <c r="W1166" i="2" s="1"/>
  <c r="X1166" i="2" s="1"/>
  <c r="Q1108" i="2" a="1"/>
  <c r="Q1108" i="2" s="1"/>
  <c r="S1108" i="2" s="1"/>
  <c r="W1108" i="2" s="1"/>
  <c r="X1108" i="2" s="1"/>
  <c r="Q2147" i="2" a="1"/>
  <c r="Q2147" i="2" s="1"/>
  <c r="S2147" i="2" s="1"/>
  <c r="W2147" i="2" s="1"/>
  <c r="X2147" i="2" s="1"/>
  <c r="Q220" i="2" a="1"/>
  <c r="Q220" i="2" s="1"/>
  <c r="S220" i="2" s="1"/>
  <c r="W220" i="2" s="1"/>
  <c r="X220" i="2" s="1"/>
  <c r="Q1017" i="2" a="1"/>
  <c r="Q1017" i="2" s="1"/>
  <c r="S1017" i="2" s="1"/>
  <c r="W1017" i="2" s="1"/>
  <c r="X1017" i="2" s="1"/>
  <c r="Q653" i="2" a="1"/>
  <c r="Q653" i="2" s="1"/>
  <c r="S653" i="2" s="1"/>
  <c r="W653" i="2" s="1"/>
  <c r="X653" i="2" s="1"/>
  <c r="Q616" i="2" a="1"/>
  <c r="Q616" i="2" s="1"/>
  <c r="S616" i="2" s="1"/>
  <c r="W616" i="2" s="1"/>
  <c r="X616" i="2" s="1"/>
  <c r="Q1131" i="2" a="1"/>
  <c r="Q1131" i="2" s="1"/>
  <c r="S1131" i="2" s="1"/>
  <c r="W1131" i="2" s="1"/>
  <c r="X1131" i="2" s="1"/>
  <c r="Q2150" i="2" a="1"/>
  <c r="Q2150" i="2" s="1"/>
  <c r="S2150" i="2" s="1"/>
  <c r="W2150" i="2" s="1"/>
  <c r="X2150" i="2" s="1"/>
  <c r="Q1415" i="2" a="1"/>
  <c r="Q1415" i="2" s="1"/>
  <c r="S1415" i="2" s="1"/>
  <c r="W1415" i="2" s="1"/>
  <c r="X1415" i="2" s="1"/>
  <c r="Q424" i="2" a="1"/>
  <c r="Q424" i="2" s="1"/>
  <c r="S424" i="2" s="1"/>
  <c r="W424" i="2" s="1"/>
  <c r="X424" i="2" s="1"/>
  <c r="Q1321" i="2" a="1"/>
  <c r="Q1321" i="2" s="1"/>
  <c r="S1321" i="2" s="1"/>
  <c r="W1321" i="2" s="1"/>
  <c r="X1321" i="2" s="1"/>
  <c r="Q215" i="2" a="1"/>
  <c r="Q215" i="2" s="1"/>
  <c r="S215" i="2" s="1"/>
  <c r="W215" i="2" s="1"/>
  <c r="X215" i="2" s="1"/>
  <c r="Q1209" i="2" a="1"/>
  <c r="Q1209" i="2" s="1"/>
  <c r="S1209" i="2" s="1"/>
  <c r="W1209" i="2" s="1"/>
  <c r="X1209" i="2" s="1"/>
  <c r="Q1107" i="2" a="1"/>
  <c r="Q1107" i="2" s="1"/>
  <c r="S1107" i="2" s="1"/>
  <c r="W1107" i="2" s="1"/>
  <c r="X1107" i="2" s="1"/>
  <c r="Q1457" i="2" a="1"/>
  <c r="Q1457" i="2" s="1"/>
  <c r="S1457" i="2" s="1"/>
  <c r="W1457" i="2" s="1"/>
  <c r="X1457" i="2" s="1"/>
  <c r="Q583" i="2" a="1"/>
  <c r="Q583" i="2" s="1"/>
  <c r="S583" i="2" s="1"/>
  <c r="W583" i="2" s="1"/>
  <c r="X583" i="2" s="1"/>
  <c r="Q218" i="2" a="1"/>
  <c r="Q218" i="2" s="1"/>
  <c r="S218" i="2" s="1"/>
  <c r="W218" i="2" s="1"/>
  <c r="X218" i="2" s="1"/>
  <c r="Q1569" i="2" a="1"/>
  <c r="Q1569" i="2" s="1"/>
  <c r="S1569" i="2" s="1"/>
  <c r="W1569" i="2" s="1"/>
  <c r="X1569" i="2" s="1"/>
  <c r="Q539" i="2" a="1"/>
  <c r="Q539" i="2" s="1"/>
  <c r="S539" i="2" s="1"/>
  <c r="W539" i="2" s="1"/>
  <c r="X539" i="2" s="1"/>
  <c r="Q1194" i="2" a="1"/>
  <c r="Q1194" i="2" s="1"/>
  <c r="S1194" i="2" s="1"/>
  <c r="W1194" i="2" s="1"/>
  <c r="X1194" i="2" s="1"/>
  <c r="Q1623" i="2" a="1"/>
  <c r="Q1623" i="2" s="1"/>
  <c r="S1623" i="2" s="1"/>
  <c r="W1623" i="2" s="1"/>
  <c r="X1623" i="2" s="1"/>
  <c r="Q485" i="2" a="1"/>
  <c r="Q485" i="2" s="1"/>
  <c r="S485" i="2" s="1"/>
  <c r="W485" i="2" s="1"/>
  <c r="X485" i="2" s="1"/>
  <c r="Q1169" i="2" a="1"/>
  <c r="Q1169" i="2" s="1"/>
  <c r="S1169" i="2" s="1"/>
  <c r="W1169" i="2" s="1"/>
  <c r="X1169" i="2" s="1"/>
  <c r="Q1043" i="2" a="1"/>
  <c r="Q1043" i="2" s="1"/>
  <c r="S1043" i="2" s="1"/>
  <c r="W1043" i="2" s="1"/>
  <c r="X1043" i="2" s="1"/>
  <c r="Q1285" i="2" a="1"/>
  <c r="Q1285" i="2" s="1"/>
  <c r="S1285" i="2" s="1"/>
  <c r="W1285" i="2" s="1"/>
  <c r="X1285" i="2" s="1"/>
  <c r="Q546" i="2" a="1"/>
  <c r="Q546" i="2" s="1"/>
  <c r="S546" i="2" s="1"/>
  <c r="W546" i="2" s="1"/>
  <c r="X546" i="2" s="1"/>
  <c r="Q1851" i="2" a="1"/>
  <c r="Q1851" i="2" s="1"/>
  <c r="S1851" i="2" s="1"/>
  <c r="W1851" i="2" s="1"/>
  <c r="X1851" i="2" s="1"/>
  <c r="Q1164" i="2" a="1"/>
  <c r="Q1164" i="2" s="1"/>
  <c r="S1164" i="2" s="1"/>
  <c r="W1164" i="2" s="1"/>
  <c r="X1164" i="2" s="1"/>
  <c r="Q1572" i="2" a="1"/>
  <c r="Q1572" i="2" s="1"/>
  <c r="S1572" i="2" s="1"/>
  <c r="W1572" i="2" s="1"/>
  <c r="X1572" i="2" s="1"/>
  <c r="Q784" i="2" a="1"/>
  <c r="Q784" i="2" s="1"/>
  <c r="S784" i="2" s="1"/>
  <c r="W784" i="2" s="1"/>
  <c r="X784" i="2" s="1"/>
  <c r="Q962" i="2" a="1"/>
  <c r="Q962" i="2" s="1"/>
  <c r="S962" i="2" s="1"/>
  <c r="W962" i="2" s="1"/>
  <c r="X962" i="2" s="1"/>
  <c r="Q503" i="2" a="1"/>
  <c r="Q503" i="2" s="1"/>
  <c r="S503" i="2" s="1"/>
  <c r="W503" i="2" s="1"/>
  <c r="X503" i="2" s="1"/>
  <c r="Q1271" i="2" a="1"/>
  <c r="Q1271" i="2" s="1"/>
  <c r="S1271" i="2" s="1"/>
  <c r="W1271" i="2" s="1"/>
  <c r="X1271" i="2" s="1"/>
  <c r="Q607" i="2" a="1"/>
  <c r="Q607" i="2" s="1"/>
  <c r="S607" i="2" s="1"/>
  <c r="W607" i="2" s="1"/>
  <c r="X607" i="2" s="1"/>
  <c r="Q104" i="2" a="1"/>
  <c r="Q104" i="2" s="1"/>
  <c r="S104" i="2" s="1"/>
  <c r="W104" i="2" s="1"/>
  <c r="X104" i="2" s="1"/>
  <c r="Q1593" i="2" a="1"/>
  <c r="Q1593" i="2" s="1"/>
  <c r="S1593" i="2" s="1"/>
  <c r="W1593" i="2" s="1"/>
  <c r="X1593" i="2" s="1"/>
  <c r="Q1098" i="2" a="1"/>
  <c r="Q1098" i="2" s="1"/>
  <c r="S1098" i="2" s="1"/>
  <c r="W1098" i="2" s="1"/>
  <c r="X1098" i="2" s="1"/>
  <c r="Q986" i="2" a="1"/>
  <c r="Q986" i="2" s="1"/>
  <c r="S986" i="2" s="1"/>
  <c r="W986" i="2" s="1"/>
  <c r="X986" i="2" s="1"/>
  <c r="Q1183" i="2" a="1"/>
  <c r="Q1183" i="2" s="1"/>
  <c r="S1183" i="2" s="1"/>
  <c r="W1183" i="2" s="1"/>
  <c r="X1183" i="2" s="1"/>
  <c r="Q1316" i="2" a="1"/>
  <c r="Q1316" i="2" s="1"/>
  <c r="S1316" i="2" s="1"/>
  <c r="W1316" i="2" s="1"/>
  <c r="X1316" i="2" s="1"/>
  <c r="Q519" i="2" a="1"/>
  <c r="Q519" i="2" s="1"/>
  <c r="S519" i="2" s="1"/>
  <c r="W519" i="2" s="1"/>
  <c r="X519" i="2" s="1"/>
  <c r="Q1701" i="2" a="1"/>
  <c r="Q1701" i="2" s="1"/>
  <c r="S1701" i="2" s="1"/>
  <c r="W1701" i="2" s="1"/>
  <c r="X1701" i="2" s="1"/>
  <c r="Q386" i="2" a="1"/>
  <c r="Q386" i="2" s="1"/>
  <c r="S386" i="2" s="1"/>
  <c r="W386" i="2" s="1"/>
  <c r="X386" i="2" s="1"/>
  <c r="Q275" i="2" a="1"/>
  <c r="Q275" i="2" s="1"/>
  <c r="S275" i="2" s="1"/>
  <c r="W275" i="2" s="1"/>
  <c r="X275" i="2" s="1"/>
  <c r="Q1619" i="2" a="1"/>
  <c r="Q1619" i="2" s="1"/>
  <c r="S1619" i="2" s="1"/>
  <c r="W1619" i="2" s="1"/>
  <c r="X1619" i="2" s="1"/>
  <c r="Q1587" i="2" a="1"/>
  <c r="Q1587" i="2" s="1"/>
  <c r="S1587" i="2" s="1"/>
  <c r="W1587" i="2" s="1"/>
  <c r="X1587" i="2" s="1"/>
  <c r="Q388" i="2" a="1"/>
  <c r="Q388" i="2" s="1"/>
  <c r="S388" i="2" s="1"/>
  <c r="W388" i="2" s="1"/>
  <c r="X388" i="2" s="1"/>
  <c r="Q1696" i="2" a="1"/>
  <c r="Q1696" i="2" s="1"/>
  <c r="S1696" i="2" s="1"/>
  <c r="W1696" i="2" s="1"/>
  <c r="X1696" i="2" s="1"/>
  <c r="Q931" i="2" a="1"/>
  <c r="Q931" i="2" s="1"/>
  <c r="S931" i="2" s="1"/>
  <c r="W931" i="2" s="1"/>
  <c r="X931" i="2" s="1"/>
  <c r="Q1714" i="2" a="1"/>
  <c r="Q1714" i="2" s="1"/>
  <c r="S1714" i="2" s="1"/>
  <c r="W1714" i="2" s="1"/>
  <c r="X1714" i="2" s="1"/>
  <c r="Q911" i="2" a="1"/>
  <c r="Q911" i="2" s="1"/>
  <c r="S911" i="2" s="1"/>
  <c r="W911" i="2" s="1"/>
  <c r="X911" i="2" s="1"/>
  <c r="Q1022" i="2" a="1"/>
  <c r="Q1022" i="2" s="1"/>
  <c r="S1022" i="2" s="1"/>
  <c r="W1022" i="2" s="1"/>
  <c r="X1022" i="2" s="1"/>
  <c r="Q1745" i="2" a="1"/>
  <c r="Q1745" i="2" s="1"/>
  <c r="S1745" i="2" s="1"/>
  <c r="W1745" i="2" s="1"/>
  <c r="X1745" i="2" s="1"/>
  <c r="Q1625" i="2" a="1"/>
  <c r="Q1625" i="2" s="1"/>
  <c r="S1625" i="2" s="1"/>
  <c r="W1625" i="2" s="1"/>
  <c r="X1625" i="2" s="1"/>
  <c r="Q1702" i="2" a="1"/>
  <c r="Q1702" i="2" s="1"/>
  <c r="S1702" i="2" s="1"/>
  <c r="W1702" i="2" s="1"/>
  <c r="X1702" i="2" s="1"/>
  <c r="Q121" i="2" a="1"/>
  <c r="Q121" i="2" s="1"/>
  <c r="S121" i="2" s="1"/>
  <c r="W121" i="2" s="1"/>
  <c r="X121" i="2" s="1"/>
  <c r="Q1718" i="2" a="1"/>
  <c r="Q1718" i="2" s="1"/>
  <c r="S1718" i="2" s="1"/>
  <c r="W1718" i="2" s="1"/>
  <c r="X1718" i="2" s="1"/>
  <c r="Q97" i="2" a="1"/>
  <c r="Q97" i="2" s="1"/>
  <c r="S97" i="2" s="1"/>
  <c r="W97" i="2" s="1"/>
  <c r="X97" i="2" s="1"/>
  <c r="Q987" i="2" a="1"/>
  <c r="Q987" i="2" s="1"/>
  <c r="S987" i="2" s="1"/>
  <c r="W987" i="2" s="1"/>
  <c r="X987" i="2" s="1"/>
  <c r="Q880" i="2" a="1"/>
  <c r="Q880" i="2" s="1"/>
  <c r="S880" i="2" s="1"/>
  <c r="W880" i="2" s="1"/>
  <c r="X880" i="2" s="1"/>
  <c r="Q1396" i="2" a="1"/>
  <c r="Q1396" i="2" s="1"/>
  <c r="S1396" i="2" s="1"/>
  <c r="W1396" i="2" s="1"/>
  <c r="X1396" i="2" s="1"/>
  <c r="Q195" i="2" a="1"/>
  <c r="Q195" i="2" s="1"/>
  <c r="S195" i="2" s="1"/>
  <c r="W195" i="2" s="1"/>
  <c r="X195" i="2" s="1"/>
  <c r="Q1330" i="2" a="1"/>
  <c r="Q1330" i="2" s="1"/>
  <c r="S1330" i="2" s="1"/>
  <c r="W1330" i="2" s="1"/>
  <c r="X1330" i="2" s="1"/>
  <c r="Q1485" i="2" a="1"/>
  <c r="Q1485" i="2" s="1"/>
  <c r="S1485" i="2" s="1"/>
  <c r="W1485" i="2" s="1"/>
  <c r="X1485" i="2" s="1"/>
  <c r="Q61" i="2" a="1"/>
  <c r="Q61" i="2" s="1"/>
  <c r="S61" i="2" s="1"/>
  <c r="W61" i="2" s="1"/>
  <c r="X61" i="2" s="1"/>
  <c r="Q19" i="2" a="1"/>
  <c r="Q19" i="2" s="1"/>
  <c r="S19" i="2" s="1"/>
  <c r="W19" i="2" s="1"/>
  <c r="X19" i="2" s="1"/>
  <c r="Q239" i="2" a="1"/>
  <c r="Q239" i="2" s="1"/>
  <c r="S239" i="2" s="1"/>
  <c r="W239" i="2" s="1"/>
  <c r="X239" i="2" s="1"/>
  <c r="Q223" i="2" a="1"/>
  <c r="Q223" i="2" s="1"/>
  <c r="S223" i="2" s="1"/>
  <c r="W223" i="2" s="1"/>
  <c r="X223" i="2" s="1"/>
  <c r="Q1366" i="2" a="1"/>
  <c r="Q1366" i="2" s="1"/>
  <c r="S1366" i="2" s="1"/>
  <c r="W1366" i="2" s="1"/>
  <c r="X1366" i="2" s="1"/>
  <c r="Q1177" i="2" a="1"/>
  <c r="Q1177" i="2" s="1"/>
  <c r="S1177" i="2" s="1"/>
  <c r="W1177" i="2" s="1"/>
  <c r="X1177" i="2" s="1"/>
  <c r="Q623" i="2" a="1"/>
  <c r="Q623" i="2" s="1"/>
  <c r="S623" i="2" s="1"/>
  <c r="W623" i="2" s="1"/>
  <c r="X623" i="2" s="1"/>
  <c r="Q556" i="2" a="1"/>
  <c r="Q556" i="2" s="1"/>
  <c r="S556" i="2" s="1"/>
  <c r="W556" i="2" s="1"/>
  <c r="X556" i="2" s="1"/>
  <c r="Q1645" i="2" a="1"/>
  <c r="Q1645" i="2" s="1"/>
  <c r="S1645" i="2" s="1"/>
  <c r="W1645" i="2" s="1"/>
  <c r="X1645" i="2" s="1"/>
  <c r="Q8" i="2" a="1"/>
  <c r="Q8" i="2" s="1"/>
  <c r="S8" i="2" s="1"/>
  <c r="W8" i="2" s="1"/>
  <c r="X8" i="2" s="1"/>
  <c r="Q979" i="2" a="1"/>
  <c r="Q979" i="2" s="1"/>
  <c r="S979" i="2" s="1"/>
  <c r="W979" i="2" s="1"/>
  <c r="X979" i="2" s="1"/>
  <c r="Q1767" i="2" a="1"/>
  <c r="Q1767" i="2" s="1"/>
  <c r="S1767" i="2" s="1"/>
  <c r="W1767" i="2" s="1"/>
  <c r="X1767" i="2" s="1"/>
  <c r="Q1044" i="2" a="1"/>
  <c r="Q1044" i="2" s="1"/>
  <c r="S1044" i="2" s="1"/>
  <c r="W1044" i="2" s="1"/>
  <c r="X1044" i="2" s="1"/>
  <c r="Q1021" i="2" a="1"/>
  <c r="Q1021" i="2" s="1"/>
  <c r="S1021" i="2" s="1"/>
  <c r="W1021" i="2" s="1"/>
  <c r="X1021" i="2" s="1"/>
  <c r="Q1647" i="2" a="1"/>
  <c r="Q1647" i="2" s="1"/>
  <c r="S1647" i="2" s="1"/>
  <c r="W1647" i="2" s="1"/>
  <c r="X1647" i="2" s="1"/>
  <c r="Q1557" i="2" a="1"/>
  <c r="Q1557" i="2" s="1"/>
  <c r="S1557" i="2" s="1"/>
  <c r="W1557" i="2" s="1"/>
  <c r="X1557" i="2" s="1"/>
  <c r="Q1191" i="2" a="1"/>
  <c r="Q1191" i="2" s="1"/>
  <c r="S1191" i="2" s="1"/>
  <c r="W1191" i="2" s="1"/>
  <c r="X1191" i="2" s="1"/>
  <c r="Q70" i="2" a="1"/>
  <c r="Q70" i="2" s="1"/>
  <c r="S70" i="2" s="1"/>
  <c r="W70" i="2" s="1"/>
  <c r="X70" i="2" s="1"/>
  <c r="Q906" i="2" a="1"/>
  <c r="Q906" i="2" s="1"/>
  <c r="S906" i="2" s="1"/>
  <c r="W906" i="2" s="1"/>
  <c r="X906" i="2" s="1"/>
  <c r="Q2172" i="2" a="1"/>
  <c r="Q2172" i="2" s="1"/>
  <c r="S2172" i="2" s="1"/>
  <c r="W2172" i="2" s="1"/>
  <c r="X2172" i="2" s="1"/>
  <c r="Q1476" i="2" a="1"/>
  <c r="Q1476" i="2" s="1"/>
  <c r="S1476" i="2" s="1"/>
  <c r="W1476" i="2" s="1"/>
  <c r="X1476" i="2" s="1"/>
  <c r="Q207" i="2" a="1"/>
  <c r="Q207" i="2" s="1"/>
  <c r="S207" i="2" s="1"/>
  <c r="W207" i="2" s="1"/>
  <c r="X207" i="2" s="1"/>
  <c r="Q1683" i="2" a="1"/>
  <c r="Q1683" i="2" s="1"/>
  <c r="S1683" i="2" s="1"/>
  <c r="W1683" i="2" s="1"/>
  <c r="X1683" i="2" s="1"/>
  <c r="Q1634" i="2" a="1"/>
  <c r="Q1634" i="2" s="1"/>
  <c r="S1634" i="2" s="1"/>
  <c r="W1634" i="2" s="1"/>
  <c r="X1634" i="2" s="1"/>
  <c r="Q524" i="2" a="1"/>
  <c r="Q524" i="2" s="1"/>
  <c r="S524" i="2" s="1"/>
  <c r="W524" i="2" s="1"/>
  <c r="X524" i="2" s="1"/>
  <c r="Q1579" i="2" a="1"/>
  <c r="Q1579" i="2" s="1"/>
  <c r="S1579" i="2" s="1"/>
  <c r="W1579" i="2" s="1"/>
  <c r="X1579" i="2" s="1"/>
  <c r="Q972" i="2" a="1"/>
  <c r="Q972" i="2" s="1"/>
  <c r="S972" i="2" s="1"/>
  <c r="W972" i="2" s="1"/>
  <c r="X972" i="2" s="1"/>
  <c r="Q408" i="2" a="1"/>
  <c r="Q408" i="2" s="1"/>
  <c r="S408" i="2" s="1"/>
  <c r="W408" i="2" s="1"/>
  <c r="X408" i="2" s="1"/>
  <c r="Q86" i="2" a="1"/>
  <c r="Q86" i="2" s="1"/>
  <c r="S86" i="2" s="1"/>
  <c r="W86" i="2" s="1"/>
  <c r="X86" i="2" s="1"/>
  <c r="Q496" i="2" a="1"/>
  <c r="Q496" i="2" s="1"/>
  <c r="S496" i="2" s="1"/>
  <c r="W496" i="2" s="1"/>
  <c r="X496" i="2" s="1"/>
  <c r="Q1440" i="2" a="1"/>
  <c r="Q1440" i="2" s="1"/>
  <c r="S1440" i="2" s="1"/>
  <c r="W1440" i="2" s="1"/>
  <c r="X1440" i="2" s="1"/>
  <c r="Q2138" i="2" a="1"/>
  <c r="Q2138" i="2" s="1"/>
  <c r="S2138" i="2" s="1"/>
  <c r="W2138" i="2" s="1"/>
  <c r="X2138" i="2" s="1"/>
  <c r="Q1165" i="2" a="1"/>
  <c r="Q1165" i="2" s="1"/>
  <c r="S1165" i="2" s="1"/>
  <c r="W1165" i="2" s="1"/>
  <c r="X1165" i="2" s="1"/>
  <c r="Q892" i="2" a="1"/>
  <c r="Q892" i="2" s="1"/>
  <c r="S892" i="2" s="1"/>
  <c r="W892" i="2" s="1"/>
  <c r="X892" i="2" s="1"/>
  <c r="Q622" i="2" a="1"/>
  <c r="Q622" i="2" s="1"/>
  <c r="S622" i="2" s="1"/>
  <c r="W622" i="2" s="1"/>
  <c r="X622" i="2" s="1"/>
  <c r="Q84" i="2" a="1"/>
  <c r="Q84" i="2" s="1"/>
  <c r="S84" i="2" s="1"/>
  <c r="W84" i="2" s="1"/>
  <c r="X84" i="2" s="1"/>
  <c r="Q1208" i="2" a="1"/>
  <c r="Q1208" i="2" s="1"/>
  <c r="S1208" i="2" s="1"/>
  <c r="W1208" i="2" s="1"/>
  <c r="X1208" i="2" s="1"/>
  <c r="Q1213" i="2" a="1"/>
  <c r="Q1213" i="2" s="1"/>
  <c r="S1213" i="2" s="1"/>
  <c r="W1213" i="2" s="1"/>
  <c r="X1213" i="2" s="1"/>
  <c r="Q249" i="2" a="1"/>
  <c r="Q249" i="2" s="1"/>
  <c r="S249" i="2" s="1"/>
  <c r="W249" i="2" s="1"/>
  <c r="X249" i="2" s="1"/>
  <c r="Q1774" i="2" a="1"/>
  <c r="Q1774" i="2" s="1"/>
  <c r="S1774" i="2" s="1"/>
  <c r="W1774" i="2" s="1"/>
  <c r="X1774" i="2" s="1"/>
  <c r="Q140" i="2" a="1"/>
  <c r="Q140" i="2" s="1"/>
  <c r="S140" i="2" s="1"/>
  <c r="W140" i="2" s="1"/>
  <c r="X140" i="2" s="1"/>
  <c r="Q63" i="2" a="1"/>
  <c r="Q63" i="2" s="1"/>
  <c r="S63" i="2" s="1"/>
  <c r="W63" i="2" s="1"/>
  <c r="X63" i="2" s="1"/>
  <c r="Q1571" i="2" a="1"/>
  <c r="Q1571" i="2" s="1"/>
  <c r="S1571" i="2" s="1"/>
  <c r="W1571" i="2" s="1"/>
  <c r="X1571" i="2" s="1"/>
  <c r="Q1747" i="2" a="1"/>
  <c r="Q1747" i="2" s="1"/>
  <c r="S1747" i="2" s="1"/>
  <c r="W1747" i="2" s="1"/>
  <c r="X1747" i="2" s="1"/>
  <c r="Q1109" i="2" a="1"/>
  <c r="Q1109" i="2" s="1"/>
  <c r="S1109" i="2" s="1"/>
  <c r="W1109" i="2" s="1"/>
  <c r="X1109" i="2" s="1"/>
  <c r="Q23" i="2" a="1"/>
  <c r="Q23" i="2" s="1"/>
  <c r="S23" i="2" s="1"/>
  <c r="W23" i="2" s="1"/>
  <c r="X23" i="2" s="1"/>
  <c r="Q1348" i="2" a="1"/>
  <c r="Q1348" i="2" s="1"/>
  <c r="S1348" i="2" s="1"/>
  <c r="W1348" i="2" s="1"/>
  <c r="X1348" i="2" s="1"/>
  <c r="Q1372" i="2" a="1"/>
  <c r="Q1372" i="2" s="1"/>
  <c r="S1372" i="2" s="1"/>
  <c r="W1372" i="2" s="1"/>
  <c r="X1372" i="2" s="1"/>
  <c r="Q1559" i="2" a="1"/>
  <c r="Q1559" i="2" s="1"/>
  <c r="S1559" i="2" s="1"/>
  <c r="W1559" i="2" s="1"/>
  <c r="X1559" i="2" s="1"/>
  <c r="R784" i="2" a="1"/>
  <c r="R784" i="2" s="1"/>
  <c r="Q1636" i="2" a="1"/>
  <c r="Q1636" i="2" s="1"/>
  <c r="S1636" i="2" s="1"/>
  <c r="W1636" i="2" s="1"/>
  <c r="X1636" i="2" s="1"/>
  <c r="Q1349" i="2" a="1"/>
  <c r="Q1349" i="2" s="1"/>
  <c r="S1349" i="2" s="1"/>
  <c r="W1349" i="2" s="1"/>
  <c r="X1349" i="2" s="1"/>
  <c r="Q1110" i="2" a="1"/>
  <c r="Q1110" i="2" s="1"/>
  <c r="S1110" i="2" s="1"/>
  <c r="W1110" i="2" s="1"/>
  <c r="X1110" i="2" s="1"/>
  <c r="Q494" i="2" a="1"/>
  <c r="Q494" i="2" s="1"/>
  <c r="S494" i="2" s="1"/>
  <c r="W494" i="2" s="1"/>
  <c r="X494" i="2" s="1"/>
  <c r="Q270" i="2" a="1"/>
  <c r="Q270" i="2" s="1"/>
  <c r="S270" i="2" s="1"/>
  <c r="W270" i="2" s="1"/>
  <c r="X270" i="2" s="1"/>
  <c r="Q1449" i="2" a="1"/>
  <c r="Q1449" i="2" s="1"/>
  <c r="S1449" i="2" s="1"/>
  <c r="W1449" i="2" s="1"/>
  <c r="X1449" i="2" s="1"/>
  <c r="Q1470" i="2" a="1"/>
  <c r="Q1470" i="2" s="1"/>
  <c r="S1470" i="2" s="1"/>
  <c r="W1470" i="2" s="1"/>
  <c r="X1470" i="2" s="1"/>
  <c r="Q627" i="2" a="1"/>
  <c r="Q627" i="2" s="1"/>
  <c r="S627" i="2" s="1"/>
  <c r="W627" i="2" s="1"/>
  <c r="X627" i="2" s="1"/>
  <c r="Q1054" i="2" a="1"/>
  <c r="Q1054" i="2" s="1"/>
  <c r="S1054" i="2" s="1"/>
  <c r="W1054" i="2" s="1"/>
  <c r="X1054" i="2" s="1"/>
  <c r="Q1219" i="2" a="1"/>
  <c r="Q1219" i="2" s="1"/>
  <c r="S1219" i="2" s="1"/>
  <c r="W1219" i="2" s="1"/>
  <c r="X1219" i="2" s="1"/>
  <c r="Q990" i="2" a="1"/>
  <c r="Q990" i="2" s="1"/>
  <c r="S990" i="2" s="1"/>
  <c r="W990" i="2" s="1"/>
  <c r="X990" i="2" s="1"/>
  <c r="Q1243" i="2" a="1"/>
  <c r="Q1243" i="2" s="1"/>
  <c r="S1243" i="2" s="1"/>
  <c r="W1243" i="2" s="1"/>
  <c r="X1243" i="2" s="1"/>
  <c r="Q214" i="2" a="1"/>
  <c r="Q214" i="2" s="1"/>
  <c r="S214" i="2" s="1"/>
  <c r="W214" i="2" s="1"/>
  <c r="X214" i="2" s="1"/>
  <c r="Q1026" i="2" a="1"/>
  <c r="Q1026" i="2" s="1"/>
  <c r="S1026" i="2" s="1"/>
  <c r="W1026" i="2" s="1"/>
  <c r="X1026" i="2" s="1"/>
  <c r="Q1664" i="2" a="1"/>
  <c r="Q1664" i="2" s="1"/>
  <c r="S1664" i="2" s="1"/>
  <c r="W1664" i="2" s="1"/>
  <c r="X1664" i="2" s="1"/>
  <c r="Q498" i="2" a="1"/>
  <c r="Q498" i="2" s="1"/>
  <c r="S498" i="2" s="1"/>
  <c r="W498" i="2" s="1"/>
  <c r="X498" i="2" s="1"/>
  <c r="Q1733" i="2" a="1"/>
  <c r="Q1733" i="2" s="1"/>
  <c r="S1733" i="2" s="1"/>
  <c r="W1733" i="2" s="1"/>
  <c r="X1733" i="2" s="1"/>
  <c r="Q1510" i="2" a="1"/>
  <c r="Q1510" i="2" s="1"/>
  <c r="S1510" i="2" s="1"/>
  <c r="W1510" i="2" s="1"/>
  <c r="X1510" i="2" s="1"/>
  <c r="Q1448" i="2" a="1"/>
  <c r="Q1448" i="2" s="1"/>
  <c r="S1448" i="2" s="1"/>
  <c r="W1448" i="2" s="1"/>
  <c r="X1448" i="2" s="1"/>
  <c r="Q1423" i="2" a="1"/>
  <c r="Q1423" i="2" s="1"/>
  <c r="S1423" i="2" s="1"/>
  <c r="W1423" i="2" s="1"/>
  <c r="X1423" i="2" s="1"/>
  <c r="Q877" i="2" a="1"/>
  <c r="Q877" i="2" s="1"/>
  <c r="S877" i="2" s="1"/>
  <c r="W877" i="2" s="1"/>
  <c r="X877" i="2" s="1"/>
  <c r="Q1092" i="2" a="1"/>
  <c r="Q1092" i="2" s="1"/>
  <c r="S1092" i="2" s="1"/>
  <c r="W1092" i="2" s="1"/>
  <c r="X1092" i="2" s="1"/>
  <c r="Q502" i="2" a="1"/>
  <c r="Q502" i="2" s="1"/>
  <c r="S502" i="2" s="1"/>
  <c r="W502" i="2" s="1"/>
  <c r="X502" i="2" s="1"/>
  <c r="Q980" i="2" a="1"/>
  <c r="Q980" i="2" s="1"/>
  <c r="S980" i="2" s="1"/>
  <c r="W980" i="2" s="1"/>
  <c r="X980" i="2" s="1"/>
  <c r="Q910" i="2" a="1"/>
  <c r="Q910" i="2" s="1"/>
  <c r="S910" i="2" s="1"/>
  <c r="W910" i="2" s="1"/>
  <c r="X910" i="2" s="1"/>
  <c r="Q1360" i="2" a="1"/>
  <c r="Q1360" i="2" s="1"/>
  <c r="S1360" i="2" s="1"/>
  <c r="W1360" i="2" s="1"/>
  <c r="X1360" i="2" s="1"/>
  <c r="Q1185" i="2" a="1"/>
  <c r="Q1185" i="2" s="1"/>
  <c r="S1185" i="2" s="1"/>
  <c r="W1185" i="2" s="1"/>
  <c r="X1185" i="2" s="1"/>
  <c r="Q849" i="2" a="1"/>
  <c r="Q849" i="2" s="1"/>
  <c r="S849" i="2" s="1"/>
  <c r="W849" i="2" s="1"/>
  <c r="X849" i="2" s="1"/>
  <c r="Q116" i="2" a="1"/>
  <c r="Q116" i="2" s="1"/>
  <c r="S116" i="2" s="1"/>
  <c r="W116" i="2" s="1"/>
  <c r="X116" i="2" s="1"/>
  <c r="Q1494" i="2" a="1"/>
  <c r="Q1494" i="2" s="1"/>
  <c r="S1494" i="2" s="1"/>
  <c r="W1494" i="2" s="1"/>
  <c r="X1494" i="2" s="1"/>
  <c r="Q1669" i="2" a="1"/>
  <c r="Q1669" i="2" s="1"/>
  <c r="S1669" i="2" s="1"/>
  <c r="W1669" i="2" s="1"/>
  <c r="X1669" i="2" s="1"/>
  <c r="Q1666" i="2" a="1"/>
  <c r="Q1666" i="2" s="1"/>
  <c r="S1666" i="2" s="1"/>
  <c r="W1666" i="2" s="1"/>
  <c r="X1666" i="2" s="1"/>
  <c r="Q1080" i="2" a="1"/>
  <c r="Q1080" i="2" s="1"/>
  <c r="S1080" i="2" s="1"/>
  <c r="W1080" i="2" s="1"/>
  <c r="X1080" i="2" s="1"/>
  <c r="Q1844" i="2" a="1"/>
  <c r="Q1844" i="2" s="1"/>
  <c r="S1844" i="2" s="1"/>
  <c r="W1844" i="2" s="1"/>
  <c r="X1844" i="2" s="1"/>
  <c r="Q1268" i="2" a="1"/>
  <c r="Q1268" i="2" s="1"/>
  <c r="S1268" i="2" s="1"/>
  <c r="W1268" i="2" s="1"/>
  <c r="X1268" i="2" s="1"/>
  <c r="Q1536" i="2" a="1"/>
  <c r="Q1536" i="2" s="1"/>
  <c r="S1536" i="2" s="1"/>
  <c r="W1536" i="2" s="1"/>
  <c r="X1536" i="2" s="1"/>
  <c r="Q871" i="2" a="1"/>
  <c r="Q871" i="2" s="1"/>
  <c r="S871" i="2" s="1"/>
  <c r="W871" i="2" s="1"/>
  <c r="X871" i="2" s="1"/>
  <c r="Q467" i="2" a="1"/>
  <c r="Q467" i="2" s="1"/>
  <c r="S467" i="2" s="1"/>
  <c r="W467" i="2" s="1"/>
  <c r="X467" i="2" s="1"/>
  <c r="Q1064" i="2" a="1"/>
  <c r="Q1064" i="2" s="1"/>
  <c r="S1064" i="2" s="1"/>
  <c r="W1064" i="2" s="1"/>
  <c r="X1064" i="2" s="1"/>
  <c r="Q508" i="2" a="1"/>
  <c r="Q508" i="2" s="1"/>
  <c r="S508" i="2" s="1"/>
  <c r="W508" i="2" s="1"/>
  <c r="X508" i="2" s="1"/>
  <c r="Q427" i="2" a="1"/>
  <c r="Q427" i="2" s="1"/>
  <c r="S427" i="2" s="1"/>
  <c r="W427" i="2" s="1"/>
  <c r="X427" i="2" s="1"/>
  <c r="Q79" i="2" a="1"/>
  <c r="Q79" i="2" s="1"/>
  <c r="S79" i="2" s="1"/>
  <c r="W79" i="2" s="1"/>
  <c r="X79" i="2" s="1"/>
  <c r="Q1631" i="2" a="1"/>
  <c r="Q1631" i="2" s="1"/>
  <c r="S1631" i="2" s="1"/>
  <c r="W1631" i="2" s="1"/>
  <c r="X1631" i="2" s="1"/>
  <c r="Q591" i="2" a="1"/>
  <c r="Q591" i="2" s="1"/>
  <c r="S591" i="2" s="1"/>
  <c r="W591" i="2" s="1"/>
  <c r="X591" i="2" s="1"/>
  <c r="Q67" i="2" a="1"/>
  <c r="Q67" i="2" s="1"/>
  <c r="S67" i="2" s="1"/>
  <c r="W67" i="2" s="1"/>
  <c r="X67" i="2" s="1"/>
  <c r="Q1334" i="2" a="1"/>
  <c r="Q1334" i="2" s="1"/>
  <c r="S1334" i="2" s="1"/>
  <c r="W1334" i="2" s="1"/>
  <c r="X1334" i="2" s="1"/>
  <c r="Q901" i="2" a="1"/>
  <c r="Q901" i="2" s="1"/>
  <c r="S901" i="2" s="1"/>
  <c r="W901" i="2" s="1"/>
  <c r="X901" i="2" s="1"/>
  <c r="Q1648" i="2" a="1"/>
  <c r="Q1648" i="2" s="1"/>
  <c r="S1648" i="2" s="1"/>
  <c r="W1648" i="2" s="1"/>
  <c r="X1648" i="2" s="1"/>
  <c r="Q1246" i="2" a="1"/>
  <c r="Q1246" i="2" s="1"/>
  <c r="S1246" i="2" s="1"/>
  <c r="W1246" i="2" s="1"/>
  <c r="X1246" i="2" s="1"/>
  <c r="Q734" i="2" a="1"/>
  <c r="Q734" i="2" s="1"/>
  <c r="S734" i="2" s="1"/>
  <c r="W734" i="2" s="1"/>
  <c r="X734" i="2" s="1"/>
  <c r="Q2145" i="2" a="1"/>
  <c r="Q2145" i="2" s="1"/>
  <c r="S2145" i="2" s="1"/>
  <c r="W2145" i="2" s="1"/>
  <c r="X2145" i="2" s="1"/>
  <c r="Q978" i="2" a="1"/>
  <c r="Q978" i="2" s="1"/>
  <c r="S978" i="2" s="1"/>
  <c r="W978" i="2" s="1"/>
  <c r="X978" i="2" s="1"/>
  <c r="Q1105" i="2" a="1"/>
  <c r="Q1105" i="2" s="1"/>
  <c r="S1105" i="2" s="1"/>
  <c r="W1105" i="2" s="1"/>
  <c r="X1105" i="2" s="1"/>
  <c r="Q1192" i="2" a="1"/>
  <c r="Q1192" i="2" s="1"/>
  <c r="S1192" i="2" s="1"/>
  <c r="W1192" i="2" s="1"/>
  <c r="X1192" i="2" s="1"/>
  <c r="Q620" i="2" a="1"/>
  <c r="Q620" i="2" s="1"/>
  <c r="S620" i="2" s="1"/>
  <c r="W620" i="2" s="1"/>
  <c r="X620" i="2" s="1"/>
  <c r="Q1290" i="2" a="1"/>
  <c r="Q1290" i="2" s="1"/>
  <c r="S1290" i="2" s="1"/>
  <c r="W1290" i="2" s="1"/>
  <c r="X1290" i="2" s="1"/>
  <c r="Q393" i="2" a="1"/>
  <c r="Q393" i="2" s="1"/>
  <c r="S393" i="2" s="1"/>
  <c r="W393" i="2" s="1"/>
  <c r="X393" i="2" s="1"/>
  <c r="Q967" i="2" a="1"/>
  <c r="Q967" i="2" s="1"/>
  <c r="S967" i="2" s="1"/>
  <c r="W967" i="2" s="1"/>
  <c r="X967" i="2" s="1"/>
  <c r="Q1555" i="2" a="1"/>
  <c r="Q1555" i="2" s="1"/>
  <c r="S1555" i="2" s="1"/>
  <c r="W1555" i="2" s="1"/>
  <c r="X1555" i="2" s="1"/>
  <c r="Q2149" i="2" a="1"/>
  <c r="Q2149" i="2" s="1"/>
  <c r="S2149" i="2" s="1"/>
  <c r="W2149" i="2" s="1"/>
  <c r="X2149" i="2" s="1"/>
  <c r="Q92" i="2" a="1"/>
  <c r="Q92" i="2" s="1"/>
  <c r="S92" i="2" s="1"/>
  <c r="W92" i="2" s="1"/>
  <c r="X92" i="2" s="1"/>
  <c r="Q48" i="2" a="1"/>
  <c r="Q48" i="2" s="1"/>
  <c r="S48" i="2" s="1"/>
  <c r="W48" i="2" s="1"/>
  <c r="X48" i="2" s="1"/>
  <c r="Q209" i="2" a="1"/>
  <c r="Q209" i="2" s="1"/>
  <c r="S209" i="2" s="1"/>
  <c r="W209" i="2" s="1"/>
  <c r="X209" i="2" s="1"/>
  <c r="Q1578" i="2" a="1"/>
  <c r="Q1578" i="2" s="1"/>
  <c r="S1578" i="2" s="1"/>
  <c r="W1578" i="2" s="1"/>
  <c r="X1578" i="2" s="1"/>
  <c r="Q1299" i="2" a="1"/>
  <c r="Q1299" i="2" s="1"/>
  <c r="S1299" i="2" s="1"/>
  <c r="W1299" i="2" s="1"/>
  <c r="X1299" i="2" s="1"/>
  <c r="Q1504" i="2" a="1"/>
  <c r="Q1504" i="2" s="1"/>
  <c r="S1504" i="2" s="1"/>
  <c r="W1504" i="2" s="1"/>
  <c r="X1504" i="2" s="1"/>
  <c r="Q1262" i="2" a="1"/>
  <c r="Q1262" i="2" s="1"/>
  <c r="S1262" i="2" s="1"/>
  <c r="W1262" i="2" s="1"/>
  <c r="X1262" i="2" s="1"/>
  <c r="Q198" i="2" a="1"/>
  <c r="Q198" i="2" s="1"/>
  <c r="S198" i="2" s="1"/>
  <c r="W198" i="2" s="1"/>
  <c r="X198" i="2" s="1"/>
  <c r="Q1159" i="2" a="1"/>
  <c r="Q1159" i="2" s="1"/>
  <c r="S1159" i="2" s="1"/>
  <c r="W1159" i="2" s="1"/>
  <c r="X1159" i="2" s="1"/>
  <c r="Q258" i="2" a="1"/>
  <c r="Q258" i="2" s="1"/>
  <c r="S258" i="2" s="1"/>
  <c r="W258" i="2" s="1"/>
  <c r="X258" i="2" s="1"/>
  <c r="Q44" i="2" a="1"/>
  <c r="Q44" i="2" s="1"/>
  <c r="S44" i="2" s="1"/>
  <c r="W44" i="2" s="1"/>
  <c r="X44" i="2" s="1"/>
  <c r="Q1794" i="2" a="1"/>
  <c r="Q1794" i="2" s="1"/>
  <c r="S1794" i="2" s="1"/>
  <c r="W1794" i="2" s="1"/>
  <c r="X1794" i="2" s="1"/>
  <c r="Q1088" i="2" a="1"/>
  <c r="Q1088" i="2" s="1"/>
  <c r="S1088" i="2" s="1"/>
  <c r="W1088" i="2" s="1"/>
  <c r="X1088" i="2" s="1"/>
  <c r="Q1137" i="2" a="1"/>
  <c r="Q1137" i="2" s="1"/>
  <c r="S1137" i="2" s="1"/>
  <c r="W1137" i="2" s="1"/>
  <c r="X1137" i="2" s="1"/>
  <c r="Q471" i="2" a="1"/>
  <c r="Q471" i="2" s="1"/>
  <c r="S471" i="2" s="1"/>
  <c r="W471" i="2" s="1"/>
  <c r="X471" i="2" s="1"/>
  <c r="Q1811" i="2" a="1"/>
  <c r="Q1811" i="2" s="1"/>
  <c r="S1811" i="2" s="1"/>
  <c r="W1811" i="2" s="1"/>
  <c r="X1811" i="2" s="1"/>
  <c r="Q867" i="2" a="1"/>
  <c r="Q867" i="2" s="1"/>
  <c r="S867" i="2" s="1"/>
  <c r="W867" i="2" s="1"/>
  <c r="X867" i="2" s="1"/>
  <c r="Q894" i="2" a="1"/>
  <c r="Q894" i="2" s="1"/>
  <c r="S894" i="2" s="1"/>
  <c r="W894" i="2" s="1"/>
  <c r="X894" i="2" s="1"/>
  <c r="Q142" i="2" a="1"/>
  <c r="Q142" i="2" s="1"/>
  <c r="S142" i="2" s="1"/>
  <c r="W142" i="2" s="1"/>
  <c r="X142" i="2" s="1"/>
  <c r="Q432" i="2" a="1"/>
  <c r="Q432" i="2" s="1"/>
  <c r="S432" i="2" s="1"/>
  <c r="W432" i="2" s="1"/>
  <c r="X432" i="2" s="1"/>
  <c r="Q2142" i="2" a="1"/>
  <c r="Q2142" i="2" s="1"/>
  <c r="S2142" i="2" s="1"/>
  <c r="W2142" i="2" s="1"/>
  <c r="X2142" i="2" s="1"/>
  <c r="Q1150" i="2" a="1"/>
  <c r="Q1150" i="2" s="1"/>
  <c r="S1150" i="2" s="1"/>
  <c r="W1150" i="2" s="1"/>
  <c r="X1150" i="2" s="1"/>
  <c r="Q1561" i="2" a="1"/>
  <c r="Q1561" i="2" s="1"/>
  <c r="S1561" i="2" s="1"/>
  <c r="W1561" i="2" s="1"/>
  <c r="X1561" i="2" s="1"/>
  <c r="R785" i="2" a="1"/>
  <c r="R785" i="2" s="1"/>
  <c r="Q1329" i="2" a="1"/>
  <c r="Q1329" i="2" s="1"/>
  <c r="S1329" i="2" s="1"/>
  <c r="W1329" i="2" s="1"/>
  <c r="X1329" i="2" s="1"/>
  <c r="Q560" i="2" a="1"/>
  <c r="Q560" i="2" s="1"/>
  <c r="S560" i="2" s="1"/>
  <c r="W560" i="2" s="1"/>
  <c r="X560" i="2" s="1"/>
  <c r="Q1047" i="2" a="1"/>
  <c r="Q1047" i="2" s="1"/>
  <c r="S1047" i="2" s="1"/>
  <c r="W1047" i="2" s="1"/>
  <c r="X1047" i="2" s="1"/>
  <c r="Q1255" i="2" a="1"/>
  <c r="Q1255" i="2" s="1"/>
  <c r="S1255" i="2" s="1"/>
  <c r="W1255" i="2" s="1"/>
  <c r="X1255" i="2" s="1"/>
  <c r="Q1152" i="2" a="1"/>
  <c r="Q1152" i="2" s="1"/>
  <c r="S1152" i="2" s="1"/>
  <c r="W1152" i="2" s="1"/>
  <c r="X1152" i="2" s="1"/>
  <c r="Q1777" i="2" a="1"/>
  <c r="Q1777" i="2" s="1"/>
  <c r="S1777" i="2" s="1"/>
  <c r="W1777" i="2" s="1"/>
  <c r="X1777" i="2" s="1"/>
  <c r="Q510" i="2" a="1"/>
  <c r="Q510" i="2" s="1"/>
  <c r="S510" i="2" s="1"/>
  <c r="W510" i="2" s="1"/>
  <c r="X510" i="2" s="1"/>
  <c r="Q2125" i="2" a="1"/>
  <c r="Q2125" i="2" s="1"/>
  <c r="S2125" i="2" s="1"/>
  <c r="W2125" i="2" s="1"/>
  <c r="X2125" i="2" s="1"/>
  <c r="Q243" i="2" a="1"/>
  <c r="Q243" i="2" s="1"/>
  <c r="S243" i="2" s="1"/>
  <c r="W243" i="2" s="1"/>
  <c r="X243" i="2" s="1"/>
  <c r="Q25" i="2" a="1"/>
  <c r="Q25" i="2" s="1"/>
  <c r="S25" i="2" s="1"/>
  <c r="W25" i="2" s="1"/>
  <c r="X25" i="2" s="1"/>
  <c r="Q160" i="2" a="1"/>
  <c r="Q160" i="2" s="1"/>
  <c r="S160" i="2" s="1"/>
  <c r="W160" i="2" s="1"/>
  <c r="X160" i="2" s="1"/>
  <c r="Q469" i="2" a="1"/>
  <c r="Q469" i="2" s="1"/>
  <c r="S469" i="2" s="1"/>
  <c r="W469" i="2" s="1"/>
  <c r="X469" i="2" s="1"/>
  <c r="Q436" i="2" a="1"/>
  <c r="Q436" i="2" s="1"/>
  <c r="S436" i="2" s="1"/>
  <c r="W436" i="2" s="1"/>
  <c r="X436" i="2" s="1"/>
  <c r="Q277" i="2" a="1"/>
  <c r="Q277" i="2" s="1"/>
  <c r="S277" i="2" s="1"/>
  <c r="W277" i="2" s="1"/>
  <c r="X277" i="2" s="1"/>
  <c r="Q488" i="2" a="1"/>
  <c r="Q488" i="2" s="1"/>
  <c r="S488" i="2" s="1"/>
  <c r="W488" i="2" s="1"/>
  <c r="X488" i="2" s="1"/>
  <c r="Q1471" i="2" a="1"/>
  <c r="Q1471" i="2" s="1"/>
  <c r="S1471" i="2" s="1"/>
  <c r="W1471" i="2" s="1"/>
  <c r="X1471" i="2" s="1"/>
  <c r="Q1597" i="2" a="1"/>
  <c r="Q1597" i="2" s="1"/>
  <c r="S1597" i="2" s="1"/>
  <c r="W1597" i="2" s="1"/>
  <c r="X1597" i="2" s="1"/>
  <c r="Q454" i="2" a="1"/>
  <c r="Q454" i="2" s="1"/>
  <c r="S454" i="2" s="1"/>
  <c r="W454" i="2" s="1"/>
  <c r="X454" i="2" s="1"/>
  <c r="Q858" i="2" a="1"/>
  <c r="Q858" i="2" s="1"/>
  <c r="S858" i="2" s="1"/>
  <c r="W858" i="2" s="1"/>
  <c r="X858" i="2" s="1"/>
  <c r="Q1628" i="2" a="1"/>
  <c r="Q1628" i="2" s="1"/>
  <c r="S1628" i="2" s="1"/>
  <c r="W1628" i="2" s="1"/>
  <c r="X1628" i="2" s="1"/>
  <c r="Q1708" i="2" a="1"/>
  <c r="Q1708" i="2" s="1"/>
  <c r="S1708" i="2" s="1"/>
  <c r="W1708" i="2" s="1"/>
  <c r="X1708" i="2" s="1"/>
  <c r="Q1245" i="2" a="1"/>
  <c r="Q1245" i="2" s="1"/>
  <c r="S1245" i="2" s="1"/>
  <c r="W1245" i="2" s="1"/>
  <c r="X1245" i="2" s="1"/>
  <c r="Q598" i="2" a="1"/>
  <c r="Q598" i="2" s="1"/>
  <c r="S598" i="2" s="1"/>
  <c r="W598" i="2" s="1"/>
  <c r="X598" i="2" s="1"/>
  <c r="Q1458" i="2" a="1"/>
  <c r="Q1458" i="2" s="1"/>
  <c r="S1458" i="2" s="1"/>
  <c r="W1458" i="2" s="1"/>
  <c r="X1458" i="2" s="1"/>
  <c r="Q1681" i="2" a="1"/>
  <c r="Q1681" i="2" s="1"/>
  <c r="S1681" i="2" s="1"/>
  <c r="W1681" i="2" s="1"/>
  <c r="X1681" i="2" s="1"/>
  <c r="Q1004" i="2" a="1"/>
  <c r="Q1004" i="2" s="1"/>
  <c r="S1004" i="2" s="1"/>
  <c r="W1004" i="2" s="1"/>
  <c r="X1004" i="2" s="1"/>
  <c r="Q1529" i="2" a="1"/>
  <c r="Q1529" i="2" s="1"/>
  <c r="S1529" i="2" s="1"/>
  <c r="W1529" i="2" s="1"/>
  <c r="X1529" i="2" s="1"/>
  <c r="Q534" i="2" a="1"/>
  <c r="Q534" i="2" s="1"/>
  <c r="S534" i="2" s="1"/>
  <c r="W534" i="2" s="1"/>
  <c r="X534" i="2" s="1"/>
  <c r="Q256" i="2" a="1"/>
  <c r="Q256" i="2" s="1"/>
  <c r="S256" i="2" s="1"/>
  <c r="W256" i="2" s="1"/>
  <c r="X256" i="2" s="1"/>
  <c r="Q1627" i="2" a="1"/>
  <c r="Q1627" i="2" s="1"/>
  <c r="S1627" i="2" s="1"/>
  <c r="W1627" i="2" s="1"/>
  <c r="X1627" i="2" s="1"/>
  <c r="Q1592" i="2" a="1"/>
  <c r="Q1592" i="2" s="1"/>
  <c r="S1592" i="2" s="1"/>
  <c r="W1592" i="2" s="1"/>
  <c r="X1592" i="2" s="1"/>
  <c r="Q870" i="2" a="1"/>
  <c r="Q870" i="2" s="1"/>
  <c r="S870" i="2" s="1"/>
  <c r="W870" i="2" s="1"/>
  <c r="X870" i="2" s="1"/>
  <c r="Q1472" i="2" a="1"/>
  <c r="Q1472" i="2" s="1"/>
  <c r="S1472" i="2" s="1"/>
  <c r="W1472" i="2" s="1"/>
  <c r="X1472" i="2" s="1"/>
  <c r="Q558" i="2" a="1"/>
  <c r="Q558" i="2" s="1"/>
  <c r="S558" i="2" s="1"/>
  <c r="W558" i="2" s="1"/>
  <c r="X558" i="2" s="1"/>
  <c r="Q71" i="2" a="1"/>
  <c r="Q71" i="2" s="1"/>
  <c r="S71" i="2" s="1"/>
  <c r="W71" i="2" s="1"/>
  <c r="X71" i="2" s="1"/>
  <c r="Q1537" i="2" a="1"/>
  <c r="Q1537" i="2" s="1"/>
  <c r="S1537" i="2" s="1"/>
  <c r="W1537" i="2" s="1"/>
  <c r="X1537" i="2" s="1"/>
  <c r="Q1340" i="2" a="1"/>
  <c r="Q1340" i="2" s="1"/>
  <c r="S1340" i="2" s="1"/>
  <c r="W1340" i="2" s="1"/>
  <c r="X1340" i="2" s="1"/>
  <c r="Q1481" i="2" a="1"/>
  <c r="Q1481" i="2" s="1"/>
  <c r="S1481" i="2" s="1"/>
  <c r="W1481" i="2" s="1"/>
  <c r="X1481" i="2" s="1"/>
  <c r="Q29" i="2" a="1"/>
  <c r="Q29" i="2" s="1"/>
  <c r="S29" i="2" s="1"/>
  <c r="W29" i="2" s="1"/>
  <c r="X29" i="2" s="1"/>
  <c r="Q1380" i="2" a="1"/>
  <c r="Q1380" i="2" s="1"/>
  <c r="S1380" i="2" s="1"/>
  <c r="W1380" i="2" s="1"/>
  <c r="X1380" i="2" s="1"/>
  <c r="Q414" i="2" a="1"/>
  <c r="Q414" i="2" s="1"/>
  <c r="S414" i="2" s="1"/>
  <c r="W414" i="2" s="1"/>
  <c r="X414" i="2" s="1"/>
  <c r="Q1175" i="2" a="1"/>
  <c r="Q1175" i="2" s="1"/>
  <c r="S1175" i="2" s="1"/>
  <c r="W1175" i="2" s="1"/>
  <c r="X1175" i="2" s="1"/>
  <c r="Q1424" i="2" a="1"/>
  <c r="Q1424" i="2" s="1"/>
  <c r="S1424" i="2" s="1"/>
  <c r="W1424" i="2" s="1"/>
  <c r="X1424" i="2" s="1"/>
  <c r="Q603" i="2" a="1"/>
  <c r="Q603" i="2" s="1"/>
  <c r="S603" i="2" s="1"/>
  <c r="W603" i="2" s="1"/>
  <c r="X603" i="2" s="1"/>
  <c r="Q549" i="2" a="1"/>
  <c r="Q549" i="2" s="1"/>
  <c r="S549" i="2" s="1"/>
  <c r="W549" i="2" s="1"/>
  <c r="X549" i="2" s="1"/>
  <c r="Q399" i="2" a="1"/>
  <c r="Q399" i="2" s="1"/>
  <c r="S399" i="2" s="1"/>
  <c r="W399" i="2" s="1"/>
  <c r="X399" i="2" s="1"/>
  <c r="Q1311" i="2" a="1"/>
  <c r="Q1311" i="2" s="1"/>
  <c r="S1311" i="2" s="1"/>
  <c r="W1311" i="2" s="1"/>
  <c r="X1311" i="2" s="1"/>
  <c r="Q614" i="2" a="1"/>
  <c r="Q614" i="2" s="1"/>
  <c r="S614" i="2" s="1"/>
  <c r="W614" i="2" s="1"/>
  <c r="X614" i="2" s="1"/>
  <c r="Q1132" i="2" a="1"/>
  <c r="Q1132" i="2" s="1"/>
  <c r="S1132" i="2" s="1"/>
  <c r="W1132" i="2" s="1"/>
  <c r="X1132" i="2" s="1"/>
  <c r="Q15" i="2" a="1"/>
  <c r="Q15" i="2" s="1"/>
  <c r="S15" i="2" s="1"/>
  <c r="W15" i="2" s="1"/>
  <c r="X15" i="2" s="1"/>
  <c r="Q1614" i="2" a="1"/>
  <c r="Q1614" i="2" s="1"/>
  <c r="S1614" i="2" s="1"/>
  <c r="W1614" i="2" s="1"/>
  <c r="X1614" i="2" s="1"/>
  <c r="Q1375" i="2" a="1"/>
  <c r="Q1375" i="2" s="1"/>
  <c r="S1375" i="2" s="1"/>
  <c r="W1375" i="2" s="1"/>
  <c r="X1375" i="2" s="1"/>
  <c r="Q1288" i="2" a="1"/>
  <c r="Q1288" i="2" s="1"/>
  <c r="S1288" i="2" s="1"/>
  <c r="W1288" i="2" s="1"/>
  <c r="X1288" i="2" s="1"/>
  <c r="Q1377" i="2" a="1"/>
  <c r="Q1377" i="2" s="1"/>
  <c r="S1377" i="2" s="1"/>
  <c r="W1377" i="2" s="1"/>
  <c r="X1377" i="2" s="1"/>
  <c r="Q1379" i="2" a="1"/>
  <c r="Q1379" i="2" s="1"/>
  <c r="S1379" i="2" s="1"/>
  <c r="W1379" i="2" s="1"/>
  <c r="X1379" i="2" s="1"/>
  <c r="Q410" i="2" a="1"/>
  <c r="Q410" i="2" s="1"/>
  <c r="S410" i="2" s="1"/>
  <c r="W410" i="2" s="1"/>
  <c r="X410" i="2" s="1"/>
  <c r="Q1582" i="2" a="1"/>
  <c r="Q1582" i="2" s="1"/>
  <c r="S1582" i="2" s="1"/>
  <c r="W1582" i="2" s="1"/>
  <c r="X1582" i="2" s="1"/>
  <c r="Q398" i="2" a="1"/>
  <c r="Q398" i="2" s="1"/>
  <c r="S398" i="2" s="1"/>
  <c r="W398" i="2" s="1"/>
  <c r="X398" i="2" s="1"/>
  <c r="Q1289" i="2" a="1"/>
  <c r="Q1289" i="2" s="1"/>
  <c r="S1289" i="2" s="1"/>
  <c r="W1289" i="2" s="1"/>
  <c r="X1289" i="2" s="1"/>
  <c r="Q1297" i="2" a="1"/>
  <c r="Q1297" i="2" s="1"/>
  <c r="S1297" i="2" s="1"/>
  <c r="W1297" i="2" s="1"/>
  <c r="X1297" i="2" s="1"/>
  <c r="Q434" i="2" a="1"/>
  <c r="Q434" i="2" s="1"/>
  <c r="S434" i="2" s="1"/>
  <c r="W434" i="2" s="1"/>
  <c r="X434" i="2" s="1"/>
  <c r="Q866" i="2" a="1"/>
  <c r="Q866" i="2" s="1"/>
  <c r="S866" i="2" s="1"/>
  <c r="W866" i="2" s="1"/>
  <c r="X866" i="2" s="1"/>
  <c r="Q1193" i="2" a="1"/>
  <c r="Q1193" i="2" s="1"/>
  <c r="S1193" i="2" s="1"/>
  <c r="W1193" i="2" s="1"/>
  <c r="X1193" i="2" s="1"/>
  <c r="Q247" i="2" a="1"/>
  <c r="Q247" i="2" s="1"/>
  <c r="S247" i="2" s="1"/>
  <c r="W247" i="2" s="1"/>
  <c r="X247" i="2" s="1"/>
  <c r="Q13" i="2" a="1"/>
  <c r="Q13" i="2" s="1"/>
  <c r="S13" i="2" s="1"/>
  <c r="W13" i="2" s="1"/>
  <c r="X13" i="2" s="1"/>
  <c r="Q1556" i="2" a="1"/>
  <c r="Q1556" i="2" s="1"/>
  <c r="S1556" i="2" s="1"/>
  <c r="W1556" i="2" s="1"/>
  <c r="X1556" i="2" s="1"/>
  <c r="Q1356" i="2" a="1"/>
  <c r="Q1356" i="2" s="1"/>
  <c r="S1356" i="2" s="1"/>
  <c r="W1356" i="2" s="1"/>
  <c r="X1356" i="2" s="1"/>
  <c r="Q364" i="2" a="1"/>
  <c r="Q364" i="2" s="1"/>
  <c r="S364" i="2" s="1"/>
  <c r="W364" i="2" s="1"/>
  <c r="X364" i="2" s="1"/>
  <c r="Q380" i="2" a="1"/>
  <c r="Q380" i="2" s="1"/>
  <c r="S380" i="2" s="1"/>
  <c r="W380" i="2" s="1"/>
  <c r="X380" i="2" s="1"/>
  <c r="Q1260" i="2" a="1"/>
  <c r="Q1260" i="2" s="1"/>
  <c r="S1260" i="2" s="1"/>
  <c r="W1260" i="2" s="1"/>
  <c r="X1260" i="2" s="1"/>
  <c r="Q448" i="2" a="1"/>
  <c r="Q448" i="2" s="1"/>
  <c r="S448" i="2" s="1"/>
  <c r="W448" i="2" s="1"/>
  <c r="X448" i="2" s="1"/>
  <c r="Q895" i="2" a="1"/>
  <c r="Q895" i="2" s="1"/>
  <c r="S895" i="2" s="1"/>
  <c r="W895" i="2" s="1"/>
  <c r="X895" i="2" s="1"/>
  <c r="Q193" i="2" a="1"/>
  <c r="Q193" i="2" s="1"/>
  <c r="S193" i="2" s="1"/>
  <c r="W193" i="2" s="1"/>
  <c r="X193" i="2" s="1"/>
  <c r="Q95" i="2" a="1"/>
  <c r="Q95" i="2" s="1"/>
  <c r="S95" i="2" s="1"/>
  <c r="W95" i="2" s="1"/>
  <c r="X95" i="2" s="1"/>
  <c r="Q141" i="2" a="1"/>
  <c r="Q141" i="2" s="1"/>
  <c r="S141" i="2" s="1"/>
  <c r="W141" i="2" s="1"/>
  <c r="X141" i="2" s="1"/>
  <c r="Q201" i="2" a="1"/>
  <c r="Q201" i="2" s="1"/>
  <c r="S201" i="2" s="1"/>
  <c r="W201" i="2" s="1"/>
  <c r="X201" i="2" s="1"/>
  <c r="Q1576" i="2" a="1"/>
  <c r="Q1576" i="2" s="1"/>
  <c r="S1576" i="2" s="1"/>
  <c r="W1576" i="2" s="1"/>
  <c r="X1576" i="2" s="1"/>
  <c r="Q446" i="2" a="1"/>
  <c r="Q446" i="2" s="1"/>
  <c r="S446" i="2" s="1"/>
  <c r="W446" i="2" s="1"/>
  <c r="X446" i="2" s="1"/>
  <c r="Q1146" i="2" a="1"/>
  <c r="Q1146" i="2" s="1"/>
  <c r="S1146" i="2" s="1"/>
  <c r="W1146" i="2" s="1"/>
  <c r="X1146" i="2" s="1"/>
  <c r="Q1015" i="2" a="1"/>
  <c r="Q1015" i="2" s="1"/>
  <c r="S1015" i="2" s="1"/>
  <c r="W1015" i="2" s="1"/>
  <c r="X1015" i="2" s="1"/>
  <c r="Q1788" i="2" a="1"/>
  <c r="Q1788" i="2" s="1"/>
  <c r="S1788" i="2" s="1"/>
  <c r="W1788" i="2" s="1"/>
  <c r="X1788" i="2" s="1"/>
  <c r="Q648" i="2" a="1"/>
  <c r="Q648" i="2" s="1"/>
  <c r="S648" i="2" s="1"/>
  <c r="W648" i="2" s="1"/>
  <c r="X648" i="2" s="1"/>
  <c r="Q1102" i="2" a="1"/>
  <c r="Q1102" i="2" s="1"/>
  <c r="S1102" i="2" s="1"/>
  <c r="W1102" i="2" s="1"/>
  <c r="X1102" i="2" s="1"/>
  <c r="Q2" i="2" a="1"/>
  <c r="Q2" i="2" s="1"/>
  <c r="Q786" i="2" a="1"/>
  <c r="Q786" i="2" s="1"/>
  <c r="S786" i="2" s="1"/>
  <c r="W786" i="2" s="1"/>
  <c r="X786" i="2" s="1"/>
  <c r="Q1685" i="2" a="1"/>
  <c r="Q1685" i="2" s="1"/>
  <c r="S1685" i="2" s="1"/>
  <c r="W1685" i="2" s="1"/>
  <c r="X1685" i="2" s="1"/>
  <c r="Q1003" i="2" a="1"/>
  <c r="Q1003" i="2" s="1"/>
  <c r="S1003" i="2" s="1"/>
  <c r="W1003" i="2" s="1"/>
  <c r="X1003" i="2" s="1"/>
  <c r="Q1374" i="2" a="1"/>
  <c r="Q1374" i="2" s="1"/>
  <c r="S1374" i="2" s="1"/>
  <c r="W1374" i="2" s="1"/>
  <c r="X1374" i="2" s="1"/>
  <c r="Q437" i="2" a="1"/>
  <c r="Q437" i="2" s="1"/>
  <c r="S437" i="2" s="1"/>
  <c r="W437" i="2" s="1"/>
  <c r="X437" i="2" s="1"/>
  <c r="Q483" i="2" a="1"/>
  <c r="Q483" i="2" s="1"/>
  <c r="S483" i="2" s="1"/>
  <c r="W483" i="2" s="1"/>
  <c r="X483" i="2" s="1"/>
  <c r="Q1850" i="2" a="1"/>
  <c r="Q1850" i="2" s="1"/>
  <c r="S1850" i="2" s="1"/>
  <c r="W1850" i="2" s="1"/>
  <c r="X1850" i="2" s="1"/>
  <c r="Q39" i="2" a="1"/>
  <c r="Q39" i="2" s="1"/>
  <c r="S39" i="2" s="1"/>
  <c r="W39" i="2" s="1"/>
  <c r="X39" i="2" s="1"/>
  <c r="Q1200" i="2" a="1"/>
  <c r="Q1200" i="2" s="1"/>
  <c r="S1200" i="2" s="1"/>
  <c r="W1200" i="2" s="1"/>
  <c r="X1200" i="2" s="1"/>
  <c r="Q1070" i="2" a="1"/>
  <c r="Q1070" i="2" s="1"/>
  <c r="S1070" i="2" s="1"/>
  <c r="W1070" i="2" s="1"/>
  <c r="X1070" i="2" s="1"/>
  <c r="Q1796" i="2" a="1"/>
  <c r="Q1796" i="2" s="1"/>
  <c r="S1796" i="2" s="1"/>
  <c r="W1796" i="2" s="1"/>
  <c r="X1796" i="2" s="1"/>
  <c r="Q861" i="2" a="1"/>
  <c r="Q861" i="2" s="1"/>
  <c r="S861" i="2" s="1"/>
  <c r="W861" i="2" s="1"/>
  <c r="X861" i="2" s="1"/>
  <c r="Q377" i="2" a="1"/>
  <c r="Q377" i="2" s="1"/>
  <c r="S377" i="2" s="1"/>
  <c r="W377" i="2" s="1"/>
  <c r="X377" i="2" s="1"/>
  <c r="Q406" i="2" a="1"/>
  <c r="Q406" i="2" s="1"/>
  <c r="S406" i="2" s="1"/>
  <c r="W406" i="2" s="1"/>
  <c r="X406" i="2" s="1"/>
  <c r="Q1029" i="2" a="1"/>
  <c r="Q1029" i="2" s="1"/>
  <c r="S1029" i="2" s="1"/>
  <c r="W1029" i="2" s="1"/>
  <c r="X1029" i="2" s="1"/>
  <c r="Q536" i="2" a="1"/>
  <c r="Q536" i="2" s="1"/>
  <c r="S536" i="2" s="1"/>
  <c r="W536" i="2" s="1"/>
  <c r="X536" i="2" s="1"/>
  <c r="Q1780" i="2" a="1"/>
  <c r="Q1780" i="2" s="1"/>
  <c r="S1780" i="2" s="1"/>
  <c r="W1780" i="2" s="1"/>
  <c r="X1780" i="2" s="1"/>
  <c r="Q1490" i="2" a="1"/>
  <c r="Q1490" i="2" s="1"/>
  <c r="S1490" i="2" s="1"/>
  <c r="W1490" i="2" s="1"/>
  <c r="X1490" i="2" s="1"/>
  <c r="Q479" i="2" a="1"/>
  <c r="Q479" i="2" s="1"/>
  <c r="S479" i="2" s="1"/>
  <c r="W479" i="2" s="1"/>
  <c r="X479" i="2" s="1"/>
  <c r="Q1693" i="2" a="1"/>
  <c r="Q1693" i="2" s="1"/>
  <c r="S1693" i="2" s="1"/>
  <c r="W1693" i="2" s="1"/>
  <c r="X1693" i="2" s="1"/>
  <c r="Q441" i="2" a="1"/>
  <c r="Q441" i="2" s="1"/>
  <c r="S441" i="2" s="1"/>
  <c r="W441" i="2" s="1"/>
  <c r="X441" i="2" s="1"/>
  <c r="Q1173" i="2" a="1"/>
  <c r="Q1173" i="2" s="1"/>
  <c r="S1173" i="2" s="1"/>
  <c r="W1173" i="2" s="1"/>
  <c r="X1173" i="2" s="1"/>
  <c r="Q2166" i="2" a="1"/>
  <c r="Q2166" i="2" s="1"/>
  <c r="S2166" i="2" s="1"/>
  <c r="W2166" i="2" s="1"/>
  <c r="X2166" i="2" s="1"/>
  <c r="Q85" i="2" a="1"/>
  <c r="Q85" i="2" s="1"/>
  <c r="S85" i="2" s="1"/>
  <c r="W85" i="2" s="1"/>
  <c r="X85" i="2" s="1"/>
  <c r="Q913" i="2" a="1"/>
  <c r="Q913" i="2" s="1"/>
  <c r="S913" i="2" s="1"/>
  <c r="W913" i="2" s="1"/>
  <c r="X913" i="2" s="1"/>
  <c r="Q213" i="2" a="1"/>
  <c r="Q213" i="2" s="1"/>
  <c r="S213" i="2" s="1"/>
  <c r="W213" i="2" s="1"/>
  <c r="X213" i="2" s="1"/>
  <c r="Q2116" i="2" a="1"/>
  <c r="Q2116" i="2" s="1"/>
  <c r="S2116" i="2" s="1"/>
  <c r="W2116" i="2" s="1"/>
  <c r="X2116" i="2" s="1"/>
  <c r="Q88" i="2" a="1"/>
  <c r="Q88" i="2" s="1"/>
  <c r="S88" i="2" s="1"/>
  <c r="W88" i="2" s="1"/>
  <c r="X88" i="2" s="1"/>
  <c r="Q1736" i="2" a="1"/>
  <c r="Q1736" i="2" s="1"/>
  <c r="S1736" i="2" s="1"/>
  <c r="W1736" i="2" s="1"/>
  <c r="X1736" i="2" s="1"/>
  <c r="Q450" i="2" a="1"/>
  <c r="Q450" i="2" s="1"/>
  <c r="S450" i="2" s="1"/>
  <c r="W450" i="2" s="1"/>
  <c r="X450" i="2" s="1"/>
  <c r="Q1322" i="2" a="1"/>
  <c r="Q1322" i="2" s="1"/>
  <c r="S1322" i="2" s="1"/>
  <c r="W1322" i="2" s="1"/>
  <c r="X1322" i="2" s="1"/>
  <c r="Q90" i="2" a="1"/>
  <c r="Q90" i="2" s="1"/>
  <c r="S90" i="2" s="1"/>
  <c r="W90" i="2" s="1"/>
  <c r="X90" i="2" s="1"/>
  <c r="Q1622" i="2" a="1"/>
  <c r="Q1622" i="2" s="1"/>
  <c r="S1622" i="2" s="1"/>
  <c r="W1622" i="2" s="1"/>
  <c r="X1622" i="2" s="1"/>
  <c r="Q435" i="2" a="1"/>
  <c r="Q435" i="2" s="1"/>
  <c r="S435" i="2" s="1"/>
  <c r="W435" i="2" s="1"/>
  <c r="X435" i="2" s="1"/>
  <c r="Q98" i="2" a="1"/>
  <c r="Q98" i="2" s="1"/>
  <c r="S98" i="2" s="1"/>
  <c r="W98" i="2" s="1"/>
  <c r="X98" i="2" s="1"/>
  <c r="Q1656" i="2" a="1"/>
  <c r="Q1656" i="2" s="1"/>
  <c r="S1656" i="2" s="1"/>
  <c r="W1656" i="2" s="1"/>
  <c r="X1656" i="2" s="1"/>
  <c r="Q457" i="2" a="1"/>
  <c r="Q457" i="2" s="1"/>
  <c r="S457" i="2" s="1"/>
  <c r="W457" i="2" s="1"/>
  <c r="X457" i="2" s="1"/>
  <c r="Q932" i="2" a="1"/>
  <c r="Q932" i="2" s="1"/>
  <c r="S932" i="2" s="1"/>
  <c r="W932" i="2" s="1"/>
  <c r="X932" i="2" s="1"/>
  <c r="Q1257" i="2" a="1"/>
  <c r="Q1257" i="2" s="1"/>
  <c r="S1257" i="2" s="1"/>
  <c r="W1257" i="2" s="1"/>
  <c r="X1257" i="2" s="1"/>
  <c r="Q118" i="2" a="1"/>
  <c r="Q118" i="2" s="1"/>
  <c r="S118" i="2" s="1"/>
  <c r="W118" i="2" s="1"/>
  <c r="X118" i="2" s="1"/>
  <c r="Q1603" i="2" a="1"/>
  <c r="Q1603" i="2" s="1"/>
  <c r="S1603" i="2" s="1"/>
  <c r="W1603" i="2" s="1"/>
  <c r="X1603" i="2" s="1"/>
  <c r="Q1355" i="2" a="1"/>
  <c r="Q1355" i="2" s="1"/>
  <c r="S1355" i="2" s="1"/>
  <c r="W1355" i="2" s="1"/>
  <c r="X1355" i="2" s="1"/>
  <c r="Q1244" i="2" a="1"/>
  <c r="Q1244" i="2" s="1"/>
  <c r="S1244" i="2" s="1"/>
  <c r="W1244" i="2" s="1"/>
  <c r="X1244" i="2" s="1"/>
  <c r="Q1516" i="2" a="1"/>
  <c r="Q1516" i="2" s="1"/>
  <c r="S1516" i="2" s="1"/>
  <c r="W1516" i="2" s="1"/>
  <c r="X1516" i="2" s="1"/>
  <c r="Q905" i="2" a="1"/>
  <c r="Q905" i="2" s="1"/>
  <c r="S905" i="2" s="1"/>
  <c r="W905" i="2" s="1"/>
  <c r="X905" i="2" s="1"/>
  <c r="Q624" i="2" a="1"/>
  <c r="Q624" i="2" s="1"/>
  <c r="S624" i="2" s="1"/>
  <c r="W624" i="2" s="1"/>
  <c r="X624" i="2" s="1"/>
  <c r="Q472" i="2" a="1"/>
  <c r="Q472" i="2" s="1"/>
  <c r="S472" i="2" s="1"/>
  <c r="W472" i="2" s="1"/>
  <c r="X472" i="2" s="1"/>
  <c r="Q1061" i="2" a="1"/>
  <c r="Q1061" i="2" s="1"/>
  <c r="S1061" i="2" s="1"/>
  <c r="W1061" i="2" s="1"/>
  <c r="X1061" i="2" s="1"/>
  <c r="Q1626" i="2" a="1"/>
  <c r="Q1626" i="2" s="1"/>
  <c r="S1626" i="2" s="1"/>
  <c r="W1626" i="2" s="1"/>
  <c r="X1626" i="2" s="1"/>
  <c r="Q1062" i="2" a="1"/>
  <c r="Q1062" i="2" s="1"/>
  <c r="S1062" i="2" s="1"/>
  <c r="W1062" i="2" s="1"/>
  <c r="X1062" i="2" s="1"/>
  <c r="Q1804" i="2" a="1"/>
  <c r="Q1804" i="2" s="1"/>
  <c r="S1804" i="2" s="1"/>
  <c r="W1804" i="2" s="1"/>
  <c r="X1804" i="2" s="1"/>
  <c r="Q159" i="2" a="1"/>
  <c r="Q159" i="2" s="1"/>
  <c r="S159" i="2" s="1"/>
  <c r="W159" i="2" s="1"/>
  <c r="X159" i="2" s="1"/>
  <c r="Q1637" i="2" a="1"/>
  <c r="Q1637" i="2" s="1"/>
  <c r="S1637" i="2" s="1"/>
  <c r="W1637" i="2" s="1"/>
  <c r="X1637" i="2" s="1"/>
  <c r="Q158" i="2" a="1"/>
  <c r="Q158" i="2" s="1"/>
  <c r="S158" i="2" s="1"/>
  <c r="W158" i="2" s="1"/>
  <c r="X158" i="2" s="1"/>
  <c r="Q109" i="2" a="1"/>
  <c r="Q109" i="2" s="1"/>
  <c r="S109" i="2" s="1"/>
  <c r="W109" i="2" s="1"/>
  <c r="X109" i="2" s="1"/>
  <c r="Q1595" i="2" a="1"/>
  <c r="Q1595" i="2" s="1"/>
  <c r="S1595" i="2" s="1"/>
  <c r="W1595" i="2" s="1"/>
  <c r="X1595" i="2" s="1"/>
  <c r="Q1815" i="2" a="1"/>
  <c r="Q1815" i="2" s="1"/>
  <c r="S1815" i="2" s="1"/>
  <c r="W1815" i="2" s="1"/>
  <c r="X1815" i="2" s="1"/>
  <c r="Q654" i="2" a="1"/>
  <c r="Q654" i="2" s="1"/>
  <c r="S654" i="2" s="1"/>
  <c r="W654" i="2" s="1"/>
  <c r="X654" i="2" s="1"/>
  <c r="Q610" i="2" a="1"/>
  <c r="Q610" i="2" s="1"/>
  <c r="S610" i="2" s="1"/>
  <c r="W610" i="2" s="1"/>
  <c r="X610" i="2" s="1"/>
  <c r="Q1156" i="2" a="1"/>
  <c r="Q1156" i="2" s="1"/>
  <c r="S1156" i="2" s="1"/>
  <c r="W1156" i="2" s="1"/>
  <c r="X1156" i="2" s="1"/>
  <c r="Q515" i="2" a="1"/>
  <c r="Q515" i="2" s="1"/>
  <c r="S515" i="2" s="1"/>
  <c r="W515" i="2" s="1"/>
  <c r="X515" i="2" s="1"/>
  <c r="Q16" i="2" a="1"/>
  <c r="Q16" i="2" s="1"/>
  <c r="S16" i="2" s="1"/>
  <c r="W16" i="2" s="1"/>
  <c r="X16" i="2" s="1"/>
  <c r="Q1795" i="2" a="1"/>
  <c r="Q1795" i="2" s="1"/>
  <c r="S1795" i="2" s="1"/>
  <c r="W1795" i="2" s="1"/>
  <c r="X1795" i="2" s="1"/>
  <c r="Q1210" i="2" a="1"/>
  <c r="Q1210" i="2" s="1"/>
  <c r="S1210" i="2" s="1"/>
  <c r="W1210" i="2" s="1"/>
  <c r="X1210" i="2" s="1"/>
  <c r="Q1178" i="2" a="1"/>
  <c r="Q1178" i="2" s="1"/>
  <c r="S1178" i="2" s="1"/>
  <c r="W1178" i="2" s="1"/>
  <c r="X1178" i="2" s="1"/>
  <c r="Q1286" i="2" a="1"/>
  <c r="Q1286" i="2" s="1"/>
  <c r="S1286" i="2" s="1"/>
  <c r="W1286" i="2" s="1"/>
  <c r="X1286" i="2" s="1"/>
  <c r="Q152" i="2" a="1"/>
  <c r="Q152" i="2" s="1"/>
  <c r="S152" i="2" s="1"/>
  <c r="W152" i="2" s="1"/>
  <c r="X152" i="2" s="1"/>
  <c r="Q883" i="2" a="1"/>
  <c r="Q883" i="2" s="1"/>
  <c r="S883" i="2" s="1"/>
  <c r="W883" i="2" s="1"/>
  <c r="X883" i="2" s="1"/>
  <c r="Q1157" i="2" a="1"/>
  <c r="Q1157" i="2" s="1"/>
  <c r="S1157" i="2" s="1"/>
  <c r="W1157" i="2" s="1"/>
  <c r="X1157" i="2" s="1"/>
  <c r="Q460" i="2" a="1"/>
  <c r="Q460" i="2" s="1"/>
  <c r="S460" i="2" s="1"/>
  <c r="W460" i="2" s="1"/>
  <c r="X460" i="2" s="1"/>
  <c r="Q453" i="2" a="1"/>
  <c r="Q453" i="2" s="1"/>
  <c r="S453" i="2" s="1"/>
  <c r="W453" i="2" s="1"/>
  <c r="X453" i="2" s="1"/>
  <c r="Q486" i="2" a="1"/>
  <c r="Q486" i="2" s="1"/>
  <c r="S486" i="2" s="1"/>
  <c r="W486" i="2" s="1"/>
  <c r="X486" i="2" s="1"/>
  <c r="Q1403" i="2" a="1"/>
  <c r="Q1403" i="2" s="1"/>
  <c r="S1403" i="2" s="1"/>
  <c r="W1403" i="2" s="1"/>
  <c r="X1403" i="2" s="1"/>
  <c r="Q1418" i="2" a="1"/>
  <c r="Q1418" i="2" s="1"/>
  <c r="S1418" i="2" s="1"/>
  <c r="W1418" i="2" s="1"/>
  <c r="X1418" i="2" s="1"/>
  <c r="Q955" i="2" a="1"/>
  <c r="Q955" i="2" s="1"/>
  <c r="S955" i="2" s="1"/>
  <c r="W955" i="2" s="1"/>
  <c r="X955" i="2" s="1"/>
  <c r="Q1198" i="2" a="1"/>
  <c r="Q1198" i="2" s="1"/>
  <c r="S1198" i="2" s="1"/>
  <c r="W1198" i="2" s="1"/>
  <c r="X1198" i="2" s="1"/>
  <c r="Q1281" i="2" a="1"/>
  <c r="Q1281" i="2" s="1"/>
  <c r="S1281" i="2" s="1"/>
  <c r="W1281" i="2" s="1"/>
  <c r="X1281" i="2" s="1"/>
  <c r="Q1153" i="2" a="1"/>
  <c r="Q1153" i="2" s="1"/>
  <c r="S1153" i="2" s="1"/>
  <c r="W1153" i="2" s="1"/>
  <c r="X1153" i="2" s="1"/>
  <c r="Q1151" i="2" a="1"/>
  <c r="Q1151" i="2" s="1"/>
  <c r="S1151" i="2" s="1"/>
  <c r="W1151" i="2" s="1"/>
  <c r="X1151" i="2" s="1"/>
  <c r="Q935" i="2" a="1"/>
  <c r="Q935" i="2" s="1"/>
  <c r="S935" i="2" s="1"/>
  <c r="W935" i="2" s="1"/>
  <c r="X935" i="2" s="1"/>
  <c r="Q1842" i="2" a="1"/>
  <c r="Q1842" i="2" s="1"/>
  <c r="S1842" i="2" s="1"/>
  <c r="W1842" i="2" s="1"/>
  <c r="X1842" i="2" s="1"/>
  <c r="Q853" i="2" a="1"/>
  <c r="Q853" i="2" s="1"/>
  <c r="S853" i="2" s="1"/>
  <c r="W853" i="2" s="1"/>
  <c r="X853" i="2" s="1"/>
  <c r="Q634" i="2" a="1"/>
  <c r="Q634" i="2" s="1"/>
  <c r="S634" i="2" s="1"/>
  <c r="W634" i="2" s="1"/>
  <c r="X634" i="2" s="1"/>
  <c r="Q1563" i="2" a="1"/>
  <c r="Q1563" i="2" s="1"/>
  <c r="S1563" i="2" s="1"/>
  <c r="W1563" i="2" s="1"/>
  <c r="X1563" i="2" s="1"/>
  <c r="Q139" i="2" a="1"/>
  <c r="Q139" i="2" s="1"/>
  <c r="S139" i="2" s="1"/>
  <c r="W139" i="2" s="1"/>
  <c r="X139" i="2" s="1"/>
  <c r="R786" i="2" a="1"/>
  <c r="R786" i="2" s="1"/>
  <c r="Q1661" i="2" a="1"/>
  <c r="Q1661" i="2" s="1"/>
  <c r="S1661" i="2" s="1"/>
  <c r="W1661" i="2" s="1"/>
  <c r="X1661" i="2" s="1"/>
  <c r="Q520" i="2" a="1"/>
  <c r="Q520" i="2" s="1"/>
  <c r="S520" i="2" s="1"/>
  <c r="W520" i="2" s="1"/>
  <c r="X520" i="2" s="1"/>
  <c r="Q202" i="2" a="1"/>
  <c r="Q202" i="2" s="1"/>
  <c r="S202" i="2" s="1"/>
  <c r="W202" i="2" s="1"/>
  <c r="X202" i="2" s="1"/>
  <c r="Q1216" i="2" a="1"/>
  <c r="Q1216" i="2" s="1"/>
  <c r="S1216" i="2" s="1"/>
  <c r="W1216" i="2" s="1"/>
  <c r="X1216" i="2" s="1"/>
  <c r="Q1514" i="2" a="1"/>
  <c r="Q1514" i="2" s="1"/>
  <c r="S1514" i="2" s="1"/>
  <c r="W1514" i="2" s="1"/>
  <c r="X1514" i="2" s="1"/>
  <c r="Q1673" i="2" a="1"/>
  <c r="Q1673" i="2" s="1"/>
  <c r="S1673" i="2" s="1"/>
  <c r="W1673" i="2" s="1"/>
  <c r="X1673" i="2" s="1"/>
  <c r="Q1354" i="2" a="1"/>
  <c r="Q1354" i="2" s="1"/>
  <c r="S1354" i="2" s="1"/>
  <c r="W1354" i="2" s="1"/>
  <c r="X1354" i="2" s="1"/>
  <c r="Q1658" i="2" a="1"/>
  <c r="Q1658" i="2" s="1"/>
  <c r="S1658" i="2" s="1"/>
  <c r="W1658" i="2" s="1"/>
  <c r="X1658" i="2" s="1"/>
  <c r="Q480" i="2" a="1"/>
  <c r="Q480" i="2" s="1"/>
  <c r="S480" i="2" s="1"/>
  <c r="W480" i="2" s="1"/>
  <c r="X480" i="2" s="1"/>
  <c r="Q629" i="2" a="1"/>
  <c r="Q629" i="2" s="1"/>
  <c r="S629" i="2" s="1"/>
  <c r="W629" i="2" s="1"/>
  <c r="X629" i="2" s="1"/>
  <c r="Q1700" i="2" a="1"/>
  <c r="Q1700" i="2" s="1"/>
  <c r="S1700" i="2" s="1"/>
  <c r="W1700" i="2" s="1"/>
  <c r="X1700" i="2" s="1"/>
  <c r="Q1629" i="2" a="1"/>
  <c r="Q1629" i="2" s="1"/>
  <c r="S1629" i="2" s="1"/>
  <c r="W1629" i="2" s="1"/>
  <c r="X1629" i="2" s="1"/>
  <c r="Q66" i="2" a="1"/>
  <c r="Q66" i="2" s="1"/>
  <c r="S66" i="2" s="1"/>
  <c r="W66" i="2" s="1"/>
  <c r="X66" i="2" s="1"/>
  <c r="Q597" i="2" a="1"/>
  <c r="Q597" i="2" s="1"/>
  <c r="S597" i="2" s="1"/>
  <c r="W597" i="2" s="1"/>
  <c r="X597" i="2" s="1"/>
  <c r="Q1455" i="2" a="1"/>
  <c r="Q1455" i="2" s="1"/>
  <c r="S1455" i="2" s="1"/>
  <c r="W1455" i="2" s="1"/>
  <c r="X1455" i="2" s="1"/>
  <c r="Q1848" i="2" a="1"/>
  <c r="Q1848" i="2" s="1"/>
  <c r="S1848" i="2" s="1"/>
  <c r="W1848" i="2" s="1"/>
  <c r="X1848" i="2" s="1"/>
  <c r="Q1684" i="2" a="1"/>
  <c r="Q1684" i="2" s="1"/>
  <c r="S1684" i="2" s="1"/>
  <c r="W1684" i="2" s="1"/>
  <c r="X1684" i="2" s="1"/>
  <c r="Q965" i="2" a="1"/>
  <c r="Q965" i="2" s="1"/>
  <c r="S965" i="2" s="1"/>
  <c r="W965" i="2" s="1"/>
  <c r="X965" i="2" s="1"/>
  <c r="Q1406" i="2" a="1"/>
  <c r="Q1406" i="2" s="1"/>
  <c r="S1406" i="2" s="1"/>
  <c r="W1406" i="2" s="1"/>
  <c r="X1406" i="2" s="1"/>
  <c r="Q530" i="2" a="1"/>
  <c r="Q530" i="2" s="1"/>
  <c r="S530" i="2" s="1"/>
  <c r="W530" i="2" s="1"/>
  <c r="X530" i="2" s="1"/>
  <c r="Q878" i="2" a="1"/>
  <c r="Q878" i="2" s="1"/>
  <c r="S878" i="2" s="1"/>
  <c r="W878" i="2" s="1"/>
  <c r="X878" i="2" s="1"/>
  <c r="Q1652" i="2" a="1"/>
  <c r="Q1652" i="2" s="1"/>
  <c r="S1652" i="2" s="1"/>
  <c r="W1652" i="2" s="1"/>
  <c r="X1652" i="2" s="1"/>
  <c r="Q1534" i="2" a="1"/>
  <c r="Q1534" i="2" s="1"/>
  <c r="S1534" i="2" s="1"/>
  <c r="W1534" i="2" s="1"/>
  <c r="X1534" i="2" s="1"/>
  <c r="Q451" i="2" a="1"/>
  <c r="Q451" i="2" s="1"/>
  <c r="S451" i="2" s="1"/>
  <c r="W451" i="2" s="1"/>
  <c r="X451" i="2" s="1"/>
  <c r="Q511" i="2" a="1"/>
  <c r="Q511" i="2" s="1"/>
  <c r="S511" i="2" s="1"/>
  <c r="W511" i="2" s="1"/>
  <c r="X511" i="2" s="1"/>
  <c r="Q12" i="2" a="1"/>
  <c r="Q12" i="2" s="1"/>
  <c r="S12" i="2" s="1"/>
  <c r="W12" i="2" s="1"/>
  <c r="X12" i="2" s="1"/>
  <c r="Q1275" i="2" a="1"/>
  <c r="Q1275" i="2" s="1"/>
  <c r="S1275" i="2" s="1"/>
  <c r="W1275" i="2" s="1"/>
  <c r="X1275" i="2" s="1"/>
  <c r="Q1680" i="2" a="1"/>
  <c r="Q1680" i="2" s="1"/>
  <c r="S1680" i="2" s="1"/>
  <c r="W1680" i="2" s="1"/>
  <c r="X1680" i="2" s="1"/>
  <c r="Q1075" i="2" a="1"/>
  <c r="Q1075" i="2" s="1"/>
  <c r="S1075" i="2" s="1"/>
  <c r="W1075" i="2" s="1"/>
  <c r="X1075" i="2" s="1"/>
  <c r="Q1037" i="2" a="1"/>
  <c r="Q1037" i="2" s="1"/>
  <c r="S1037" i="2" s="1"/>
  <c r="W1037" i="2" s="1"/>
  <c r="X1037" i="2" s="1"/>
  <c r="Q1635" i="2" a="1"/>
  <c r="Q1635" i="2" s="1"/>
  <c r="S1635" i="2" s="1"/>
  <c r="W1635" i="2" s="1"/>
  <c r="X1635" i="2" s="1"/>
  <c r="Q1798" i="2" a="1"/>
  <c r="Q1798" i="2" s="1"/>
  <c r="S1798" i="2" s="1"/>
  <c r="W1798" i="2" s="1"/>
  <c r="X1798" i="2" s="1"/>
  <c r="Q874" i="2" a="1"/>
  <c r="Q874" i="2" s="1"/>
  <c r="S874" i="2" s="1"/>
  <c r="W874" i="2" s="1"/>
  <c r="X874" i="2" s="1"/>
  <c r="Q1710" i="2" a="1"/>
  <c r="Q1710" i="2" s="1"/>
  <c r="S1710" i="2" s="1"/>
  <c r="W1710" i="2" s="1"/>
  <c r="X1710" i="2" s="1"/>
  <c r="Q969" i="2" a="1"/>
  <c r="Q969" i="2" s="1"/>
  <c r="S969" i="2" s="1"/>
  <c r="W969" i="2" s="1"/>
  <c r="X969" i="2" s="1"/>
  <c r="Q2114" i="2" a="1"/>
  <c r="Q2114" i="2" s="1"/>
  <c r="S2114" i="2" s="1"/>
  <c r="W2114" i="2" s="1"/>
  <c r="X2114" i="2" s="1"/>
  <c r="Q105" i="2" a="1"/>
  <c r="Q105" i="2" s="1"/>
  <c r="S105" i="2" s="1"/>
  <c r="W105" i="2" s="1"/>
  <c r="X105" i="2" s="1"/>
  <c r="Q512" i="2" a="1"/>
  <c r="Q512" i="2" s="1"/>
  <c r="S512" i="2" s="1"/>
  <c r="W512" i="2" s="1"/>
  <c r="X512" i="2" s="1"/>
  <c r="Q1511" i="2" a="1"/>
  <c r="Q1511" i="2" s="1"/>
  <c r="S1511" i="2" s="1"/>
  <c r="W1511" i="2" s="1"/>
  <c r="X1511" i="2" s="1"/>
  <c r="Q1451" i="2" a="1"/>
  <c r="Q1451" i="2" s="1"/>
  <c r="S1451" i="2" s="1"/>
  <c r="W1451" i="2" s="1"/>
  <c r="X1451" i="2" s="1"/>
  <c r="Q493" i="2" a="1"/>
  <c r="Q493" i="2" s="1"/>
  <c r="S493" i="2" s="1"/>
  <c r="W493" i="2" s="1"/>
  <c r="X493" i="2" s="1"/>
  <c r="Q1127" i="2" a="1"/>
  <c r="Q1127" i="2" s="1"/>
  <c r="S1127" i="2" s="1"/>
  <c r="W1127" i="2" s="1"/>
  <c r="X1127" i="2" s="1"/>
  <c r="Q1679" i="2" a="1"/>
  <c r="Q1679" i="2" s="1"/>
  <c r="S1679" i="2" s="1"/>
  <c r="W1679" i="2" s="1"/>
  <c r="X1679" i="2" s="1"/>
  <c r="Q1633" i="2" a="1"/>
  <c r="Q1633" i="2" s="1"/>
  <c r="S1633" i="2" s="1"/>
  <c r="W1633" i="2" s="1"/>
  <c r="X1633" i="2" s="1"/>
  <c r="Q1036" i="2" a="1"/>
  <c r="Q1036" i="2" s="1"/>
  <c r="S1036" i="2" s="1"/>
  <c r="W1036" i="2" s="1"/>
  <c r="X1036" i="2" s="1"/>
  <c r="Q1317" i="2" a="1"/>
  <c r="Q1317" i="2" s="1"/>
  <c r="S1317" i="2" s="1"/>
  <c r="W1317" i="2" s="1"/>
  <c r="X1317" i="2" s="1"/>
  <c r="Q996" i="2" a="1"/>
  <c r="Q996" i="2" s="1"/>
  <c r="S996" i="2" s="1"/>
  <c r="W996" i="2" s="1"/>
  <c r="X996" i="2" s="1"/>
  <c r="Q1530" i="2" a="1"/>
  <c r="Q1530" i="2" s="1"/>
  <c r="S1530" i="2" s="1"/>
  <c r="W1530" i="2" s="1"/>
  <c r="X1530" i="2" s="1"/>
  <c r="Q1431" i="2" a="1"/>
  <c r="Q1431" i="2" s="1"/>
  <c r="S1431" i="2" s="1"/>
  <c r="W1431" i="2" s="1"/>
  <c r="X1431" i="2" s="1"/>
  <c r="Q18" i="2" a="1"/>
  <c r="Q18" i="2" s="1"/>
  <c r="S18" i="2" s="1"/>
  <c r="W18" i="2" s="1"/>
  <c r="X18" i="2" s="1"/>
  <c r="Q509" i="2" a="1"/>
  <c r="Q509" i="2" s="1"/>
  <c r="S509" i="2" s="1"/>
  <c r="W509" i="2" s="1"/>
  <c r="X509" i="2" s="1"/>
  <c r="Q1475" i="2" a="1"/>
  <c r="Q1475" i="2" s="1"/>
  <c r="S1475" i="2" s="1"/>
  <c r="W1475" i="2" s="1"/>
  <c r="X1475" i="2" s="1"/>
  <c r="Q1847" i="2" a="1"/>
  <c r="Q1847" i="2" s="1"/>
  <c r="S1847" i="2" s="1"/>
  <c r="W1847" i="2" s="1"/>
  <c r="X1847" i="2" s="1"/>
  <c r="Q1397" i="2" a="1"/>
  <c r="Q1397" i="2" s="1"/>
  <c r="S1397" i="2" s="1"/>
  <c r="W1397" i="2" s="1"/>
  <c r="X1397" i="2" s="1"/>
  <c r="Q1783" i="2" a="1"/>
  <c r="Q1783" i="2" s="1"/>
  <c r="S1783" i="2" s="1"/>
  <c r="W1783" i="2" s="1"/>
  <c r="X1783" i="2" s="1"/>
  <c r="Q1170" i="2" a="1"/>
  <c r="Q1170" i="2" s="1"/>
  <c r="S1170" i="2" s="1"/>
  <c r="W1170" i="2" s="1"/>
  <c r="X1170" i="2" s="1"/>
  <c r="Q1565" i="2" a="1"/>
  <c r="Q1565" i="2" s="1"/>
  <c r="S1565" i="2" s="1"/>
  <c r="W1565" i="2" s="1"/>
  <c r="X1565" i="2" s="1"/>
  <c r="Q1483" i="2" a="1"/>
  <c r="Q1483" i="2" s="1"/>
  <c r="S1483" i="2" s="1"/>
  <c r="W1483" i="2" s="1"/>
  <c r="X1483" i="2" s="1"/>
  <c r="Q1220" i="2" a="1"/>
  <c r="Q1220" i="2" s="1"/>
  <c r="S1220" i="2" s="1"/>
  <c r="W1220" i="2" s="1"/>
  <c r="X1220" i="2" s="1"/>
  <c r="Q1583" i="2" a="1"/>
  <c r="Q1583" i="2" s="1"/>
  <c r="S1583" i="2" s="1"/>
  <c r="W1583" i="2" s="1"/>
  <c r="X1583" i="2" s="1"/>
  <c r="Q1605" i="2" a="1"/>
  <c r="Q1605" i="2" s="1"/>
  <c r="S1605" i="2" s="1"/>
  <c r="W1605" i="2" s="1"/>
  <c r="X1605" i="2" s="1"/>
  <c r="Q208" i="2" a="1"/>
  <c r="Q208" i="2" s="1"/>
  <c r="S208" i="2" s="1"/>
  <c r="W208" i="2" s="1"/>
  <c r="X208" i="2" s="1"/>
  <c r="Q284" i="2" a="1"/>
  <c r="Q284" i="2" s="1"/>
  <c r="S284" i="2" s="1"/>
  <c r="W284" i="2" s="1"/>
  <c r="X284" i="2" s="1"/>
  <c r="Q461" i="2" a="1"/>
  <c r="Q461" i="2" s="1"/>
  <c r="S461" i="2" s="1"/>
  <c r="W461" i="2" s="1"/>
  <c r="X461" i="2" s="1"/>
  <c r="Q78" i="2" a="1"/>
  <c r="Q78" i="2" s="1"/>
  <c r="S78" i="2" s="1"/>
  <c r="W78" i="2" s="1"/>
  <c r="X78" i="2" s="1"/>
  <c r="Q1123" i="2" a="1"/>
  <c r="Q1123" i="2" s="1"/>
  <c r="S1123" i="2" s="1"/>
  <c r="W1123" i="2" s="1"/>
  <c r="X1123" i="2" s="1"/>
  <c r="Q1042" i="2" a="1"/>
  <c r="Q1042" i="2" s="1"/>
  <c r="S1042" i="2" s="1"/>
  <c r="W1042" i="2" s="1"/>
  <c r="X1042" i="2" s="1"/>
  <c r="Q148" i="2" a="1"/>
  <c r="Q148" i="2" s="1"/>
  <c r="S148" i="2" s="1"/>
  <c r="W148" i="2" s="1"/>
  <c r="X148" i="2" s="1"/>
  <c r="Q531" i="2" a="1"/>
  <c r="Q531" i="2" s="1"/>
  <c r="S531" i="2" s="1"/>
  <c r="W531" i="2" s="1"/>
  <c r="X531" i="2" s="1"/>
  <c r="Q2121" i="2" a="1"/>
  <c r="Q2121" i="2" s="1"/>
  <c r="S2121" i="2" s="1"/>
  <c r="W2121" i="2" s="1"/>
  <c r="X2121" i="2" s="1"/>
  <c r="Q947" i="2" a="1"/>
  <c r="Q947" i="2" s="1"/>
  <c r="S947" i="2" s="1"/>
  <c r="W947" i="2" s="1"/>
  <c r="X947" i="2" s="1"/>
  <c r="Q998" i="2" a="1"/>
  <c r="Q998" i="2" s="1"/>
  <c r="S998" i="2" s="1"/>
  <c r="W998" i="2" s="1"/>
  <c r="X998" i="2" s="1"/>
  <c r="Q72" i="2" a="1"/>
  <c r="Q72" i="2" s="1"/>
  <c r="S72" i="2" s="1"/>
  <c r="W72" i="2" s="1"/>
  <c r="X72" i="2" s="1"/>
  <c r="Q1312" i="2" a="1"/>
  <c r="Q1312" i="2" s="1"/>
  <c r="S1312" i="2" s="1"/>
  <c r="W1312" i="2" s="1"/>
  <c r="X1312" i="2" s="1"/>
  <c r="Q641" i="2" a="1"/>
  <c r="Q641" i="2" s="1"/>
  <c r="S641" i="2" s="1"/>
  <c r="W641" i="2" s="1"/>
  <c r="X641" i="2" s="1"/>
  <c r="Q167" i="2" a="1"/>
  <c r="Q167" i="2" s="1"/>
  <c r="S167" i="2" s="1"/>
  <c r="W167" i="2" s="1"/>
  <c r="X167" i="2" s="1"/>
  <c r="Q2141" i="2" a="1"/>
  <c r="Q2141" i="2" s="1"/>
  <c r="S2141" i="2" s="1"/>
  <c r="W2141" i="2" s="1"/>
  <c r="X2141" i="2" s="1"/>
  <c r="Q1376" i="2" a="1"/>
  <c r="Q1376" i="2" s="1"/>
  <c r="S1376" i="2" s="1"/>
  <c r="W1376" i="2" s="1"/>
  <c r="X1376" i="2" s="1"/>
  <c r="Q1395" i="2" a="1"/>
  <c r="Q1395" i="2" s="1"/>
  <c r="S1395" i="2" s="1"/>
  <c r="W1395" i="2" s="1"/>
  <c r="X1395" i="2" s="1"/>
  <c r="Q407" i="2" a="1"/>
  <c r="Q407" i="2" s="1"/>
  <c r="S407" i="2" s="1"/>
  <c r="W407" i="2" s="1"/>
  <c r="X407" i="2" s="1"/>
  <c r="Q1442" i="2" a="1"/>
  <c r="Q1442" i="2" s="1"/>
  <c r="S1442" i="2" s="1"/>
  <c r="W1442" i="2" s="1"/>
  <c r="X1442" i="2" s="1"/>
  <c r="Q596" i="2" a="1"/>
  <c r="Q596" i="2" s="1"/>
  <c r="S596" i="2" s="1"/>
  <c r="W596" i="2" s="1"/>
  <c r="X596" i="2" s="1"/>
  <c r="Q1056" i="2" a="1"/>
  <c r="Q1056" i="2" s="1"/>
  <c r="S1056" i="2" s="1"/>
  <c r="W1056" i="2" s="1"/>
  <c r="X1056" i="2" s="1"/>
  <c r="Q850" i="2" a="1"/>
  <c r="Q850" i="2" s="1"/>
  <c r="S850" i="2" s="1"/>
  <c r="W850" i="2" s="1"/>
  <c r="X850" i="2" s="1"/>
  <c r="R787" i="2" a="1"/>
  <c r="R787" i="2" s="1"/>
  <c r="Q1011" i="2" a="1"/>
  <c r="Q1011" i="2" s="1"/>
  <c r="S1011" i="2" s="1"/>
  <c r="W1011" i="2" s="1"/>
  <c r="X1011" i="2" s="1"/>
  <c r="Q1306" i="2" a="1"/>
  <c r="Q1306" i="2" s="1"/>
  <c r="S1306" i="2" s="1"/>
  <c r="W1306" i="2" s="1"/>
  <c r="X1306" i="2" s="1"/>
  <c r="Q417" i="2" a="1"/>
  <c r="Q417" i="2" s="1"/>
  <c r="S417" i="2" s="1"/>
  <c r="W417" i="2" s="1"/>
  <c r="X417" i="2" s="1"/>
  <c r="Q1703" i="2" a="1"/>
  <c r="Q1703" i="2" s="1"/>
  <c r="S1703" i="2" s="1"/>
  <c r="W1703" i="2" s="1"/>
  <c r="X1703" i="2" s="1"/>
  <c r="Q1345" i="2" a="1"/>
  <c r="Q1345" i="2" s="1"/>
  <c r="S1345" i="2" s="1"/>
  <c r="W1345" i="2" s="1"/>
  <c r="X1345" i="2" s="1"/>
  <c r="Q1655" i="2" a="1"/>
  <c r="Q1655" i="2" s="1"/>
  <c r="S1655" i="2" s="1"/>
  <c r="W1655" i="2" s="1"/>
  <c r="X1655" i="2" s="1"/>
  <c r="Q1035" i="2" a="1"/>
  <c r="Q1035" i="2" s="1"/>
  <c r="S1035" i="2" s="1"/>
  <c r="W1035" i="2" s="1"/>
  <c r="X1035" i="2" s="1"/>
  <c r="Q415" i="2" a="1"/>
  <c r="Q415" i="2" s="1"/>
  <c r="S415" i="2" s="1"/>
  <c r="W415" i="2" s="1"/>
  <c r="X415" i="2" s="1"/>
  <c r="Q647" i="2" a="1"/>
  <c r="Q647" i="2" s="1"/>
  <c r="S647" i="2" s="1"/>
  <c r="W647" i="2" s="1"/>
  <c r="X647" i="2" s="1"/>
  <c r="Q428" i="2" a="1"/>
  <c r="Q428" i="2" s="1"/>
  <c r="S428" i="2" s="1"/>
  <c r="W428" i="2" s="1"/>
  <c r="X428" i="2" s="1"/>
  <c r="Q1122" i="2" a="1"/>
  <c r="Q1122" i="2" s="1"/>
  <c r="S1122" i="2" s="1"/>
  <c r="W1122" i="2" s="1"/>
  <c r="X1122" i="2" s="1"/>
  <c r="Q1657" i="2" a="1"/>
  <c r="Q1657" i="2" s="1"/>
  <c r="S1657" i="2" s="1"/>
  <c r="W1657" i="2" s="1"/>
  <c r="X1657" i="2" s="1"/>
  <c r="Q1515" i="2" a="1"/>
  <c r="Q1515" i="2" s="1"/>
  <c r="S1515" i="2" s="1"/>
  <c r="W1515" i="2" s="1"/>
  <c r="X1515" i="2" s="1"/>
  <c r="Q1533" i="2" a="1"/>
  <c r="Q1533" i="2" s="1"/>
  <c r="S1533" i="2" s="1"/>
  <c r="W1533" i="2" s="1"/>
  <c r="X1533" i="2" s="1"/>
  <c r="Q851" i="2" a="1"/>
  <c r="Q851" i="2" s="1"/>
  <c r="S851" i="2" s="1"/>
  <c r="W851" i="2" s="1"/>
  <c r="X851" i="2" s="1"/>
  <c r="Q1752" i="2" a="1"/>
  <c r="Q1752" i="2" s="1"/>
  <c r="S1752" i="2" s="1"/>
  <c r="W1752" i="2" s="1"/>
  <c r="X1752" i="2" s="1"/>
  <c r="Q951" i="2" a="1"/>
  <c r="Q951" i="2" s="1"/>
  <c r="S951" i="2" s="1"/>
  <c r="W951" i="2" s="1"/>
  <c r="X951" i="2" s="1"/>
  <c r="Q1065" i="2" a="1"/>
  <c r="Q1065" i="2" s="1"/>
  <c r="S1065" i="2" s="1"/>
  <c r="W1065" i="2" s="1"/>
  <c r="X1065" i="2" s="1"/>
  <c r="Q384" i="2" a="1"/>
  <c r="Q384" i="2" s="1"/>
  <c r="S384" i="2" s="1"/>
  <c r="W384" i="2" s="1"/>
  <c r="X384" i="2" s="1"/>
  <c r="Q255" i="2" a="1"/>
  <c r="Q255" i="2" s="1"/>
  <c r="S255" i="2" s="1"/>
  <c r="W255" i="2" s="1"/>
  <c r="X255" i="2" s="1"/>
  <c r="Q1739" i="2" a="1"/>
  <c r="Q1739" i="2" s="1"/>
  <c r="S1739" i="2" s="1"/>
  <c r="W1739" i="2" s="1"/>
  <c r="X1739" i="2" s="1"/>
  <c r="Q1744" i="2" a="1"/>
  <c r="Q1744" i="2" s="1"/>
  <c r="S1744" i="2" s="1"/>
  <c r="W1744" i="2" s="1"/>
  <c r="X1744" i="2" s="1"/>
  <c r="Q1248" i="2" a="1"/>
  <c r="Q1248" i="2" s="1"/>
  <c r="S1248" i="2" s="1"/>
  <c r="W1248" i="2" s="1"/>
  <c r="X1248" i="2" s="1"/>
  <c r="Q1018" i="2" a="1"/>
  <c r="Q1018" i="2" s="1"/>
  <c r="S1018" i="2" s="1"/>
  <c r="W1018" i="2" s="1"/>
  <c r="X1018" i="2" s="1"/>
  <c r="Q1407" i="2" a="1"/>
  <c r="Q1407" i="2" s="1"/>
  <c r="S1407" i="2" s="1"/>
  <c r="W1407" i="2" s="1"/>
  <c r="X1407" i="2" s="1"/>
  <c r="Q915" i="2" a="1"/>
  <c r="Q915" i="2" s="1"/>
  <c r="S915" i="2" s="1"/>
  <c r="W915" i="2" s="1"/>
  <c r="X915" i="2" s="1"/>
  <c r="Q1762" i="2" a="1"/>
  <c r="Q1762" i="2" s="1"/>
  <c r="S1762" i="2" s="1"/>
  <c r="W1762" i="2" s="1"/>
  <c r="X1762" i="2" s="1"/>
  <c r="Q1331" i="2" a="1"/>
  <c r="Q1331" i="2" s="1"/>
  <c r="S1331" i="2" s="1"/>
  <c r="W1331" i="2" s="1"/>
  <c r="X1331" i="2" s="1"/>
  <c r="Q73" i="2" a="1"/>
  <c r="Q73" i="2" s="1"/>
  <c r="S73" i="2" s="1"/>
  <c r="W73" i="2" s="1"/>
  <c r="X73" i="2" s="1"/>
  <c r="Q1359" i="2" a="1"/>
  <c r="Q1359" i="2" s="1"/>
  <c r="S1359" i="2" s="1"/>
  <c r="W1359" i="2" s="1"/>
  <c r="X1359" i="2" s="1"/>
  <c r="Q59" i="2" a="1"/>
  <c r="Q59" i="2" s="1"/>
  <c r="S59" i="2" s="1"/>
  <c r="W59" i="2" s="1"/>
  <c r="X59" i="2" s="1"/>
  <c r="Q419" i="2" a="1"/>
  <c r="Q419" i="2" s="1"/>
  <c r="S419" i="2" s="1"/>
  <c r="W419" i="2" s="1"/>
  <c r="X419" i="2" s="1"/>
  <c r="Q918" i="2" a="1"/>
  <c r="Q918" i="2" s="1"/>
  <c r="S918" i="2" s="1"/>
  <c r="W918" i="2" s="1"/>
  <c r="X918" i="2" s="1"/>
  <c r="Q1601" i="2" a="1"/>
  <c r="Q1601" i="2" s="1"/>
  <c r="S1601" i="2" s="1"/>
  <c r="W1601" i="2" s="1"/>
  <c r="X1601" i="2" s="1"/>
  <c r="Q204" i="2" a="1"/>
  <c r="Q204" i="2" s="1"/>
  <c r="S204" i="2" s="1"/>
  <c r="W204" i="2" s="1"/>
  <c r="X204" i="2" s="1"/>
  <c r="Q1740" i="2" a="1"/>
  <c r="Q1740" i="2" s="1"/>
  <c r="S1740" i="2" s="1"/>
  <c r="W1740" i="2" s="1"/>
  <c r="X1740" i="2" s="1"/>
  <c r="Q1238" i="2" a="1"/>
  <c r="Q1238" i="2" s="1"/>
  <c r="S1238" i="2" s="1"/>
  <c r="W1238" i="2" s="1"/>
  <c r="X1238" i="2" s="1"/>
  <c r="Q1486" i="2" a="1"/>
  <c r="Q1486" i="2" s="1"/>
  <c r="S1486" i="2" s="1"/>
  <c r="W1486" i="2" s="1"/>
  <c r="X1486" i="2" s="1"/>
  <c r="Q1646" i="2" a="1"/>
  <c r="Q1646" i="2" s="1"/>
  <c r="S1646" i="2" s="1"/>
  <c r="W1646" i="2" s="1"/>
  <c r="X1646" i="2" s="1"/>
  <c r="Q224" i="2" a="1"/>
  <c r="Q224" i="2" s="1"/>
  <c r="S224" i="2" s="1"/>
  <c r="W224" i="2" s="1"/>
  <c r="X224" i="2" s="1"/>
  <c r="Q1662" i="2" a="1"/>
  <c r="Q1662" i="2" s="1"/>
  <c r="S1662" i="2" s="1"/>
  <c r="W1662" i="2" s="1"/>
  <c r="X1662" i="2" s="1"/>
  <c r="Q1225" i="2" a="1"/>
  <c r="Q1225" i="2" s="1"/>
  <c r="S1225" i="2" s="1"/>
  <c r="W1225" i="2" s="1"/>
  <c r="X1225" i="2" s="1"/>
  <c r="Q1247" i="2" a="1"/>
  <c r="Q1247" i="2" s="1"/>
  <c r="S1247" i="2" s="1"/>
  <c r="W1247" i="2" s="1"/>
  <c r="X1247" i="2" s="1"/>
  <c r="Q1059" i="2" a="1"/>
  <c r="Q1059" i="2" s="1"/>
  <c r="S1059" i="2" s="1"/>
  <c r="W1059" i="2" s="1"/>
  <c r="X1059" i="2" s="1"/>
  <c r="Q971" i="2" a="1"/>
  <c r="Q971" i="2" s="1"/>
  <c r="S971" i="2" s="1"/>
  <c r="W971" i="2" s="1"/>
  <c r="X971" i="2" s="1"/>
  <c r="Q516" i="2" a="1"/>
  <c r="Q516" i="2" s="1"/>
  <c r="S516" i="2" s="1"/>
  <c r="W516" i="2" s="1"/>
  <c r="X516" i="2" s="1"/>
  <c r="Q1709" i="2" a="1"/>
  <c r="Q1709" i="2" s="1"/>
  <c r="S1709" i="2" s="1"/>
  <c r="W1709" i="2" s="1"/>
  <c r="X1709" i="2" s="1"/>
  <c r="Q916" i="2" a="1"/>
  <c r="Q916" i="2" s="1"/>
  <c r="S916" i="2" s="1"/>
  <c r="W916" i="2" s="1"/>
  <c r="X916" i="2" s="1"/>
  <c r="Q1277" i="2" a="1"/>
  <c r="Q1277" i="2" s="1"/>
  <c r="S1277" i="2" s="1"/>
  <c r="W1277" i="2" s="1"/>
  <c r="X1277" i="2" s="1"/>
  <c r="Q1118" i="2" a="1"/>
  <c r="Q1118" i="2" s="1"/>
  <c r="S1118" i="2" s="1"/>
  <c r="W1118" i="2" s="1"/>
  <c r="X1118" i="2" s="1"/>
  <c r="Q281" i="2" a="1"/>
  <c r="Q281" i="2" s="1"/>
  <c r="S281" i="2" s="1"/>
  <c r="W281" i="2" s="1"/>
  <c r="X281" i="2" s="1"/>
  <c r="Q1732" i="2" a="1"/>
  <c r="Q1732" i="2" s="1"/>
  <c r="S1732" i="2" s="1"/>
  <c r="W1732" i="2" s="1"/>
  <c r="X1732" i="2" s="1"/>
  <c r="Q960" i="2" a="1"/>
  <c r="Q960" i="2" s="1"/>
  <c r="S960" i="2" s="1"/>
  <c r="W960" i="2" s="1"/>
  <c r="X960" i="2" s="1"/>
  <c r="Q1158" i="2" a="1"/>
  <c r="Q1158" i="2" s="1"/>
  <c r="S1158" i="2" s="1"/>
  <c r="W1158" i="2" s="1"/>
  <c r="X1158" i="2" s="1"/>
  <c r="Q1155" i="2" a="1"/>
  <c r="Q1155" i="2" s="1"/>
  <c r="S1155" i="2" s="1"/>
  <c r="W1155" i="2" s="1"/>
  <c r="X1155" i="2" s="1"/>
  <c r="Q504" i="2" a="1"/>
  <c r="Q504" i="2" s="1"/>
  <c r="S504" i="2" s="1"/>
  <c r="W504" i="2" s="1"/>
  <c r="X504" i="2" s="1"/>
  <c r="Q1574" i="2" a="1"/>
  <c r="Q1574" i="2" s="1"/>
  <c r="S1574" i="2" s="1"/>
  <c r="W1574" i="2" s="1"/>
  <c r="X1574" i="2" s="1"/>
  <c r="Q1201" i="2" a="1"/>
  <c r="Q1201" i="2" s="1"/>
  <c r="S1201" i="2" s="1"/>
  <c r="W1201" i="2" s="1"/>
  <c r="X1201" i="2" s="1"/>
  <c r="Q952" i="2" a="1"/>
  <c r="Q952" i="2" s="1"/>
  <c r="S952" i="2" s="1"/>
  <c r="W952" i="2" s="1"/>
  <c r="X952" i="2" s="1"/>
  <c r="Q1408" i="2" a="1"/>
  <c r="Q1408" i="2" s="1"/>
  <c r="S1408" i="2" s="1"/>
  <c r="W1408" i="2" s="1"/>
  <c r="X1408" i="2" s="1"/>
  <c r="Q628" i="2" a="1"/>
  <c r="Q628" i="2" s="1"/>
  <c r="S628" i="2" s="1"/>
  <c r="W628" i="2" s="1"/>
  <c r="X628" i="2" s="1"/>
  <c r="Q1221" i="2" a="1"/>
  <c r="Q1221" i="2" s="1"/>
  <c r="S1221" i="2" s="1"/>
  <c r="W1221" i="2" s="1"/>
  <c r="X1221" i="2" s="1"/>
  <c r="Q2140" i="2" a="1"/>
  <c r="Q2140" i="2" s="1"/>
  <c r="S2140" i="2" s="1"/>
  <c r="W2140" i="2" s="1"/>
  <c r="X2140" i="2" s="1"/>
  <c r="Q1319" i="2" a="1"/>
  <c r="Q1319" i="2" s="1"/>
  <c r="S1319" i="2" s="1"/>
  <c r="W1319" i="2" s="1"/>
  <c r="X1319" i="2" s="1"/>
  <c r="Q1384" i="2" a="1"/>
  <c r="Q1384" i="2" s="1"/>
  <c r="S1384" i="2" s="1"/>
  <c r="W1384" i="2" s="1"/>
  <c r="X1384" i="2" s="1"/>
  <c r="Q981" i="2" a="1"/>
  <c r="Q981" i="2" s="1"/>
  <c r="S981" i="2" s="1"/>
  <c r="W981" i="2" s="1"/>
  <c r="X981" i="2" s="1"/>
  <c r="Q76" i="2" a="1"/>
  <c r="Q76" i="2" s="1"/>
  <c r="S76" i="2" s="1"/>
  <c r="W76" i="2" s="1"/>
  <c r="X76" i="2" s="1"/>
  <c r="Q150" i="2" a="1"/>
  <c r="Q150" i="2" s="1"/>
  <c r="S150" i="2" s="1"/>
  <c r="W150" i="2" s="1"/>
  <c r="X150" i="2" s="1"/>
  <c r="Q856" i="2" a="1"/>
  <c r="Q856" i="2" s="1"/>
  <c r="S856" i="2" s="1"/>
  <c r="W856" i="2" s="1"/>
  <c r="X856" i="2" s="1"/>
  <c r="Q553" i="2" a="1"/>
  <c r="Q553" i="2" s="1"/>
  <c r="S553" i="2" s="1"/>
  <c r="W553" i="2" s="1"/>
  <c r="X553" i="2" s="1"/>
  <c r="Q1607" i="2" a="1"/>
  <c r="Q1607" i="2" s="1"/>
  <c r="S1607" i="2" s="1"/>
  <c r="W1607" i="2" s="1"/>
  <c r="X1607" i="2" s="1"/>
  <c r="Q1434" i="2" a="1"/>
  <c r="Q1434" i="2" s="1"/>
  <c r="S1434" i="2" s="1"/>
  <c r="W1434" i="2" s="1"/>
  <c r="X1434" i="2" s="1"/>
  <c r="Q506" i="2" a="1"/>
  <c r="Q506" i="2" s="1"/>
  <c r="S506" i="2" s="1"/>
  <c r="W506" i="2" s="1"/>
  <c r="X506" i="2" s="1"/>
  <c r="Q1756" i="2" a="1"/>
  <c r="Q1756" i="2" s="1"/>
  <c r="S1756" i="2" s="1"/>
  <c r="W1756" i="2" s="1"/>
  <c r="X1756" i="2" s="1"/>
  <c r="Q544" i="2" a="1"/>
  <c r="Q544" i="2" s="1"/>
  <c r="S544" i="2" s="1"/>
  <c r="W544" i="2" s="1"/>
  <c r="X544" i="2" s="1"/>
  <c r="Q891" i="2" a="1"/>
  <c r="Q891" i="2" s="1"/>
  <c r="S891" i="2" s="1"/>
  <c r="W891" i="2" s="1"/>
  <c r="X891" i="2" s="1"/>
  <c r="Q2154" i="2" a="1"/>
  <c r="Q2154" i="2" s="1"/>
  <c r="S2154" i="2" s="1"/>
  <c r="W2154" i="2" s="1"/>
  <c r="X2154" i="2" s="1"/>
  <c r="Q1171" i="2" a="1"/>
  <c r="Q1171" i="2" s="1"/>
  <c r="S1171" i="2" s="1"/>
  <c r="W1171" i="2" s="1"/>
  <c r="X1171" i="2" s="1"/>
  <c r="Q146" i="2" a="1"/>
  <c r="Q146" i="2" s="1"/>
  <c r="S146" i="2" s="1"/>
  <c r="W146" i="2" s="1"/>
  <c r="X146" i="2" s="1"/>
  <c r="Q34" i="2" a="1"/>
  <c r="Q34" i="2" s="1"/>
  <c r="S34" i="2" s="1"/>
  <c r="W34" i="2" s="1"/>
  <c r="X34" i="2" s="1"/>
  <c r="Q2128" i="2" a="1"/>
  <c r="Q2128" i="2" s="1"/>
  <c r="S2128" i="2" s="1"/>
  <c r="W2128" i="2" s="1"/>
  <c r="X2128" i="2" s="1"/>
  <c r="Q887" i="2" a="1"/>
  <c r="Q887" i="2" s="1"/>
  <c r="S887" i="2" s="1"/>
  <c r="W887" i="2" s="1"/>
  <c r="X887" i="2" s="1"/>
  <c r="Q320" i="2" a="1"/>
  <c r="Q320" i="2" s="1"/>
  <c r="S320" i="2" s="1"/>
  <c r="W320" i="2" s="1"/>
  <c r="X320" i="2" s="1"/>
  <c r="Q787" i="2" a="1"/>
  <c r="Q787" i="2" s="1"/>
  <c r="S787" i="2" s="1"/>
  <c r="W787" i="2" s="1"/>
  <c r="X787" i="2" s="1"/>
  <c r="Q1617" i="2" a="1"/>
  <c r="Q1617" i="2" s="1"/>
  <c r="S1617" i="2" s="1"/>
  <c r="W1617" i="2" s="1"/>
  <c r="X1617" i="2" s="1"/>
  <c r="Q501" i="2" a="1"/>
  <c r="Q501" i="2" s="1"/>
  <c r="S501" i="2" s="1"/>
  <c r="W501" i="2" s="1"/>
  <c r="X501" i="2" s="1"/>
  <c r="Q1351" i="2" a="1"/>
  <c r="Q1351" i="2" s="1"/>
  <c r="S1351" i="2" s="1"/>
  <c r="W1351" i="2" s="1"/>
  <c r="X1351" i="2" s="1"/>
  <c r="Q264" i="2" a="1"/>
  <c r="Q264" i="2" s="1"/>
  <c r="S264" i="2" s="1"/>
  <c r="W264" i="2" s="1"/>
  <c r="X264" i="2" s="1"/>
  <c r="Q565" i="2" a="1"/>
  <c r="Q565" i="2" s="1"/>
  <c r="S565" i="2" s="1"/>
  <c r="W565" i="2" s="1"/>
  <c r="X565" i="2" s="1"/>
  <c r="Q860" i="2" a="1"/>
  <c r="Q860" i="2" s="1"/>
  <c r="S860" i="2" s="1"/>
  <c r="W860" i="2" s="1"/>
  <c r="X860" i="2" s="1"/>
  <c r="Q645" i="2" a="1"/>
  <c r="Q645" i="2" s="1"/>
  <c r="S645" i="2" s="1"/>
  <c r="W645" i="2" s="1"/>
  <c r="X645" i="2" s="1"/>
  <c r="Q1722" i="2" a="1"/>
  <c r="Q1722" i="2" s="1"/>
  <c r="S1722" i="2" s="1"/>
  <c r="W1722" i="2" s="1"/>
  <c r="X1722" i="2" s="1"/>
  <c r="Q1202" i="2" a="1"/>
  <c r="Q1202" i="2" s="1"/>
  <c r="S1202" i="2" s="1"/>
  <c r="W1202" i="2" s="1"/>
  <c r="X1202" i="2" s="1"/>
  <c r="Q500" i="2" a="1"/>
  <c r="Q500" i="2" s="1"/>
  <c r="S500" i="2" s="1"/>
  <c r="W500" i="2" s="1"/>
  <c r="X500" i="2" s="1"/>
  <c r="Q491" i="2" a="1"/>
  <c r="Q491" i="2" s="1"/>
  <c r="S491" i="2" s="1"/>
  <c r="W491" i="2" s="1"/>
  <c r="X491" i="2" s="1"/>
  <c r="Q162" i="2" a="1"/>
  <c r="Q162" i="2" s="1"/>
  <c r="S162" i="2" s="1"/>
  <c r="W162" i="2" s="1"/>
  <c r="X162" i="2" s="1"/>
  <c r="Q273" i="2" a="1"/>
  <c r="Q273" i="2" s="1"/>
  <c r="S273" i="2" s="1"/>
  <c r="W273" i="2" s="1"/>
  <c r="X273" i="2" s="1"/>
  <c r="Q959" i="2" a="1"/>
  <c r="Q959" i="2" s="1"/>
  <c r="S959" i="2" s="1"/>
  <c r="W959" i="2" s="1"/>
  <c r="X959" i="2" s="1"/>
  <c r="Q1797" i="2" a="1"/>
  <c r="Q1797" i="2" s="1"/>
  <c r="S1797" i="2" s="1"/>
  <c r="W1797" i="2" s="1"/>
  <c r="X1797" i="2" s="1"/>
  <c r="Q1586" i="2" a="1"/>
  <c r="Q1586" i="2" s="1"/>
  <c r="S1586" i="2" s="1"/>
  <c r="W1586" i="2" s="1"/>
  <c r="X1586" i="2" s="1"/>
  <c r="Q1030" i="2" a="1"/>
  <c r="Q1030" i="2" s="1"/>
  <c r="S1030" i="2" s="1"/>
  <c r="W1030" i="2" s="1"/>
  <c r="X1030" i="2" s="1"/>
  <c r="Q1106" i="2" a="1"/>
  <c r="Q1106" i="2" s="1"/>
  <c r="S1106" i="2" s="1"/>
  <c r="W1106" i="2" s="1"/>
  <c r="X1106" i="2" s="1"/>
  <c r="Q1439" i="2" a="1"/>
  <c r="Q1439" i="2" s="1"/>
  <c r="S1439" i="2" s="1"/>
  <c r="W1439" i="2" s="1"/>
  <c r="X1439" i="2" s="1"/>
  <c r="Q2119" i="2" a="1"/>
  <c r="Q2119" i="2" s="1"/>
  <c r="S2119" i="2" s="1"/>
  <c r="W2119" i="2" s="1"/>
  <c r="X2119" i="2" s="1"/>
  <c r="Q1493" i="2" a="1"/>
  <c r="Q1493" i="2" s="1"/>
  <c r="S1493" i="2" s="1"/>
  <c r="W1493" i="2" s="1"/>
  <c r="X1493" i="2" s="1"/>
  <c r="Q1519" i="2" a="1"/>
  <c r="Q1519" i="2" s="1"/>
  <c r="S1519" i="2" s="1"/>
  <c r="W1519" i="2" s="1"/>
  <c r="X1519" i="2" s="1"/>
  <c r="Q1772" i="2" a="1"/>
  <c r="Q1772" i="2" s="1"/>
  <c r="S1772" i="2" s="1"/>
  <c r="W1772" i="2" s="1"/>
  <c r="X1772" i="2" s="1"/>
  <c r="Q37" i="2" a="1"/>
  <c r="Q37" i="2" s="1"/>
  <c r="S37" i="2" s="1"/>
  <c r="W37" i="2" s="1"/>
  <c r="X37" i="2" s="1"/>
  <c r="Q212" i="2" a="1"/>
  <c r="Q212" i="2" s="1"/>
  <c r="S212" i="2" s="1"/>
  <c r="W212" i="2" s="1"/>
  <c r="X212" i="2" s="1"/>
  <c r="Q1508" i="2" a="1"/>
  <c r="Q1508" i="2" s="1"/>
  <c r="S1508" i="2" s="1"/>
  <c r="W1508" i="2" s="1"/>
  <c r="X1508" i="2" s="1"/>
  <c r="Q650" i="2" a="1"/>
  <c r="Q650" i="2" s="1"/>
  <c r="S650" i="2" s="1"/>
  <c r="W650" i="2" s="1"/>
  <c r="X650" i="2" s="1"/>
  <c r="Q1412" i="2" a="1"/>
  <c r="Q1412" i="2" s="1"/>
  <c r="S1412" i="2" s="1"/>
  <c r="W1412" i="2" s="1"/>
  <c r="X1412" i="2" s="1"/>
  <c r="Q571" i="2" a="1"/>
  <c r="Q571" i="2" s="1"/>
  <c r="S571" i="2" s="1"/>
  <c r="W571" i="2" s="1"/>
  <c r="X571" i="2" s="1"/>
  <c r="Q1501" i="2" a="1"/>
  <c r="Q1501" i="2" s="1"/>
  <c r="S1501" i="2" s="1"/>
  <c r="W1501" i="2" s="1"/>
  <c r="X1501" i="2" s="1"/>
  <c r="Q1135" i="2" a="1"/>
  <c r="Q1135" i="2" s="1"/>
  <c r="S1135" i="2" s="1"/>
  <c r="W1135" i="2" s="1"/>
  <c r="X1135" i="2" s="1"/>
  <c r="Q1052" i="2" a="1"/>
  <c r="Q1052" i="2" s="1"/>
  <c r="S1052" i="2" s="1"/>
  <c r="W1052" i="2" s="1"/>
  <c r="X1052" i="2" s="1"/>
  <c r="Q1012" i="2" a="1"/>
  <c r="Q1012" i="2" s="1"/>
  <c r="S1012" i="2" s="1"/>
  <c r="W1012" i="2" s="1"/>
  <c r="X1012" i="2" s="1"/>
  <c r="Q1073" i="2" a="1"/>
  <c r="Q1073" i="2" s="1"/>
  <c r="S1073" i="2" s="1"/>
  <c r="W1073" i="2" s="1"/>
  <c r="X1073" i="2" s="1"/>
  <c r="Q1642" i="2" a="1"/>
  <c r="Q1642" i="2" s="1"/>
  <c r="S1642" i="2" s="1"/>
  <c r="W1642" i="2" s="1"/>
  <c r="X1642" i="2" s="1"/>
  <c r="Q1302" i="2" a="1"/>
  <c r="Q1302" i="2" s="1"/>
  <c r="S1302" i="2" s="1"/>
  <c r="W1302" i="2" s="1"/>
  <c r="X1302" i="2" s="1"/>
  <c r="Q957" i="2" a="1"/>
  <c r="Q957" i="2" s="1"/>
  <c r="S957" i="2" s="1"/>
  <c r="W957" i="2" s="1"/>
  <c r="X957" i="2" s="1"/>
  <c r="Q1119" i="2" a="1"/>
  <c r="Q1119" i="2" s="1"/>
  <c r="S1119" i="2" s="1"/>
  <c r="W1119" i="2" s="1"/>
  <c r="X1119" i="2" s="1"/>
  <c r="Q1419" i="2" a="1"/>
  <c r="Q1419" i="2" s="1"/>
  <c r="S1419" i="2" s="1"/>
  <c r="W1419" i="2" s="1"/>
  <c r="X1419" i="2" s="1"/>
  <c r="Q210" i="2" a="1"/>
  <c r="Q210" i="2" s="1"/>
  <c r="S210" i="2" s="1"/>
  <c r="W210" i="2" s="1"/>
  <c r="X210" i="2" s="1"/>
  <c r="Q1800" i="2" a="1"/>
  <c r="Q1800" i="2" s="1"/>
  <c r="S1800" i="2" s="1"/>
  <c r="W1800" i="2" s="1"/>
  <c r="X1800" i="2" s="1"/>
  <c r="Q1053" i="2" a="1"/>
  <c r="Q1053" i="2" s="1"/>
  <c r="S1053" i="2" s="1"/>
  <c r="W1053" i="2" s="1"/>
  <c r="X1053" i="2" s="1"/>
  <c r="Q1420" i="2" a="1"/>
  <c r="Q1420" i="2" s="1"/>
  <c r="S1420" i="2" s="1"/>
  <c r="W1420" i="2" s="1"/>
  <c r="X1420" i="2" s="1"/>
  <c r="Q458" i="2" a="1"/>
  <c r="Q458" i="2" s="1"/>
  <c r="S458" i="2" s="1"/>
  <c r="W458" i="2" s="1"/>
  <c r="X458" i="2" s="1"/>
  <c r="Q852" i="2" a="1"/>
  <c r="Q852" i="2" s="1"/>
  <c r="S852" i="2" s="1"/>
  <c r="W852" i="2" s="1"/>
  <c r="X852" i="2" s="1"/>
  <c r="Q106" i="2" a="1"/>
  <c r="Q106" i="2" s="1"/>
  <c r="S106" i="2" s="1"/>
  <c r="W106" i="2" s="1"/>
  <c r="X106" i="2" s="1"/>
  <c r="Q1411" i="2" a="1"/>
  <c r="Q1411" i="2" s="1"/>
  <c r="S1411" i="2" s="1"/>
  <c r="W1411" i="2" s="1"/>
  <c r="X1411" i="2" s="1"/>
  <c r="Q22" i="2" a="1"/>
  <c r="Q22" i="2" s="1"/>
  <c r="S22" i="2" s="1"/>
  <c r="W22" i="2" s="1"/>
  <c r="X22" i="2" s="1"/>
  <c r="Q3" i="2" a="1"/>
  <c r="Q3" i="2" s="1"/>
  <c r="S3" i="2" s="1"/>
  <c r="W3" i="2" s="1"/>
  <c r="X3" i="2" s="1"/>
  <c r="Q1562" i="2" a="1"/>
  <c r="Q1562" i="2" s="1"/>
  <c r="S1562" i="2" s="1"/>
  <c r="W1562" i="2" s="1"/>
  <c r="X1562" i="2" s="1"/>
  <c r="Q2146" i="2" a="1"/>
  <c r="Q2146" i="2" s="1"/>
  <c r="S2146" i="2" s="1"/>
  <c r="W2146" i="2" s="1"/>
  <c r="X2146" i="2" s="1"/>
  <c r="Q513" i="2" a="1"/>
  <c r="Q513" i="2" s="1"/>
  <c r="S513" i="2" s="1"/>
  <c r="W513" i="2" s="1"/>
  <c r="X513" i="2" s="1"/>
  <c r="Q1167" i="2" a="1"/>
  <c r="Q1167" i="2" s="1"/>
  <c r="S1167" i="2" s="1"/>
  <c r="W1167" i="2" s="1"/>
  <c r="X1167" i="2" s="1"/>
  <c r="Q1324" i="2" a="1"/>
  <c r="Q1324" i="2" s="1"/>
  <c r="S1324" i="2" s="1"/>
  <c r="W1324" i="2" s="1"/>
  <c r="X1324" i="2" s="1"/>
  <c r="Q4" i="2" a="1"/>
  <c r="Q4" i="2" s="1"/>
  <c r="S4" i="2" s="1"/>
  <c r="W4" i="2" s="1"/>
  <c r="X4" i="2" s="1"/>
  <c r="Q1717" i="2" a="1"/>
  <c r="Q1717" i="2" s="1"/>
  <c r="S1717" i="2" s="1"/>
  <c r="W1717" i="2" s="1"/>
  <c r="X1717" i="2" s="1"/>
  <c r="Q2151" i="2" a="1"/>
  <c r="Q2151" i="2" s="1"/>
  <c r="S2151" i="2" s="1"/>
  <c r="W2151" i="2" s="1"/>
  <c r="X2151" i="2" s="1"/>
  <c r="Q1184" i="2" a="1"/>
  <c r="Q1184" i="2" s="1"/>
  <c r="S1184" i="2" s="1"/>
  <c r="W1184" i="2" s="1"/>
  <c r="X1184" i="2" s="1"/>
  <c r="Q1350" i="2" a="1"/>
  <c r="Q1350" i="2" s="1"/>
  <c r="S1350" i="2" s="1"/>
  <c r="W1350" i="2" s="1"/>
  <c r="X1350" i="2" s="1"/>
  <c r="Q169" i="2" a="1"/>
  <c r="Q169" i="2" s="1"/>
  <c r="S169" i="2" s="1"/>
  <c r="W169" i="2" s="1"/>
  <c r="X169" i="2" s="1"/>
  <c r="Q1527" i="2" a="1"/>
  <c r="Q1527" i="2" s="1"/>
  <c r="S1527" i="2" s="1"/>
  <c r="W1527" i="2" s="1"/>
  <c r="X1527" i="2" s="1"/>
  <c r="Q1019" i="2" a="1"/>
  <c r="Q1019" i="2" s="1"/>
  <c r="S1019" i="2" s="1"/>
  <c r="W1019" i="2" s="1"/>
  <c r="X1019" i="2" s="1"/>
  <c r="Q1713" i="2" a="1"/>
  <c r="Q1713" i="2" s="1"/>
  <c r="S1713" i="2" s="1"/>
  <c r="W1713" i="2" s="1"/>
  <c r="X1713" i="2" s="1"/>
  <c r="Q1480" i="2" a="1"/>
  <c r="Q1480" i="2" s="1"/>
  <c r="S1480" i="2" s="1"/>
  <c r="W1480" i="2" s="1"/>
  <c r="X1480" i="2" s="1"/>
  <c r="Q409" i="2" a="1"/>
  <c r="Q409" i="2" s="1"/>
  <c r="S409" i="2" s="1"/>
  <c r="W409" i="2" s="1"/>
  <c r="X409" i="2" s="1"/>
  <c r="Q1699" i="2" a="1"/>
  <c r="Q1699" i="2" s="1"/>
  <c r="S1699" i="2" s="1"/>
  <c r="W1699" i="2" s="1"/>
  <c r="X1699" i="2" s="1"/>
  <c r="Q77" i="2" a="1"/>
  <c r="Q77" i="2" s="1"/>
  <c r="S77" i="2" s="1"/>
  <c r="W77" i="2" s="1"/>
  <c r="X77" i="2" s="1"/>
  <c r="Q1295" i="2" a="1"/>
  <c r="Q1295" i="2" s="1"/>
  <c r="S1295" i="2" s="1"/>
  <c r="W1295" i="2" s="1"/>
  <c r="X1295" i="2" s="1"/>
  <c r="Q412" i="2" a="1"/>
  <c r="Q412" i="2" s="1"/>
  <c r="S412" i="2" s="1"/>
  <c r="W412" i="2" s="1"/>
  <c r="X412" i="2" s="1"/>
  <c r="Q278" i="2" a="1"/>
  <c r="Q278" i="2" s="1"/>
  <c r="S278" i="2" s="1"/>
  <c r="W278" i="2" s="1"/>
  <c r="X278" i="2" s="1"/>
  <c r="Q1031" i="2" a="1"/>
  <c r="Q1031" i="2" s="1"/>
  <c r="S1031" i="2" s="1"/>
  <c r="W1031" i="2" s="1"/>
  <c r="X1031" i="2" s="1"/>
  <c r="Q405" i="2" a="1"/>
  <c r="Q405" i="2" s="1"/>
  <c r="S405" i="2" s="1"/>
  <c r="W405" i="2" s="1"/>
  <c r="X405" i="2" s="1"/>
  <c r="Q1513" i="2" a="1"/>
  <c r="Q1513" i="2" s="1"/>
  <c r="S1513" i="2" s="1"/>
  <c r="W1513" i="2" s="1"/>
  <c r="X1513" i="2" s="1"/>
  <c r="Q982" i="2" a="1"/>
  <c r="Q982" i="2" s="1"/>
  <c r="S982" i="2" s="1"/>
  <c r="W982" i="2" s="1"/>
  <c r="X982" i="2" s="1"/>
  <c r="Q1487" i="2" a="1"/>
  <c r="Q1487" i="2" s="1"/>
  <c r="S1487" i="2" s="1"/>
  <c r="W1487" i="2" s="1"/>
  <c r="X1487" i="2" s="1"/>
  <c r="Q907" i="2" a="1"/>
  <c r="Q907" i="2" s="1"/>
  <c r="S907" i="2" s="1"/>
  <c r="W907" i="2" s="1"/>
  <c r="X907" i="2" s="1"/>
  <c r="Q2173" i="2" a="1"/>
  <c r="Q2173" i="2" s="1"/>
  <c r="S2173" i="2" s="1"/>
  <c r="W2173" i="2" s="1"/>
  <c r="X2173" i="2" s="1"/>
  <c r="Q1602" i="2" a="1"/>
  <c r="Q1602" i="2" s="1"/>
  <c r="S1602" i="2" s="1"/>
  <c r="W1602" i="2" s="1"/>
  <c r="X1602" i="2" s="1"/>
  <c r="Q550" i="2" a="1"/>
  <c r="Q550" i="2" s="1"/>
  <c r="S550" i="2" s="1"/>
  <c r="W550" i="2" s="1"/>
  <c r="X550" i="2" s="1"/>
  <c r="Q1806" i="2" a="1"/>
  <c r="Q1806" i="2" s="1"/>
  <c r="S1806" i="2" s="1"/>
  <c r="W1806" i="2" s="1"/>
  <c r="X1806" i="2" s="1"/>
  <c r="Q912" i="2" a="1"/>
  <c r="Q912" i="2" s="1"/>
  <c r="S912" i="2" s="1"/>
  <c r="W912" i="2" s="1"/>
  <c r="X912" i="2" s="1"/>
  <c r="Q651" i="2" a="1"/>
  <c r="Q651" i="2" s="1"/>
  <c r="S651" i="2" s="1"/>
  <c r="W651" i="2" s="1"/>
  <c r="X651" i="2" s="1"/>
  <c r="Q908" i="2" a="1"/>
  <c r="Q908" i="2" s="1"/>
  <c r="S908" i="2" s="1"/>
  <c r="W908" i="2" s="1"/>
  <c r="X908" i="2" s="1"/>
  <c r="Q1253" i="2" a="1"/>
  <c r="Q1253" i="2" s="1"/>
  <c r="S1253" i="2" s="1"/>
  <c r="W1253" i="2" s="1"/>
  <c r="X1253" i="2" s="1"/>
  <c r="Q788" i="2" a="1"/>
  <c r="Q788" i="2" s="1"/>
  <c r="S788" i="2" s="1"/>
  <c r="W788" i="2" s="1"/>
  <c r="X788" i="2" s="1"/>
  <c r="Q42" i="2" a="1"/>
  <c r="Q42" i="2" s="1"/>
  <c r="S42" i="2" s="1"/>
  <c r="W42" i="2" s="1"/>
  <c r="X42" i="2" s="1"/>
  <c r="Q1489" i="2" a="1"/>
  <c r="Q1489" i="2" s="1"/>
  <c r="S1489" i="2" s="1"/>
  <c r="W1489" i="2" s="1"/>
  <c r="X1489" i="2" s="1"/>
  <c r="Q1163" i="2" a="1"/>
  <c r="Q1163" i="2" s="1"/>
  <c r="S1163" i="2" s="1"/>
  <c r="W1163" i="2" s="1"/>
  <c r="X1163" i="2" s="1"/>
  <c r="Q1492" i="2" a="1"/>
  <c r="Q1492" i="2" s="1"/>
  <c r="S1492" i="2" s="1"/>
  <c r="W1492" i="2" s="1"/>
  <c r="X1492" i="2" s="1"/>
  <c r="Q101" i="2" a="1"/>
  <c r="Q101" i="2" s="1"/>
  <c r="S101" i="2" s="1"/>
  <c r="W101" i="2" s="1"/>
  <c r="X101" i="2" s="1"/>
  <c r="Q1381" i="2" a="1"/>
  <c r="Q1381" i="2" s="1"/>
  <c r="S1381" i="2" s="1"/>
  <c r="W1381" i="2" s="1"/>
  <c r="X1381" i="2" s="1"/>
  <c r="Q1478" i="2" a="1"/>
  <c r="Q1478" i="2" s="1"/>
  <c r="S1478" i="2" s="1"/>
  <c r="W1478" i="2" s="1"/>
  <c r="X1478" i="2" s="1"/>
  <c r="Q1343" i="2" a="1"/>
  <c r="Q1343" i="2" s="1"/>
  <c r="S1343" i="2" s="1"/>
  <c r="W1343" i="2" s="1"/>
  <c r="X1343" i="2" s="1"/>
  <c r="Q91" i="2" a="1"/>
  <c r="Q91" i="2" s="1"/>
  <c r="S91" i="2" s="1"/>
  <c r="W91" i="2" s="1"/>
  <c r="X91" i="2" s="1"/>
  <c r="Q1812" i="2" a="1"/>
  <c r="Q1812" i="2" s="1"/>
  <c r="S1812" i="2" s="1"/>
  <c r="W1812" i="2" s="1"/>
  <c r="X1812" i="2" s="1"/>
  <c r="Q1224" i="2" a="1"/>
  <c r="Q1224" i="2" s="1"/>
  <c r="S1224" i="2" s="1"/>
  <c r="W1224" i="2" s="1"/>
  <c r="X1224" i="2" s="1"/>
  <c r="Q919" i="2" a="1"/>
  <c r="Q919" i="2" s="1"/>
  <c r="S919" i="2" s="1"/>
  <c r="W919" i="2" s="1"/>
  <c r="X919" i="2" s="1"/>
  <c r="Q1518" i="2" a="1"/>
  <c r="Q1518" i="2" s="1"/>
  <c r="S1518" i="2" s="1"/>
  <c r="W1518" i="2" s="1"/>
  <c r="X1518" i="2" s="1"/>
  <c r="Q1087" i="2" a="1"/>
  <c r="Q1087" i="2" s="1"/>
  <c r="S1087" i="2" s="1"/>
  <c r="W1087" i="2" s="1"/>
  <c r="X1087" i="2" s="1"/>
  <c r="Q2134" i="2" a="1"/>
  <c r="Q2134" i="2" s="1"/>
  <c r="S2134" i="2" s="1"/>
  <c r="W2134" i="2" s="1"/>
  <c r="X2134" i="2" s="1"/>
  <c r="Q1474" i="2" a="1"/>
  <c r="Q1474" i="2" s="1"/>
  <c r="S1474" i="2" s="1"/>
  <c r="W1474" i="2" s="1"/>
  <c r="X1474" i="2" s="1"/>
  <c r="Q1799" i="2" a="1"/>
  <c r="Q1799" i="2" s="1"/>
  <c r="S1799" i="2" s="1"/>
  <c r="W1799" i="2" s="1"/>
  <c r="X1799" i="2" s="1"/>
  <c r="Q1523" i="2" a="1"/>
  <c r="Q1523" i="2" s="1"/>
  <c r="S1523" i="2" s="1"/>
  <c r="W1523" i="2" s="1"/>
  <c r="X1523" i="2" s="1"/>
  <c r="Q1237" i="2" a="1"/>
  <c r="Q1237" i="2" s="1"/>
  <c r="S1237" i="2" s="1"/>
  <c r="W1237" i="2" s="1"/>
  <c r="X1237" i="2" s="1"/>
  <c r="Q2159" i="2" a="1"/>
  <c r="Q2159" i="2" s="1"/>
  <c r="S2159" i="2" s="1"/>
  <c r="W2159" i="2" s="1"/>
  <c r="X2159" i="2" s="1"/>
  <c r="Q1853" i="2" a="1"/>
  <c r="Q1853" i="2" s="1"/>
  <c r="S1853" i="2" s="1"/>
  <c r="W1853" i="2" s="1"/>
  <c r="X1853" i="2" s="1"/>
  <c r="Q1521" i="2" a="1"/>
  <c r="Q1521" i="2" s="1"/>
  <c r="S1521" i="2" s="1"/>
  <c r="W1521" i="2" s="1"/>
  <c r="X1521" i="2" s="1"/>
  <c r="Q418" i="2" a="1"/>
  <c r="Q418" i="2" s="1"/>
  <c r="S418" i="2" s="1"/>
  <c r="W418" i="2" s="1"/>
  <c r="X418" i="2" s="1"/>
  <c r="Q1033" i="2" a="1"/>
  <c r="Q1033" i="2" s="1"/>
  <c r="S1033" i="2" s="1"/>
  <c r="W1033" i="2" s="1"/>
  <c r="X1033" i="2" s="1"/>
  <c r="Q1144" i="2" a="1"/>
  <c r="Q1144" i="2" s="1"/>
  <c r="S1144" i="2" s="1"/>
  <c r="W1144" i="2" s="1"/>
  <c r="X1144" i="2" s="1"/>
  <c r="Q903" i="2" a="1"/>
  <c r="Q903" i="2" s="1"/>
  <c r="S903" i="2" s="1"/>
  <c r="W903" i="2" s="1"/>
  <c r="X903" i="2" s="1"/>
  <c r="Q1278" i="2" a="1"/>
  <c r="Q1278" i="2" s="1"/>
  <c r="S1278" i="2" s="1"/>
  <c r="W1278" i="2" s="1"/>
  <c r="X1278" i="2" s="1"/>
  <c r="Q1750" i="2" a="1"/>
  <c r="Q1750" i="2" s="1"/>
  <c r="S1750" i="2" s="1"/>
  <c r="W1750" i="2" s="1"/>
  <c r="X1750" i="2" s="1"/>
  <c r="Q1429" i="2" a="1"/>
  <c r="Q1429" i="2" s="1"/>
  <c r="S1429" i="2" s="1"/>
  <c r="W1429" i="2" s="1"/>
  <c r="X1429" i="2" s="1"/>
  <c r="Q1503" i="2" a="1"/>
  <c r="Q1503" i="2" s="1"/>
  <c r="S1503" i="2" s="1"/>
  <c r="W1503" i="2" s="1"/>
  <c r="X1503" i="2" s="1"/>
  <c r="Q1784" i="2" a="1"/>
  <c r="Q1784" i="2" s="1"/>
  <c r="S1784" i="2" s="1"/>
  <c r="W1784" i="2" s="1"/>
  <c r="X1784" i="2" s="1"/>
  <c r="Q1814" i="2" a="1"/>
  <c r="Q1814" i="2" s="1"/>
  <c r="S1814" i="2" s="1"/>
  <c r="W1814" i="2" s="1"/>
  <c r="X1814" i="2" s="1"/>
  <c r="Q2160" i="2" a="1"/>
  <c r="Q2160" i="2" s="1"/>
  <c r="S2160" i="2" s="1"/>
  <c r="W2160" i="2" s="1"/>
  <c r="X2160" i="2" s="1"/>
  <c r="Q1498" i="2" a="1"/>
  <c r="Q1498" i="2" s="1"/>
  <c r="S1498" i="2" s="1"/>
  <c r="W1498" i="2" s="1"/>
  <c r="X1498" i="2" s="1"/>
  <c r="Q1273" i="2" a="1"/>
  <c r="Q1273" i="2" s="1"/>
  <c r="S1273" i="2" s="1"/>
  <c r="W1273" i="2" s="1"/>
  <c r="X1273" i="2" s="1"/>
  <c r="Q644" i="2" a="1"/>
  <c r="Q644" i="2" s="1"/>
  <c r="S644" i="2" s="1"/>
  <c r="W644" i="2" s="1"/>
  <c r="X644" i="2" s="1"/>
  <c r="Q1223" i="2" a="1"/>
  <c r="Q1223" i="2" s="1"/>
  <c r="S1223" i="2" s="1"/>
  <c r="W1223" i="2" s="1"/>
  <c r="X1223" i="2" s="1"/>
  <c r="Q1371" i="2" a="1"/>
  <c r="Q1371" i="2" s="1"/>
  <c r="S1371" i="2" s="1"/>
  <c r="W1371" i="2" s="1"/>
  <c r="X1371" i="2" s="1"/>
  <c r="Q1823" i="2" a="1"/>
  <c r="Q1823" i="2" s="1"/>
  <c r="S1823" i="2" s="1"/>
  <c r="W1823" i="2" s="1"/>
  <c r="X1823" i="2" s="1"/>
  <c r="Q1320" i="2" a="1"/>
  <c r="Q1320" i="2" s="1"/>
  <c r="S1320" i="2" s="1"/>
  <c r="W1320" i="2" s="1"/>
  <c r="X1320" i="2" s="1"/>
  <c r="Q263" i="2" a="1"/>
  <c r="Q263" i="2" s="1"/>
  <c r="S263" i="2" s="1"/>
  <c r="W263" i="2" s="1"/>
  <c r="X263" i="2" s="1"/>
  <c r="Q1499" i="2" a="1"/>
  <c r="Q1499" i="2" s="1"/>
  <c r="S1499" i="2" s="1"/>
  <c r="W1499" i="2" s="1"/>
  <c r="X1499" i="2" s="1"/>
  <c r="Q1391" i="2" a="1"/>
  <c r="Q1391" i="2" s="1"/>
  <c r="S1391" i="2" s="1"/>
  <c r="W1391" i="2" s="1"/>
  <c r="X1391" i="2" s="1"/>
  <c r="Q584" i="2" a="1"/>
  <c r="Q584" i="2" s="1"/>
  <c r="S584" i="2" s="1"/>
  <c r="W584" i="2" s="1"/>
  <c r="X584" i="2" s="1"/>
  <c r="Q768" i="2" a="1"/>
  <c r="Q768" i="2" s="1"/>
  <c r="S768" i="2" s="1"/>
  <c r="W768" i="2" s="1"/>
  <c r="X768" i="2" s="1"/>
  <c r="Q1484" i="2" a="1"/>
  <c r="Q1484" i="2" s="1"/>
  <c r="S1484" i="2" s="1"/>
  <c r="W1484" i="2" s="1"/>
  <c r="X1484" i="2" s="1"/>
  <c r="Q924" i="2" a="1"/>
  <c r="Q924" i="2" s="1"/>
  <c r="S924" i="2" s="1"/>
  <c r="W924" i="2" s="1"/>
  <c r="X924" i="2" s="1"/>
  <c r="Q604" i="2" a="1"/>
  <c r="Q604" i="2" s="1"/>
  <c r="S604" i="2" s="1"/>
  <c r="W604" i="2" s="1"/>
  <c r="X604" i="2" s="1"/>
  <c r="Q438" i="2" a="1"/>
  <c r="Q438" i="2" s="1"/>
  <c r="S438" i="2" s="1"/>
  <c r="W438" i="2" s="1"/>
  <c r="X438" i="2" s="1"/>
  <c r="Q609" i="2" a="1"/>
  <c r="Q609" i="2" s="1"/>
  <c r="S609" i="2" s="1"/>
  <c r="W609" i="2" s="1"/>
  <c r="X609" i="2" s="1"/>
  <c r="Q946" i="2" a="1"/>
  <c r="Q946" i="2" s="1"/>
  <c r="S946" i="2" s="1"/>
  <c r="W946" i="2" s="1"/>
  <c r="X946" i="2" s="1"/>
  <c r="Q1707" i="2" a="1"/>
  <c r="Q1707" i="2" s="1"/>
  <c r="S1707" i="2" s="1"/>
  <c r="W1707" i="2" s="1"/>
  <c r="X1707" i="2" s="1"/>
  <c r="Q1084" i="2" a="1"/>
  <c r="Q1084" i="2" s="1"/>
  <c r="S1084" i="2" s="1"/>
  <c r="W1084" i="2" s="1"/>
  <c r="X1084" i="2" s="1"/>
  <c r="Q14" i="2" a="1"/>
  <c r="Q14" i="2" s="1"/>
  <c r="S14" i="2" s="1"/>
  <c r="W14" i="2" s="1"/>
  <c r="X14" i="2" s="1"/>
  <c r="Q1205" i="2" a="1"/>
  <c r="Q1205" i="2" s="1"/>
  <c r="S1205" i="2" s="1"/>
  <c r="W1205" i="2" s="1"/>
  <c r="X1205" i="2" s="1"/>
  <c r="Q1251" i="2" a="1"/>
  <c r="Q1251" i="2" s="1"/>
  <c r="S1251" i="2" s="1"/>
  <c r="W1251" i="2" s="1"/>
  <c r="X1251" i="2" s="1"/>
  <c r="Q1337" i="2" a="1"/>
  <c r="Q1337" i="2" s="1"/>
  <c r="S1337" i="2" s="1"/>
  <c r="W1337" i="2" s="1"/>
  <c r="X1337" i="2" s="1"/>
  <c r="Q49" i="2" a="1"/>
  <c r="Q49" i="2" s="1"/>
  <c r="S49" i="2" s="1"/>
  <c r="W49" i="2" s="1"/>
  <c r="X49" i="2" s="1"/>
  <c r="Q566" i="2" a="1"/>
  <c r="Q566" i="2" s="1"/>
  <c r="S566" i="2" s="1"/>
  <c r="W566" i="2" s="1"/>
  <c r="X566" i="2" s="1"/>
  <c r="Q1580" i="2" a="1"/>
  <c r="Q1580" i="2" s="1"/>
  <c r="S1580" i="2" s="1"/>
  <c r="W1580" i="2" s="1"/>
  <c r="X1580" i="2" s="1"/>
  <c r="Q200" i="2" a="1"/>
  <c r="Q200" i="2" s="1"/>
  <c r="S200" i="2" s="1"/>
  <c r="W200" i="2" s="1"/>
  <c r="X200" i="2" s="1"/>
  <c r="Q586" i="2" a="1"/>
  <c r="Q586" i="2" s="1"/>
  <c r="S586" i="2" s="1"/>
  <c r="W586" i="2" s="1"/>
  <c r="X586" i="2" s="1"/>
  <c r="Q492" i="2" a="1"/>
  <c r="Q492" i="2" s="1"/>
  <c r="S492" i="2" s="1"/>
  <c r="W492" i="2" s="1"/>
  <c r="X492" i="2" s="1"/>
  <c r="Q1782" i="2" a="1"/>
  <c r="Q1782" i="2" s="1"/>
  <c r="S1782" i="2" s="1"/>
  <c r="W1782" i="2" s="1"/>
  <c r="X1782" i="2" s="1"/>
  <c r="Q575" i="2" a="1"/>
  <c r="Q575" i="2" s="1"/>
  <c r="S575" i="2" s="1"/>
  <c r="W575" i="2" s="1"/>
  <c r="X575" i="2" s="1"/>
  <c r="Q1129" i="2" a="1"/>
  <c r="Q1129" i="2" s="1"/>
  <c r="S1129" i="2" s="1"/>
  <c r="W1129" i="2" s="1"/>
  <c r="X1129" i="2" s="1"/>
  <c r="Q890" i="2" a="1"/>
  <c r="Q890" i="2" s="1"/>
  <c r="S890" i="2" s="1"/>
  <c r="W890" i="2" s="1"/>
  <c r="X890" i="2" s="1"/>
  <c r="Q168" i="2" a="1"/>
  <c r="Q168" i="2" s="1"/>
  <c r="S168" i="2" s="1"/>
  <c r="W168" i="2" s="1"/>
  <c r="X168" i="2" s="1"/>
  <c r="Q1584" i="2" a="1"/>
  <c r="Q1584" i="2" s="1"/>
  <c r="S1584" i="2" s="1"/>
  <c r="W1584" i="2" s="1"/>
  <c r="X1584" i="2" s="1"/>
  <c r="Q1333" i="2" a="1"/>
  <c r="Q1333" i="2" s="1"/>
  <c r="S1333" i="2" s="1"/>
  <c r="W1333" i="2" s="1"/>
  <c r="X1333" i="2" s="1"/>
  <c r="Q1130" i="2" a="1"/>
  <c r="Q1130" i="2" s="1"/>
  <c r="S1130" i="2" s="1"/>
  <c r="W1130" i="2" s="1"/>
  <c r="X1130" i="2" s="1"/>
  <c r="Q1638" i="2" a="1"/>
  <c r="Q1638" i="2" s="1"/>
  <c r="S1638" i="2" s="1"/>
  <c r="W1638" i="2" s="1"/>
  <c r="X1638" i="2" s="1"/>
  <c r="Q1441" i="2" a="1"/>
  <c r="Q1441" i="2" s="1"/>
  <c r="S1441" i="2" s="1"/>
  <c r="W1441" i="2" s="1"/>
  <c r="X1441" i="2" s="1"/>
  <c r="Q1190" i="2" a="1"/>
  <c r="Q1190" i="2" s="1"/>
  <c r="S1190" i="2" s="1"/>
  <c r="W1190" i="2" s="1"/>
  <c r="X1190" i="2" s="1"/>
  <c r="Q266" i="2" a="1"/>
  <c r="Q266" i="2" s="1"/>
  <c r="S266" i="2" s="1"/>
  <c r="W266" i="2" s="1"/>
  <c r="X266" i="2" s="1"/>
  <c r="Q1138" i="2" a="1"/>
  <c r="Q1138" i="2" s="1"/>
  <c r="S1138" i="2" s="1"/>
  <c r="W1138" i="2" s="1"/>
  <c r="X1138" i="2" s="1"/>
  <c r="Q373" i="2" a="1"/>
  <c r="Q373" i="2" s="1"/>
  <c r="S373" i="2" s="1"/>
  <c r="W373" i="2" s="1"/>
  <c r="X373" i="2" s="1"/>
  <c r="Q2168" i="2" a="1"/>
  <c r="Q2168" i="2" s="1"/>
  <c r="S2168" i="2" s="1"/>
  <c r="W2168" i="2" s="1"/>
  <c r="X2168" i="2" s="1"/>
  <c r="Q593" i="2" a="1"/>
  <c r="Q593" i="2" s="1"/>
  <c r="S593" i="2" s="1"/>
  <c r="W593" i="2" s="1"/>
  <c r="X593" i="2" s="1"/>
  <c r="Q991" i="2" a="1"/>
  <c r="Q991" i="2" s="1"/>
  <c r="S991" i="2" s="1"/>
  <c r="W991" i="2" s="1"/>
  <c r="X991" i="2" s="1"/>
  <c r="Q521" i="2" a="1"/>
  <c r="Q521" i="2" s="1"/>
  <c r="S521" i="2" s="1"/>
  <c r="W521" i="2" s="1"/>
  <c r="X521" i="2" s="1"/>
  <c r="Q1541" i="2" a="1"/>
  <c r="Q1541" i="2" s="1"/>
  <c r="S1541" i="2" s="1"/>
  <c r="W1541" i="2" s="1"/>
  <c r="X1541" i="2" s="1"/>
  <c r="Q1085" i="2" a="1"/>
  <c r="Q1085" i="2" s="1"/>
  <c r="S1085" i="2" s="1"/>
  <c r="W1085" i="2" s="1"/>
  <c r="X1085" i="2" s="1"/>
  <c r="Q1616" i="2" a="1"/>
  <c r="Q1616" i="2" s="1"/>
  <c r="S1616" i="2" s="1"/>
  <c r="W1616" i="2" s="1"/>
  <c r="X1616" i="2" s="1"/>
  <c r="R789" i="2" a="1"/>
  <c r="R789" i="2" s="1"/>
  <c r="Q904" i="2" a="1"/>
  <c r="Q904" i="2" s="1"/>
  <c r="S904" i="2" s="1"/>
  <c r="W904" i="2" s="1"/>
  <c r="X904" i="2" s="1"/>
  <c r="Q487" i="2" a="1"/>
  <c r="Q487" i="2" s="1"/>
  <c r="S487" i="2" s="1"/>
  <c r="W487" i="2" s="1"/>
  <c r="X487" i="2" s="1"/>
  <c r="Q937" i="2" a="1"/>
  <c r="Q937" i="2" s="1"/>
  <c r="S937" i="2" s="1"/>
  <c r="W937" i="2" s="1"/>
  <c r="X937" i="2" s="1"/>
  <c r="Q1792" i="2" a="1"/>
  <c r="Q1792" i="2" s="1"/>
  <c r="S1792" i="2" s="1"/>
  <c r="W1792" i="2" s="1"/>
  <c r="X1792" i="2" s="1"/>
  <c r="Q1230" i="2" a="1"/>
  <c r="Q1230" i="2" s="1"/>
  <c r="S1230" i="2" s="1"/>
  <c r="W1230" i="2" s="1"/>
  <c r="X1230" i="2" s="1"/>
  <c r="Q5" i="2" a="1"/>
  <c r="Q5" i="2" s="1"/>
  <c r="S5" i="2" s="1"/>
  <c r="W5" i="2" s="1"/>
  <c r="X5" i="2" s="1"/>
  <c r="Q1095" i="2" a="1"/>
  <c r="Q1095" i="2" s="1"/>
  <c r="S1095" i="2" s="1"/>
  <c r="W1095" i="2" s="1"/>
  <c r="X1095" i="2" s="1"/>
  <c r="Q383" i="2" a="1"/>
  <c r="Q383" i="2" s="1"/>
  <c r="S383" i="2" s="1"/>
  <c r="W383" i="2" s="1"/>
  <c r="X383" i="2" s="1"/>
  <c r="Q507" i="2" a="1"/>
  <c r="Q507" i="2" s="1"/>
  <c r="S507" i="2" s="1"/>
  <c r="W507" i="2" s="1"/>
  <c r="X507" i="2" s="1"/>
  <c r="Q930" i="2" a="1"/>
  <c r="Q930" i="2" s="1"/>
  <c r="S930" i="2" s="1"/>
  <c r="W930" i="2" s="1"/>
  <c r="X930" i="2" s="1"/>
  <c r="Q1698" i="2" a="1"/>
  <c r="Q1698" i="2" s="1"/>
  <c r="S1698" i="2" s="1"/>
  <c r="W1698" i="2" s="1"/>
  <c r="X1698" i="2" s="1"/>
  <c r="Q1125" i="2" a="1"/>
  <c r="Q1125" i="2" s="1"/>
  <c r="S1125" i="2" s="1"/>
  <c r="W1125" i="2" s="1"/>
  <c r="X1125" i="2" s="1"/>
  <c r="Q1668" i="2" a="1"/>
  <c r="Q1668" i="2" s="1"/>
  <c r="S1668" i="2" s="1"/>
  <c r="W1668" i="2" s="1"/>
  <c r="X1668" i="2" s="1"/>
  <c r="Q166" i="2" a="1"/>
  <c r="Q166" i="2" s="1"/>
  <c r="S166" i="2" s="1"/>
  <c r="W166" i="2" s="1"/>
  <c r="X166" i="2" s="1"/>
  <c r="Q533" i="2" a="1"/>
  <c r="Q533" i="2" s="1"/>
  <c r="S533" i="2" s="1"/>
  <c r="W533" i="2" s="1"/>
  <c r="X533" i="2" s="1"/>
  <c r="Q875" i="2" a="1"/>
  <c r="Q875" i="2" s="1"/>
  <c r="S875" i="2" s="1"/>
  <c r="W875" i="2" s="1"/>
  <c r="X875" i="2" s="1"/>
  <c r="Q527" i="2" a="1"/>
  <c r="Q527" i="2" s="1"/>
  <c r="S527" i="2" s="1"/>
  <c r="W527" i="2" s="1"/>
  <c r="X527" i="2" s="1"/>
  <c r="Q244" i="2" a="1"/>
  <c r="Q244" i="2" s="1"/>
  <c r="S244" i="2" s="1"/>
  <c r="W244" i="2" s="1"/>
  <c r="X244" i="2" s="1"/>
  <c r="Q973" i="2" a="1"/>
  <c r="Q973" i="2" s="1"/>
  <c r="S973" i="2" s="1"/>
  <c r="W973" i="2" s="1"/>
  <c r="X973" i="2" s="1"/>
  <c r="Q1242" i="2" a="1"/>
  <c r="Q1242" i="2" s="1"/>
  <c r="S1242" i="2" s="1"/>
  <c r="W1242" i="2" s="1"/>
  <c r="X1242" i="2" s="1"/>
  <c r="Q421" i="2" a="1"/>
  <c r="Q421" i="2" s="1"/>
  <c r="S421" i="2" s="1"/>
  <c r="W421" i="2" s="1"/>
  <c r="X421" i="2" s="1"/>
  <c r="Q742" i="2" a="1"/>
  <c r="Q742" i="2" s="1"/>
  <c r="S742" i="2" s="1"/>
  <c r="W742" i="2" s="1"/>
  <c r="X742" i="2" s="1"/>
  <c r="Q147" i="2" a="1"/>
  <c r="Q147" i="2" s="1"/>
  <c r="S147" i="2" s="1"/>
  <c r="W147" i="2" s="1"/>
  <c r="X147" i="2" s="1"/>
  <c r="Q997" i="2" a="1"/>
  <c r="Q997" i="2" s="1"/>
  <c r="S997" i="2" s="1"/>
  <c r="W997" i="2" s="1"/>
  <c r="X997" i="2" s="1"/>
  <c r="Q975" i="2" a="1"/>
  <c r="Q975" i="2" s="1"/>
  <c r="S975" i="2" s="1"/>
  <c r="W975" i="2" s="1"/>
  <c r="X975" i="2" s="1"/>
  <c r="Q1051" i="2" a="1"/>
  <c r="Q1051" i="2" s="1"/>
  <c r="S1051" i="2" s="1"/>
  <c r="W1051" i="2" s="1"/>
  <c r="X1051" i="2" s="1"/>
  <c r="Q473" i="2" a="1"/>
  <c r="Q473" i="2" s="1"/>
  <c r="S473" i="2" s="1"/>
  <c r="W473" i="2" s="1"/>
  <c r="X473" i="2" s="1"/>
  <c r="Q1462" i="2" a="1"/>
  <c r="Q1462" i="2" s="1"/>
  <c r="S1462" i="2" s="1"/>
  <c r="W1462" i="2" s="1"/>
  <c r="X1462" i="2" s="1"/>
  <c r="Q143" i="2" a="1"/>
  <c r="Q143" i="2" s="1"/>
  <c r="S143" i="2" s="1"/>
  <c r="W143" i="2" s="1"/>
  <c r="X143" i="2" s="1"/>
  <c r="Q590" i="2" a="1"/>
  <c r="Q590" i="2" s="1"/>
  <c r="S590" i="2" s="1"/>
  <c r="W590" i="2" s="1"/>
  <c r="X590" i="2" s="1"/>
  <c r="Q490" i="2" a="1"/>
  <c r="Q490" i="2" s="1"/>
  <c r="S490" i="2" s="1"/>
  <c r="W490" i="2" s="1"/>
  <c r="X490" i="2" s="1"/>
  <c r="Q1459" i="2" a="1"/>
  <c r="Q1459" i="2" s="1"/>
  <c r="S1459" i="2" s="1"/>
  <c r="W1459" i="2" s="1"/>
  <c r="X1459" i="2" s="1"/>
  <c r="Q1843" i="2" a="1"/>
  <c r="Q1843" i="2" s="1"/>
  <c r="S1843" i="2" s="1"/>
  <c r="W1843" i="2" s="1"/>
  <c r="X1843" i="2" s="1"/>
  <c r="Q1214" i="2" a="1"/>
  <c r="Q1214" i="2" s="1"/>
  <c r="S1214" i="2" s="1"/>
  <c r="W1214" i="2" s="1"/>
  <c r="X1214" i="2" s="1"/>
  <c r="Q164" i="2" a="1"/>
  <c r="Q164" i="2" s="1"/>
  <c r="S164" i="2" s="1"/>
  <c r="W164" i="2" s="1"/>
  <c r="X164" i="2" s="1"/>
  <c r="Q1370" i="2" a="1"/>
  <c r="Q1370" i="2" s="1"/>
  <c r="S1370" i="2" s="1"/>
  <c r="W1370" i="2" s="1"/>
  <c r="X1370" i="2" s="1"/>
  <c r="Q1473" i="2" a="1"/>
  <c r="Q1473" i="2" s="1"/>
  <c r="S1473" i="2" s="1"/>
  <c r="W1473" i="2" s="1"/>
  <c r="X1473" i="2" s="1"/>
  <c r="Q2133" i="2" a="1"/>
  <c r="Q2133" i="2" s="1"/>
  <c r="S2133" i="2" s="1"/>
  <c r="W2133" i="2" s="1"/>
  <c r="X2133" i="2" s="1"/>
  <c r="Q1520" i="2" a="1"/>
  <c r="Q1520" i="2" s="1"/>
  <c r="S1520" i="2" s="1"/>
  <c r="W1520" i="2" s="1"/>
  <c r="X1520" i="2" s="1"/>
  <c r="Q54" i="2" a="1"/>
  <c r="Q54" i="2" s="1"/>
  <c r="S54" i="2" s="1"/>
  <c r="W54" i="2" s="1"/>
  <c r="X54" i="2" s="1"/>
  <c r="Q40" i="2" a="1"/>
  <c r="Q40" i="2" s="1"/>
  <c r="S40" i="2" s="1"/>
  <c r="W40" i="2" s="1"/>
  <c r="X40" i="2" s="1"/>
  <c r="Q267" i="2" a="1"/>
  <c r="Q267" i="2" s="1"/>
  <c r="S267" i="2" s="1"/>
  <c r="W267" i="2" s="1"/>
  <c r="X267" i="2" s="1"/>
  <c r="Q1524" i="2" a="1"/>
  <c r="Q1524" i="2" s="1"/>
  <c r="S1524" i="2" s="1"/>
  <c r="W1524" i="2" s="1"/>
  <c r="X1524" i="2" s="1"/>
  <c r="Q888" i="2" a="1"/>
  <c r="Q888" i="2" s="1"/>
  <c r="S888" i="2" s="1"/>
  <c r="W888" i="2" s="1"/>
  <c r="X888" i="2" s="1"/>
  <c r="Q83" i="2" a="1"/>
  <c r="Q83" i="2" s="1"/>
  <c r="S83" i="2" s="1"/>
  <c r="W83" i="2" s="1"/>
  <c r="X83" i="2" s="1"/>
  <c r="Q396" i="2" a="1"/>
  <c r="Q396" i="2" s="1"/>
  <c r="S396" i="2" s="1"/>
  <c r="W396" i="2" s="1"/>
  <c r="X396" i="2" s="1"/>
  <c r="Q1410" i="2" a="1"/>
  <c r="Q1410" i="2" s="1"/>
  <c r="S1410" i="2" s="1"/>
  <c r="W1410" i="2" s="1"/>
  <c r="X1410" i="2" s="1"/>
  <c r="Q356" i="2" a="1"/>
  <c r="Q356" i="2" s="1"/>
  <c r="S356" i="2" s="1"/>
  <c r="W356" i="2" s="1"/>
  <c r="X356" i="2" s="1"/>
  <c r="Q589" i="2" a="1"/>
  <c r="Q589" i="2" s="1"/>
  <c r="S589" i="2" s="1"/>
  <c r="W589" i="2" s="1"/>
  <c r="X589" i="2" s="1"/>
  <c r="Q970" i="2" a="1"/>
  <c r="Q970" i="2" s="1"/>
  <c r="S970" i="2" s="1"/>
  <c r="W970" i="2" s="1"/>
  <c r="X970" i="2" s="1"/>
  <c r="Q1309" i="2" a="1"/>
  <c r="Q1309" i="2" s="1"/>
  <c r="S1309" i="2" s="1"/>
  <c r="W1309" i="2" s="1"/>
  <c r="X1309" i="2" s="1"/>
  <c r="Q455" i="2" a="1"/>
  <c r="Q455" i="2" s="1"/>
  <c r="S455" i="2" s="1"/>
  <c r="W455" i="2" s="1"/>
  <c r="X455" i="2" s="1"/>
  <c r="Q1293" i="2" a="1"/>
  <c r="Q1293" i="2" s="1"/>
  <c r="S1293" i="2" s="1"/>
  <c r="W1293" i="2" s="1"/>
  <c r="X1293" i="2" s="1"/>
  <c r="Q1344" i="2" a="1"/>
  <c r="Q1344" i="2" s="1"/>
  <c r="S1344" i="2" s="1"/>
  <c r="W1344" i="2" s="1"/>
  <c r="X1344" i="2" s="1"/>
  <c r="Q1432" i="2" a="1"/>
  <c r="Q1432" i="2" s="1"/>
  <c r="S1432" i="2" s="1"/>
  <c r="W1432" i="2" s="1"/>
  <c r="X1432" i="2" s="1"/>
  <c r="Q1174" i="2" a="1"/>
  <c r="Q1174" i="2" s="1"/>
  <c r="S1174" i="2" s="1"/>
  <c r="W1174" i="2" s="1"/>
  <c r="X1174" i="2" s="1"/>
  <c r="Q2153" i="2" a="1"/>
  <c r="Q2153" i="2" s="1"/>
  <c r="S2153" i="2" s="1"/>
  <c r="W2153" i="2" s="1"/>
  <c r="X2153" i="2" s="1"/>
  <c r="Q963" i="2" a="1"/>
  <c r="Q963" i="2" s="1"/>
  <c r="S963" i="2" s="1"/>
  <c r="W963" i="2" s="1"/>
  <c r="X963" i="2" s="1"/>
  <c r="Q1748" i="2" a="1"/>
  <c r="Q1748" i="2" s="1"/>
  <c r="S1748" i="2" s="1"/>
  <c r="W1748" i="2" s="1"/>
  <c r="X1748" i="2" s="1"/>
  <c r="Q1176" i="2" a="1"/>
  <c r="Q1176" i="2" s="1"/>
  <c r="S1176" i="2" s="1"/>
  <c r="W1176" i="2" s="1"/>
  <c r="X1176" i="2" s="1"/>
  <c r="Q165" i="2" a="1"/>
  <c r="Q165" i="2" s="1"/>
  <c r="S165" i="2" s="1"/>
  <c r="W165" i="2" s="1"/>
  <c r="X165" i="2" s="1"/>
  <c r="Q1358" i="2" a="1"/>
  <c r="Q1358" i="2" s="1"/>
  <c r="S1358" i="2" s="1"/>
  <c r="W1358" i="2" s="1"/>
  <c r="X1358" i="2" s="1"/>
  <c r="Q1553" i="2" a="1"/>
  <c r="Q1553" i="2" s="1"/>
  <c r="S1553" i="2" s="1"/>
  <c r="W1553" i="2" s="1"/>
  <c r="X1553" i="2" s="1"/>
  <c r="Q375" i="2" a="1"/>
  <c r="Q375" i="2" s="1"/>
  <c r="S375" i="2" s="1"/>
  <c r="W375" i="2" s="1"/>
  <c r="X375" i="2" s="1"/>
  <c r="Q1560" i="2" a="1"/>
  <c r="Q1560" i="2" s="1"/>
  <c r="S1560" i="2" s="1"/>
  <c r="W1560" i="2" s="1"/>
  <c r="X1560" i="2" s="1"/>
  <c r="Q280" i="2" a="1"/>
  <c r="Q280" i="2" s="1"/>
  <c r="S280" i="2" s="1"/>
  <c r="W280" i="2" s="1"/>
  <c r="X280" i="2" s="1"/>
  <c r="Q974" i="2" a="1"/>
  <c r="Q974" i="2" s="1"/>
  <c r="S974" i="2" s="1"/>
  <c r="W974" i="2" s="1"/>
  <c r="X974" i="2" s="1"/>
  <c r="Q1677" i="2" a="1"/>
  <c r="Q1677" i="2" s="1"/>
  <c r="S1677" i="2" s="1"/>
  <c r="W1677" i="2" s="1"/>
  <c r="X1677" i="2" s="1"/>
  <c r="Q439" i="2" a="1"/>
  <c r="Q439" i="2" s="1"/>
  <c r="S439" i="2" s="1"/>
  <c r="W439" i="2" s="1"/>
  <c r="X439" i="2" s="1"/>
  <c r="Q1544" i="2" a="1"/>
  <c r="Q1544" i="2" s="1"/>
  <c r="S1544" i="2" s="1"/>
  <c r="W1544" i="2" s="1"/>
  <c r="X1544" i="2" s="1"/>
  <c r="Q1809" i="2" a="1"/>
  <c r="Q1809" i="2" s="1"/>
  <c r="S1809" i="2" s="1"/>
  <c r="W1809" i="2" s="1"/>
  <c r="X1809" i="2" s="1"/>
  <c r="Q893" i="2" a="1"/>
  <c r="Q893" i="2" s="1"/>
  <c r="S893" i="2" s="1"/>
  <c r="W893" i="2" s="1"/>
  <c r="X893" i="2" s="1"/>
  <c r="Q1113" i="2" a="1"/>
  <c r="Q1113" i="2" s="1"/>
  <c r="S1113" i="2" s="1"/>
  <c r="W1113" i="2" s="1"/>
  <c r="X1113" i="2" s="1"/>
  <c r="Q1097" i="2" a="1"/>
  <c r="Q1097" i="2" s="1"/>
  <c r="S1097" i="2" s="1"/>
  <c r="W1097" i="2" s="1"/>
  <c r="X1097" i="2" s="1"/>
  <c r="Q1369" i="2" a="1"/>
  <c r="Q1369" i="2" s="1"/>
  <c r="S1369" i="2" s="1"/>
  <c r="W1369" i="2" s="1"/>
  <c r="X1369" i="2" s="1"/>
  <c r="Q535" i="2" a="1"/>
  <c r="Q535" i="2" s="1"/>
  <c r="S535" i="2" s="1"/>
  <c r="W535" i="2" s="1"/>
  <c r="X535" i="2" s="1"/>
  <c r="Q1776" i="2" a="1"/>
  <c r="Q1776" i="2" s="1"/>
  <c r="S1776" i="2" s="1"/>
  <c r="W1776" i="2" s="1"/>
  <c r="X1776" i="2" s="1"/>
  <c r="Q1323" i="2" a="1"/>
  <c r="Q1323" i="2" s="1"/>
  <c r="S1323" i="2" s="1"/>
  <c r="W1323" i="2" s="1"/>
  <c r="X1323" i="2" s="1"/>
  <c r="Q156" i="2" a="1"/>
  <c r="Q156" i="2" s="1"/>
  <c r="S156" i="2" s="1"/>
  <c r="W156" i="2" s="1"/>
  <c r="X156" i="2" s="1"/>
  <c r="Q1731" i="2" a="1"/>
  <c r="Q1731" i="2" s="1"/>
  <c r="S1731" i="2" s="1"/>
  <c r="W1731" i="2" s="1"/>
  <c r="X1731" i="2" s="1"/>
  <c r="Q1136" i="2" a="1"/>
  <c r="Q1136" i="2" s="1"/>
  <c r="S1136" i="2" s="1"/>
  <c r="W1136" i="2" s="1"/>
  <c r="X1136" i="2" s="1"/>
  <c r="Q1545" i="2" a="1"/>
  <c r="Q1545" i="2" s="1"/>
  <c r="S1545" i="2" s="1"/>
  <c r="W1545" i="2" s="1"/>
  <c r="X1545" i="2" s="1"/>
  <c r="Q1566" i="2" a="1"/>
  <c r="Q1566" i="2" s="1"/>
  <c r="S1566" i="2" s="1"/>
  <c r="W1566" i="2" s="1"/>
  <c r="X1566" i="2" s="1"/>
  <c r="R788" i="2" a="1"/>
  <c r="R788" i="2" s="1"/>
  <c r="Q985" i="2" a="1"/>
  <c r="Q985" i="2" s="1"/>
  <c r="S985" i="2" s="1"/>
  <c r="W985" i="2" s="1"/>
  <c r="X985" i="2" s="1"/>
  <c r="Q1313" i="2" a="1"/>
  <c r="Q1313" i="2" s="1"/>
  <c r="S1313" i="2" s="1"/>
  <c r="W1313" i="2" s="1"/>
  <c r="X1313" i="2" s="1"/>
  <c r="Q429" i="2" a="1"/>
  <c r="Q429" i="2" s="1"/>
  <c r="S429" i="2" s="1"/>
  <c r="W429" i="2" s="1"/>
  <c r="X429" i="2" s="1"/>
  <c r="Q1077" i="2" a="1"/>
  <c r="Q1077" i="2" s="1"/>
  <c r="S1077" i="2" s="1"/>
  <c r="W1077" i="2" s="1"/>
  <c r="X1077" i="2" s="1"/>
  <c r="Q940" i="2" a="1"/>
  <c r="Q940" i="2" s="1"/>
  <c r="S940" i="2" s="1"/>
  <c r="W940" i="2" s="1"/>
  <c r="X940" i="2" s="1"/>
  <c r="Q1181" i="2" a="1"/>
  <c r="Q1181" i="2" s="1"/>
  <c r="S1181" i="2" s="1"/>
  <c r="W1181" i="2" s="1"/>
  <c r="X1181" i="2" s="1"/>
  <c r="Q463" i="2" a="1"/>
  <c r="Q463" i="2" s="1"/>
  <c r="S463" i="2" s="1"/>
  <c r="W463" i="2" s="1"/>
  <c r="X463" i="2" s="1"/>
  <c r="Q1653" i="2" a="1"/>
  <c r="Q1653" i="2" s="1"/>
  <c r="S1653" i="2" s="1"/>
  <c r="W1653" i="2" s="1"/>
  <c r="X1653" i="2" s="1"/>
  <c r="Q120" i="2" a="1"/>
  <c r="Q120" i="2" s="1"/>
  <c r="S120" i="2" s="1"/>
  <c r="W120" i="2" s="1"/>
  <c r="X120" i="2" s="1"/>
  <c r="Q1453" i="2" a="1"/>
  <c r="Q1453" i="2" s="1"/>
  <c r="S1453" i="2" s="1"/>
  <c r="W1453" i="2" s="1"/>
  <c r="X1453" i="2" s="1"/>
  <c r="Q582" i="2" a="1"/>
  <c r="Q582" i="2" s="1"/>
  <c r="S582" i="2" s="1"/>
  <c r="W582" i="2" s="1"/>
  <c r="X582" i="2" s="1"/>
  <c r="Q525" i="2" a="1"/>
  <c r="Q525" i="2" s="1"/>
  <c r="S525" i="2" s="1"/>
  <c r="W525" i="2" s="1"/>
  <c r="X525" i="2" s="1"/>
  <c r="Q1522" i="2" a="1"/>
  <c r="Q1522" i="2" s="1"/>
  <c r="S1522" i="2" s="1"/>
  <c r="W1522" i="2" s="1"/>
  <c r="X1522" i="2" s="1"/>
  <c r="Q1849" i="2" a="1"/>
  <c r="Q1849" i="2" s="1"/>
  <c r="S1849" i="2" s="1"/>
  <c r="W1849" i="2" s="1"/>
  <c r="X1849" i="2" s="1"/>
  <c r="Q402" i="2" a="1"/>
  <c r="Q402" i="2" s="1"/>
  <c r="S402" i="2" s="1"/>
  <c r="W402" i="2" s="1"/>
  <c r="X402" i="2" s="1"/>
  <c r="Q619" i="2" a="1"/>
  <c r="Q619" i="2" s="1"/>
  <c r="S619" i="2" s="1"/>
  <c r="W619" i="2" s="1"/>
  <c r="X619" i="2" s="1"/>
  <c r="Q7" i="2" a="1"/>
  <c r="Q7" i="2" s="1"/>
  <c r="S7" i="2" s="1"/>
  <c r="W7" i="2" s="1"/>
  <c r="X7" i="2" s="1"/>
  <c r="Q1020" i="2" a="1"/>
  <c r="Q1020" i="2" s="1"/>
  <c r="S1020" i="2" s="1"/>
  <c r="W1020" i="2" s="1"/>
  <c r="X1020" i="2" s="1"/>
  <c r="Q1196" i="2" a="1"/>
  <c r="Q1196" i="2" s="1"/>
  <c r="S1196" i="2" s="1"/>
  <c r="W1196" i="2" s="1"/>
  <c r="X1196" i="2" s="1"/>
  <c r="Q1687" i="2" a="1"/>
  <c r="Q1687" i="2" s="1"/>
  <c r="S1687" i="2" s="1"/>
  <c r="W1687" i="2" s="1"/>
  <c r="X1687" i="2" s="1"/>
  <c r="Q1496" i="2" a="1"/>
  <c r="Q1496" i="2" s="1"/>
  <c r="S1496" i="2" s="1"/>
  <c r="W1496" i="2" s="1"/>
  <c r="X1496" i="2" s="1"/>
  <c r="Q26" i="2" a="1"/>
  <c r="Q26" i="2" s="1"/>
  <c r="S26" i="2" s="1"/>
  <c r="W26" i="2" s="1"/>
  <c r="X26" i="2" s="1"/>
  <c r="Q1231" i="2" a="1"/>
  <c r="Q1231" i="2" s="1"/>
  <c r="S1231" i="2" s="1"/>
  <c r="W1231" i="2" s="1"/>
  <c r="X1231" i="2" s="1"/>
  <c r="Q993" i="2" a="1"/>
  <c r="Q993" i="2" s="1"/>
  <c r="S993" i="2" s="1"/>
  <c r="W993" i="2" s="1"/>
  <c r="X993" i="2" s="1"/>
  <c r="Q1034" i="2" a="1"/>
  <c r="Q1034" i="2" s="1"/>
  <c r="S1034" i="2" s="1"/>
  <c r="W1034" i="2" s="1"/>
  <c r="X1034" i="2" s="1"/>
  <c r="Q41" i="2" a="1"/>
  <c r="Q41" i="2" s="1"/>
  <c r="S41" i="2" s="1"/>
  <c r="W41" i="2" s="1"/>
  <c r="X41" i="2" s="1"/>
  <c r="Q440" i="2" a="1"/>
  <c r="Q440" i="2" s="1"/>
  <c r="S440" i="2" s="1"/>
  <c r="W440" i="2" s="1"/>
  <c r="X440" i="2" s="1"/>
  <c r="Q1464" i="2" a="1"/>
  <c r="Q1464" i="2" s="1"/>
  <c r="S1464" i="2" s="1"/>
  <c r="W1464" i="2" s="1"/>
  <c r="X1464" i="2" s="1"/>
  <c r="Q1066" i="2" a="1"/>
  <c r="Q1066" i="2" s="1"/>
  <c r="S1066" i="2" s="1"/>
  <c r="W1066" i="2" s="1"/>
  <c r="X1066" i="2" s="1"/>
  <c r="Q1754" i="2" a="1"/>
  <c r="Q1754" i="2" s="1"/>
  <c r="S1754" i="2" s="1"/>
  <c r="W1754" i="2" s="1"/>
  <c r="X1754" i="2" s="1"/>
  <c r="Q927" i="2" a="1"/>
  <c r="Q927" i="2" s="1"/>
  <c r="S927" i="2" s="1"/>
  <c r="W927" i="2" s="1"/>
  <c r="X927" i="2" s="1"/>
  <c r="Q2123" i="2" a="1"/>
  <c r="Q2123" i="2" s="1"/>
  <c r="S2123" i="2" s="1"/>
  <c r="W2123" i="2" s="1"/>
  <c r="X2123" i="2" s="1"/>
  <c r="Q217" i="2" a="1"/>
  <c r="Q217" i="2" s="1"/>
  <c r="S217" i="2" s="1"/>
  <c r="W217" i="2" s="1"/>
  <c r="X217" i="2" s="1"/>
  <c r="Q1604" i="2" a="1"/>
  <c r="Q1604" i="2" s="1"/>
  <c r="S1604" i="2" s="1"/>
  <c r="W1604" i="2" s="1"/>
  <c r="X1604" i="2" s="1"/>
  <c r="Q2170" i="2" a="1"/>
  <c r="Q2170" i="2" s="1"/>
  <c r="S2170" i="2" s="1"/>
  <c r="W2170" i="2" s="1"/>
  <c r="X2170" i="2" s="1"/>
  <c r="Q1364" i="2" a="1"/>
  <c r="Q1364" i="2" s="1"/>
  <c r="S1364" i="2" s="1"/>
  <c r="W1364" i="2" s="1"/>
  <c r="X1364" i="2" s="1"/>
  <c r="Q873" i="2" a="1"/>
  <c r="Q873" i="2" s="1"/>
  <c r="S873" i="2" s="1"/>
  <c r="W873" i="2" s="1"/>
  <c r="X873" i="2" s="1"/>
  <c r="Q1753" i="2" a="1"/>
  <c r="Q1753" i="2" s="1"/>
  <c r="S1753" i="2" s="1"/>
  <c r="W1753" i="2" s="1"/>
  <c r="X1753" i="2" s="1"/>
  <c r="Q1755" i="2" a="1"/>
  <c r="Q1755" i="2" s="1"/>
  <c r="S1755" i="2" s="1"/>
  <c r="W1755" i="2" s="1"/>
  <c r="X1755" i="2" s="1"/>
  <c r="Q625" i="2" a="1"/>
  <c r="Q625" i="2" s="1"/>
  <c r="S625" i="2" s="1"/>
  <c r="W625" i="2" s="1"/>
  <c r="X625" i="2" s="1"/>
  <c r="Q241" i="2" a="1"/>
  <c r="Q241" i="2" s="1"/>
  <c r="S241" i="2" s="1"/>
  <c r="W241" i="2" s="1"/>
  <c r="X241" i="2" s="1"/>
  <c r="Q2132" i="2" a="1"/>
  <c r="Q2132" i="2" s="1"/>
  <c r="S2132" i="2" s="1"/>
  <c r="W2132" i="2" s="1"/>
  <c r="X2132" i="2" s="1"/>
  <c r="Q1272" i="2" a="1"/>
  <c r="Q1272" i="2" s="1"/>
  <c r="S1272" i="2" s="1"/>
  <c r="W1272" i="2" s="1"/>
  <c r="X1272" i="2" s="1"/>
  <c r="Q362" i="2" a="1"/>
  <c r="Q362" i="2" s="1"/>
  <c r="S362" i="2" s="1"/>
  <c r="W362" i="2" s="1"/>
  <c r="X362" i="2" s="1"/>
  <c r="Q1691" i="2" a="1"/>
  <c r="Q1691" i="2" s="1"/>
  <c r="S1691" i="2" s="1"/>
  <c r="W1691" i="2" s="1"/>
  <c r="X1691" i="2" s="1"/>
  <c r="Q499" i="2" a="1"/>
  <c r="Q499" i="2" s="1"/>
  <c r="S499" i="2" s="1"/>
  <c r="W499" i="2" s="1"/>
  <c r="X499" i="2" s="1"/>
  <c r="Q1267" i="2" a="1"/>
  <c r="Q1267" i="2" s="1"/>
  <c r="S1267" i="2" s="1"/>
  <c r="W1267" i="2" s="1"/>
  <c r="X1267" i="2" s="1"/>
  <c r="Q1154" i="2" a="1"/>
  <c r="Q1154" i="2" s="1"/>
  <c r="S1154" i="2" s="1"/>
  <c r="W1154" i="2" s="1"/>
  <c r="X1154" i="2" s="1"/>
  <c r="Q58" i="2" a="1"/>
  <c r="Q58" i="2" s="1"/>
  <c r="S58" i="2" s="1"/>
  <c r="W58" i="2" s="1"/>
  <c r="X58" i="2" s="1"/>
  <c r="Q31" i="2" a="1"/>
  <c r="Q31" i="2" s="1"/>
  <c r="S31" i="2" s="1"/>
  <c r="W31" i="2" s="1"/>
  <c r="X31" i="2" s="1"/>
  <c r="Q1298" i="2" a="1"/>
  <c r="Q1298" i="2" s="1"/>
  <c r="S1298" i="2" s="1"/>
  <c r="W1298" i="2" s="1"/>
  <c r="X1298" i="2" s="1"/>
  <c r="Q1179" i="2" a="1"/>
  <c r="Q1179" i="2" s="1"/>
  <c r="S1179" i="2" s="1"/>
  <c r="W1179" i="2" s="1"/>
  <c r="X1179" i="2" s="1"/>
  <c r="Q1594" i="2" a="1"/>
  <c r="Q1594" i="2" s="1"/>
  <c r="S1594" i="2" s="1"/>
  <c r="W1594" i="2" s="1"/>
  <c r="X1594" i="2" s="1"/>
  <c r="Q1568" i="2" a="1"/>
  <c r="Q1568" i="2" s="1"/>
  <c r="S1568" i="2" s="1"/>
  <c r="W1568" i="2" s="1"/>
  <c r="X1568" i="2" s="1"/>
  <c r="Q1786" i="2" a="1"/>
  <c r="Q1786" i="2" s="1"/>
  <c r="S1786" i="2" s="1"/>
  <c r="W1786" i="2" s="1"/>
  <c r="X1786" i="2" s="1"/>
  <c r="Q1211" i="2" a="1"/>
  <c r="Q1211" i="2" s="1"/>
  <c r="S1211" i="2" s="1"/>
  <c r="W1211" i="2" s="1"/>
  <c r="X1211" i="2" s="1"/>
  <c r="Q2139" i="2" a="1"/>
  <c r="Q2139" i="2" s="1"/>
  <c r="S2139" i="2" s="1"/>
  <c r="W2139" i="2" s="1"/>
  <c r="X2139" i="2" s="1"/>
  <c r="Q1805" i="2" a="1"/>
  <c r="Q1805" i="2" s="1"/>
  <c r="S1805" i="2" s="1"/>
  <c r="W1805" i="2" s="1"/>
  <c r="X1805" i="2" s="1"/>
  <c r="Q149" i="2" a="1"/>
  <c r="Q149" i="2" s="1"/>
  <c r="S149" i="2" s="1"/>
  <c r="W149" i="2" s="1"/>
  <c r="X149" i="2" s="1"/>
  <c r="Q1738" i="2" a="1"/>
  <c r="Q1738" i="2" s="1"/>
  <c r="S1738" i="2" s="1"/>
  <c r="W1738" i="2" s="1"/>
  <c r="X1738" i="2" s="1"/>
  <c r="Q1540" i="2" a="1"/>
  <c r="Q1540" i="2" s="1"/>
  <c r="S1540" i="2" s="1"/>
  <c r="W1540" i="2" s="1"/>
  <c r="X1540" i="2" s="1"/>
  <c r="Q391" i="2" a="1"/>
  <c r="Q391" i="2" s="1"/>
  <c r="S391" i="2" s="1"/>
  <c r="W391" i="2" s="1"/>
  <c r="X391" i="2" s="1"/>
  <c r="Q1308" i="2" a="1"/>
  <c r="Q1308" i="2" s="1"/>
  <c r="S1308" i="2" s="1"/>
  <c r="W1308" i="2" s="1"/>
  <c r="X1308" i="2" s="1"/>
  <c r="Q1654" i="2" a="1"/>
  <c r="Q1654" i="2" s="1"/>
  <c r="S1654" i="2" s="1"/>
  <c r="W1654" i="2" s="1"/>
  <c r="X1654" i="2" s="1"/>
  <c r="Q36" i="2" a="1"/>
  <c r="Q36" i="2" s="1"/>
  <c r="S36" i="2" s="1"/>
  <c r="W36" i="2" s="1"/>
  <c r="X36" i="2" s="1"/>
  <c r="Q443" i="2" a="1"/>
  <c r="Q443" i="2" s="1"/>
  <c r="S443" i="2" s="1"/>
  <c r="W443" i="2" s="1"/>
  <c r="X443" i="2" s="1"/>
  <c r="Q94" i="2" a="1"/>
  <c r="Q94" i="2" s="1"/>
  <c r="S94" i="2" s="1"/>
  <c r="W94" i="2" s="1"/>
  <c r="X94" i="2" s="1"/>
  <c r="Q934" i="2" a="1"/>
  <c r="Q934" i="2" s="1"/>
  <c r="S934" i="2" s="1"/>
  <c r="W934" i="2" s="1"/>
  <c r="X934" i="2" s="1"/>
  <c r="Q1336" i="2" a="1"/>
  <c r="Q1336" i="2" s="1"/>
  <c r="S1336" i="2" s="1"/>
  <c r="W1336" i="2" s="1"/>
  <c r="X1336" i="2" s="1"/>
  <c r="Q157" i="2" a="1"/>
  <c r="Q157" i="2" s="1"/>
  <c r="S157" i="2" s="1"/>
  <c r="W157" i="2" s="1"/>
  <c r="X157" i="2" s="1"/>
  <c r="Q581" i="2" a="1"/>
  <c r="Q581" i="2" s="1"/>
  <c r="S581" i="2" s="1"/>
  <c r="W581" i="2" s="1"/>
  <c r="X581" i="2" s="1"/>
  <c r="Q2148" i="2" a="1"/>
  <c r="Q2148" i="2" s="1"/>
  <c r="S2148" i="2" s="1"/>
  <c r="W2148" i="2" s="1"/>
  <c r="X2148" i="2" s="1"/>
  <c r="Q1134" i="2" a="1"/>
  <c r="Q1134" i="2" s="1"/>
  <c r="S1134" i="2" s="1"/>
  <c r="W1134" i="2" s="1"/>
  <c r="X1134" i="2" s="1"/>
  <c r="Q1591" i="2" a="1"/>
  <c r="Q1591" i="2" s="1"/>
  <c r="S1591" i="2" s="1"/>
  <c r="W1591" i="2" s="1"/>
  <c r="X1591" i="2" s="1"/>
  <c r="Q954" i="2" a="1"/>
  <c r="Q954" i="2" s="1"/>
  <c r="S954" i="2" s="1"/>
  <c r="W954" i="2" s="1"/>
  <c r="X954" i="2" s="1"/>
  <c r="Q1292" i="2" a="1"/>
  <c r="Q1292" i="2" s="1"/>
  <c r="S1292" i="2" s="1"/>
  <c r="W1292" i="2" s="1"/>
  <c r="X1292" i="2" s="1"/>
  <c r="Q868" i="2" a="1"/>
  <c r="Q868" i="2" s="1"/>
  <c r="S868" i="2" s="1"/>
  <c r="W868" i="2" s="1"/>
  <c r="X868" i="2" s="1"/>
  <c r="Q933" i="2" a="1"/>
  <c r="Q933" i="2" s="1"/>
  <c r="S933" i="2" s="1"/>
  <c r="W933" i="2" s="1"/>
  <c r="X933" i="2" s="1"/>
  <c r="Q1204" i="2" a="1"/>
  <c r="Q1204" i="2" s="1"/>
  <c r="S1204" i="2" s="1"/>
  <c r="W1204" i="2" s="1"/>
  <c r="X1204" i="2" s="1"/>
  <c r="Q1443" i="2" a="1"/>
  <c r="Q1443" i="2" s="1"/>
  <c r="S1443" i="2" s="1"/>
  <c r="W1443" i="2" s="1"/>
  <c r="X1443" i="2" s="1"/>
  <c r="Q528" i="2" a="1"/>
  <c r="Q528" i="2" s="1"/>
  <c r="S528" i="2" s="1"/>
  <c r="W528" i="2" s="1"/>
  <c r="X528" i="2" s="1"/>
  <c r="Q1357" i="2" a="1"/>
  <c r="Q1357" i="2" s="1"/>
  <c r="S1357" i="2" s="1"/>
  <c r="W1357" i="2" s="1"/>
  <c r="X1357" i="2" s="1"/>
  <c r="Q1757" i="2" a="1"/>
  <c r="Q1757" i="2" s="1"/>
  <c r="S1757" i="2" s="1"/>
  <c r="W1757" i="2" s="1"/>
  <c r="X1757" i="2" s="1"/>
  <c r="Q1203" i="2" a="1"/>
  <c r="Q1203" i="2" s="1"/>
  <c r="S1203" i="2" s="1"/>
  <c r="W1203" i="2" s="1"/>
  <c r="X1203" i="2" s="1"/>
  <c r="Q789" i="2" a="1"/>
  <c r="Q789" i="2" s="1"/>
  <c r="S789" i="2" s="1"/>
  <c r="W789" i="2" s="1"/>
  <c r="X789" i="2" s="1"/>
  <c r="Q1728" i="2" a="1"/>
  <c r="Q1728" i="2" s="1"/>
  <c r="S1728" i="2" s="1"/>
  <c r="W1728" i="2" s="1"/>
  <c r="X1728" i="2" s="1"/>
  <c r="Q46" i="2" a="1"/>
  <c r="Q46" i="2" s="1"/>
  <c r="S46" i="2" s="1"/>
  <c r="W46" i="2" s="1"/>
  <c r="X46" i="2" s="1"/>
  <c r="Q1466" i="2" a="1"/>
  <c r="Q1466" i="2" s="1"/>
  <c r="S1466" i="2" s="1"/>
  <c r="W1466" i="2" s="1"/>
  <c r="X1466" i="2" s="1"/>
  <c r="Q1142" i="2" a="1"/>
  <c r="Q1142" i="2" s="1"/>
  <c r="S1142" i="2" s="1"/>
  <c r="W1142" i="2" s="1"/>
  <c r="X1142" i="2" s="1"/>
  <c r="Q1674" i="2" a="1"/>
  <c r="Q1674" i="2" s="1"/>
  <c r="S1674" i="2" s="1"/>
  <c r="W1674" i="2" s="1"/>
  <c r="X1674" i="2" s="1"/>
  <c r="Q1640" i="2" a="1"/>
  <c r="Q1640" i="2" s="1"/>
  <c r="S1640" i="2" s="1"/>
  <c r="W1640" i="2" s="1"/>
  <c r="X1640" i="2" s="1"/>
  <c r="Q1259" i="2" a="1"/>
  <c r="Q1259" i="2" s="1"/>
  <c r="S1259" i="2" s="1"/>
  <c r="W1259" i="2" s="1"/>
  <c r="X1259" i="2" s="1"/>
  <c r="Q430" i="2" a="1"/>
  <c r="Q430" i="2" s="1"/>
  <c r="S430" i="2" s="1"/>
  <c r="W430" i="2" s="1"/>
  <c r="X430" i="2" s="1"/>
  <c r="Q155" i="2" a="1"/>
  <c r="Q155" i="2" s="1"/>
  <c r="S155" i="2" s="1"/>
  <c r="W155" i="2" s="1"/>
  <c r="X155" i="2" s="1"/>
  <c r="Q1454" i="2" a="1"/>
  <c r="Q1454" i="2" s="1"/>
  <c r="S1454" i="2" s="1"/>
  <c r="W1454" i="2" s="1"/>
  <c r="X1454" i="2" s="1"/>
  <c r="Q1071" i="2" a="1"/>
  <c r="Q1071" i="2" s="1"/>
  <c r="S1071" i="2" s="1"/>
  <c r="W1071" i="2" s="1"/>
  <c r="X1071" i="2" s="1"/>
  <c r="Q864" i="2" a="1"/>
  <c r="Q864" i="2" s="1"/>
  <c r="S864" i="2" s="1"/>
  <c r="W864" i="2" s="1"/>
  <c r="X864" i="2" s="1"/>
  <c r="Q174" i="2" a="1"/>
  <c r="Q174" i="2" s="1"/>
  <c r="S174" i="2" s="1"/>
  <c r="W174" i="2" s="1"/>
  <c r="X174" i="2" s="1"/>
  <c r="Q580" i="2" a="1"/>
  <c r="Q580" i="2" s="1"/>
  <c r="S580" i="2" s="1"/>
  <c r="W580" i="2" s="1"/>
  <c r="X580" i="2" s="1"/>
  <c r="Q1121" i="2" a="1"/>
  <c r="Q1121" i="2" s="1"/>
  <c r="S1121" i="2" s="1"/>
  <c r="W1121" i="2" s="1"/>
  <c r="X1121" i="2" s="1"/>
  <c r="Q1444" i="2" a="1"/>
  <c r="Q1444" i="2" s="1"/>
  <c r="S1444" i="2" s="1"/>
  <c r="W1444" i="2" s="1"/>
  <c r="X1444" i="2" s="1"/>
  <c r="Q1027" i="2" a="1"/>
  <c r="Q1027" i="2" s="1"/>
  <c r="S1027" i="2" s="1"/>
  <c r="W1027" i="2" s="1"/>
  <c r="X1027" i="2" s="1"/>
  <c r="Q968" i="2" a="1"/>
  <c r="Q968" i="2" s="1"/>
  <c r="S968" i="2" s="1"/>
  <c r="W968" i="2" s="1"/>
  <c r="X968" i="2" s="1"/>
  <c r="Q1048" i="2" a="1"/>
  <c r="Q1048" i="2" s="1"/>
  <c r="S1048" i="2" s="1"/>
  <c r="W1048" i="2" s="1"/>
  <c r="X1048" i="2" s="1"/>
  <c r="Q261" i="2" a="1"/>
  <c r="Q261" i="2" s="1"/>
  <c r="S261" i="2" s="1"/>
  <c r="W261" i="2" s="1"/>
  <c r="X261" i="2" s="1"/>
  <c r="Q99" i="2" a="1"/>
  <c r="Q99" i="2" s="1"/>
  <c r="S99" i="2" s="1"/>
  <c r="W99" i="2" s="1"/>
  <c r="X99" i="2" s="1"/>
  <c r="Q884" i="2" a="1"/>
  <c r="Q884" i="2" s="1"/>
  <c r="S884" i="2" s="1"/>
  <c r="W884" i="2" s="1"/>
  <c r="X884" i="2" s="1"/>
  <c r="Q1206" i="2" a="1"/>
  <c r="Q1206" i="2" s="1"/>
  <c r="S1206" i="2" s="1"/>
  <c r="W1206" i="2" s="1"/>
  <c r="X1206" i="2" s="1"/>
  <c r="Q1005" i="2" a="1"/>
  <c r="Q1005" i="2" s="1"/>
  <c r="S1005" i="2" s="1"/>
  <c r="W1005" i="2" s="1"/>
  <c r="X1005" i="2" s="1"/>
  <c r="Q433" i="2" a="1"/>
  <c r="Q433" i="2" s="1"/>
  <c r="S433" i="2" s="1"/>
  <c r="W433" i="2" s="1"/>
  <c r="X433" i="2" s="1"/>
  <c r="Q1218" i="2" a="1"/>
  <c r="Q1218" i="2" s="1"/>
  <c r="S1218" i="2" s="1"/>
  <c r="W1218" i="2" s="1"/>
  <c r="X1218" i="2" s="1"/>
  <c r="Q1539" i="2" a="1"/>
  <c r="Q1539" i="2" s="1"/>
  <c r="S1539" i="2" s="1"/>
  <c r="W1539" i="2" s="1"/>
  <c r="X1539" i="2" s="1"/>
  <c r="Q1791" i="2" a="1"/>
  <c r="Q1791" i="2" s="1"/>
  <c r="S1791" i="2" s="1"/>
  <c r="W1791" i="2" s="1"/>
  <c r="X1791" i="2" s="1"/>
  <c r="Q567" i="2" a="1"/>
  <c r="Q567" i="2" s="1"/>
  <c r="S567" i="2" s="1"/>
  <c r="W567" i="2" s="1"/>
  <c r="X567" i="2" s="1"/>
  <c r="Q1365" i="2" a="1"/>
  <c r="Q1365" i="2" s="1"/>
  <c r="S1365" i="2" s="1"/>
  <c r="W1365" i="2" s="1"/>
  <c r="X1365" i="2" s="1"/>
  <c r="Q1613" i="2" a="1"/>
  <c r="Q1613" i="2" s="1"/>
  <c r="S1613" i="2" s="1"/>
  <c r="W1613" i="2" s="1"/>
  <c r="X1613" i="2" s="1"/>
  <c r="Q1148" i="2" a="1"/>
  <c r="Q1148" i="2" s="1"/>
  <c r="S1148" i="2" s="1"/>
  <c r="W1148" i="2" s="1"/>
  <c r="X1148" i="2" s="1"/>
  <c r="Q117" i="2" a="1"/>
  <c r="Q117" i="2" s="1"/>
  <c r="S117" i="2" s="1"/>
  <c r="W117" i="2" s="1"/>
  <c r="X117" i="2" s="1"/>
  <c r="Q576" i="2" a="1"/>
  <c r="Q576" i="2" s="1"/>
  <c r="S576" i="2" s="1"/>
  <c r="W576" i="2" s="1"/>
  <c r="X576" i="2" s="1"/>
  <c r="Q1819" i="2" a="1"/>
  <c r="Q1819" i="2" s="1"/>
  <c r="S1819" i="2" s="1"/>
  <c r="W1819" i="2" s="1"/>
  <c r="X1819" i="2" s="1"/>
  <c r="Q1236" i="2" a="1"/>
  <c r="Q1236" i="2" s="1"/>
  <c r="S1236" i="2" s="1"/>
  <c r="W1236" i="2" s="1"/>
  <c r="X1236" i="2" s="1"/>
  <c r="Q961" i="2" a="1"/>
  <c r="Q961" i="2" s="1"/>
  <c r="S961" i="2" s="1"/>
  <c r="W961" i="2" s="1"/>
  <c r="X961" i="2" s="1"/>
  <c r="Q1495" i="2" a="1"/>
  <c r="Q1495" i="2" s="1"/>
  <c r="S1495" i="2" s="1"/>
  <c r="W1495" i="2" s="1"/>
  <c r="X1495" i="2" s="1"/>
  <c r="Q2167" i="2" a="1"/>
  <c r="Q2167" i="2" s="1"/>
  <c r="S2167" i="2" s="1"/>
  <c r="W2167" i="2" s="1"/>
  <c r="X2167" i="2" s="1"/>
  <c r="Q1368" i="2" a="1"/>
  <c r="Q1368" i="2" s="1"/>
  <c r="S1368" i="2" s="1"/>
  <c r="W1368" i="2" s="1"/>
  <c r="X1368" i="2" s="1"/>
  <c r="Q1479" i="2" a="1"/>
  <c r="Q1479" i="2" s="1"/>
  <c r="S1479" i="2" s="1"/>
  <c r="W1479" i="2" s="1"/>
  <c r="X1479" i="2" s="1"/>
  <c r="Q1589" i="2" a="1"/>
  <c r="Q1589" i="2" s="1"/>
  <c r="S1589" i="2" s="1"/>
  <c r="W1589" i="2" s="1"/>
  <c r="X1589" i="2" s="1"/>
  <c r="Q885" i="2" a="1"/>
  <c r="Q885" i="2" s="1"/>
  <c r="S885" i="2" s="1"/>
  <c r="W885" i="2" s="1"/>
  <c r="X885" i="2" s="1"/>
  <c r="Q1447" i="2" a="1"/>
  <c r="Q1447" i="2" s="1"/>
  <c r="S1447" i="2" s="1"/>
  <c r="W1447" i="2" s="1"/>
  <c r="X1447" i="2" s="1"/>
  <c r="Q254" i="2" a="1"/>
  <c r="Q254" i="2" s="1"/>
  <c r="S254" i="2" s="1"/>
  <c r="W254" i="2" s="1"/>
  <c r="X254" i="2" s="1"/>
  <c r="Q1094" i="2" a="1"/>
  <c r="Q1094" i="2" s="1"/>
  <c r="S1094" i="2" s="1"/>
  <c r="W1094" i="2" s="1"/>
  <c r="X1094" i="2" s="1"/>
  <c r="Q271" i="2" a="1"/>
  <c r="Q271" i="2" s="1"/>
  <c r="S271" i="2" s="1"/>
  <c r="W271" i="2" s="1"/>
  <c r="X271" i="2" s="1"/>
  <c r="Q1367" i="2" a="1"/>
  <c r="Q1367" i="2" s="1"/>
  <c r="S1367" i="2" s="1"/>
  <c r="W1367" i="2" s="1"/>
  <c r="X1367" i="2" s="1"/>
  <c r="Q489" i="2" a="1"/>
  <c r="Q489" i="2" s="1"/>
  <c r="S489" i="2" s="1"/>
  <c r="W489" i="2" s="1"/>
  <c r="X489" i="2" s="1"/>
  <c r="Q1039" i="2" a="1"/>
  <c r="Q1039" i="2" s="1"/>
  <c r="S1039" i="2" s="1"/>
  <c r="W1039" i="2" s="1"/>
  <c r="X1039" i="2" s="1"/>
  <c r="Q1854" i="2" a="1"/>
  <c r="Q1854" i="2" s="1"/>
  <c r="S1854" i="2" s="1"/>
  <c r="W1854" i="2" s="1"/>
  <c r="X1854" i="2" s="1"/>
  <c r="Q1078" i="2" a="1"/>
  <c r="Q1078" i="2" s="1"/>
  <c r="S1078" i="2" s="1"/>
  <c r="W1078" i="2" s="1"/>
  <c r="X1078" i="2" s="1"/>
  <c r="Q205" i="2" a="1"/>
  <c r="Q205" i="2" s="1"/>
  <c r="S205" i="2" s="1"/>
  <c r="W205" i="2" s="1"/>
  <c r="X205" i="2" s="1"/>
  <c r="Q1729" i="2" a="1"/>
  <c r="Q1729" i="2" s="1"/>
  <c r="S1729" i="2" s="1"/>
  <c r="W1729" i="2" s="1"/>
  <c r="X1729" i="2" s="1"/>
  <c r="Q1284" i="2" a="1"/>
  <c r="Q1284" i="2" s="1"/>
  <c r="S1284" i="2" s="1"/>
  <c r="W1284" i="2" s="1"/>
  <c r="X1284" i="2" s="1"/>
  <c r="Q857" i="2" a="1"/>
  <c r="Q857" i="2" s="1"/>
  <c r="S857" i="2" s="1"/>
  <c r="W857" i="2" s="1"/>
  <c r="X857" i="2" s="1"/>
  <c r="Q442" i="2" a="1"/>
  <c r="Q442" i="2" s="1"/>
  <c r="S442" i="2" s="1"/>
  <c r="W442" i="2" s="1"/>
  <c r="X442" i="2" s="1"/>
  <c r="Q995" i="2" a="1"/>
  <c r="Q995" i="2" s="1"/>
  <c r="S995" i="2" s="1"/>
  <c r="W995" i="2" s="1"/>
  <c r="X995" i="2" s="1"/>
  <c r="Q1063" i="2" a="1"/>
  <c r="Q1063" i="2" s="1"/>
  <c r="S1063" i="2" s="1"/>
  <c r="W1063" i="2" s="1"/>
  <c r="X1063" i="2" s="1"/>
  <c r="Q1068" i="2" a="1"/>
  <c r="Q1068" i="2" s="1"/>
  <c r="S1068" i="2" s="1"/>
  <c r="W1068" i="2" s="1"/>
  <c r="X1068" i="2" s="1"/>
  <c r="Q1548" i="2" a="1"/>
  <c r="Q1548" i="2" s="1"/>
  <c r="S1548" i="2" s="1"/>
  <c r="W1548" i="2" s="1"/>
  <c r="X1548" i="2" s="1"/>
  <c r="Q1013" i="2" a="1"/>
  <c r="Q1013" i="2" s="1"/>
  <c r="S1013" i="2" s="1"/>
  <c r="W1013" i="2" s="1"/>
  <c r="X1013" i="2" s="1"/>
  <c r="Q1787" i="2" a="1"/>
  <c r="Q1787" i="2" s="1"/>
  <c r="S1787" i="2" s="1"/>
  <c r="W1787" i="2" s="1"/>
  <c r="X1787" i="2" s="1"/>
  <c r="Q476" i="2" a="1"/>
  <c r="Q476" i="2" s="1"/>
  <c r="S476" i="2" s="1"/>
  <c r="W476" i="2" s="1"/>
  <c r="X476" i="2" s="1"/>
  <c r="Q1046" i="2" a="1"/>
  <c r="Q1046" i="2" s="1"/>
  <c r="S1046" i="2" s="1"/>
  <c r="W1046" i="2" s="1"/>
  <c r="X1046" i="2" s="1"/>
  <c r="Q219" i="2" a="1"/>
  <c r="Q219" i="2" s="1"/>
  <c r="S219" i="2" s="1"/>
  <c r="W219" i="2" s="1"/>
  <c r="X219" i="2" s="1"/>
  <c r="Q2112" i="2" a="1"/>
  <c r="Q2112" i="2" s="1"/>
  <c r="S2112" i="2" s="1"/>
  <c r="W2112" i="2" s="1"/>
  <c r="X2112" i="2" s="1"/>
  <c r="Q1347" i="2" a="1"/>
  <c r="Q1347" i="2" s="1"/>
  <c r="S1347" i="2" s="1"/>
  <c r="W1347" i="2" s="1"/>
  <c r="X1347" i="2" s="1"/>
  <c r="Q1294" i="2" a="1"/>
  <c r="Q1294" i="2" s="1"/>
  <c r="S1294" i="2" s="1"/>
  <c r="W1294" i="2" s="1"/>
  <c r="X1294" i="2" s="1"/>
  <c r="Q497" i="2" a="1"/>
  <c r="Q497" i="2" s="1"/>
  <c r="S497" i="2" s="1"/>
  <c r="W497" i="2" s="1"/>
  <c r="X497" i="2" s="1"/>
  <c r="Q897" i="2" a="1"/>
  <c r="Q897" i="2" s="1"/>
  <c r="S897" i="2" s="1"/>
  <c r="W897" i="2" s="1"/>
  <c r="X897" i="2" s="1"/>
  <c r="Q1517" i="2" a="1"/>
  <c r="Q1517" i="2" s="1"/>
  <c r="S1517" i="2" s="1"/>
  <c r="W1517" i="2" s="1"/>
  <c r="X1517" i="2" s="1"/>
  <c r="Q69" i="2" a="1"/>
  <c r="Q69" i="2" s="1"/>
  <c r="S69" i="2" s="1"/>
  <c r="W69" i="2" s="1"/>
  <c r="X69" i="2" s="1"/>
  <c r="Q1737" i="2" a="1"/>
  <c r="Q1737" i="2" s="1"/>
  <c r="S1737" i="2" s="1"/>
  <c r="W1737" i="2" s="1"/>
  <c r="X1737" i="2" s="1"/>
  <c r="Q1361" i="2" a="1"/>
  <c r="Q1361" i="2" s="1"/>
  <c r="S1361" i="2" s="1"/>
  <c r="W1361" i="2" s="1"/>
  <c r="X1361" i="2" s="1"/>
  <c r="Q411" i="2" a="1"/>
  <c r="Q411" i="2" s="1"/>
  <c r="S411" i="2" s="1"/>
  <c r="W411" i="2" s="1"/>
  <c r="X411" i="2" s="1"/>
  <c r="Q87" i="2" a="1"/>
  <c r="Q87" i="2" s="1"/>
  <c r="S87" i="2" s="1"/>
  <c r="W87" i="2" s="1"/>
  <c r="X87" i="2" s="1"/>
  <c r="Q1724" i="2" a="1"/>
  <c r="Q1724" i="2" s="1"/>
  <c r="S1724" i="2" s="1"/>
  <c r="W1724" i="2" s="1"/>
  <c r="X1724" i="2" s="1"/>
  <c r="Q920" i="2" a="1"/>
  <c r="Q920" i="2" s="1"/>
  <c r="S920" i="2" s="1"/>
  <c r="W920" i="2" s="1"/>
  <c r="X920" i="2" s="1"/>
  <c r="Q1421" i="2" a="1"/>
  <c r="Q1421" i="2" s="1"/>
  <c r="S1421" i="2" s="1"/>
  <c r="W1421" i="2" s="1"/>
  <c r="X1421" i="2" s="1"/>
  <c r="Q43" i="2" a="1"/>
  <c r="Q43" i="2" s="1"/>
  <c r="S43" i="2" s="1"/>
  <c r="W43" i="2" s="1"/>
  <c r="X43" i="2" s="1"/>
  <c r="Q1282" i="2" a="1"/>
  <c r="Q1282" i="2" s="1"/>
  <c r="S1282" i="2" s="1"/>
  <c r="W1282" i="2" s="1"/>
  <c r="X1282" i="2" s="1"/>
  <c r="Q1727" i="2" a="1"/>
  <c r="Q1727" i="2" s="1"/>
  <c r="S1727" i="2" s="1"/>
  <c r="W1727" i="2" s="1"/>
  <c r="X1727" i="2" s="1"/>
  <c r="Q923" i="2" a="1"/>
  <c r="Q923" i="2" s="1"/>
  <c r="S923" i="2" s="1"/>
  <c r="W923" i="2" s="1"/>
  <c r="X923" i="2" s="1"/>
  <c r="R792" i="2" a="1"/>
  <c r="R792" i="2" s="1"/>
  <c r="Q425" i="2" a="1"/>
  <c r="Q425" i="2" s="1"/>
  <c r="S425" i="2" s="1"/>
  <c r="W425" i="2" s="1"/>
  <c r="X425" i="2" s="1"/>
  <c r="Q1808" i="2" a="1"/>
  <c r="Q1808" i="2" s="1"/>
  <c r="S1808" i="2" s="1"/>
  <c r="W1808" i="2" s="1"/>
  <c r="X1808" i="2" s="1"/>
  <c r="Q615" i="2" a="1"/>
  <c r="Q615" i="2" s="1"/>
  <c r="S615" i="2" s="1"/>
  <c r="W615" i="2" s="1"/>
  <c r="X615" i="2" s="1"/>
  <c r="Q1103" i="2" a="1"/>
  <c r="Q1103" i="2" s="1"/>
  <c r="S1103" i="2" s="1"/>
  <c r="W1103" i="2" s="1"/>
  <c r="X1103" i="2" s="1"/>
  <c r="Q541" i="2" a="1"/>
  <c r="Q541" i="2" s="1"/>
  <c r="S541" i="2" s="1"/>
  <c r="W541" i="2" s="1"/>
  <c r="X541" i="2" s="1"/>
  <c r="Q53" i="2" a="1"/>
  <c r="Q53" i="2" s="1"/>
  <c r="S53" i="2" s="1"/>
  <c r="W53" i="2" s="1"/>
  <c r="X53" i="2" s="1"/>
  <c r="Q1618" i="2" a="1"/>
  <c r="Q1618" i="2" s="1"/>
  <c r="S1618" i="2" s="1"/>
  <c r="W1618" i="2" s="1"/>
  <c r="X1618" i="2" s="1"/>
  <c r="Q938" i="2" a="1"/>
  <c r="Q938" i="2" s="1"/>
  <c r="S938" i="2" s="1"/>
  <c r="W938" i="2" s="1"/>
  <c r="X938" i="2" s="1"/>
  <c r="Q1801" i="2" a="1"/>
  <c r="Q1801" i="2" s="1"/>
  <c r="S1801" i="2" s="1"/>
  <c r="W1801" i="2" s="1"/>
  <c r="X1801" i="2" s="1"/>
  <c r="Q1099" i="2" a="1"/>
  <c r="Q1099" i="2" s="1"/>
  <c r="S1099" i="2" s="1"/>
  <c r="W1099" i="2" s="1"/>
  <c r="X1099" i="2" s="1"/>
  <c r="Q32" i="2" a="1"/>
  <c r="Q32" i="2" s="1"/>
  <c r="S32" i="2" s="1"/>
  <c r="W32" i="2" s="1"/>
  <c r="X32" i="2" s="1"/>
  <c r="Q1227" i="2" a="1"/>
  <c r="Q1227" i="2" s="1"/>
  <c r="S1227" i="2" s="1"/>
  <c r="W1227" i="2" s="1"/>
  <c r="X1227" i="2" s="1"/>
  <c r="Q1016" i="2" a="1"/>
  <c r="Q1016" i="2" s="1"/>
  <c r="S1016" i="2" s="1"/>
  <c r="W1016" i="2" s="1"/>
  <c r="X1016" i="2" s="1"/>
  <c r="Q633" i="2" a="1"/>
  <c r="Q633" i="2" s="1"/>
  <c r="S633" i="2" s="1"/>
  <c r="W633" i="2" s="1"/>
  <c r="X633" i="2" s="1"/>
  <c r="Q1649" i="2" a="1"/>
  <c r="Q1649" i="2" s="1"/>
  <c r="S1649" i="2" s="1"/>
  <c r="W1649" i="2" s="1"/>
  <c r="X1649" i="2" s="1"/>
  <c r="Q1332" i="2" a="1"/>
  <c r="Q1332" i="2" s="1"/>
  <c r="S1332" i="2" s="1"/>
  <c r="W1332" i="2" s="1"/>
  <c r="X1332" i="2" s="1"/>
  <c r="Q2163" i="2" a="1"/>
  <c r="Q2163" i="2" s="1"/>
  <c r="S2163" i="2" s="1"/>
  <c r="W2163" i="2" s="1"/>
  <c r="X2163" i="2" s="1"/>
  <c r="Q65" i="2" a="1"/>
  <c r="Q65" i="2" s="1"/>
  <c r="S65" i="2" s="1"/>
  <c r="W65" i="2" s="1"/>
  <c r="X65" i="2" s="1"/>
  <c r="Q1751" i="2" a="1"/>
  <c r="Q1751" i="2" s="1"/>
  <c r="S1751" i="2" s="1"/>
  <c r="W1751" i="2" s="1"/>
  <c r="X1751" i="2" s="1"/>
  <c r="Q1032" i="2" a="1"/>
  <c r="Q1032" i="2" s="1"/>
  <c r="S1032" i="2" s="1"/>
  <c r="W1032" i="2" s="1"/>
  <c r="X1032" i="2" s="1"/>
  <c r="Q1497" i="2" a="1"/>
  <c r="Q1497" i="2" s="1"/>
  <c r="S1497" i="2" s="1"/>
  <c r="W1497" i="2" s="1"/>
  <c r="X1497" i="2" s="1"/>
  <c r="Q1139" i="2" a="1"/>
  <c r="Q1139" i="2" s="1"/>
  <c r="S1139" i="2" s="1"/>
  <c r="W1139" i="2" s="1"/>
  <c r="X1139" i="2" s="1"/>
  <c r="Q1822" i="2" a="1"/>
  <c r="Q1822" i="2" s="1"/>
  <c r="S1822" i="2" s="1"/>
  <c r="W1822" i="2" s="1"/>
  <c r="X1822" i="2" s="1"/>
  <c r="Q253" i="2" a="1"/>
  <c r="Q253" i="2" s="1"/>
  <c r="S253" i="2" s="1"/>
  <c r="W253" i="2" s="1"/>
  <c r="X253" i="2" s="1"/>
  <c r="Q449" i="2" a="1"/>
  <c r="Q449" i="2" s="1"/>
  <c r="S449" i="2" s="1"/>
  <c r="W449" i="2" s="1"/>
  <c r="X449" i="2" s="1"/>
  <c r="Q606" i="2" a="1"/>
  <c r="Q606" i="2" s="1"/>
  <c r="S606" i="2" s="1"/>
  <c r="W606" i="2" s="1"/>
  <c r="X606" i="2" s="1"/>
  <c r="Q1187" i="2" a="1"/>
  <c r="Q1187" i="2" s="1"/>
  <c r="S1187" i="2" s="1"/>
  <c r="W1187" i="2" s="1"/>
  <c r="X1187" i="2" s="1"/>
  <c r="Q1417" i="2" a="1"/>
  <c r="Q1417" i="2" s="1"/>
  <c r="S1417" i="2" s="1"/>
  <c r="W1417" i="2" s="1"/>
  <c r="X1417" i="2" s="1"/>
  <c r="Q2161" i="2" a="1"/>
  <c r="Q2161" i="2" s="1"/>
  <c r="S2161" i="2" s="1"/>
  <c r="W2161" i="2" s="1"/>
  <c r="X2161" i="2" s="1"/>
  <c r="Q642" i="2" a="1"/>
  <c r="Q642" i="2" s="1"/>
  <c r="S642" i="2" s="1"/>
  <c r="W642" i="2" s="1"/>
  <c r="X642" i="2" s="1"/>
  <c r="Q600" i="2" a="1"/>
  <c r="Q600" i="2" s="1"/>
  <c r="S600" i="2" s="1"/>
  <c r="W600" i="2" s="1"/>
  <c r="X600" i="2" s="1"/>
  <c r="Q96" i="2" a="1"/>
  <c r="Q96" i="2" s="1"/>
  <c r="S96" i="2" s="1"/>
  <c r="W96" i="2" s="1"/>
  <c r="X96" i="2" s="1"/>
  <c r="Q1147" i="2" a="1"/>
  <c r="Q1147" i="2" s="1"/>
  <c r="S1147" i="2" s="1"/>
  <c r="W1147" i="2" s="1"/>
  <c r="X1147" i="2" s="1"/>
  <c r="Q1024" i="2" a="1"/>
  <c r="Q1024" i="2" s="1"/>
  <c r="S1024" i="2" s="1"/>
  <c r="W1024" i="2" s="1"/>
  <c r="X1024" i="2" s="1"/>
  <c r="Q529" i="2" a="1"/>
  <c r="Q529" i="2" s="1"/>
  <c r="S529" i="2" s="1"/>
  <c r="W529" i="2" s="1"/>
  <c r="X529" i="2" s="1"/>
  <c r="Q1346" i="2" a="1"/>
  <c r="Q1346" i="2" s="1"/>
  <c r="S1346" i="2" s="1"/>
  <c r="W1346" i="2" s="1"/>
  <c r="X1346" i="2" s="1"/>
  <c r="Q1199" i="2" a="1"/>
  <c r="Q1199" i="2" s="1"/>
  <c r="S1199" i="2" s="1"/>
  <c r="W1199" i="2" s="1"/>
  <c r="X1199" i="2" s="1"/>
  <c r="Q2162" i="2" a="1"/>
  <c r="Q2162" i="2" s="1"/>
  <c r="S2162" i="2" s="1"/>
  <c r="W2162" i="2" s="1"/>
  <c r="X2162" i="2" s="1"/>
  <c r="Q394" i="2" a="1"/>
  <c r="Q394" i="2" s="1"/>
  <c r="S394" i="2" s="1"/>
  <c r="W394" i="2" s="1"/>
  <c r="X394" i="2" s="1"/>
  <c r="Q578" i="2" a="1"/>
  <c r="Q578" i="2" s="1"/>
  <c r="S578" i="2" s="1"/>
  <c r="W578" i="2" s="1"/>
  <c r="X578" i="2" s="1"/>
  <c r="Q1256" i="2" a="1"/>
  <c r="Q1256" i="2" s="1"/>
  <c r="S1256" i="2" s="1"/>
  <c r="W1256" i="2" s="1"/>
  <c r="X1256" i="2" s="1"/>
  <c r="Q400" i="2" a="1"/>
  <c r="Q400" i="2" s="1"/>
  <c r="S400" i="2" s="1"/>
  <c r="W400" i="2" s="1"/>
  <c r="X400" i="2" s="1"/>
  <c r="Q1162" i="2" a="1"/>
  <c r="Q1162" i="2" s="1"/>
  <c r="S1162" i="2" s="1"/>
  <c r="W1162" i="2" s="1"/>
  <c r="X1162" i="2" s="1"/>
  <c r="Q1128" i="2" a="1"/>
  <c r="Q1128" i="2" s="1"/>
  <c r="S1128" i="2" s="1"/>
  <c r="W1128" i="2" s="1"/>
  <c r="X1128" i="2" s="1"/>
  <c r="Q1240" i="2" a="1"/>
  <c r="Q1240" i="2" s="1"/>
  <c r="S1240" i="2" s="1"/>
  <c r="W1240" i="2" s="1"/>
  <c r="X1240" i="2" s="1"/>
  <c r="Q1117" i="2" a="1"/>
  <c r="Q1117" i="2" s="1"/>
  <c r="S1117" i="2" s="1"/>
  <c r="W1117" i="2" s="1"/>
  <c r="X1117" i="2" s="1"/>
  <c r="Q640" i="2" a="1"/>
  <c r="Q640" i="2" s="1"/>
  <c r="S640" i="2" s="1"/>
  <c r="W640" i="2" s="1"/>
  <c r="X640" i="2" s="1"/>
  <c r="Q917" i="2" a="1"/>
  <c r="Q917" i="2" s="1"/>
  <c r="S917" i="2" s="1"/>
  <c r="W917" i="2" s="1"/>
  <c r="X917" i="2" s="1"/>
  <c r="Q1402" i="2" a="1"/>
  <c r="Q1402" i="2" s="1"/>
  <c r="S1402" i="2" s="1"/>
  <c r="W1402" i="2" s="1"/>
  <c r="X1402" i="2" s="1"/>
  <c r="Q976" i="2" a="1"/>
  <c r="Q976" i="2" s="1"/>
  <c r="S976" i="2" s="1"/>
  <c r="W976" i="2" s="1"/>
  <c r="X976" i="2" s="1"/>
  <c r="Q1394" i="2" a="1"/>
  <c r="Q1394" i="2" s="1"/>
  <c r="S1394" i="2" s="1"/>
  <c r="W1394" i="2" s="1"/>
  <c r="X1394" i="2" s="1"/>
  <c r="Q1363" i="2" a="1"/>
  <c r="Q1363" i="2" s="1"/>
  <c r="S1363" i="2" s="1"/>
  <c r="W1363" i="2" s="1"/>
  <c r="X1363" i="2" s="1"/>
  <c r="Q1049" i="2" a="1"/>
  <c r="Q1049" i="2" s="1"/>
  <c r="S1049" i="2" s="1"/>
  <c r="W1049" i="2" s="1"/>
  <c r="X1049" i="2" s="1"/>
  <c r="Q1388" i="2" a="1"/>
  <c r="Q1388" i="2" s="1"/>
  <c r="S1388" i="2" s="1"/>
  <c r="W1388" i="2" s="1"/>
  <c r="X1388" i="2" s="1"/>
  <c r="Q1207" i="2" a="1"/>
  <c r="Q1207" i="2" s="1"/>
  <c r="S1207" i="2" s="1"/>
  <c r="W1207" i="2" s="1"/>
  <c r="X1207" i="2" s="1"/>
  <c r="Q547" i="2" a="1"/>
  <c r="Q547" i="2" s="1"/>
  <c r="S547" i="2" s="1"/>
  <c r="W547" i="2" s="1"/>
  <c r="X547" i="2" s="1"/>
  <c r="Q197" i="2" a="1"/>
  <c r="Q197" i="2" s="1"/>
  <c r="S197" i="2" s="1"/>
  <c r="W197" i="2" s="1"/>
  <c r="X197" i="2" s="1"/>
  <c r="Q636" i="2" a="1"/>
  <c r="Q636" i="2" s="1"/>
  <c r="S636" i="2" s="1"/>
  <c r="W636" i="2" s="1"/>
  <c r="X636" i="2" s="1"/>
  <c r="Q1007" i="2" a="1"/>
  <c r="Q1007" i="2" s="1"/>
  <c r="S1007" i="2" s="1"/>
  <c r="W1007" i="2" s="1"/>
  <c r="X1007" i="2" s="1"/>
  <c r="Q1001" i="2" a="1"/>
  <c r="Q1001" i="2" s="1"/>
  <c r="S1001" i="2" s="1"/>
  <c r="W1001" i="2" s="1"/>
  <c r="X1001" i="2" s="1"/>
  <c r="Q1824" i="2" a="1"/>
  <c r="Q1824" i="2" s="1"/>
  <c r="S1824" i="2" s="1"/>
  <c r="W1824" i="2" s="1"/>
  <c r="X1824" i="2" s="1"/>
  <c r="Q1610" i="2" a="1"/>
  <c r="Q1610" i="2" s="1"/>
  <c r="S1610" i="2" s="1"/>
  <c r="W1610" i="2" s="1"/>
  <c r="X1610" i="2" s="1"/>
  <c r="Q1081" i="2" a="1"/>
  <c r="Q1081" i="2" s="1"/>
  <c r="S1081" i="2" s="1"/>
  <c r="W1081" i="2" s="1"/>
  <c r="X1081" i="2" s="1"/>
  <c r="Q1773" i="2" a="1"/>
  <c r="Q1773" i="2" s="1"/>
  <c r="S1773" i="2" s="1"/>
  <c r="W1773" i="2" s="1"/>
  <c r="X1773" i="2" s="1"/>
  <c r="Q626" i="2" a="1"/>
  <c r="Q626" i="2" s="1"/>
  <c r="S626" i="2" s="1"/>
  <c r="W626" i="2" s="1"/>
  <c r="X626" i="2" s="1"/>
  <c r="Q64" i="2" a="1"/>
  <c r="Q64" i="2" s="1"/>
  <c r="S64" i="2" s="1"/>
  <c r="W64" i="2" s="1"/>
  <c r="X64" i="2" s="1"/>
  <c r="Q1189" i="2" a="1"/>
  <c r="Q1189" i="2" s="1"/>
  <c r="S1189" i="2" s="1"/>
  <c r="W1189" i="2" s="1"/>
  <c r="X1189" i="2" s="1"/>
  <c r="Q1425" i="2" a="1"/>
  <c r="Q1425" i="2" s="1"/>
  <c r="S1425" i="2" s="1"/>
  <c r="W1425" i="2" s="1"/>
  <c r="X1425" i="2" s="1"/>
  <c r="Q1609" i="2" a="1"/>
  <c r="Q1609" i="2" s="1"/>
  <c r="S1609" i="2" s="1"/>
  <c r="W1609" i="2" s="1"/>
  <c r="X1609" i="2" s="1"/>
  <c r="Q35" i="2" a="1"/>
  <c r="Q35" i="2" s="1"/>
  <c r="S35" i="2" s="1"/>
  <c r="W35" i="2" s="1"/>
  <c r="X35" i="2" s="1"/>
  <c r="Q925" i="2" a="1"/>
  <c r="Q925" i="2" s="1"/>
  <c r="S925" i="2" s="1"/>
  <c r="W925" i="2" s="1"/>
  <c r="X925" i="2" s="1"/>
  <c r="Q1663" i="2" a="1"/>
  <c r="Q1663" i="2" s="1"/>
  <c r="S1663" i="2" s="1"/>
  <c r="W1663" i="2" s="1"/>
  <c r="X1663" i="2" s="1"/>
  <c r="Q55" i="2" a="1"/>
  <c r="Q55" i="2" s="1"/>
  <c r="S55" i="2" s="1"/>
  <c r="W55" i="2" s="1"/>
  <c r="X55" i="2" s="1"/>
  <c r="Q1558" i="2" a="1"/>
  <c r="Q1558" i="2" s="1"/>
  <c r="S1558" i="2" s="1"/>
  <c r="W1558" i="2" s="1"/>
  <c r="X1558" i="2" s="1"/>
  <c r="Q276" i="2" a="1"/>
  <c r="Q276" i="2" s="1"/>
  <c r="S276" i="2" s="1"/>
  <c r="W276" i="2" s="1"/>
  <c r="X276" i="2" s="1"/>
  <c r="Q570" i="2" a="1"/>
  <c r="Q570" i="2" s="1"/>
  <c r="S570" i="2" s="1"/>
  <c r="W570" i="2" s="1"/>
  <c r="X570" i="2" s="1"/>
  <c r="Q1325" i="2" a="1"/>
  <c r="Q1325" i="2" s="1"/>
  <c r="S1325" i="2" s="1"/>
  <c r="W1325" i="2" s="1"/>
  <c r="X1325" i="2" s="1"/>
  <c r="Q17" i="2" a="1"/>
  <c r="Q17" i="2" s="1"/>
  <c r="S17" i="2" s="1"/>
  <c r="W17" i="2" s="1"/>
  <c r="X17" i="2" s="1"/>
  <c r="Q478" i="2" a="1"/>
  <c r="Q478" i="2" s="1"/>
  <c r="S478" i="2" s="1"/>
  <c r="W478" i="2" s="1"/>
  <c r="X478" i="2" s="1"/>
  <c r="Q1338" i="2" a="1"/>
  <c r="Q1338" i="2" s="1"/>
  <c r="S1338" i="2" s="1"/>
  <c r="W1338" i="2" s="1"/>
  <c r="X1338" i="2" s="1"/>
  <c r="Q1719" i="2" a="1"/>
  <c r="Q1719" i="2" s="1"/>
  <c r="S1719" i="2" s="1"/>
  <c r="W1719" i="2" s="1"/>
  <c r="X1719" i="2" s="1"/>
  <c r="Q1763" i="2" a="1"/>
  <c r="Q1763" i="2" s="1"/>
  <c r="S1763" i="2" s="1"/>
  <c r="W1763" i="2" s="1"/>
  <c r="X1763" i="2" s="1"/>
  <c r="Q1746" i="2" a="1"/>
  <c r="Q1746" i="2" s="1"/>
  <c r="S1746" i="2" s="1"/>
  <c r="W1746" i="2" s="1"/>
  <c r="X1746" i="2" s="1"/>
  <c r="Q1186" i="2" a="1"/>
  <c r="Q1186" i="2" s="1"/>
  <c r="S1186" i="2" s="1"/>
  <c r="W1186" i="2" s="1"/>
  <c r="X1186" i="2" s="1"/>
  <c r="R1585" i="2" a="1"/>
  <c r="R1585" i="2" s="1"/>
  <c r="Q1705" i="2" a="1"/>
  <c r="Q1705" i="2" s="1"/>
  <c r="S1705" i="2" s="1"/>
  <c r="W1705" i="2" s="1"/>
  <c r="X1705" i="2" s="1"/>
  <c r="Q1140" i="2" a="1"/>
  <c r="Q1140" i="2" s="1"/>
  <c r="S1140" i="2" s="1"/>
  <c r="W1140" i="2" s="1"/>
  <c r="X1140" i="2" s="1"/>
  <c r="Q1310" i="2" a="1"/>
  <c r="Q1310" i="2" s="1"/>
  <c r="S1310" i="2" s="1"/>
  <c r="W1310" i="2" s="1"/>
  <c r="X1310" i="2" s="1"/>
  <c r="Q1217" i="2" a="1"/>
  <c r="Q1217" i="2" s="1"/>
  <c r="S1217" i="2" s="1"/>
  <c r="W1217" i="2" s="1"/>
  <c r="X1217" i="2" s="1"/>
  <c r="Q999" i="2" a="1"/>
  <c r="Q999" i="2" s="1"/>
  <c r="S999" i="2" s="1"/>
  <c r="W999" i="2" s="1"/>
  <c r="X999" i="2" s="1"/>
  <c r="Q462" i="2" a="1"/>
  <c r="Q462" i="2" s="1"/>
  <c r="S462" i="2" s="1"/>
  <c r="W462" i="2" s="1"/>
  <c r="X462" i="2" s="1"/>
  <c r="Q569" i="2" a="1"/>
  <c r="Q569" i="2" s="1"/>
  <c r="S569" i="2" s="1"/>
  <c r="W569" i="2" s="1"/>
  <c r="X569" i="2" s="1"/>
  <c r="Q618" i="2" a="1"/>
  <c r="Q618" i="2" s="1"/>
  <c r="S618" i="2" s="1"/>
  <c r="W618" i="2" s="1"/>
  <c r="X618" i="2" s="1"/>
  <c r="Q1790" i="2" a="1"/>
  <c r="Q1790" i="2" s="1"/>
  <c r="S1790" i="2" s="1"/>
  <c r="W1790" i="2" s="1"/>
  <c r="X1790" i="2" s="1"/>
  <c r="Q1456" i="2" a="1"/>
  <c r="Q1456" i="2" s="1"/>
  <c r="S1456" i="2" s="1"/>
  <c r="W1456" i="2" s="1"/>
  <c r="X1456" i="2" s="1"/>
  <c r="Q1723" i="2" a="1"/>
  <c r="Q1723" i="2" s="1"/>
  <c r="S1723" i="2" s="1"/>
  <c r="W1723" i="2" s="1"/>
  <c r="X1723" i="2" s="1"/>
  <c r="Q199" i="2" a="1"/>
  <c r="Q199" i="2" s="1"/>
  <c r="S199" i="2" s="1"/>
  <c r="W199" i="2" s="1"/>
  <c r="X199" i="2" s="1"/>
  <c r="Q1810" i="2" a="1"/>
  <c r="Q1810" i="2" s="1"/>
  <c r="S1810" i="2" s="1"/>
  <c r="W1810" i="2" s="1"/>
  <c r="X1810" i="2" s="1"/>
  <c r="Q899" i="2" a="1"/>
  <c r="Q899" i="2" s="1"/>
  <c r="S899" i="2" s="1"/>
  <c r="W899" i="2" s="1"/>
  <c r="X899" i="2" s="1"/>
  <c r="Q403" i="2" a="1"/>
  <c r="Q403" i="2" s="1"/>
  <c r="S403" i="2" s="1"/>
  <c r="W403" i="2" s="1"/>
  <c r="X403" i="2" s="1"/>
  <c r="Q643" i="2" a="1"/>
  <c r="Q643" i="2" s="1"/>
  <c r="S643" i="2" s="1"/>
  <c r="W643" i="2" s="1"/>
  <c r="X643" i="2" s="1"/>
  <c r="Q1426" i="2" a="1"/>
  <c r="Q1426" i="2" s="1"/>
  <c r="S1426" i="2" s="1"/>
  <c r="W1426" i="2" s="1"/>
  <c r="X1426" i="2" s="1"/>
  <c r="Q1526" i="2" a="1"/>
  <c r="Q1526" i="2" s="1"/>
  <c r="S1526" i="2" s="1"/>
  <c r="W1526" i="2" s="1"/>
  <c r="X1526" i="2" s="1"/>
  <c r="Q2135" i="2" a="1"/>
  <c r="Q2135" i="2" s="1"/>
  <c r="S2135" i="2" s="1"/>
  <c r="W2135" i="2" s="1"/>
  <c r="X2135" i="2" s="1"/>
  <c r="Q1807" i="2" a="1"/>
  <c r="Q1807" i="2" s="1"/>
  <c r="S1807" i="2" s="1"/>
  <c r="W1807" i="2" s="1"/>
  <c r="X1807" i="2" s="1"/>
  <c r="Q1659" i="2" a="1"/>
  <c r="Q1659" i="2" s="1"/>
  <c r="S1659" i="2" s="1"/>
  <c r="W1659" i="2" s="1"/>
  <c r="X1659" i="2" s="1"/>
  <c r="Q585" i="2" a="1"/>
  <c r="Q585" i="2" s="1"/>
  <c r="S585" i="2" s="1"/>
  <c r="W585" i="2" s="1"/>
  <c r="X585" i="2" s="1"/>
  <c r="Q1678" i="2" a="1"/>
  <c r="Q1678" i="2" s="1"/>
  <c r="S1678" i="2" s="1"/>
  <c r="W1678" i="2" s="1"/>
  <c r="X1678" i="2" s="1"/>
  <c r="Q1468" i="2" a="1"/>
  <c r="Q1468" i="2" s="1"/>
  <c r="S1468" i="2" s="1"/>
  <c r="W1468" i="2" s="1"/>
  <c r="X1468" i="2" s="1"/>
  <c r="Q1716" i="2" a="1"/>
  <c r="Q1716" i="2" s="1"/>
  <c r="S1716" i="2" s="1"/>
  <c r="W1716" i="2" s="1"/>
  <c r="X1716" i="2" s="1"/>
  <c r="Q588" i="2" a="1"/>
  <c r="Q588" i="2" s="1"/>
  <c r="S588" i="2" s="1"/>
  <c r="W588" i="2" s="1"/>
  <c r="X588" i="2" s="1"/>
  <c r="Q1250" i="2" a="1"/>
  <c r="Q1250" i="2" s="1"/>
  <c r="S1250" i="2" s="1"/>
  <c r="W1250" i="2" s="1"/>
  <c r="X1250" i="2" s="1"/>
  <c r="Q1611" i="2" a="1"/>
  <c r="Q1611" i="2" s="1"/>
  <c r="S1611" i="2" s="1"/>
  <c r="W1611" i="2" s="1"/>
  <c r="X1611" i="2" s="1"/>
  <c r="Q949" i="2" a="1"/>
  <c r="Q949" i="2" s="1"/>
  <c r="S949" i="2" s="1"/>
  <c r="W949" i="2" s="1"/>
  <c r="X949" i="2" s="1"/>
  <c r="Q10" i="2" a="1"/>
  <c r="Q10" i="2" s="1"/>
  <c r="S10" i="2" s="1"/>
  <c r="W10" i="2" s="1"/>
  <c r="X10" i="2" s="1"/>
  <c r="Q1535" i="2" a="1"/>
  <c r="Q1535" i="2" s="1"/>
  <c r="S1535" i="2" s="1"/>
  <c r="W1535" i="2" s="1"/>
  <c r="X1535" i="2" s="1"/>
  <c r="Q74" i="2" a="1"/>
  <c r="Q74" i="2" s="1"/>
  <c r="S74" i="2" s="1"/>
  <c r="W74" i="2" s="1"/>
  <c r="X74" i="2" s="1"/>
  <c r="Q1781" i="2" a="1"/>
  <c r="Q1781" i="2" s="1"/>
  <c r="S1781" i="2" s="1"/>
  <c r="W1781" i="2" s="1"/>
  <c r="X1781" i="2" s="1"/>
  <c r="Q1228" i="2" a="1"/>
  <c r="Q1228" i="2" s="1"/>
  <c r="S1228" i="2" s="1"/>
  <c r="W1228" i="2" s="1"/>
  <c r="X1228" i="2" s="1"/>
  <c r="Q1532" i="2" a="1"/>
  <c r="Q1532" i="2" s="1"/>
  <c r="S1532" i="2" s="1"/>
  <c r="W1532" i="2" s="1"/>
  <c r="X1532" i="2" s="1"/>
  <c r="Q1720" i="2" a="1"/>
  <c r="Q1720" i="2" s="1"/>
  <c r="S1720" i="2" s="1"/>
  <c r="W1720" i="2" s="1"/>
  <c r="X1720" i="2" s="1"/>
  <c r="Q557" i="2" a="1"/>
  <c r="Q557" i="2" s="1"/>
  <c r="S557" i="2" s="1"/>
  <c r="W557" i="2" s="1"/>
  <c r="X557" i="2" s="1"/>
  <c r="Q1413" i="2" a="1"/>
  <c r="Q1413" i="2" s="1"/>
  <c r="S1413" i="2" s="1"/>
  <c r="W1413" i="2" s="1"/>
  <c r="X1413" i="2" s="1"/>
  <c r="Q1100" i="2" a="1"/>
  <c r="Q1100" i="2" s="1"/>
  <c r="S1100" i="2" s="1"/>
  <c r="W1100" i="2" s="1"/>
  <c r="X1100" i="2" s="1"/>
  <c r="Q381" i="2" a="1"/>
  <c r="Q381" i="2" s="1"/>
  <c r="S381" i="2" s="1"/>
  <c r="W381" i="2" s="1"/>
  <c r="X381" i="2" s="1"/>
  <c r="Q522" i="2" a="1"/>
  <c r="Q522" i="2" s="1"/>
  <c r="S522" i="2" s="1"/>
  <c r="W522" i="2" s="1"/>
  <c r="X522" i="2" s="1"/>
  <c r="Q2165" i="2" a="1"/>
  <c r="Q2165" i="2" s="1"/>
  <c r="S2165" i="2" s="1"/>
  <c r="W2165" i="2" s="1"/>
  <c r="X2165" i="2" s="1"/>
  <c r="Q617" i="2" a="1"/>
  <c r="Q617" i="2" s="1"/>
  <c r="S617" i="2" s="1"/>
  <c r="W617" i="2" s="1"/>
  <c r="X617" i="2" s="1"/>
  <c r="Q1686" i="2" a="1"/>
  <c r="Q1686" i="2" s="1"/>
  <c r="S1686" i="2" s="1"/>
  <c r="W1686" i="2" s="1"/>
  <c r="X1686" i="2" s="1"/>
  <c r="Q514" i="2" a="1"/>
  <c r="Q514" i="2" s="1"/>
  <c r="S514" i="2" s="1"/>
  <c r="W514" i="2" s="1"/>
  <c r="X514" i="2" s="1"/>
  <c r="Q50" i="2" a="1"/>
  <c r="Q50" i="2" s="1"/>
  <c r="S50" i="2" s="1"/>
  <c r="W50" i="2" s="1"/>
  <c r="X50" i="2" s="1"/>
  <c r="Q1512" i="2" a="1"/>
  <c r="Q1512" i="2" s="1"/>
  <c r="S1512" i="2" s="1"/>
  <c r="W1512" i="2" s="1"/>
  <c r="X1512" i="2" s="1"/>
  <c r="Q1389" i="2" a="1"/>
  <c r="Q1389" i="2" s="1"/>
  <c r="S1389" i="2" s="1"/>
  <c r="W1389" i="2" s="1"/>
  <c r="X1389" i="2" s="1"/>
  <c r="Q196" i="2" a="1"/>
  <c r="Q196" i="2" s="1"/>
  <c r="S196" i="2" s="1"/>
  <c r="W196" i="2" s="1"/>
  <c r="X196" i="2" s="1"/>
  <c r="Q1401" i="2" a="1"/>
  <c r="Q1401" i="2" s="1"/>
  <c r="S1401" i="2" s="1"/>
  <c r="W1401" i="2" s="1"/>
  <c r="X1401" i="2" s="1"/>
  <c r="Q543" i="2" a="1"/>
  <c r="Q543" i="2" s="1"/>
  <c r="S543" i="2" s="1"/>
  <c r="W543" i="2" s="1"/>
  <c r="X543" i="2" s="1"/>
  <c r="Q1651" i="2" a="1"/>
  <c r="Q1651" i="2" s="1"/>
  <c r="S1651" i="2" s="1"/>
  <c r="W1651" i="2" s="1"/>
  <c r="X1651" i="2" s="1"/>
  <c r="Q445" i="2" a="1"/>
  <c r="Q445" i="2" s="1"/>
  <c r="S445" i="2" s="1"/>
  <c r="W445" i="2" s="1"/>
  <c r="X445" i="2" s="1"/>
  <c r="Q1083" i="2" a="1"/>
  <c r="Q1083" i="2" s="1"/>
  <c r="S1083" i="2" s="1"/>
  <c r="W1083" i="2" s="1"/>
  <c r="X1083" i="2" s="1"/>
  <c r="Q38" i="2" a="1"/>
  <c r="Q38" i="2" s="1"/>
  <c r="S38" i="2" s="1"/>
  <c r="W38" i="2" s="1"/>
  <c r="X38" i="2" s="1"/>
  <c r="Q1232" i="2" a="1"/>
  <c r="Q1232" i="2" s="1"/>
  <c r="S1232" i="2" s="1"/>
  <c r="W1232" i="2" s="1"/>
  <c r="X1232" i="2" s="1"/>
  <c r="Q1567" i="2" a="1"/>
  <c r="Q1567" i="2" s="1"/>
  <c r="S1567" i="2" s="1"/>
  <c r="W1567" i="2" s="1"/>
  <c r="X1567" i="2" s="1"/>
  <c r="Q1353" i="2" a="1"/>
  <c r="Q1353" i="2" s="1"/>
  <c r="S1353" i="2" s="1"/>
  <c r="W1353" i="2" s="1"/>
  <c r="X1353" i="2" s="1"/>
  <c r="Q898" i="2" a="1"/>
  <c r="Q898" i="2" s="1"/>
  <c r="S898" i="2" s="1"/>
  <c r="W898" i="2" s="1"/>
  <c r="X898" i="2" s="1"/>
  <c r="Q1608" i="2" a="1"/>
  <c r="Q1608" i="2" s="1"/>
  <c r="S1608" i="2" s="1"/>
  <c r="W1608" i="2" s="1"/>
  <c r="X1608" i="2" s="1"/>
  <c r="Q1667" i="2" a="1"/>
  <c r="Q1667" i="2" s="1"/>
  <c r="S1667" i="2" s="1"/>
  <c r="W1667" i="2" s="1"/>
  <c r="X1667" i="2" s="1"/>
  <c r="Q1588" i="2" a="1"/>
  <c r="Q1588" i="2" s="1"/>
  <c r="S1588" i="2" s="1"/>
  <c r="W1588" i="2" s="1"/>
  <c r="X1588" i="2" s="1"/>
  <c r="Q75" i="2" a="1"/>
  <c r="Q75" i="2" s="1"/>
  <c r="S75" i="2" s="1"/>
  <c r="W75" i="2" s="1"/>
  <c r="X75" i="2" s="1"/>
  <c r="Q1328" i="2" a="1"/>
  <c r="Q1328" i="2" s="1"/>
  <c r="S1328" i="2" s="1"/>
  <c r="W1328" i="2" s="1"/>
  <c r="X1328" i="2" s="1"/>
  <c r="Q1564" i="2" a="1"/>
  <c r="Q1564" i="2" s="1"/>
  <c r="S1564" i="2" s="1"/>
  <c r="W1564" i="2" s="1"/>
  <c r="X1564" i="2" s="1"/>
  <c r="Q257" i="2" a="1"/>
  <c r="Q257" i="2" s="1"/>
  <c r="S257" i="2" s="1"/>
  <c r="W257" i="2" s="1"/>
  <c r="X257" i="2" s="1"/>
  <c r="Q2137" i="2" a="1"/>
  <c r="Q2137" i="2" s="1"/>
  <c r="S2137" i="2" s="1"/>
  <c r="W2137" i="2" s="1"/>
  <c r="X2137" i="2" s="1"/>
  <c r="Q2152" i="2" a="1"/>
  <c r="Q2152" i="2" s="1"/>
  <c r="S2152" i="2" s="1"/>
  <c r="W2152" i="2" s="1"/>
  <c r="X2152" i="2" s="1"/>
  <c r="Q265" i="2" a="1"/>
  <c r="Q265" i="2" s="1"/>
  <c r="S265" i="2" s="1"/>
  <c r="W265" i="2" s="1"/>
  <c r="X265" i="2" s="1"/>
  <c r="Q538" i="2" a="1"/>
  <c r="Q538" i="2" s="1"/>
  <c r="S538" i="2" s="1"/>
  <c r="W538" i="2" s="1"/>
  <c r="X538" i="2" s="1"/>
  <c r="Q203" i="2" a="1"/>
  <c r="Q203" i="2" s="1"/>
  <c r="S203" i="2" s="1"/>
  <c r="W203" i="2" s="1"/>
  <c r="X203" i="2" s="1"/>
  <c r="Q1212" i="2" a="1"/>
  <c r="Q1212" i="2" s="1"/>
  <c r="S1212" i="2" s="1"/>
  <c r="W1212" i="2" s="1"/>
  <c r="X1212" i="2" s="1"/>
  <c r="Q526" i="2" a="1"/>
  <c r="Q526" i="2" s="1"/>
  <c r="S526" i="2" s="1"/>
  <c r="W526" i="2" s="1"/>
  <c r="X526" i="2" s="1"/>
  <c r="Q1067" i="2" a="1"/>
  <c r="Q1067" i="2" s="1"/>
  <c r="S1067" i="2" s="1"/>
  <c r="W1067" i="2" s="1"/>
  <c r="X1067" i="2" s="1"/>
  <c r="Q592" i="2" a="1"/>
  <c r="Q592" i="2" s="1"/>
  <c r="S592" i="2" s="1"/>
  <c r="W592" i="2" s="1"/>
  <c r="X592" i="2" s="1"/>
  <c r="Q1093" i="2" a="1"/>
  <c r="Q1093" i="2" s="1"/>
  <c r="S1093" i="2" s="1"/>
  <c r="W1093" i="2" s="1"/>
  <c r="X1093" i="2" s="1"/>
  <c r="Q1398" i="2" a="1"/>
  <c r="Q1398" i="2" s="1"/>
  <c r="S1398" i="2" s="1"/>
  <c r="W1398" i="2" s="1"/>
  <c r="X1398" i="2" s="1"/>
  <c r="Q238" i="2" a="1"/>
  <c r="Q238" i="2" s="1"/>
  <c r="S238" i="2" s="1"/>
  <c r="W238" i="2" s="1"/>
  <c r="X238" i="2" s="1"/>
  <c r="Q984" i="2" a="1"/>
  <c r="Q984" i="2" s="1"/>
  <c r="S984" i="2" s="1"/>
  <c r="W984" i="2" s="1"/>
  <c r="X984" i="2" s="1"/>
  <c r="Q579" i="2" a="1"/>
  <c r="Q579" i="2" s="1"/>
  <c r="S579" i="2" s="1"/>
  <c r="W579" i="2" s="1"/>
  <c r="X579" i="2" s="1"/>
  <c r="Q1764" i="2" a="1"/>
  <c r="Q1764" i="2" s="1"/>
  <c r="S1764" i="2" s="1"/>
  <c r="W1764" i="2" s="1"/>
  <c r="X1764" i="2" s="1"/>
  <c r="Q1287" i="2" a="1"/>
  <c r="Q1287" i="2" s="1"/>
  <c r="S1287" i="2" s="1"/>
  <c r="W1287" i="2" s="1"/>
  <c r="X1287" i="2" s="1"/>
  <c r="Q1639" i="2" a="1"/>
  <c r="Q1639" i="2" s="1"/>
  <c r="S1639" i="2" s="1"/>
  <c r="W1639" i="2" s="1"/>
  <c r="X1639" i="2" s="1"/>
  <c r="Q1694" i="2" a="1"/>
  <c r="Q1694" i="2" s="1"/>
  <c r="S1694" i="2" s="1"/>
  <c r="W1694" i="2" s="1"/>
  <c r="X1694" i="2" s="1"/>
  <c r="Q245" i="2" a="1"/>
  <c r="Q245" i="2" s="1"/>
  <c r="S245" i="2" s="1"/>
  <c r="W245" i="2" s="1"/>
  <c r="X245" i="2" s="1"/>
  <c r="Q119" i="2" a="1"/>
  <c r="Q119" i="2" s="1"/>
  <c r="S119" i="2" s="1"/>
  <c r="W119" i="2" s="1"/>
  <c r="X119" i="2" s="1"/>
  <c r="Q1072" i="2" a="1"/>
  <c r="Q1072" i="2" s="1"/>
  <c r="S1072" i="2" s="1"/>
  <c r="W1072" i="2" s="1"/>
  <c r="X1072" i="2" s="1"/>
  <c r="Q379" i="2" a="1"/>
  <c r="Q379" i="2" s="1"/>
  <c r="S379" i="2" s="1"/>
  <c r="W379" i="2" s="1"/>
  <c r="X379" i="2" s="1"/>
  <c r="Q639" i="2" a="1"/>
  <c r="Q639" i="2" s="1"/>
  <c r="S639" i="2" s="1"/>
  <c r="W639" i="2" s="1"/>
  <c r="X639" i="2" s="1"/>
  <c r="Q1697" i="2" a="1"/>
  <c r="Q1697" i="2" s="1"/>
  <c r="S1697" i="2" s="1"/>
  <c r="W1697" i="2" s="1"/>
  <c r="X1697" i="2" s="1"/>
  <c r="Q111" i="2" a="1"/>
  <c r="Q111" i="2" s="1"/>
  <c r="S111" i="2" s="1"/>
  <c r="W111" i="2" s="1"/>
  <c r="X111" i="2" s="1"/>
  <c r="Q992" i="2" a="1"/>
  <c r="Q992" i="2" s="1"/>
  <c r="S992" i="2" s="1"/>
  <c r="W992" i="2" s="1"/>
  <c r="X992" i="2" s="1"/>
  <c r="Q272" i="2" a="1"/>
  <c r="Q272" i="2" s="1"/>
  <c r="S272" i="2" s="1"/>
  <c r="W272" i="2" s="1"/>
  <c r="X272" i="2" s="1"/>
  <c r="Q613" i="2" a="1"/>
  <c r="Q613" i="2" s="1"/>
  <c r="S613" i="2" s="1"/>
  <c r="W613" i="2" s="1"/>
  <c r="X613" i="2" s="1"/>
  <c r="Q484" i="2" a="1"/>
  <c r="Q484" i="2" s="1"/>
  <c r="S484" i="2" s="1"/>
  <c r="W484" i="2" s="1"/>
  <c r="X484" i="2" s="1"/>
  <c r="Q100" i="2" a="1"/>
  <c r="Q100" i="2" s="1"/>
  <c r="S100" i="2" s="1"/>
  <c r="W100" i="2" s="1"/>
  <c r="X100" i="2" s="1"/>
  <c r="Q1264" i="2" a="1"/>
  <c r="Q1264" i="2" s="1"/>
  <c r="S1264" i="2" s="1"/>
  <c r="W1264" i="2" s="1"/>
  <c r="X1264" i="2" s="1"/>
  <c r="Q274" i="2" a="1"/>
  <c r="Q274" i="2" s="1"/>
  <c r="S274" i="2" s="1"/>
  <c r="W274" i="2" s="1"/>
  <c r="X274" i="2" s="1"/>
  <c r="Q1235" i="2" a="1"/>
  <c r="Q1235" i="2" s="1"/>
  <c r="S1235" i="2" s="1"/>
  <c r="W1235" i="2" s="1"/>
  <c r="X1235" i="2" s="1"/>
  <c r="Q1765" i="2" a="1"/>
  <c r="Q1765" i="2" s="1"/>
  <c r="S1765" i="2" s="1"/>
  <c r="W1765" i="2" s="1"/>
  <c r="X1765" i="2" s="1"/>
  <c r="Q154" i="2" a="1"/>
  <c r="Q154" i="2" s="1"/>
  <c r="S154" i="2" s="1"/>
  <c r="W154" i="2" s="1"/>
  <c r="X154" i="2" s="1"/>
  <c r="Q1057" i="2" a="1"/>
  <c r="Q1057" i="2" s="1"/>
  <c r="S1057" i="2" s="1"/>
  <c r="W1057" i="2" s="1"/>
  <c r="X1057" i="2" s="1"/>
  <c r="Q456" i="2" a="1"/>
  <c r="Q456" i="2" s="1"/>
  <c r="S456" i="2" s="1"/>
  <c r="W456" i="2" s="1"/>
  <c r="X456" i="2" s="1"/>
  <c r="Q1378" i="2" a="1"/>
  <c r="Q1378" i="2" s="1"/>
  <c r="S1378" i="2" s="1"/>
  <c r="W1378" i="2" s="1"/>
  <c r="X1378" i="2" s="1"/>
  <c r="Q81" i="2" a="1"/>
  <c r="Q81" i="2" s="1"/>
  <c r="S81" i="2" s="1"/>
  <c r="W81" i="2" s="1"/>
  <c r="X81" i="2" s="1"/>
  <c r="Q268" i="2" a="1"/>
  <c r="Q268" i="2" s="1"/>
  <c r="S268" i="2" s="1"/>
  <c r="W268" i="2" s="1"/>
  <c r="X268" i="2" s="1"/>
  <c r="Q1771" i="2" a="1"/>
  <c r="Q1771" i="2" s="1"/>
  <c r="S1771" i="2" s="1"/>
  <c r="W1771" i="2" s="1"/>
  <c r="X1771" i="2" s="1"/>
  <c r="Q945" i="2" a="1"/>
  <c r="Q945" i="2" s="1"/>
  <c r="S945" i="2" s="1"/>
  <c r="W945" i="2" s="1"/>
  <c r="X945" i="2" s="1"/>
  <c r="Q1215" i="2" a="1"/>
  <c r="Q1215" i="2" s="1"/>
  <c r="S1215" i="2" s="1"/>
  <c r="W1215" i="2" s="1"/>
  <c r="X1215" i="2" s="1"/>
  <c r="Q1025" i="2" a="1"/>
  <c r="Q1025" i="2" s="1"/>
  <c r="S1025" i="2" s="1"/>
  <c r="W1025" i="2" s="1"/>
  <c r="X1025" i="2" s="1"/>
  <c r="Q1400" i="2" a="1"/>
  <c r="Q1400" i="2" s="1"/>
  <c r="S1400" i="2" s="1"/>
  <c r="W1400" i="2" s="1"/>
  <c r="X1400" i="2" s="1"/>
  <c r="Q1446" i="2" a="1"/>
  <c r="Q1446" i="2" s="1"/>
  <c r="S1446" i="2" s="1"/>
  <c r="W1446" i="2" s="1"/>
  <c r="X1446" i="2" s="1"/>
  <c r="Q1161" i="2" a="1"/>
  <c r="Q1161" i="2" s="1"/>
  <c r="S1161" i="2" s="1"/>
  <c r="W1161" i="2" s="1"/>
  <c r="X1161" i="2" s="1"/>
  <c r="Q1307" i="2" a="1"/>
  <c r="Q1307" i="2" s="1"/>
  <c r="S1307" i="2" s="1"/>
  <c r="W1307" i="2" s="1"/>
  <c r="X1307" i="2" s="1"/>
  <c r="Q1269" i="2" a="1"/>
  <c r="Q1269" i="2" s="1"/>
  <c r="S1269" i="2" s="1"/>
  <c r="W1269" i="2" s="1"/>
  <c r="X1269" i="2" s="1"/>
  <c r="Q138" i="2" a="1"/>
  <c r="Q138" i="2" s="1"/>
  <c r="S138" i="2" s="1"/>
  <c r="W138" i="2" s="1"/>
  <c r="X138" i="2" s="1"/>
  <c r="Q1855" i="2" a="1"/>
  <c r="Q1855" i="2" s="1"/>
  <c r="S1855" i="2" s="1"/>
  <c r="W1855" i="2" s="1"/>
  <c r="X1855" i="2" s="1"/>
  <c r="Q863" i="2" a="1"/>
  <c r="Q863" i="2" s="1"/>
  <c r="S863" i="2" s="1"/>
  <c r="W863" i="2" s="1"/>
  <c r="X863" i="2" s="1"/>
  <c r="Q495" i="2" a="1"/>
  <c r="Q495" i="2" s="1"/>
  <c r="S495" i="2" s="1"/>
  <c r="W495" i="2" s="1"/>
  <c r="X495" i="2" s="1"/>
  <c r="Q601" i="2" a="1"/>
  <c r="Q601" i="2" s="1"/>
  <c r="S601" i="2" s="1"/>
  <c r="W601" i="2" s="1"/>
  <c r="X601" i="2" s="1"/>
  <c r="Q1055" i="2" a="1"/>
  <c r="Q1055" i="2" s="1"/>
  <c r="S1055" i="2" s="1"/>
  <c r="W1055" i="2" s="1"/>
  <c r="X1055" i="2" s="1"/>
  <c r="Q464" i="2" a="1"/>
  <c r="Q464" i="2" s="1"/>
  <c r="S464" i="2" s="1"/>
  <c r="W464" i="2" s="1"/>
  <c r="X464" i="2" s="1"/>
  <c r="Q452" i="2" a="1"/>
  <c r="Q452" i="2" s="1"/>
  <c r="S452" i="2" s="1"/>
  <c r="W452" i="2" s="1"/>
  <c r="X452" i="2" s="1"/>
  <c r="Q1816" i="2" a="1"/>
  <c r="Q1816" i="2" s="1"/>
  <c r="S1816" i="2" s="1"/>
  <c r="W1816" i="2" s="1"/>
  <c r="X1816" i="2" s="1"/>
  <c r="Q900" i="2" a="1"/>
  <c r="Q900" i="2" s="1"/>
  <c r="S900" i="2" s="1"/>
  <c r="W900" i="2" s="1"/>
  <c r="X900" i="2" s="1"/>
  <c r="Q1735" i="2" a="1"/>
  <c r="Q1735" i="2" s="1"/>
  <c r="S1735" i="2" s="1"/>
  <c r="W1735" i="2" s="1"/>
  <c r="X1735" i="2" s="1"/>
  <c r="Q1509" i="2" a="1"/>
  <c r="Q1509" i="2" s="1"/>
  <c r="S1509" i="2" s="1"/>
  <c r="W1509" i="2" s="1"/>
  <c r="X1509" i="2" s="1"/>
  <c r="Q1531" i="2" a="1"/>
  <c r="Q1531" i="2" s="1"/>
  <c r="S1531" i="2" s="1"/>
  <c r="W1531" i="2" s="1"/>
  <c r="X1531" i="2" s="1"/>
  <c r="Q2155" i="2" a="1"/>
  <c r="Q2155" i="2" s="1"/>
  <c r="S2155" i="2" s="1"/>
  <c r="W2155" i="2" s="1"/>
  <c r="X2155" i="2" s="1"/>
  <c r="Q28" i="2" a="1"/>
  <c r="Q28" i="2" s="1"/>
  <c r="S28" i="2" s="1"/>
  <c r="W28" i="2" s="1"/>
  <c r="X28" i="2" s="1"/>
  <c r="Q956" i="2" a="1"/>
  <c r="Q956" i="2" s="1"/>
  <c r="S956" i="2" s="1"/>
  <c r="W956" i="2" s="1"/>
  <c r="X956" i="2" s="1"/>
  <c r="Q865" i="2" a="1"/>
  <c r="Q865" i="2" s="1"/>
  <c r="S865" i="2" s="1"/>
  <c r="W865" i="2" s="1"/>
  <c r="X865" i="2" s="1"/>
  <c r="Q1280" i="2" a="1"/>
  <c r="Q1280" i="2" s="1"/>
  <c r="S1280" i="2" s="1"/>
  <c r="W1280" i="2" s="1"/>
  <c r="X1280" i="2" s="1"/>
  <c r="Q1692" i="2" a="1"/>
  <c r="Q1692" i="2" s="1"/>
  <c r="S1692" i="2" s="1"/>
  <c r="W1692" i="2" s="1"/>
  <c r="X1692" i="2" s="1"/>
  <c r="Q151" i="2" a="1"/>
  <c r="Q151" i="2" s="1"/>
  <c r="S151" i="2" s="1"/>
  <c r="W151" i="2" s="1"/>
  <c r="X151" i="2" s="1"/>
  <c r="Q1726" i="2" a="1"/>
  <c r="Q1726" i="2" s="1"/>
  <c r="S1726" i="2" s="1"/>
  <c r="W1726" i="2" s="1"/>
  <c r="X1726" i="2" s="1"/>
  <c r="Q1542" i="2" a="1"/>
  <c r="Q1542" i="2" s="1"/>
  <c r="S1542" i="2" s="1"/>
  <c r="W1542" i="2" s="1"/>
  <c r="X1542" i="2" s="1"/>
  <c r="Q397" i="2" a="1"/>
  <c r="Q397" i="2" s="1"/>
  <c r="S397" i="2" s="1"/>
  <c r="W397" i="2" s="1"/>
  <c r="X397" i="2" s="1"/>
  <c r="Q30" i="2" a="1"/>
  <c r="Q30" i="2" s="1"/>
  <c r="S30" i="2" s="1"/>
  <c r="W30" i="2" s="1"/>
  <c r="X30" i="2" s="1"/>
  <c r="Q1554" i="2" a="1"/>
  <c r="Q1554" i="2" s="1"/>
  <c r="S1554" i="2" s="1"/>
  <c r="W1554" i="2" s="1"/>
  <c r="X1554" i="2" s="1"/>
  <c r="Q909" i="2" a="1"/>
  <c r="Q909" i="2" s="1"/>
  <c r="S909" i="2" s="1"/>
  <c r="W909" i="2" s="1"/>
  <c r="X909" i="2" s="1"/>
  <c r="Q1002" i="2" a="1"/>
  <c r="Q1002" i="2" s="1"/>
  <c r="S1002" i="2" s="1"/>
  <c r="W1002" i="2" s="1"/>
  <c r="X1002" i="2" s="1"/>
  <c r="Q1550" i="2" a="1"/>
  <c r="Q1550" i="2" s="1"/>
  <c r="S1550" i="2" s="1"/>
  <c r="W1550" i="2" s="1"/>
  <c r="X1550" i="2" s="1"/>
  <c r="Q62" i="2" a="1"/>
  <c r="Q62" i="2" s="1"/>
  <c r="S62" i="2" s="1"/>
  <c r="W62" i="2" s="1"/>
  <c r="X62" i="2" s="1"/>
  <c r="Q1335" i="2" a="1"/>
  <c r="Q1335" i="2" s="1"/>
  <c r="S1335" i="2" s="1"/>
  <c r="W1335" i="2" s="1"/>
  <c r="X1335" i="2" s="1"/>
  <c r="Q222" i="2" a="1"/>
  <c r="Q222" i="2" s="1"/>
  <c r="S222" i="2" s="1"/>
  <c r="W222" i="2" s="1"/>
  <c r="X222" i="2" s="1"/>
  <c r="Q921" i="2" a="1"/>
  <c r="Q921" i="2" s="1"/>
  <c r="S921" i="2" s="1"/>
  <c r="W921" i="2" s="1"/>
  <c r="X921" i="2" s="1"/>
  <c r="Q1023" i="2" a="1"/>
  <c r="Q1023" i="2" s="1"/>
  <c r="S1023" i="2" s="1"/>
  <c r="W1023" i="2" s="1"/>
  <c r="X1023" i="2" s="1"/>
  <c r="Q1091" i="2" a="1"/>
  <c r="Q1091" i="2" s="1"/>
  <c r="S1091" i="2" s="1"/>
  <c r="W1091" i="2" s="1"/>
  <c r="X1091" i="2" s="1"/>
  <c r="Q1570" i="2" a="1"/>
  <c r="Q1570" i="2" s="1"/>
  <c r="S1570" i="2" s="1"/>
  <c r="W1570" i="2" s="1"/>
  <c r="X1570" i="2" s="1"/>
  <c r="Q1743" i="2" a="1"/>
  <c r="Q1743" i="2" s="1"/>
  <c r="S1743" i="2" s="1"/>
  <c r="W1743" i="2" s="1"/>
  <c r="X1743" i="2" s="1"/>
  <c r="Q1009" i="2" a="1"/>
  <c r="Q1009" i="2" s="1"/>
  <c r="S1009" i="2" s="1"/>
  <c r="W1009" i="2" s="1"/>
  <c r="X1009" i="2" s="1"/>
  <c r="Q1086" i="2" a="1"/>
  <c r="Q1086" i="2" s="1"/>
  <c r="S1086" i="2" s="1"/>
  <c r="W1086" i="2" s="1"/>
  <c r="X1086" i="2" s="1"/>
  <c r="Q2144" i="2" a="1"/>
  <c r="Q2144" i="2" s="1"/>
  <c r="S2144" i="2" s="1"/>
  <c r="W2144" i="2" s="1"/>
  <c r="X2144" i="2" s="1"/>
  <c r="Q545" i="2" a="1"/>
  <c r="Q545" i="2" s="1"/>
  <c r="S545" i="2" s="1"/>
  <c r="W545" i="2" s="1"/>
  <c r="X545" i="2" s="1"/>
  <c r="Q1590" i="2" a="1"/>
  <c r="Q1590" i="2" s="1"/>
  <c r="S1590" i="2" s="1"/>
  <c r="W1590" i="2" s="1"/>
  <c r="X1590" i="2" s="1"/>
  <c r="Q1145" i="2" a="1"/>
  <c r="Q1145" i="2" s="1"/>
  <c r="S1145" i="2" s="1"/>
  <c r="W1145" i="2" s="1"/>
  <c r="X1145" i="2" s="1"/>
  <c r="Q1641" i="2" a="1"/>
  <c r="Q1641" i="2" s="1"/>
  <c r="S1641" i="2" s="1"/>
  <c r="W1641" i="2" s="1"/>
  <c r="X1641" i="2" s="1"/>
  <c r="Q523" i="2" a="1"/>
  <c r="Q523" i="2" s="1"/>
  <c r="S523" i="2" s="1"/>
  <c r="W523" i="2" s="1"/>
  <c r="X523" i="2" s="1"/>
  <c r="Q573" i="2" a="1"/>
  <c r="Q573" i="2" s="1"/>
  <c r="S573" i="2" s="1"/>
  <c r="W573" i="2" s="1"/>
  <c r="X573" i="2" s="1"/>
  <c r="Q608" i="2" a="1"/>
  <c r="Q608" i="2" s="1"/>
  <c r="S608" i="2" s="1"/>
  <c r="W608" i="2" s="1"/>
  <c r="X608" i="2" s="1"/>
  <c r="Q282" i="2" a="1"/>
  <c r="Q282" i="2" s="1"/>
  <c r="S282" i="2" s="1"/>
  <c r="W282" i="2" s="1"/>
  <c r="X282" i="2" s="1"/>
  <c r="Q872" i="2" a="1"/>
  <c r="Q872" i="2" s="1"/>
  <c r="S872" i="2" s="1"/>
  <c r="W872" i="2" s="1"/>
  <c r="X872" i="2" s="1"/>
  <c r="Q1435" i="2" a="1"/>
  <c r="Q1435" i="2" s="1"/>
  <c r="S1435" i="2" s="1"/>
  <c r="W1435" i="2" s="1"/>
  <c r="X1435" i="2" s="1"/>
  <c r="Q559" i="2" a="1"/>
  <c r="Q559" i="2" s="1"/>
  <c r="S559" i="2" s="1"/>
  <c r="W559" i="2" s="1"/>
  <c r="X559" i="2" s="1"/>
  <c r="Q248" i="2" a="1"/>
  <c r="Q248" i="2" s="1"/>
  <c r="S248" i="2" s="1"/>
  <c r="W248" i="2" s="1"/>
  <c r="X248" i="2" s="1"/>
  <c r="Q637" i="2" a="1"/>
  <c r="Q637" i="2" s="1"/>
  <c r="S637" i="2" s="1"/>
  <c r="W637" i="2" s="1"/>
  <c r="X637" i="2" s="1"/>
  <c r="Q966" i="2" a="1"/>
  <c r="Q966" i="2" s="1"/>
  <c r="S966" i="2" s="1"/>
  <c r="W966" i="2" s="1"/>
  <c r="X966" i="2" s="1"/>
  <c r="Q2117" i="2" a="1"/>
  <c r="Q2117" i="2" s="1"/>
  <c r="S2117" i="2" s="1"/>
  <c r="W2117" i="2" s="1"/>
  <c r="X2117" i="2" s="1"/>
  <c r="R790" i="2" a="1"/>
  <c r="R790" i="2" s="1"/>
  <c r="Q790" i="2" a="1"/>
  <c r="Q790" i="2" s="1"/>
  <c r="S790" i="2" s="1"/>
  <c r="W790" i="2" s="1"/>
  <c r="X790" i="2" s="1"/>
  <c r="R791" i="2" a="1"/>
  <c r="R791" i="2" s="1"/>
  <c r="Q791" i="2" a="1"/>
  <c r="Q791" i="2" s="1"/>
  <c r="S791" i="2" s="1"/>
  <c r="W791" i="2" s="1"/>
  <c r="X791" i="2" s="1"/>
  <c r="Q792" i="2" a="1"/>
  <c r="Q792" i="2" s="1"/>
  <c r="S792" i="2" s="1"/>
  <c r="W792" i="2" s="1"/>
  <c r="X792" i="2" s="1"/>
  <c r="R825" i="2" a="1"/>
  <c r="R825" i="2" s="1"/>
  <c r="Q881" i="2" a="1"/>
  <c r="Q881" i="2" s="1"/>
  <c r="S881" i="2" s="1"/>
  <c r="W881" i="2" s="1"/>
  <c r="X881" i="2" s="1"/>
  <c r="R821" i="2" a="1"/>
  <c r="R821" i="2" s="1"/>
  <c r="Q821" i="2" a="1"/>
  <c r="Q821" i="2" s="1"/>
  <c r="S821" i="2" s="1"/>
  <c r="W821" i="2" s="1"/>
  <c r="X821" i="2" s="1"/>
  <c r="R820" i="2" a="1"/>
  <c r="R820" i="2" s="1"/>
  <c r="Q518" i="2" a="1"/>
  <c r="Q518" i="2" s="1"/>
  <c r="S518" i="2" s="1"/>
  <c r="W518" i="2" s="1"/>
  <c r="X518" i="2" s="1"/>
  <c r="Q82" i="2" a="1"/>
  <c r="Q82" i="2" s="1"/>
  <c r="S82" i="2" s="1"/>
  <c r="W82" i="2" s="1"/>
  <c r="X82" i="2" s="1"/>
  <c r="Q1712" i="2" a="1"/>
  <c r="Q1712" i="2" s="1"/>
  <c r="S1712" i="2" s="1"/>
  <c r="W1712" i="2" s="1"/>
  <c r="X1712" i="2" s="1"/>
  <c r="Q820" i="2" a="1"/>
  <c r="Q820" i="2" s="1"/>
  <c r="S820" i="2" s="1"/>
  <c r="W820" i="2" s="1"/>
  <c r="X820" i="2" s="1"/>
  <c r="Q1606" i="2" a="1"/>
  <c r="Q1606" i="2" s="1"/>
  <c r="S1606" i="2" s="1"/>
  <c r="W1606" i="2" s="1"/>
  <c r="X1606" i="2" s="1"/>
  <c r="Q555" i="2" a="1"/>
  <c r="Q555" i="2" s="1"/>
  <c r="S555" i="2" s="1"/>
  <c r="W555" i="2" s="1"/>
  <c r="X555" i="2" s="1"/>
  <c r="Q939" i="2" a="1"/>
  <c r="Q939" i="2" s="1"/>
  <c r="S939" i="2" s="1"/>
  <c r="W939" i="2" s="1"/>
  <c r="X939" i="2" s="1"/>
  <c r="R819" i="2" a="1"/>
  <c r="R819" i="2" s="1"/>
  <c r="Q1452" i="2" a="1"/>
  <c r="Q1452" i="2" s="1"/>
  <c r="S1452" i="2" s="1"/>
  <c r="W1452" i="2" s="1"/>
  <c r="X1452" i="2" s="1"/>
  <c r="Q1266" i="2" a="1"/>
  <c r="Q1266" i="2" s="1"/>
  <c r="S1266" i="2" s="1"/>
  <c r="W1266" i="2" s="1"/>
  <c r="X1266" i="2" s="1"/>
  <c r="Q1305" i="2" a="1"/>
  <c r="Q1305" i="2" s="1"/>
  <c r="S1305" i="2" s="1"/>
  <c r="W1305" i="2" s="1"/>
  <c r="X1305" i="2" s="1"/>
  <c r="Q444" i="2" a="1"/>
  <c r="Q444" i="2" s="1"/>
  <c r="S444" i="2" s="1"/>
  <c r="W444" i="2" s="1"/>
  <c r="X444" i="2" s="1"/>
  <c r="Q1339" i="2" a="1"/>
  <c r="Q1339" i="2" s="1"/>
  <c r="S1339" i="2" s="1"/>
  <c r="W1339" i="2" s="1"/>
  <c r="X1339" i="2" s="1"/>
  <c r="Q819" i="2" a="1"/>
  <c r="Q819" i="2" s="1"/>
  <c r="S819" i="2" s="1"/>
  <c r="W819" i="2" s="1"/>
  <c r="X819" i="2" s="1"/>
  <c r="Q943" i="2" a="1"/>
  <c r="Q943" i="2" s="1"/>
  <c r="S943" i="2" s="1"/>
  <c r="W943" i="2" s="1"/>
  <c r="X943" i="2" s="1"/>
  <c r="Q1111" i="2" a="1"/>
  <c r="Q1111" i="2" s="1"/>
  <c r="S1111" i="2" s="1"/>
  <c r="W1111" i="2" s="1"/>
  <c r="X1111" i="2" s="1"/>
  <c r="Q60" i="2" a="1"/>
  <c r="Q60" i="2" s="1"/>
  <c r="S60" i="2" s="1"/>
  <c r="W60" i="2" s="1"/>
  <c r="X60" i="2" s="1"/>
  <c r="Q599" i="2" a="1"/>
  <c r="Q599" i="2" s="1"/>
  <c r="S599" i="2" s="1"/>
  <c r="W599" i="2" s="1"/>
  <c r="X599" i="2" s="1"/>
  <c r="Q401" i="2" a="1"/>
  <c r="Q401" i="2" s="1"/>
  <c r="S401" i="2" s="1"/>
  <c r="W401" i="2" s="1"/>
  <c r="X401" i="2" s="1"/>
  <c r="R818" i="2" a="1"/>
  <c r="R818" i="2" s="1"/>
  <c r="Q505" i="2" a="1"/>
  <c r="Q505" i="2" s="1"/>
  <c r="S505" i="2" s="1"/>
  <c r="W505" i="2" s="1"/>
  <c r="X505" i="2" s="1"/>
  <c r="Q944" i="2" a="1"/>
  <c r="Q944" i="2" s="1"/>
  <c r="S944" i="2" s="1"/>
  <c r="W944" i="2" s="1"/>
  <c r="X944" i="2" s="1"/>
  <c r="Q93" i="2" a="1"/>
  <c r="Q93" i="2" s="1"/>
  <c r="S93" i="2" s="1"/>
  <c r="W93" i="2" s="1"/>
  <c r="X93" i="2" s="1"/>
  <c r="Q964" i="2" a="1"/>
  <c r="Q964" i="2" s="1"/>
  <c r="S964" i="2" s="1"/>
  <c r="W964" i="2" s="1"/>
  <c r="X964" i="2" s="1"/>
  <c r="Q1450" i="2" a="1"/>
  <c r="Q1450" i="2" s="1"/>
  <c r="S1450" i="2" s="1"/>
  <c r="W1450" i="2" s="1"/>
  <c r="X1450" i="2" s="1"/>
  <c r="Q818" i="2" a="1"/>
  <c r="Q818" i="2" s="1"/>
  <c r="S818" i="2" s="1"/>
  <c r="W818" i="2" s="1"/>
  <c r="X818" i="2" s="1"/>
  <c r="Q422" i="2" a="1"/>
  <c r="Q422" i="2" s="1"/>
  <c r="S422" i="2" s="1"/>
  <c r="W422" i="2" s="1"/>
  <c r="X422" i="2" s="1"/>
  <c r="Q80" i="2" a="1"/>
  <c r="Q80" i="2" s="1"/>
  <c r="S80" i="2" s="1"/>
  <c r="W80" i="2" s="1"/>
  <c r="X80" i="2" s="1"/>
  <c r="Q1096" i="2" a="1"/>
  <c r="Q1096" i="2" s="1"/>
  <c r="S1096" i="2" s="1"/>
  <c r="W1096" i="2" s="1"/>
  <c r="X1096" i="2" s="1"/>
  <c r="Q564" i="2" a="1"/>
  <c r="Q564" i="2" s="1"/>
  <c r="S564" i="2" s="1"/>
  <c r="W564" i="2" s="1"/>
  <c r="X564" i="2" s="1"/>
  <c r="Q466" i="2" a="1"/>
  <c r="Q466" i="2" s="1"/>
  <c r="S466" i="2" s="1"/>
  <c r="W466" i="2" s="1"/>
  <c r="X466" i="2" s="1"/>
  <c r="R817" i="2" a="1"/>
  <c r="R817" i="2" s="1"/>
  <c r="Q1438" i="2" a="1"/>
  <c r="Q1438" i="2" s="1"/>
  <c r="S1438" i="2" s="1"/>
  <c r="W1438" i="2" s="1"/>
  <c r="X1438" i="2" s="1"/>
  <c r="Q1263" i="2" a="1"/>
  <c r="Q1263" i="2" s="1"/>
  <c r="S1263" i="2" s="1"/>
  <c r="W1263" i="2" s="1"/>
  <c r="X1263" i="2" s="1"/>
  <c r="Q1079" i="2" a="1"/>
  <c r="Q1079" i="2" s="1"/>
  <c r="S1079" i="2" s="1"/>
  <c r="W1079" i="2" s="1"/>
  <c r="X1079" i="2" s="1"/>
  <c r="Q1229" i="2" a="1"/>
  <c r="Q1229" i="2" s="1"/>
  <c r="S1229" i="2" s="1"/>
  <c r="W1229" i="2" s="1"/>
  <c r="X1229" i="2" s="1"/>
  <c r="Q1841" i="2" a="1"/>
  <c r="Q1841" i="2" s="1"/>
  <c r="S1841" i="2" s="1"/>
  <c r="W1841" i="2" s="1"/>
  <c r="X1841" i="2" s="1"/>
  <c r="Q817" i="2" a="1"/>
  <c r="Q817" i="2" s="1"/>
  <c r="S817" i="2" s="1"/>
  <c r="W817" i="2" s="1"/>
  <c r="X817" i="2" s="1"/>
  <c r="R822" i="2" a="1"/>
  <c r="R822" i="2" s="1"/>
  <c r="Q822" i="2" a="1"/>
  <c r="Q822" i="2" s="1"/>
  <c r="S822" i="2" s="1"/>
  <c r="W822" i="2" s="1"/>
  <c r="X822" i="2" s="1"/>
  <c r="R824" i="2" a="1"/>
  <c r="R824" i="2" s="1"/>
  <c r="R823" i="2" a="1"/>
  <c r="R823" i="2" s="1"/>
  <c r="Q823" i="2" a="1"/>
  <c r="Q823" i="2" s="1"/>
  <c r="S823" i="2" s="1"/>
  <c r="W823" i="2" s="1"/>
  <c r="X823" i="2" s="1"/>
  <c r="Q824" i="2" a="1"/>
  <c r="Q824" i="2" s="1"/>
  <c r="S824" i="2" s="1"/>
  <c r="W824" i="2" s="1"/>
  <c r="X824" i="2" s="1"/>
  <c r="Q825" i="2" a="1"/>
  <c r="Q825" i="2" s="1"/>
  <c r="S825" i="2" s="1"/>
  <c r="W825" i="2" s="1"/>
  <c r="X825" i="2" s="1"/>
  <c r="R827" i="2" a="1"/>
  <c r="R827" i="2" s="1"/>
  <c r="R826" i="2" a="1"/>
  <c r="R826" i="2" s="1"/>
  <c r="Q826" i="2" a="1"/>
  <c r="Q826" i="2" s="1"/>
  <c r="S826" i="2" s="1"/>
  <c r="W826" i="2" s="1"/>
  <c r="X826" i="2" s="1"/>
  <c r="Q827" i="2" a="1"/>
  <c r="Q827" i="2" s="1"/>
  <c r="S827" i="2" s="1"/>
  <c r="W827" i="2" s="1"/>
  <c r="X827" i="2" s="1"/>
  <c r="R225" i="2" a="1"/>
  <c r="R225" i="2" s="1"/>
  <c r="Q771" i="2" a="1"/>
  <c r="Q771" i="2" s="1"/>
  <c r="S771" i="2" s="1"/>
  <c r="W771" i="2" s="1"/>
  <c r="X771" i="2" s="1"/>
  <c r="Q1010" i="2" a="1"/>
  <c r="Q1010" i="2" s="1"/>
  <c r="S1010" i="2" s="1"/>
  <c r="W1010" i="2" s="1"/>
  <c r="X1010" i="2" s="1"/>
  <c r="R828" i="2" a="1"/>
  <c r="R828" i="2" s="1"/>
  <c r="Q1143" i="2" a="1"/>
  <c r="Q1143" i="2" s="1"/>
  <c r="S1143" i="2" s="1"/>
  <c r="W1143" i="2" s="1"/>
  <c r="X1143" i="2" s="1"/>
  <c r="Q828" i="2" a="1"/>
  <c r="Q828" i="2" s="1"/>
  <c r="S828" i="2" s="1"/>
  <c r="W828" i="2" s="1"/>
  <c r="X828" i="2" s="1"/>
  <c r="R771" i="2" a="1"/>
  <c r="R771" i="2" s="1"/>
  <c r="R772" i="2" a="1"/>
  <c r="R772" i="2" s="1"/>
  <c r="Q772" i="2" a="1"/>
  <c r="Q772" i="2" s="1"/>
  <c r="S772" i="2" s="1"/>
  <c r="W772" i="2" s="1"/>
  <c r="X772" i="2" s="1"/>
  <c r="Q225" i="2" a="1"/>
  <c r="Q225" i="2" s="1"/>
  <c r="S225" i="2" s="1"/>
  <c r="W225" i="2" s="1"/>
  <c r="X225" i="2" s="1"/>
  <c r="Q1241" i="2" a="1"/>
  <c r="Q1241" i="2" s="1"/>
  <c r="S1241" i="2" s="1"/>
  <c r="W1241" i="2" s="1"/>
  <c r="X1241" i="2" s="1"/>
  <c r="R231" i="2" a="1"/>
  <c r="R231" i="2" s="1"/>
  <c r="Q869" i="2" a="1"/>
  <c r="Q869" i="2" s="1"/>
  <c r="S869" i="2" s="1"/>
  <c r="W869" i="2" s="1"/>
  <c r="X869" i="2" s="1"/>
  <c r="Q1644" i="2" a="1"/>
  <c r="Q1644" i="2" s="1"/>
  <c r="S1644" i="2" s="1"/>
  <c r="W1644" i="2" s="1"/>
  <c r="X1644" i="2" s="1"/>
  <c r="Q259" i="2" a="1"/>
  <c r="Q259" i="2" s="1"/>
  <c r="S259" i="2" s="1"/>
  <c r="W259" i="2" s="1"/>
  <c r="X259" i="2" s="1"/>
  <c r="R228" i="2" a="1"/>
  <c r="R228" i="2" s="1"/>
  <c r="Q1469" i="2" a="1"/>
  <c r="Q1469" i="2" s="1"/>
  <c r="S1469" i="2" s="1"/>
  <c r="W1469" i="2" s="1"/>
  <c r="X1469" i="2" s="1"/>
  <c r="Q228" i="2" a="1"/>
  <c r="Q228" i="2" s="1"/>
  <c r="S228" i="2" s="1"/>
  <c r="W228" i="2" s="1"/>
  <c r="X228" i="2" s="1"/>
  <c r="Q1643" i="2" a="1"/>
  <c r="Q1643" i="2" s="1"/>
  <c r="S1643" i="2" s="1"/>
  <c r="W1643" i="2" s="1"/>
  <c r="X1643" i="2" s="1"/>
  <c r="Q574" i="2" a="1"/>
  <c r="Q574" i="2" s="1"/>
  <c r="S574" i="2" s="1"/>
  <c r="W574" i="2" s="1"/>
  <c r="X574" i="2" s="1"/>
  <c r="Q47" i="2" a="1"/>
  <c r="Q47" i="2" s="1"/>
  <c r="S47" i="2" s="1"/>
  <c r="W47" i="2" s="1"/>
  <c r="X47" i="2" s="1"/>
  <c r="R227" i="2" a="1"/>
  <c r="R227" i="2" s="1"/>
  <c r="Q889" i="2" a="1"/>
  <c r="Q889" i="2" s="1"/>
  <c r="S889" i="2" s="1"/>
  <c r="W889" i="2" s="1"/>
  <c r="X889" i="2" s="1"/>
  <c r="Q1507" i="2" a="1"/>
  <c r="Q1507" i="2" s="1"/>
  <c r="S1507" i="2" s="1"/>
  <c r="W1507" i="2" s="1"/>
  <c r="X1507" i="2" s="1"/>
  <c r="Q413" i="2" a="1"/>
  <c r="Q413" i="2" s="1"/>
  <c r="S413" i="2" s="1"/>
  <c r="W413" i="2" s="1"/>
  <c r="X413" i="2" s="1"/>
  <c r="Q227" i="2" a="1"/>
  <c r="Q227" i="2" s="1"/>
  <c r="S227" i="2" s="1"/>
  <c r="W227" i="2" s="1"/>
  <c r="X227" i="2" s="1"/>
  <c r="Q1112" i="2" a="1"/>
  <c r="Q1112" i="2" s="1"/>
  <c r="S1112" i="2" s="1"/>
  <c r="W1112" i="2" s="1"/>
  <c r="X1112" i="2" s="1"/>
  <c r="Q1226" i="2" a="1"/>
  <c r="Q1226" i="2" s="1"/>
  <c r="S1226" i="2" s="1"/>
  <c r="W1226" i="2" s="1"/>
  <c r="X1226" i="2" s="1"/>
  <c r="Q251" i="2" a="1"/>
  <c r="Q251" i="2" s="1"/>
  <c r="S251" i="2" s="1"/>
  <c r="W251" i="2" s="1"/>
  <c r="X251" i="2" s="1"/>
  <c r="R226" i="2" a="1"/>
  <c r="R226" i="2" s="1"/>
  <c r="Q1249" i="2" a="1"/>
  <c r="Q1249" i="2" s="1"/>
  <c r="S1249" i="2" s="1"/>
  <c r="W1249" i="2" s="1"/>
  <c r="X1249" i="2" s="1"/>
  <c r="Q1409" i="2" a="1"/>
  <c r="Q1409" i="2" s="1"/>
  <c r="S1409" i="2" s="1"/>
  <c r="W1409" i="2" s="1"/>
  <c r="X1409" i="2" s="1"/>
  <c r="Q423" i="2" a="1"/>
  <c r="Q423" i="2" s="1"/>
  <c r="S423" i="2" s="1"/>
  <c r="W423" i="2" s="1"/>
  <c r="X423" i="2" s="1"/>
  <c r="Q226" i="2" a="1"/>
  <c r="Q226" i="2" s="1"/>
  <c r="S226" i="2" s="1"/>
  <c r="W226" i="2" s="1"/>
  <c r="X226" i="2" s="1"/>
  <c r="Q229" i="2" a="1"/>
  <c r="Q229" i="2" s="1"/>
  <c r="S229" i="2" s="1"/>
  <c r="W229" i="2" s="1"/>
  <c r="X229" i="2" s="1"/>
  <c r="R229" i="2" a="1"/>
  <c r="R229" i="2" s="1"/>
  <c r="Q231" i="2" a="1"/>
  <c r="Q231" i="2" s="1"/>
  <c r="S231" i="2" s="1"/>
  <c r="W231" i="2" s="1"/>
  <c r="X231" i="2" s="1"/>
  <c r="R230" i="2" a="1"/>
  <c r="R230" i="2" s="1"/>
  <c r="Q230" i="2" a="1"/>
  <c r="Q230" i="2" s="1"/>
  <c r="S230" i="2" s="1"/>
  <c r="W230" i="2" s="1"/>
  <c r="X230" i="2" s="1"/>
  <c r="R235" i="2" a="1"/>
  <c r="R235" i="2" s="1"/>
  <c r="R233" i="2" a="1"/>
  <c r="R233" i="2" s="1"/>
  <c r="R232" i="2" a="1"/>
  <c r="R232" i="2" s="1"/>
  <c r="Q1197" i="2" a="1"/>
  <c r="Q1197" i="2" s="1"/>
  <c r="S1197" i="2" s="1"/>
  <c r="W1197" i="2" s="1"/>
  <c r="X1197" i="2" s="1"/>
  <c r="Q232" i="2" a="1"/>
  <c r="Q232" i="2" s="1"/>
  <c r="S232" i="2" s="1"/>
  <c r="W232" i="2" s="1"/>
  <c r="X232" i="2" s="1"/>
  <c r="Q233" i="2" a="1"/>
  <c r="Q233" i="2" s="1"/>
  <c r="S233" i="2" s="1"/>
  <c r="W233" i="2" s="1"/>
  <c r="X233" i="2" s="1"/>
  <c r="Q235" i="2" a="1"/>
  <c r="Q235" i="2" s="1"/>
  <c r="S235" i="2" s="1"/>
  <c r="W235" i="2" s="1"/>
  <c r="X235" i="2" s="1"/>
  <c r="Q234" i="2" a="1"/>
  <c r="Q234" i="2" s="1"/>
  <c r="S234" i="2" s="1"/>
  <c r="W234" i="2" s="1"/>
  <c r="X234" i="2" s="1"/>
  <c r="R234" i="2" a="1"/>
  <c r="R234" i="2" s="1"/>
  <c r="R237" i="2" a="1"/>
  <c r="R237" i="2" s="1"/>
  <c r="Q237" i="2" a="1"/>
  <c r="Q237" i="2" s="1"/>
  <c r="S237" i="2" s="1"/>
  <c r="W237" i="2" s="1"/>
  <c r="X237" i="2" s="1"/>
  <c r="R236" i="2" a="1"/>
  <c r="R236" i="2" s="1"/>
  <c r="Q236" i="2" a="1"/>
  <c r="Q236" i="2" s="1"/>
  <c r="S236" i="2" s="1"/>
  <c r="W236" i="2" s="1"/>
  <c r="X236" i="2" s="1"/>
  <c r="Q1585" i="2" a="1"/>
  <c r="Q1585" i="2" s="1"/>
  <c r="S1585" i="2" s="1"/>
  <c r="W1585" i="2" s="1"/>
  <c r="X1585" i="2" s="1"/>
  <c r="Q2171" i="2" a="1"/>
  <c r="Q2171" i="2" s="1"/>
  <c r="S2171" i="2" s="1"/>
  <c r="W2171" i="2" s="1"/>
  <c r="X2171" i="2" s="1"/>
  <c r="Q1000" i="2" a="1"/>
  <c r="Q1000" i="2" s="1"/>
  <c r="S1000" i="2" s="1"/>
  <c r="W1000" i="2" s="1"/>
  <c r="X1000" i="2" s="1"/>
  <c r="Q1802" i="2" a="1"/>
  <c r="Q1802" i="2" s="1"/>
  <c r="S1802" i="2" s="1"/>
  <c r="W1802" i="2" s="1"/>
  <c r="X1802" i="2" s="1"/>
  <c r="Q1789" i="2" a="1"/>
  <c r="Q1789" i="2" s="1"/>
  <c r="S1789" i="2" s="1"/>
  <c r="W1789" i="2" s="1"/>
  <c r="X1789" i="2" s="1"/>
  <c r="Q1362" i="2" a="1"/>
  <c r="Q1362" i="2" s="1"/>
  <c r="S1362" i="2" s="1"/>
  <c r="W1362" i="2" s="1"/>
  <c r="X1362" i="2" s="1"/>
  <c r="Q554" i="2" a="1"/>
  <c r="Q554" i="2" s="1"/>
  <c r="S554" i="2" s="1"/>
  <c r="W554" i="2" s="1"/>
  <c r="X554" i="2" s="1"/>
  <c r="Q612" i="2" a="1"/>
  <c r="Q612" i="2" s="1"/>
  <c r="S612" i="2" s="1"/>
  <c r="W612" i="2" s="1"/>
  <c r="X612" i="2" s="1"/>
  <c r="Q163" i="2" a="1"/>
  <c r="Q163" i="2" s="1"/>
  <c r="S163" i="2" s="1"/>
  <c r="W163" i="2" s="1"/>
  <c r="X163" i="2" s="1"/>
  <c r="Q216" i="2" a="1"/>
  <c r="Q216" i="2" s="1"/>
  <c r="S216" i="2" s="1"/>
  <c r="W216" i="2" s="1"/>
  <c r="X216" i="2" s="1"/>
  <c r="Q112" i="2" a="1"/>
  <c r="Q112" i="2" s="1"/>
  <c r="S112" i="2" s="1"/>
  <c r="W112" i="2" s="1"/>
  <c r="X112" i="2" s="1"/>
  <c r="Q562" i="2" a="1"/>
  <c r="Q562" i="2" s="1"/>
  <c r="S562" i="2" s="1"/>
  <c r="W562" i="2" s="1"/>
  <c r="X562" i="2" s="1"/>
  <c r="Q942" i="2" a="1"/>
  <c r="Q942" i="2" s="1"/>
  <c r="S942" i="2" s="1"/>
  <c r="W942" i="2" s="1"/>
  <c r="X942" i="2" s="1"/>
  <c r="Q630" i="2" a="1"/>
  <c r="Q630" i="2" s="1"/>
  <c r="S630" i="2" s="1"/>
  <c r="W630" i="2" s="1"/>
  <c r="X630" i="2" s="1"/>
  <c r="Q1261" i="2" a="1"/>
  <c r="Q1261" i="2" s="1"/>
  <c r="S1261" i="2" s="1"/>
  <c r="W1261" i="2" s="1"/>
  <c r="X1261" i="2" s="1"/>
  <c r="Q1303" i="2" a="1"/>
  <c r="Q1303" i="2" s="1"/>
  <c r="S1303" i="2" s="1"/>
  <c r="W1303" i="2" s="1"/>
  <c r="X1303" i="2" s="1"/>
  <c r="Q1422" i="2" a="1"/>
  <c r="Q1422" i="2" s="1"/>
  <c r="S1422" i="2" s="1"/>
  <c r="W1422" i="2" s="1"/>
  <c r="X1422" i="2" s="1"/>
  <c r="Q1427" i="2" a="1"/>
  <c r="Q1427" i="2" s="1"/>
  <c r="S1427" i="2" s="1"/>
  <c r="W1427" i="2" s="1"/>
  <c r="X1427" i="2" s="1"/>
  <c r="Q1491" i="2" a="1"/>
  <c r="Q1491" i="2" s="1"/>
  <c r="S1491" i="2" s="1"/>
  <c r="W1491" i="2" s="1"/>
  <c r="X1491" i="2" s="1"/>
  <c r="Q1116" i="2" a="1"/>
  <c r="Q1116" i="2" s="1"/>
  <c r="S1116" i="2" s="1"/>
  <c r="W1116" i="2" s="1"/>
  <c r="X1116" i="2" s="1"/>
  <c r="Q1760" i="2" a="1"/>
  <c r="Q1760" i="2" s="1"/>
  <c r="S1760" i="2" s="1"/>
  <c r="W1760" i="2" s="1"/>
  <c r="X1760" i="2" s="1"/>
  <c r="Q1785" i="2" a="1"/>
  <c r="Q1785" i="2" s="1"/>
  <c r="S1785" i="2" s="1"/>
  <c r="W1785" i="2" s="1"/>
  <c r="X1785" i="2" s="1"/>
  <c r="Q882" i="2" a="1"/>
  <c r="Q882" i="2" s="1"/>
  <c r="S882" i="2" s="1"/>
  <c r="W882" i="2" s="1"/>
  <c r="X882" i="2" s="1"/>
  <c r="Q1074" i="2" a="1"/>
  <c r="Q1074" i="2" s="1"/>
  <c r="S1074" i="2" s="1"/>
  <c r="W1074" i="2" s="1"/>
  <c r="X1074" i="2" s="1"/>
  <c r="Q1182" i="2" a="1"/>
  <c r="Q1182" i="2" s="1"/>
  <c r="S1182" i="2" s="1"/>
  <c r="W1182" i="2" s="1"/>
  <c r="X1182" i="2" s="1"/>
  <c r="Q363" i="2" a="1"/>
  <c r="Q363" i="2" s="1"/>
  <c r="S363" i="2" s="1"/>
  <c r="W363" i="2" s="1"/>
  <c r="X363" i="2" s="1"/>
  <c r="Q242" i="2" a="1"/>
  <c r="Q242" i="2" s="1"/>
  <c r="S242" i="2" s="1"/>
  <c r="W242" i="2" s="1"/>
  <c r="X242" i="2" s="1"/>
  <c r="Q1502" i="2" a="1"/>
  <c r="Q1502" i="2" s="1"/>
  <c r="S1502" i="2" s="1"/>
  <c r="W1502" i="2" s="1"/>
  <c r="X1502" i="2" s="1"/>
  <c r="Q153" i="2" a="1"/>
  <c r="Q153" i="2" s="1"/>
  <c r="S153" i="2" s="1"/>
  <c r="W153" i="2" s="1"/>
  <c r="X153" i="2" s="1"/>
  <c r="Q1852" i="2" a="1"/>
  <c r="Q1852" i="2" s="1"/>
  <c r="S1852" i="2" s="1"/>
  <c r="W1852" i="2" s="1"/>
  <c r="X1852" i="2" s="1"/>
  <c r="Q2122" i="2" a="1"/>
  <c r="Q2122" i="2" s="1"/>
  <c r="S2122" i="2" s="1"/>
  <c r="W2122" i="2" s="1"/>
  <c r="X2122" i="2" s="1"/>
  <c r="Q879" i="2" a="1"/>
  <c r="Q879" i="2" s="1"/>
  <c r="S879" i="2" s="1"/>
  <c r="W879" i="2" s="1"/>
  <c r="X879" i="2" s="1"/>
  <c r="Q260" i="2" a="1"/>
  <c r="Q260" i="2" s="1"/>
  <c r="S260" i="2" s="1"/>
  <c r="W260" i="2" s="1"/>
  <c r="X260" i="2" s="1"/>
  <c r="Q2127" i="2" a="1"/>
  <c r="Q2127" i="2" s="1"/>
  <c r="S2127" i="2" s="1"/>
  <c r="W2127" i="2" s="1"/>
  <c r="X2127" i="2" s="1"/>
  <c r="Q2120" i="2" a="1"/>
  <c r="Q2120" i="2" s="1"/>
  <c r="S2120" i="2" s="1"/>
  <c r="W2120" i="2" s="1"/>
  <c r="X2120" i="2" s="1"/>
  <c r="Q646" i="2" a="1"/>
  <c r="Q646" i="2" s="1"/>
  <c r="S646" i="2" s="1"/>
  <c r="W646" i="2" s="1"/>
  <c r="X646" i="2" s="1"/>
  <c r="Q876" i="2" a="1"/>
  <c r="Q876" i="2" s="1"/>
  <c r="S876" i="2" s="1"/>
  <c r="W876" i="2" s="1"/>
  <c r="X876" i="2" s="1"/>
  <c r="Q1778" i="2" a="1"/>
  <c r="Q1778" i="2" s="1"/>
  <c r="S1778" i="2" s="1"/>
  <c r="W1778" i="2" s="1"/>
  <c r="X1778" i="2" s="1"/>
  <c r="Q1276" i="2" a="1"/>
  <c r="Q1276" i="2" s="1"/>
  <c r="S1276" i="2" s="1"/>
  <c r="W1276" i="2" s="1"/>
  <c r="X1276" i="2" s="1"/>
  <c r="Q1126" i="2" a="1"/>
  <c r="Q1126" i="2" s="1"/>
  <c r="S1126" i="2" s="1"/>
  <c r="W1126" i="2" s="1"/>
  <c r="X1126" i="2" s="1"/>
  <c r="Q1721" i="2" a="1"/>
  <c r="Q1721" i="2" s="1"/>
  <c r="S1721" i="2" s="1"/>
  <c r="W1721" i="2" s="1"/>
  <c r="X1721" i="2" s="1"/>
  <c r="Q2164" i="2" a="1"/>
  <c r="Q2164" i="2" s="1"/>
  <c r="S2164" i="2" s="1"/>
  <c r="W2164" i="2" s="1"/>
  <c r="X2164" i="2" s="1"/>
  <c r="Q1327" i="2" a="1"/>
  <c r="Q1327" i="2" s="1"/>
  <c r="S1327" i="2" s="1"/>
  <c r="W1327" i="2" s="1"/>
  <c r="X1327" i="2" s="1"/>
  <c r="Q2158" i="2" a="1"/>
  <c r="Q2158" i="2" s="1"/>
  <c r="S2158" i="2" s="1"/>
  <c r="W2158" i="2" s="1"/>
  <c r="X2158" i="2" s="1"/>
  <c r="Q1168" i="2" a="1"/>
  <c r="Q1168" i="2" s="1"/>
  <c r="S1168" i="2" s="1"/>
  <c r="W1168" i="2" s="1"/>
  <c r="X1168" i="2" s="1"/>
  <c r="Q481" i="2" a="1"/>
  <c r="Q481" i="2" s="1"/>
  <c r="S481" i="2" s="1"/>
  <c r="W481" i="2" s="1"/>
  <c r="X481" i="2" s="1"/>
  <c r="Q1650" i="2" a="1"/>
  <c r="Q1650" i="2" s="1"/>
  <c r="S1650" i="2" s="1"/>
  <c r="W1650" i="2" s="1"/>
  <c r="X1650" i="2" s="1"/>
  <c r="Q1239" i="2" a="1"/>
  <c r="Q1239" i="2" s="1"/>
  <c r="S1239" i="2" s="1"/>
  <c r="W1239" i="2" s="1"/>
  <c r="X1239" i="2" s="1"/>
  <c r="Q568" i="2" a="1"/>
  <c r="Q568" i="2" s="1"/>
  <c r="S568" i="2" s="1"/>
  <c r="W568" i="2" s="1"/>
  <c r="X568" i="2" s="1"/>
  <c r="Q548" i="2" a="1"/>
  <c r="Q548" i="2" s="1"/>
  <c r="S548" i="2" s="1"/>
  <c r="W548" i="2" s="1"/>
  <c r="X548" i="2" s="1"/>
  <c r="Q1387" i="2" a="1"/>
  <c r="Q1387" i="2" s="1"/>
  <c r="S1387" i="2" s="1"/>
  <c r="W1387" i="2" s="1"/>
  <c r="X1387" i="2" s="1"/>
  <c r="Q395" i="2" a="1"/>
  <c r="Q395" i="2" s="1"/>
  <c r="S395" i="2" s="1"/>
  <c r="W395" i="2" s="1"/>
  <c r="X395" i="2" s="1"/>
  <c r="Q1180" i="2" a="1"/>
  <c r="Q1180" i="2" s="1"/>
  <c r="S1180" i="2" s="1"/>
  <c r="W1180" i="2" s="1"/>
  <c r="X1180" i="2" s="1"/>
  <c r="Q389" i="2" a="1"/>
  <c r="Q389" i="2" s="1"/>
  <c r="S389" i="2" s="1"/>
  <c r="W389" i="2" s="1"/>
  <c r="X389" i="2" s="1"/>
  <c r="Q2113" i="2" a="1"/>
  <c r="Q2113" i="2" s="1"/>
  <c r="S2113" i="2" s="1"/>
  <c r="W2113" i="2" s="1"/>
  <c r="X2113" i="2" s="1"/>
  <c r="Q9" i="2" a="1"/>
  <c r="Q9" i="2" s="1"/>
  <c r="S9" i="2" s="1"/>
  <c r="W9" i="2" s="1"/>
  <c r="X9" i="2" s="1"/>
  <c r="Q1258" i="2" a="1"/>
  <c r="Q1258" i="2" s="1"/>
  <c r="S1258" i="2" s="1"/>
  <c r="W1258" i="2" s="1"/>
  <c r="X1258" i="2" s="1"/>
  <c r="Q1825" i="2" a="1"/>
  <c r="Q1825" i="2" s="1"/>
  <c r="S1825" i="2" s="1"/>
  <c r="W1825" i="2" s="1"/>
  <c r="X1825" i="2" s="1"/>
  <c r="Q595" i="2" a="1"/>
  <c r="Q595" i="2" s="1"/>
  <c r="S595" i="2" s="1"/>
  <c r="W595" i="2" s="1"/>
  <c r="X595" i="2" s="1"/>
  <c r="Q563" i="2" a="1"/>
  <c r="Q563" i="2" s="1"/>
  <c r="S563" i="2" s="1"/>
  <c r="W563" i="2" s="1"/>
  <c r="X563" i="2" s="1"/>
  <c r="Q177" i="2" a="1"/>
  <c r="Q177" i="2" s="1"/>
  <c r="S177" i="2" s="1"/>
  <c r="W177" i="2" s="1"/>
  <c r="X177" i="2" s="1"/>
  <c r="Q948" i="2" a="1"/>
  <c r="Q948" i="2" s="1"/>
  <c r="S948" i="2" s="1"/>
  <c r="W948" i="2" s="1"/>
  <c r="X948" i="2" s="1"/>
  <c r="Q1390" i="2" a="1"/>
  <c r="Q1390" i="2" s="1"/>
  <c r="S1390" i="2" s="1"/>
  <c r="W1390" i="2" s="1"/>
  <c r="X1390" i="2" s="1"/>
  <c r="Q1373" i="2" a="1"/>
  <c r="Q1373" i="2" s="1"/>
  <c r="S1373" i="2" s="1"/>
  <c r="W1373" i="2" s="1"/>
  <c r="X1373" i="2" s="1"/>
  <c r="Q1505" i="2" a="1"/>
  <c r="Q1505" i="2" s="1"/>
  <c r="S1505" i="2" s="1"/>
  <c r="W1505" i="2" s="1"/>
  <c r="X1505" i="2" s="1"/>
  <c r="Q431" i="2" a="1"/>
  <c r="Q431" i="2" s="1"/>
  <c r="S431" i="2" s="1"/>
  <c r="W431" i="2" s="1"/>
  <c r="X431" i="2" s="1"/>
  <c r="Q2115" i="2" a="1"/>
  <c r="Q2115" i="2" s="1"/>
  <c r="S2115" i="2" s="1"/>
  <c r="W2115" i="2" s="1"/>
  <c r="X2115" i="2" s="1"/>
  <c r="Q1770" i="2" a="1"/>
  <c r="Q1770" i="2" s="1"/>
  <c r="S1770" i="2" s="1"/>
  <c r="W1770" i="2" s="1"/>
  <c r="X1770" i="2" s="1"/>
  <c r="Q24" i="2" a="1"/>
  <c r="Q24" i="2" s="1"/>
  <c r="S24" i="2" s="1"/>
  <c r="W24" i="2" s="1"/>
  <c r="X24" i="2" s="1"/>
  <c r="Q470" i="2" a="1"/>
  <c r="Q470" i="2" s="1"/>
  <c r="S470" i="2" s="1"/>
  <c r="W470" i="2" s="1"/>
  <c r="X470" i="2" s="1"/>
  <c r="Q1600" i="2" a="1"/>
  <c r="Q1600" i="2" s="1"/>
  <c r="S1600" i="2" s="1"/>
  <c r="W1600" i="2" s="1"/>
  <c r="X1600" i="2" s="1"/>
  <c r="Q57" i="2" a="1"/>
  <c r="Q57" i="2" s="1"/>
  <c r="S57" i="2" s="1"/>
  <c r="W57" i="2" s="1"/>
  <c r="X57" i="2" s="1"/>
  <c r="Q103" i="2" a="1"/>
  <c r="Q103" i="2" s="1"/>
  <c r="S103" i="2" s="1"/>
  <c r="W103" i="2" s="1"/>
  <c r="X103" i="2" s="1"/>
  <c r="Q1482" i="2" a="1"/>
  <c r="Q1482" i="2" s="1"/>
  <c r="S1482" i="2" s="1"/>
  <c r="W1482" i="2" s="1"/>
  <c r="X1482" i="2" s="1"/>
  <c r="Q252" i="2" a="1"/>
  <c r="Q252" i="2" s="1"/>
  <c r="S252" i="2" s="1"/>
  <c r="W252" i="2" s="1"/>
  <c r="X252" i="2" s="1"/>
  <c r="Q1749" i="2" a="1"/>
  <c r="Q1749" i="2" s="1"/>
  <c r="S1749" i="2" s="1"/>
  <c r="W1749" i="2" s="1"/>
  <c r="X1749" i="2" s="1"/>
  <c r="Q1014" i="2" a="1"/>
  <c r="Q1014" i="2" s="1"/>
  <c r="S1014" i="2" s="1"/>
  <c r="W1014" i="2" s="1"/>
  <c r="X1014" i="2" s="1"/>
  <c r="Q1040" i="2" a="1"/>
  <c r="Q1040" i="2" s="1"/>
  <c r="S1040" i="2" s="1"/>
  <c r="W1040" i="2" s="1"/>
  <c r="X1040" i="2" s="1"/>
  <c r="Q1393" i="2" a="1"/>
  <c r="Q1393" i="2" s="1"/>
  <c r="S1393" i="2" s="1"/>
  <c r="W1393" i="2" s="1"/>
  <c r="X1393" i="2" s="1"/>
  <c r="Q1665" i="2" a="1"/>
  <c r="Q1665" i="2" s="1"/>
  <c r="S1665" i="2" s="1"/>
  <c r="W1665" i="2" s="1"/>
  <c r="X1665" i="2" s="1"/>
  <c r="Q1315" i="2" a="1"/>
  <c r="Q1315" i="2" s="1"/>
  <c r="S1315" i="2" s="1"/>
  <c r="W1315" i="2" s="1"/>
  <c r="X1315" i="2" s="1"/>
  <c r="Q1813" i="2" a="1"/>
  <c r="Q1813" i="2" s="1"/>
  <c r="S1813" i="2" s="1"/>
  <c r="W1813" i="2" s="1"/>
  <c r="X1813" i="2" s="1"/>
  <c r="Q1506" i="2" a="1"/>
  <c r="Q1506" i="2" s="1"/>
  <c r="S1506" i="2" s="1"/>
  <c r="W1506" i="2" s="1"/>
  <c r="X1506" i="2" s="1"/>
  <c r="Q2136" i="2" a="1"/>
  <c r="Q2136" i="2" s="1"/>
  <c r="S2136" i="2" s="1"/>
  <c r="W2136" i="2" s="1"/>
  <c r="X2136" i="2" s="1"/>
  <c r="Q27" i="2" a="1"/>
  <c r="Q27" i="2" s="1"/>
  <c r="S27" i="2" s="1"/>
  <c r="W27" i="2" s="1"/>
  <c r="X27" i="2" s="1"/>
  <c r="Q416" i="2" a="1"/>
  <c r="Q416" i="2" s="1"/>
  <c r="S416" i="2" s="1"/>
  <c r="W416" i="2" s="1"/>
  <c r="X416" i="2" s="1"/>
  <c r="Q211" i="2" a="1"/>
  <c r="Q211" i="2" s="1"/>
  <c r="S211" i="2" s="1"/>
  <c r="W211" i="2" s="1"/>
  <c r="X211" i="2" s="1"/>
  <c r="Q854" i="2" a="1"/>
  <c r="Q854" i="2" s="1"/>
  <c r="S854" i="2" s="1"/>
  <c r="W854" i="2" s="1"/>
  <c r="X854" i="2" s="1"/>
  <c r="Q1341" i="2" a="1"/>
  <c r="Q1341" i="2" s="1"/>
  <c r="S1341" i="2" s="1"/>
  <c r="W1341" i="2" s="1"/>
  <c r="X1341" i="2" s="1"/>
  <c r="Q1234" i="2" a="1"/>
  <c r="Q1234" i="2" s="1"/>
  <c r="S1234" i="2" s="1"/>
  <c r="W1234" i="2" s="1"/>
  <c r="X1234" i="2" s="1"/>
  <c r="Q2169" i="2" a="1"/>
  <c r="Q2169" i="2" s="1"/>
  <c r="S2169" i="2" s="1"/>
  <c r="W2169" i="2" s="1"/>
  <c r="X2169" i="2" s="1"/>
  <c r="Q390" i="2" a="1"/>
  <c r="Q390" i="2" s="1"/>
  <c r="S390" i="2" s="1"/>
  <c r="W390" i="2" s="1"/>
  <c r="X390" i="2" s="1"/>
  <c r="Q161" i="2" a="1"/>
  <c r="Q161" i="2" s="1"/>
  <c r="S161" i="2" s="1"/>
  <c r="W161" i="2" s="1"/>
  <c r="X161" i="2" s="1"/>
  <c r="Q859" i="2" a="1"/>
  <c r="Q859" i="2" s="1"/>
  <c r="S859" i="2" s="1"/>
  <c r="W859" i="2" s="1"/>
  <c r="X859" i="2" s="1"/>
  <c r="Q649" i="2" a="1"/>
  <c r="Q649" i="2" s="1"/>
  <c r="S649" i="2" s="1"/>
  <c r="W649" i="2" s="1"/>
  <c r="X649" i="2" s="1"/>
  <c r="Q958" i="2" a="1"/>
  <c r="Q958" i="2" s="1"/>
  <c r="S958" i="2" s="1"/>
  <c r="W958" i="2" s="1"/>
  <c r="X958" i="2" s="1"/>
  <c r="Q631" i="2" a="1"/>
  <c r="Q631" i="2" s="1"/>
  <c r="S631" i="2" s="1"/>
  <c r="W631" i="2" s="1"/>
  <c r="X631" i="2" s="1"/>
  <c r="Q929" i="2" a="1"/>
  <c r="Q929" i="2" s="1"/>
  <c r="S929" i="2" s="1"/>
  <c r="W929" i="2" s="1"/>
  <c r="X929" i="2" s="1"/>
  <c r="Q1477" i="2" a="1"/>
  <c r="Q1477" i="2" s="1"/>
  <c r="S1477" i="2" s="1"/>
  <c r="W1477" i="2" s="1"/>
  <c r="X1477" i="2" s="1"/>
  <c r="Q1172" i="2" a="1"/>
  <c r="Q1172" i="2" s="1"/>
  <c r="Q1768" i="2" a="1"/>
  <c r="Q1768" i="2" s="1"/>
  <c r="Q1008" i="2" a="1"/>
  <c r="Q1008" i="2" s="1"/>
  <c r="Q385" i="2" a="1"/>
  <c r="Q385" i="2" s="1"/>
  <c r="Q240" i="2" a="1"/>
  <c r="Q240" i="2" s="1"/>
  <c r="Q1779" i="2" a="1"/>
  <c r="Q1779" i="2" s="1"/>
  <c r="Q115" i="2" a="1"/>
  <c r="Q115" i="2" s="1"/>
  <c r="R1689" i="2" a="1"/>
  <c r="R1689" i="2" s="1"/>
  <c r="Q1817" i="2" a="1"/>
  <c r="Q1817" i="2" s="1"/>
  <c r="Q1689" i="2" a="1"/>
  <c r="Q1689" i="2" s="1"/>
  <c r="R1688" i="2" a="1"/>
  <c r="R1688" i="2" s="1"/>
  <c r="Q1688" i="2" a="1"/>
  <c r="Q1688" i="2" s="1"/>
  <c r="Q1467" i="2" a="1"/>
  <c r="Q1467" i="2" s="1"/>
  <c r="Q594" i="2" a="1"/>
  <c r="Q594" i="2" s="1"/>
  <c r="Q1711" i="2" a="1"/>
  <c r="Q1711" i="2" s="1"/>
  <c r="Q1124" i="2" a="1"/>
  <c r="Q1124" i="2" s="1"/>
  <c r="Q1430" i="2" a="1"/>
  <c r="Q1430" i="2" s="1"/>
  <c r="Q690" i="2" a="1"/>
  <c r="Q690" i="2" s="1"/>
  <c r="Q1463" i="2" a="1"/>
  <c r="Q1463" i="2" s="1"/>
  <c r="Q114" i="2" a="1"/>
  <c r="Q114" i="2" s="1"/>
  <c r="Q532" i="2" a="1"/>
  <c r="Q532" i="2" s="1"/>
  <c r="Q1318" i="2" a="1"/>
  <c r="Q1318" i="2" s="1"/>
  <c r="Q1304" i="2" a="1"/>
  <c r="Q1304" i="2" s="1"/>
  <c r="Q1195" i="2" a="1"/>
  <c r="Q1195" i="2" s="1"/>
  <c r="Q1632" i="2" a="1"/>
  <c r="Q1632" i="2" s="1"/>
  <c r="Q1252" i="2" a="1"/>
  <c r="Q1252" i="2" s="1"/>
  <c r="Q632" i="2" a="1"/>
  <c r="Q632" i="2" s="1"/>
  <c r="Q306" i="2" a="1"/>
  <c r="Q306" i="2" s="1"/>
  <c r="Q1076" i="2" a="1"/>
  <c r="Q1076" i="2" s="1"/>
  <c r="Q1270" i="2" a="1"/>
  <c r="Q1270" i="2" s="1"/>
  <c r="Q983" i="2" a="1"/>
  <c r="Q983" i="2" s="1"/>
  <c r="Q459" i="2" a="1"/>
  <c r="Q459" i="2" s="1"/>
  <c r="Q1759" i="2" a="1"/>
  <c r="Q1759" i="2" s="1"/>
  <c r="Q611" i="2" a="1"/>
  <c r="Q611" i="2" s="1"/>
  <c r="Q68" i="2" a="1"/>
  <c r="Q68" i="2" s="1"/>
  <c r="Q1460" i="2" a="1"/>
  <c r="Q1460" i="2" s="1"/>
  <c r="Q1433" i="2" a="1"/>
  <c r="Q1433" i="2" s="1"/>
  <c r="Q1133" i="2" a="1"/>
  <c r="Q1133" i="2" s="1"/>
  <c r="Q1342" i="2" a="1"/>
  <c r="Q1342" i="2" s="1"/>
  <c r="Q1399" i="2" a="1"/>
  <c r="Q1399" i="2" s="1"/>
  <c r="Q1416" i="2" a="1"/>
  <c r="Q1416" i="2" s="1"/>
  <c r="Q1314" i="2" a="1"/>
  <c r="Q1314" i="2" s="1"/>
  <c r="Q862" i="2" a="1"/>
  <c r="Q862" i="2" s="1"/>
  <c r="Q250" i="2" a="1"/>
  <c r="Q250" i="2" s="1"/>
  <c r="Q1279" i="2" a="1"/>
  <c r="Q1279" i="2" s="1"/>
  <c r="Q1050" i="2" a="1"/>
  <c r="Q1050" i="2" s="1"/>
  <c r="Q1488" i="2" a="1"/>
  <c r="Q1488" i="2" s="1"/>
  <c r="Q1254" i="2" a="1"/>
  <c r="Q1254" i="2" s="1"/>
  <c r="R1080" i="2" a="1"/>
  <c r="R1080" i="2" s="1"/>
  <c r="R21" i="2" a="1"/>
  <c r="R21" i="2" s="1"/>
  <c r="R552" i="2" a="1"/>
  <c r="R552" i="2" s="1"/>
  <c r="R576" i="2" a="1"/>
  <c r="R576" i="2" s="1"/>
  <c r="R578" i="2" a="1"/>
  <c r="R578" i="2" s="1"/>
  <c r="R1044" i="2" a="1"/>
  <c r="R1044" i="2" s="1"/>
  <c r="D282" i="14"/>
  <c r="D253" i="14"/>
  <c r="S2" i="2" l="1"/>
  <c r="W2" i="2" s="1"/>
  <c r="X2" i="2" s="1"/>
  <c r="S1318" i="2"/>
  <c r="W1318" i="2" s="1"/>
  <c r="X1318" i="2" s="1"/>
  <c r="S1133" i="2"/>
  <c r="W1133" i="2" s="1"/>
  <c r="X1133" i="2" s="1"/>
  <c r="S1779" i="2"/>
  <c r="W1779" i="2" s="1"/>
  <c r="X1779" i="2" s="1"/>
  <c r="S1460" i="2"/>
  <c r="W1460" i="2" s="1"/>
  <c r="X1460" i="2" s="1"/>
  <c r="S114" i="2"/>
  <c r="W114" i="2" s="1"/>
  <c r="X114" i="2" s="1"/>
  <c r="S385" i="2"/>
  <c r="W385" i="2" s="1"/>
  <c r="X385" i="2" s="1"/>
  <c r="S1304" i="2"/>
  <c r="W1304" i="2" s="1"/>
  <c r="X1304" i="2" s="1"/>
  <c r="S1463" i="2"/>
  <c r="W1463" i="2" s="1"/>
  <c r="X1463" i="2" s="1"/>
  <c r="S68" i="2"/>
  <c r="W68" i="2" s="1"/>
  <c r="X68" i="2" s="1"/>
  <c r="S690" i="2"/>
  <c r="W690" i="2" s="1"/>
  <c r="X690" i="2" s="1"/>
  <c r="S1008" i="2"/>
  <c r="W1008" i="2" s="1"/>
  <c r="X1008" i="2" s="1"/>
  <c r="S611" i="2"/>
  <c r="W611" i="2" s="1"/>
  <c r="X611" i="2" s="1"/>
  <c r="S1768" i="2"/>
  <c r="W1768" i="2" s="1"/>
  <c r="X1768" i="2" s="1"/>
  <c r="S1759" i="2"/>
  <c r="W1759" i="2" s="1"/>
  <c r="X1759" i="2" s="1"/>
  <c r="S1430" i="2"/>
  <c r="W1430" i="2" s="1"/>
  <c r="X1430" i="2" s="1"/>
  <c r="S1172" i="2"/>
  <c r="W1172" i="2" s="1"/>
  <c r="X1172" i="2" s="1"/>
  <c r="S115" i="2"/>
  <c r="W115" i="2" s="1"/>
  <c r="X115" i="2" s="1"/>
  <c r="S1254" i="2"/>
  <c r="W1254" i="2" s="1"/>
  <c r="X1254" i="2" s="1"/>
  <c r="S459" i="2"/>
  <c r="W459" i="2" s="1"/>
  <c r="X459" i="2" s="1"/>
  <c r="S1124" i="2"/>
  <c r="W1124" i="2" s="1"/>
  <c r="X1124" i="2" s="1"/>
  <c r="S1050" i="2"/>
  <c r="W1050" i="2" s="1"/>
  <c r="X1050" i="2" s="1"/>
  <c r="S1270" i="2"/>
  <c r="W1270" i="2" s="1"/>
  <c r="X1270" i="2" s="1"/>
  <c r="S1279" i="2"/>
  <c r="W1279" i="2" s="1"/>
  <c r="X1279" i="2" s="1"/>
  <c r="S1488" i="2"/>
  <c r="W1488" i="2" s="1"/>
  <c r="X1488" i="2" s="1"/>
  <c r="S594" i="2"/>
  <c r="W594" i="2" s="1"/>
  <c r="X594" i="2" s="1"/>
  <c r="S250" i="2"/>
  <c r="W250" i="2" s="1"/>
  <c r="X250" i="2" s="1"/>
  <c r="S306" i="2"/>
  <c r="W306" i="2" s="1"/>
  <c r="X306" i="2" s="1"/>
  <c r="S1688" i="2"/>
  <c r="W1688" i="2" s="1"/>
  <c r="X1688" i="2" s="1"/>
  <c r="S1342" i="2"/>
  <c r="W1342" i="2" s="1"/>
  <c r="X1342" i="2" s="1"/>
  <c r="S1252" i="2"/>
  <c r="W1252" i="2" s="1"/>
  <c r="X1252" i="2" s="1"/>
  <c r="S1689" i="2"/>
  <c r="W1689" i="2" s="1"/>
  <c r="X1689" i="2" s="1"/>
  <c r="S1711" i="2"/>
  <c r="W1711" i="2" s="1"/>
  <c r="X1711" i="2" s="1"/>
  <c r="S862" i="2"/>
  <c r="W862" i="2" s="1"/>
  <c r="X862" i="2" s="1"/>
  <c r="S1314" i="2"/>
  <c r="W1314" i="2" s="1"/>
  <c r="X1314" i="2" s="1"/>
  <c r="S1632" i="2"/>
  <c r="W1632" i="2" s="1"/>
  <c r="X1632" i="2" s="1"/>
  <c r="S983" i="2"/>
  <c r="W983" i="2" s="1"/>
  <c r="X983" i="2" s="1"/>
  <c r="S632" i="2"/>
  <c r="W632" i="2" s="1"/>
  <c r="X632" i="2" s="1"/>
  <c r="S1416" i="2"/>
  <c r="W1416" i="2" s="1"/>
  <c r="X1416" i="2" s="1"/>
  <c r="S1817" i="2"/>
  <c r="W1817" i="2" s="1"/>
  <c r="X1817" i="2" s="1"/>
  <c r="S1399" i="2"/>
  <c r="W1399" i="2" s="1"/>
  <c r="X1399" i="2" s="1"/>
  <c r="S1195" i="2"/>
  <c r="W1195" i="2" s="1"/>
  <c r="X1195" i="2" s="1"/>
  <c r="S1076" i="2"/>
  <c r="W1076" i="2" s="1"/>
  <c r="X1076" i="2" s="1"/>
  <c r="S1467" i="2"/>
  <c r="W1467" i="2" s="1"/>
  <c r="X1467" i="2" s="1"/>
  <c r="S1433" i="2"/>
  <c r="W1433" i="2" s="1"/>
  <c r="X1433" i="2" s="1"/>
  <c r="S532" i="2"/>
  <c r="W532" i="2" s="1"/>
  <c r="X532" i="2" s="1"/>
  <c r="S240" i="2"/>
  <c r="W240" i="2" s="1"/>
  <c r="X240" i="2" s="1"/>
  <c r="I2" i="29" a="1"/>
  <c r="T3" i="29" s="1" a="1"/>
  <c r="T3" i="29" s="1"/>
  <c r="D2" i="30" a="1"/>
  <c r="Q3" i="29" l="1" a="1"/>
  <c r="Q3" i="29" s="1"/>
  <c r="V3" i="30" a="1"/>
  <c r="V3" i="30" s="1"/>
  <c r="O3" i="30" a="1"/>
  <c r="O3" i="30" s="1"/>
  <c r="X3" i="29" a="1"/>
  <c r="X3" i="29" s="1"/>
  <c r="AF3" i="30" a="1"/>
  <c r="AF3" i="30" s="1"/>
  <c r="X3" i="30" a="1"/>
  <c r="X3" i="30" s="1"/>
  <c r="J3" i="29" a="1"/>
  <c r="J3" i="29" s="1"/>
  <c r="K3" i="29" a="1"/>
  <c r="K3" i="29" s="1"/>
  <c r="AG3" i="30" a="1"/>
  <c r="AG3" i="30" s="1"/>
  <c r="Y3" i="30" a="1"/>
  <c r="Y3" i="30" s="1"/>
  <c r="L3" i="29" a="1"/>
  <c r="L3" i="29" s="1"/>
  <c r="U3" i="29" a="1"/>
  <c r="U3" i="29" s="1"/>
  <c r="M3" i="29" a="1"/>
  <c r="M3" i="29" s="1"/>
  <c r="N3" i="29" a="1"/>
  <c r="N3" i="29" s="1"/>
  <c r="O3" i="29" a="1"/>
  <c r="O3" i="29" s="1"/>
  <c r="L3" i="30" a="1"/>
  <c r="L3" i="30" s="1"/>
  <c r="P3" i="29" a="1"/>
  <c r="P3" i="29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973" i="2"/>
  <c r="A1289" i="2"/>
  <c r="A1673" i="2"/>
  <c r="A1878" i="2"/>
  <c r="A2022" i="2"/>
  <c r="A2013" i="2"/>
  <c r="A1950" i="2"/>
  <c r="A1938" i="2"/>
  <c r="A2033" i="2"/>
  <c r="A2015" i="2"/>
  <c r="A2051" i="2"/>
  <c r="A2103" i="2"/>
  <c r="A2106" i="2"/>
  <c r="A2092" i="2"/>
  <c r="A1953" i="2"/>
  <c r="A2011" i="2"/>
  <c r="A1987" i="2"/>
  <c r="A2046" i="2"/>
  <c r="A1937" i="2"/>
  <c r="A2090" i="2"/>
  <c r="A2091" i="2"/>
  <c r="A1991" i="2"/>
  <c r="A1952" i="2"/>
  <c r="A1959" i="2"/>
  <c r="A2010" i="2"/>
  <c r="A1963" i="2"/>
  <c r="A1940" i="2"/>
  <c r="A2076" i="2"/>
  <c r="A2060" i="2"/>
  <c r="A2073" i="2"/>
  <c r="A1939" i="2"/>
  <c r="A1972" i="2"/>
  <c r="A2055" i="2"/>
  <c r="A1964" i="2"/>
  <c r="A2044" i="2"/>
  <c r="A2052" i="2"/>
  <c r="A2025" i="2"/>
  <c r="A1948" i="2"/>
  <c r="A2029" i="2"/>
  <c r="A1969" i="2"/>
  <c r="A2002" i="2"/>
  <c r="A1955" i="2"/>
  <c r="A2018" i="2"/>
  <c r="A2014" i="2"/>
  <c r="A2095" i="2"/>
  <c r="A2097" i="2"/>
  <c r="A2026" i="2"/>
  <c r="A1985" i="2"/>
  <c r="A2036" i="2"/>
  <c r="A1994" i="2"/>
  <c r="A1996" i="2"/>
  <c r="A2084" i="2"/>
  <c r="A2096" i="2"/>
  <c r="A2107" i="2"/>
  <c r="A1960" i="2"/>
  <c r="A2037" i="2"/>
  <c r="A2108" i="2"/>
  <c r="A2101" i="2"/>
  <c r="A1986" i="2"/>
  <c r="A1947" i="2"/>
  <c r="A2032" i="2"/>
  <c r="A1942" i="2"/>
  <c r="A2074" i="2"/>
  <c r="A2012" i="2"/>
  <c r="A2109" i="2"/>
  <c r="A1946" i="2"/>
  <c r="A2053" i="2"/>
  <c r="A1997" i="2"/>
  <c r="A2083" i="2"/>
  <c r="A2006" i="2"/>
  <c r="A2047" i="2"/>
  <c r="A2008" i="2"/>
  <c r="A2088" i="2"/>
  <c r="A2098" i="2"/>
  <c r="A2072" i="2"/>
  <c r="A2007" i="2"/>
  <c r="A1970" i="2"/>
  <c r="A2005" i="2"/>
  <c r="A2104" i="2"/>
  <c r="A1978" i="2"/>
  <c r="S3" i="29" l="1" a="1"/>
  <c r="S3" i="29" s="1"/>
  <c r="AB3" i="30" a="1"/>
  <c r="AB3" i="30" s="1"/>
  <c r="J1" i="29"/>
  <c r="O1" i="29"/>
  <c r="N1" i="29"/>
  <c r="A1252" i="2"/>
  <c r="A1879" i="2"/>
  <c r="A1282" i="2"/>
  <c r="A2169" i="2"/>
  <c r="A2163" i="2"/>
  <c r="A1897" i="2"/>
  <c r="A1931" i="2"/>
  <c r="A1888" i="2"/>
  <c r="A1876" i="2"/>
  <c r="A1890" i="2"/>
  <c r="A1916" i="2"/>
  <c r="A1928" i="2"/>
  <c r="A2110" i="2"/>
  <c r="A1922" i="2"/>
  <c r="A1891" i="2"/>
  <c r="A1908" i="2"/>
  <c r="A1889" i="2"/>
  <c r="A1920" i="2"/>
  <c r="A1999" i="2"/>
  <c r="A1886" i="2"/>
  <c r="A880" i="2"/>
  <c r="A1864" i="2"/>
  <c r="A1934" i="2"/>
  <c r="A1894" i="2"/>
  <c r="A2041" i="2"/>
  <c r="A1918" i="2"/>
  <c r="A1902" i="2"/>
  <c r="A1863" i="2"/>
  <c r="A1881" i="2"/>
  <c r="A1865" i="2"/>
  <c r="A1929" i="2"/>
  <c r="A1872" i="2"/>
  <c r="A1936" i="2"/>
  <c r="A1905" i="2"/>
  <c r="A1935" i="2"/>
  <c r="A1880" i="2"/>
  <c r="A1904" i="2"/>
  <c r="A1884" i="2"/>
  <c r="A1885" i="2"/>
  <c r="A1915" i="2"/>
  <c r="A1921" i="2"/>
  <c r="A1870" i="2"/>
  <c r="A1898" i="2"/>
  <c r="A1896" i="2"/>
  <c r="A1926" i="2"/>
  <c r="A1927" i="2"/>
  <c r="A1875" i="2"/>
  <c r="A1887" i="2"/>
  <c r="A1874" i="2"/>
  <c r="A1906" i="2"/>
  <c r="A1911" i="2"/>
  <c r="A1900" i="2"/>
  <c r="A2087" i="2"/>
  <c r="A1866" i="2"/>
  <c r="A1901" i="2"/>
  <c r="A1919" i="2"/>
  <c r="A1914" i="2"/>
  <c r="A1917" i="2"/>
  <c r="A1861" i="2"/>
  <c r="A1945" i="2"/>
  <c r="W3" i="29" s="1" a="1"/>
  <c r="W3" i="29" s="1"/>
  <c r="A1974" i="2"/>
  <c r="A1877" i="2"/>
  <c r="A1913" i="2"/>
  <c r="A1862" i="2"/>
  <c r="A1873" i="2"/>
  <c r="A1892" i="2"/>
  <c r="A1871" i="2"/>
  <c r="A1868" i="2"/>
  <c r="A1883" i="2"/>
  <c r="A1907" i="2"/>
  <c r="A1859" i="2"/>
  <c r="A1923" i="2"/>
  <c r="A1924" i="2"/>
  <c r="A1882" i="2"/>
  <c r="A1893" i="2"/>
  <c r="A1869" i="2"/>
  <c r="A1925" i="2"/>
  <c r="A1933" i="2"/>
  <c r="A1930" i="2"/>
  <c r="A1932" i="2"/>
  <c r="A1895" i="2"/>
  <c r="A1910" i="2"/>
  <c r="A1860" i="2"/>
  <c r="A1903" i="2"/>
  <c r="A1899" i="2"/>
  <c r="A1867" i="2"/>
  <c r="A1253" i="2"/>
  <c r="A611" i="2"/>
  <c r="A174" i="2"/>
  <c r="A1438" i="2"/>
  <c r="A768" i="2"/>
  <c r="A1299" i="2"/>
  <c r="A1313" i="2"/>
  <c r="A1363" i="2"/>
  <c r="A112" i="2"/>
  <c r="A1280" i="2"/>
  <c r="A320" i="2"/>
  <c r="A1255" i="2"/>
  <c r="A1328" i="2"/>
  <c r="A868" i="2"/>
  <c r="A1154" i="2"/>
  <c r="A1414" i="2"/>
  <c r="A1268" i="2"/>
  <c r="G5" i="4" a="1"/>
  <c r="G5" i="4" s="1"/>
  <c r="A1439" i="2"/>
  <c r="A1335" i="2"/>
  <c r="A1404" i="2"/>
  <c r="A1411" i="2"/>
  <c r="A1440" i="2"/>
  <c r="A734" i="2"/>
  <c r="A246" i="2"/>
  <c r="A1368" i="2"/>
  <c r="A1286" i="2"/>
  <c r="A1283" i="2"/>
  <c r="A1155" i="2"/>
  <c r="A927" i="2"/>
  <c r="A1388" i="2"/>
  <c r="A1347" i="2"/>
  <c r="A1432" i="2"/>
  <c r="A1272" i="2"/>
  <c r="A924" i="2"/>
  <c r="A690" i="2"/>
  <c r="A1412" i="2"/>
  <c r="A1321" i="2"/>
  <c r="A1362" i="2"/>
  <c r="A1361" i="2"/>
  <c r="A2160" i="2"/>
  <c r="A2157" i="2"/>
  <c r="A2158" i="2"/>
  <c r="A2155" i="2"/>
  <c r="D4" i="4"/>
  <c r="V3" i="29" l="1" a="1"/>
  <c r="V3" i="29" s="1"/>
  <c r="S1" i="29"/>
  <c r="T1" i="29"/>
  <c r="U1" i="29"/>
  <c r="A1309" i="2"/>
  <c r="A1396" i="2"/>
  <c r="V1" i="29" l="1"/>
  <c r="A1329" i="2"/>
  <c r="A2129" i="2"/>
  <c r="A2134" i="2"/>
  <c r="A2138" i="2"/>
  <c r="A1303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45" i="2"/>
  <c r="A569" i="2"/>
  <c r="N3" i="30" s="1" a="1"/>
  <c r="N3" i="30" s="1"/>
  <c r="A1415" i="2"/>
  <c r="A570" i="2"/>
  <c r="A1398" i="2"/>
  <c r="A2172" i="2"/>
  <c r="A1387" i="2"/>
  <c r="A1353" i="2"/>
  <c r="A2170" i="2"/>
  <c r="A2167" i="2"/>
  <c r="A884" i="2"/>
  <c r="A904" i="2"/>
  <c r="A545" i="2"/>
  <c r="A277" i="2"/>
  <c r="A1239" i="2"/>
  <c r="A1436" i="2"/>
  <c r="A165" i="2"/>
  <c r="A2128" i="2"/>
  <c r="A2123" i="2"/>
  <c r="A2122" i="2"/>
  <c r="A2121" i="2"/>
  <c r="A2120" i="2"/>
  <c r="A2119" i="2"/>
  <c r="A2117" i="2"/>
  <c r="A2114" i="2"/>
  <c r="A2113" i="2"/>
  <c r="A475" i="2"/>
  <c r="A1057" i="2"/>
  <c r="A1316" i="2"/>
  <c r="A242" i="2"/>
  <c r="A1749" i="2"/>
  <c r="A1269" i="2"/>
  <c r="A1266" i="2"/>
  <c r="A1025" i="2"/>
  <c r="L1" i="30" l="1"/>
  <c r="A1405" i="2"/>
  <c r="A5" i="4" a="1"/>
  <c r="B1" i="4"/>
  <c r="A850" i="2"/>
  <c r="A1389" i="2"/>
  <c r="A869" i="2"/>
  <c r="A1170" i="2"/>
  <c r="A243" i="2"/>
  <c r="A195" i="2"/>
  <c r="A1308" i="2"/>
  <c r="A895" i="2"/>
  <c r="A1024" i="2"/>
  <c r="A854" i="2"/>
  <c r="A1151" i="2"/>
  <c r="A261" i="2"/>
  <c r="A1296" i="2"/>
  <c r="A356" i="2"/>
  <c r="A1352" i="2"/>
  <c r="A1030" i="2"/>
  <c r="A193" i="2"/>
  <c r="A897" i="2"/>
  <c r="A1349" i="2"/>
  <c r="A1233" i="2"/>
  <c r="A899" i="2"/>
  <c r="A1416" i="2"/>
  <c r="A1422" i="2"/>
  <c r="A138" i="2"/>
  <c r="E3" i="30" s="1" a="1"/>
  <c r="E3" i="30" s="1"/>
  <c r="A247" i="2"/>
  <c r="A428" i="2"/>
  <c r="A858" i="2"/>
  <c r="R3" i="30" s="1" a="1"/>
  <c r="R3" i="30" s="1"/>
  <c r="A306" i="2"/>
  <c r="A849" i="2"/>
  <c r="A870" i="2"/>
  <c r="A1364" i="2"/>
  <c r="A1375" i="2"/>
  <c r="A930" i="2"/>
  <c r="O1" i="30" s="1"/>
  <c r="A1406" i="2"/>
  <c r="A238" i="2"/>
  <c r="H3" i="30" s="1" a="1"/>
  <c r="H3" i="30" s="1"/>
  <c r="A1351" i="2"/>
  <c r="A384" i="2"/>
  <c r="A1236" i="2"/>
  <c r="A248" i="2"/>
  <c r="A1346" i="2"/>
  <c r="A1331" i="2"/>
  <c r="A2137" i="2"/>
  <c r="A419" i="2"/>
  <c r="M3" i="30" s="1" a="1"/>
  <c r="M3" i="30" s="1"/>
  <c r="A1320" i="2"/>
  <c r="A1385" i="2"/>
  <c r="A1178" i="2"/>
  <c r="A401" i="2"/>
  <c r="A851" i="2"/>
  <c r="A249" i="2"/>
  <c r="A1381" i="2"/>
  <c r="A1751" i="2"/>
  <c r="A402" i="2"/>
  <c r="A2135" i="2"/>
  <c r="A1018" i="2"/>
  <c r="A871" i="2"/>
  <c r="A381" i="2"/>
  <c r="A1378" i="2"/>
  <c r="A1417" i="2"/>
  <c r="A540" i="2"/>
  <c r="A403" i="2"/>
  <c r="A1430" i="2"/>
  <c r="A251" i="2"/>
  <c r="A900" i="2"/>
  <c r="A1334" i="2"/>
  <c r="A252" i="2"/>
  <c r="A1238" i="2"/>
  <c r="A1330" i="2"/>
  <c r="A1254" i="2"/>
  <c r="A1310" i="2"/>
  <c r="A1857" i="2"/>
  <c r="AH3" i="30" s="1" a="1"/>
  <c r="AH3" i="30" s="1"/>
  <c r="A257" i="2"/>
  <c r="A258" i="2"/>
  <c r="A1240" i="2"/>
  <c r="A1312" i="2"/>
  <c r="A874" i="2"/>
  <c r="A1429" i="2"/>
  <c r="A395" i="2"/>
  <c r="A1305" i="2"/>
  <c r="A1354" i="2"/>
  <c r="A875" i="2"/>
  <c r="A853" i="2"/>
  <c r="A1172" i="2"/>
  <c r="A468" i="2"/>
  <c r="A241" i="2"/>
  <c r="A2136" i="2"/>
  <c r="A929" i="2"/>
  <c r="A399" i="2"/>
  <c r="A1332" i="2"/>
  <c r="A1256" i="2"/>
  <c r="A1306" i="2"/>
  <c r="A469" i="2"/>
  <c r="A1407" i="2"/>
  <c r="A405" i="2"/>
  <c r="A2161" i="2"/>
  <c r="A1317" i="2"/>
  <c r="A1258" i="2"/>
  <c r="A1259" i="2"/>
  <c r="A877" i="2"/>
  <c r="A177" i="2"/>
  <c r="A1327" i="2"/>
  <c r="A1010" i="2"/>
  <c r="A382" i="2"/>
  <c r="A1307" i="2"/>
  <c r="A264" i="2"/>
  <c r="A855" i="2"/>
  <c r="A1244" i="2"/>
  <c r="A1753" i="2"/>
  <c r="AC3" i="30" s="1" a="1"/>
  <c r="AC3" i="30" s="1"/>
  <c r="A421" i="2"/>
  <c r="A1322" i="2"/>
  <c r="A1262" i="2"/>
  <c r="A1428" i="2"/>
  <c r="A1409" i="2"/>
  <c r="A1395" i="2"/>
  <c r="A1413" i="2"/>
  <c r="A7" i="2"/>
  <c r="A474" i="2"/>
  <c r="A1360" i="2"/>
  <c r="A267" i="2"/>
  <c r="A1314" i="2"/>
  <c r="A269" i="2"/>
  <c r="A375" i="2"/>
  <c r="A383" i="2"/>
  <c r="A1426" i="2"/>
  <c r="A1022" i="2"/>
  <c r="A1365" i="2"/>
  <c r="A2116" i="2"/>
  <c r="A1366" i="2"/>
  <c r="A400" i="2"/>
  <c r="A1356" i="2"/>
  <c r="A1267" i="2"/>
  <c r="A163" i="2"/>
  <c r="A406" i="2"/>
  <c r="A882" i="2"/>
  <c r="A928" i="2"/>
  <c r="A1270" i="2"/>
  <c r="A1345" i="2"/>
  <c r="A1054" i="2"/>
  <c r="A1427" i="2"/>
  <c r="A1247" i="2"/>
  <c r="A742" i="2"/>
  <c r="P3" i="30" s="1" a="1"/>
  <c r="P3" i="30" s="1"/>
  <c r="A244" i="2"/>
  <c r="A1391" i="2"/>
  <c r="A1202" i="2"/>
  <c r="A1271" i="2"/>
  <c r="A1397" i="2"/>
  <c r="A1374" i="2"/>
  <c r="A275" i="2"/>
  <c r="A1274" i="2"/>
  <c r="A389" i="2"/>
  <c r="A1026" i="2"/>
  <c r="A1771" i="2"/>
  <c r="AE3" i="30" s="1" a="1"/>
  <c r="AE3" i="30" s="1"/>
  <c r="A1275" i="2"/>
  <c r="A1431" i="2"/>
  <c r="A1762" i="2"/>
  <c r="AD3" i="30" s="1" a="1"/>
  <c r="AD3" i="30" s="1"/>
  <c r="A1276" i="2"/>
  <c r="A2171" i="2"/>
  <c r="A1168" i="2"/>
  <c r="A1277" i="2"/>
  <c r="A363" i="2"/>
  <c r="A1278" i="2"/>
  <c r="A156" i="2"/>
  <c r="F3" i="30" s="1" a="1"/>
  <c r="F3" i="30" s="1"/>
  <c r="A1279" i="2"/>
  <c r="A887" i="2"/>
  <c r="A1433" i="2"/>
  <c r="A1772" i="2"/>
  <c r="A1773" i="2"/>
  <c r="A278" i="2"/>
  <c r="A1249" i="2"/>
  <c r="A1205" i="2"/>
  <c r="A166" i="2"/>
  <c r="A888" i="2"/>
  <c r="A889" i="2"/>
  <c r="A1386" i="2"/>
  <c r="A478" i="2"/>
  <c r="A1376" i="2"/>
  <c r="A523" i="2"/>
  <c r="A890" i="2"/>
  <c r="A1357" i="2"/>
  <c r="A1281" i="2"/>
  <c r="A1435" i="2"/>
  <c r="A1336" i="2"/>
  <c r="A424" i="2"/>
  <c r="A1402" i="2"/>
  <c r="A1284" i="2"/>
  <c r="A1285" i="2"/>
  <c r="A1323" i="2"/>
  <c r="A1287" i="2"/>
  <c r="A1288" i="2"/>
  <c r="A1384" i="2"/>
  <c r="A366" i="2"/>
  <c r="A408" i="2"/>
  <c r="A1209" i="2"/>
  <c r="A892" i="2"/>
  <c r="A1775" i="2"/>
  <c r="A1292" i="2"/>
  <c r="A1293" i="2"/>
  <c r="A364" i="2"/>
  <c r="A1421" i="2"/>
  <c r="A1294" i="2"/>
  <c r="A1338" i="2"/>
  <c r="A893" i="2"/>
  <c r="A894" i="2"/>
  <c r="A1251" i="2"/>
  <c r="A1324" i="2"/>
  <c r="A391" i="2"/>
  <c r="A1295" i="2"/>
  <c r="A398" i="2"/>
  <c r="A397" i="2"/>
  <c r="A1211" i="2"/>
  <c r="A1408" i="2"/>
  <c r="A856" i="2"/>
  <c r="A281" i="2"/>
  <c r="A898" i="2"/>
  <c r="A1403" i="2"/>
  <c r="A546" i="2"/>
  <c r="A2111" i="2"/>
  <c r="AI3" i="30" s="1" a="1"/>
  <c r="AI3" i="30" s="1"/>
  <c r="A1348" i="2"/>
  <c r="A1176" i="2"/>
  <c r="A283" i="2"/>
  <c r="A909" i="2"/>
  <c r="A1325" i="2"/>
  <c r="A378" i="2"/>
  <c r="A1297" i="2"/>
  <c r="A1298" i="2"/>
  <c r="A2173" i="2"/>
  <c r="A1023" i="2"/>
  <c r="A1377" i="2"/>
  <c r="A1434" i="2"/>
  <c r="A159" i="2"/>
  <c r="J3" i="30" l="1" a="1"/>
  <c r="J3" i="30" s="1"/>
  <c r="AA3" i="30" a="1"/>
  <c r="AA3" i="30" s="1"/>
  <c r="U3" i="30" a="1"/>
  <c r="U3" i="30" s="1"/>
  <c r="W3" i="30" a="1"/>
  <c r="W3" i="30" s="1"/>
  <c r="I3" i="30" a="1"/>
  <c r="I3" i="30" s="1"/>
  <c r="K3" i="30" a="1"/>
  <c r="K3" i="30" s="1"/>
  <c r="G3" i="30" a="1"/>
  <c r="G3" i="30" s="1"/>
  <c r="T3" i="30" a="1"/>
  <c r="T3" i="30" s="1"/>
  <c r="Z3" i="30" a="1"/>
  <c r="Z3" i="30" s="1"/>
  <c r="S3" i="30" a="1"/>
  <c r="S3" i="30" s="1"/>
  <c r="R3" i="29" a="1"/>
  <c r="R3" i="29" s="1"/>
  <c r="D3" i="30" a="1"/>
  <c r="D3" i="30" s="1"/>
  <c r="Y3" i="29" a="1"/>
  <c r="Q3" i="30" a="1"/>
  <c r="Q3" i="30" s="1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A1" i="30" l="1"/>
  <c r="R1" i="29"/>
  <c r="Y3" i="29"/>
  <c r="Y1" i="29" s="1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<sst xmlns="http://schemas.openxmlformats.org/spreadsheetml/2006/main" count="14474" uniqueCount="4842">
  <si>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</si>
  <si>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</si>
  <si>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</si>
  <si>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</si>
  <si>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</si>
  <si>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</si>
  <si>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</si>
  <si>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</si>
  <si>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</si>
  <si>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</si>
  <si>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</si>
  <si>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</si>
  <si>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</si>
  <si>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</si>
  <si>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</si>
  <si>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</si>
  <si>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</si>
  <si>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</si>
  <si>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</si>
  <si>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</si>
  <si>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</si>
  <si>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</si>
  <si>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</si>
  <si>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</si>
  <si>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</si>
  <si>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</si>
  <si>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</si>
  <si>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</si>
  <si>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</si>
  <si>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</si>
  <si>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</si>
  <si>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</si>
  <si>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</si>
  <si>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</si>
  <si>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</si>
  <si>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</si>
  <si>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</si>
  <si>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</si>
  <si>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</si>
  <si>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</si>
  <si>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</si>
  <si>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</si>
  <si>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</si>
  <si>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</si>
  <si>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</si>
  <si>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</si>
  <si>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</si>
  <si>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</si>
  <si>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</si>
  <si>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</si>
  <si>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</si>
  <si>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</si>
  <si>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</si>
  <si>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</si>
  <si>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</si>
  <si>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</si>
  <si>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</si>
  <si>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</si>
  <si>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</si>
  <si>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</si>
  <si>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</si>
  <si>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</si>
  <si>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</si>
  <si>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</si>
  <si>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</si>
  <si>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</si>
  <si>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</si>
  <si>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</si>
  <si>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</si>
  <si>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</si>
  <si>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</si>
  <si>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</si>
  <si>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</si>
  <si>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</si>
  <si>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</si>
  <si>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</si>
  <si>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</si>
  <si>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</si>
  <si>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</si>
  <si>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</si>
  <si>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</si>
  <si>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</si>
  <si>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</si>
  <si>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</si>
  <si>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</si>
  <si>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</si>
  <si>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</si>
  <si>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</si>
  <si>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</si>
  <si>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</si>
  <si>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</si>
  <si>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</si>
  <si>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</si>
  <si>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</si>
  <si>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</si>
  <si>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</si>
  <si>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</si>
  <si>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</si>
  <si>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</si>
  <si>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</si>
  <si>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</si>
  <si>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</si>
  <si>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</si>
  <si>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</si>
  <si>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</si>
  <si>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</si>
  <si>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</si>
  <si>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</si>
  <si>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</si>
  <si>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</si>
  <si>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</si>
  <si>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</si>
  <si>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</si>
  <si>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</si>
  <si>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</si>
  <si>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</si>
  <si>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</si>
  <si>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</si>
  <si>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</si>
  <si>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</si>
  <si>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</si>
  <si>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</si>
  <si>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</si>
  <si>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</si>
  <si>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</si>
  <si>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</si>
  <si>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</si>
  <si>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</si>
  <si>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</si>
  <si>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</si>
  <si>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</si>
  <si>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</si>
  <si>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</si>
  <si>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</si>
  <si>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</si>
  <si>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</si>
  <si>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</si>
  <si>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</si>
  <si>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</si>
  <si>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</si>
  <si>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</si>
  <si>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</si>
  <si>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</si>
  <si>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</si>
  <si>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</si>
  <si>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</si>
  <si>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</si>
  <si>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</si>
  <si>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</si>
  <si>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</si>
  <si>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</si>
  <si>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</si>
  <si>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</si>
  <si>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</si>
  <si>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</si>
  <si>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</si>
  <si>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</si>
  <si>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</si>
  <si>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</si>
  <si>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</si>
  <si>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</si>
  <si>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</si>
  <si>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</si>
  <si>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</si>
  <si>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</si>
  <si>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</si>
  <si>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</si>
  <si>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</si>
  <si>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</si>
  <si>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</si>
  <si>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</si>
  <si>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</si>
  <si>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</si>
  <si>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</si>
  <si>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</si>
  <si>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</si>
  <si>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</si>
  <si>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</si>
  <si>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</si>
  <si>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</si>
  <si>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</si>
  <si>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</si>
  <si>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</si>
  <si>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</si>
  <si>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</si>
  <si>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</si>
  <si>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</si>
  <si>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</si>
  <si>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</si>
  <si>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</si>
  <si>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</si>
  <si>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</si>
  <si>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</si>
  <si>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</si>
  <si>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</si>
  <si>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</si>
  <si>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</si>
  <si>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</si>
  <si>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</si>
  <si>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</si>
  <si>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</si>
  <si>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</si>
  <si>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</si>
  <si>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</si>
  <si>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</si>
  <si>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</si>
  <si>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</si>
  <si>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</si>
  <si>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</si>
  <si>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</si>
  <si>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</si>
  <si>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</si>
  <si>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</si>
  <si>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</si>
  <si>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</si>
  <si>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</si>
  <si>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</si>
  <si>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</si>
  <si>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</si>
  <si>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</si>
  <si>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</si>
  <si>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</si>
  <si>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</si>
  <si>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</si>
  <si>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</si>
  <si>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</si>
  <si>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</si>
  <si>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</si>
  <si>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</si>
  <si>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</si>
  <si>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</si>
  <si>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</si>
  <si>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</si>
  <si>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</si>
  <si>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</si>
  <si>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</si>
  <si>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</si>
  <si>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</si>
  <si>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</si>
  <si>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</si>
  <si>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</si>
  <si>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</si>
  <si>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</si>
  <si>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</si>
  <si>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</si>
  <si>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</si>
  <si>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</si>
  <si>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</si>
  <si>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</si>
  <si>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</si>
  <si>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</si>
  <si>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</si>
  <si>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</si>
  <si>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</si>
  <si>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</si>
  <si>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</si>
  <si>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</si>
  <si>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</si>
  <si>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</si>
  <si>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</si>
  <si>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</si>
  <si>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</si>
  <si>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</si>
  <si>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</si>
  <si>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</si>
  <si>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</si>
  <si>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</si>
  <si>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</si>
  <si>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</si>
  <si>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</si>
  <si>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</si>
  <si>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</si>
  <si>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</si>
  <si>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</si>
  <si>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</si>
  <si>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</si>
  <si>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</si>
  <si>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</si>
  <si>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</si>
  <si>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</si>
  <si>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</si>
  <si>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</si>
  <si>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</si>
  <si>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</si>
  <si>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</si>
  <si>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</si>
  <si>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</si>
  <si>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</si>
  <si>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</si>
  <si>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</si>
  <si>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</si>
  <si>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</si>
  <si>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</si>
  <si>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</si>
  <si>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</si>
  <si>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</si>
  <si>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</si>
  <si>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</si>
  <si>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</si>
  <si>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</si>
  <si>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</si>
  <si>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</si>
  <si>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</si>
  <si>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</si>
  <si>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</si>
  <si>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</si>
  <si>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</si>
  <si>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</si>
  <si>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</si>
  <si>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</si>
  <si>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</si>
  <si>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</si>
  <si>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</si>
  <si>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</si>
  <si>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</si>
  <si>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</si>
  <si>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</si>
  <si>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</si>
  <si>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</si>
  <si>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</si>
  <si>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</si>
  <si>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</si>
  <si>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</si>
  <si>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</si>
  <si>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</si>
  <si>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</si>
  <si>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</si>
  <si>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</si>
  <si>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</si>
  <si>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</si>
  <si>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</si>
  <si>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</si>
  <si>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</si>
  <si>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</si>
  <si>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</si>
  <si>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</si>
  <si>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</si>
  <si>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</si>
  <si>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</si>
  <si>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</si>
  <si>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</si>
  <si>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</si>
  <si>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</si>
  <si>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</si>
  <si>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</si>
  <si>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</si>
  <si>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</si>
  <si>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</si>
  <si>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</si>
  <si>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</si>
  <si>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</si>
  <si>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</si>
  <si>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</si>
  <si>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</si>
  <si>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</si>
  <si>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</si>
  <si>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</si>
  <si>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</si>
  <si>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</si>
  <si>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</si>
  <si>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</si>
  <si>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</si>
  <si>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</si>
  <si>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</si>
  <si>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</si>
  <si>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</si>
  <si>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</si>
  <si>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</si>
  <si>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</si>
  <si>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</si>
  <si>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</si>
  <si>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</si>
  <si>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</si>
  <si>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</si>
  <si>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</si>
  <si>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</si>
  <si>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</si>
  <si>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</si>
  <si>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</si>
  <si>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</si>
  <si>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</si>
  <si>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</si>
  <si>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</si>
  <si>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</si>
  <si>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</si>
  <si>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</si>
  <si>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</si>
  <si>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</si>
  <si>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</si>
  <si>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</si>
  <si>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</si>
  <si>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</si>
  <si>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</si>
  <si>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</si>
  <si>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</si>
  <si>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</si>
  <si>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</si>
  <si>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</si>
  <si>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</si>
  <si>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</si>
  <si>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</si>
  <si>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</si>
  <si>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</si>
  <si>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</si>
  <si>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</si>
  <si>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</si>
  <si>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</si>
  <si>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</si>
  <si>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</si>
  <si>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</si>
  <si>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</si>
  <si>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</si>
  <si>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</si>
  <si>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</si>
  <si>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</si>
  <si>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</si>
  <si>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</si>
  <si>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</si>
  <si>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</si>
  <si>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</si>
  <si>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</si>
  <si>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</si>
  <si>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</si>
  <si>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</si>
  <si>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</si>
  <si>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</si>
  <si>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</si>
  <si>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</si>
  <si>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</si>
  <si>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</si>
  <si>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</si>
  <si>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</si>
  <si>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</si>
  <si>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</si>
  <si>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</si>
  <si>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</si>
  <si>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</si>
  <si>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</si>
  <si>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</si>
  <si>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</si>
  <si>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</si>
  <si>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</si>
  <si>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</si>
  <si>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</si>
  <si>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</si>
  <si>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</si>
  <si>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</si>
  <si>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</si>
  <si>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</si>
  <si>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</si>
  <si>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</si>
  <si>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</si>
  <si>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</si>
  <si>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</si>
  <si>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</si>
  <si>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</si>
  <si>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</si>
  <si>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</si>
  <si>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</si>
  <si>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</si>
  <si>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</si>
  <si>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</si>
  <si>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</si>
  <si>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</si>
  <si>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</si>
  <si>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</si>
  <si>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</si>
  <si>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</si>
  <si>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</si>
  <si>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</si>
  <si>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</si>
  <si>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</si>
  <si>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</si>
  <si>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</si>
  <si>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</si>
  <si>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</si>
  <si>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</si>
  <si>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</si>
  <si>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</si>
  <si>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</si>
  <si>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</si>
  <si>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</si>
  <si>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</si>
  <si>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</si>
  <si>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</si>
  <si>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</si>
  <si>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</si>
  <si>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</si>
  <si>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</si>
  <si>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</si>
  <si>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</si>
  <si>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</si>
  <si>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</si>
  <si>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</si>
  <si>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</si>
  <si>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</si>
  <si>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</si>
  <si>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</si>
  <si>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</si>
  <si>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</si>
  <si>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</si>
  <si>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</si>
  <si>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</si>
  <si>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</si>
  <si>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</si>
  <si>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</si>
  <si>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</si>
  <si>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</si>
  <si>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</si>
  <si>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</si>
  <si>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</si>
  <si>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</si>
  <si>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</si>
  <si>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</si>
  <si>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</si>
  <si>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</si>
  <si>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</si>
  <si>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</si>
  <si>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</si>
  <si>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</si>
  <si>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</si>
  <si>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</si>
  <si>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</si>
  <si>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</si>
  <si>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</si>
  <si>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</si>
  <si>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</si>
  <si>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</si>
  <si>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</si>
  <si>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</si>
  <si>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</si>
  <si>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</si>
  <si>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</si>
  <si>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</si>
  <si>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</si>
  <si>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</si>
  <si>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</si>
  <si>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</si>
  <si>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</si>
  <si>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</si>
  <si>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</si>
  <si>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</si>
  <si>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</si>
  <si>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</si>
  <si>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</si>
  <si>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</si>
  <si>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</si>
  <si>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</si>
  <si>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</si>
  <si>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</si>
  <si>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</si>
  <si>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</si>
  <si>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</si>
  <si>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</si>
  <si>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</si>
  <si>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</si>
  <si>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</si>
  <si>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</si>
  <si>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</si>
  <si>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</si>
  <si>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</si>
  <si>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</si>
  <si>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</si>
  <si>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</si>
  <si>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</si>
  <si>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</si>
  <si>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</si>
  <si>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</si>
  <si>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</si>
  <si>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</si>
  <si>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</si>
  <si>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</si>
  <si>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</si>
  <si>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</si>
  <si>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</si>
  <si>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</si>
  <si>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</si>
  <si>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</si>
  <si>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</si>
  <si>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</si>
  <si>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</si>
  <si>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</si>
  <si>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</si>
  <si>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</si>
  <si>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</si>
  <si>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</si>
  <si>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</si>
  <si>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</si>
  <si>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</si>
  <si>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</si>
  <si>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</si>
  <si>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</si>
  <si>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</si>
  <si>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</si>
  <si>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</si>
  <si>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</si>
  <si>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</si>
  <si>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</si>
  <si>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</si>
  <si>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</si>
  <si>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</si>
  <si>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</si>
  <si>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</si>
  <si>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</si>
  <si>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</si>
  <si>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</si>
  <si>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</si>
  <si>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</si>
  <si>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</si>
  <si>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</si>
  <si>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</si>
  <si>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</si>
  <si>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</si>
  <si>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</si>
  <si>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</si>
  <si>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</si>
  <si>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</si>
  <si>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</si>
  <si>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</si>
  <si>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</si>
  <si>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</si>
  <si>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</si>
  <si>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</si>
  <si>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</si>
  <si>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</si>
  <si>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</si>
  <si>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</si>
  <si>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</si>
  <si>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</si>
  <si>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</si>
  <si>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</si>
  <si>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</si>
  <si>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</si>
  <si>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</si>
  <si>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</si>
  <si>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</si>
  <si>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</si>
  <si>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</si>
  <si>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</si>
  <si>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</si>
  <si>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</si>
  <si>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</si>
  <si>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</si>
  <si>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</si>
  <si>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</si>
  <si>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</si>
  <si>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</si>
  <si>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</si>
  <si>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</si>
  <si>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</si>
  <si>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</si>
  <si>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</si>
  <si>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</si>
  <si>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</si>
  <si>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</si>
  <si>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</si>
  <si>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</si>
  <si>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</si>
  <si>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</si>
  <si>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</si>
  <si>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</si>
  <si>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</si>
  <si>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</si>
  <si>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</si>
  <si>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</si>
  <si>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</si>
  <si>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</si>
  <si>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</si>
  <si>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</si>
  <si>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</si>
  <si>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</si>
  <si>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</si>
  <si>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</si>
  <si>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</si>
  <si>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</si>
  <si>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</si>
  <si>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</si>
  <si>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</si>
  <si>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</si>
  <si>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</si>
  <si>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</si>
  <si>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</si>
  <si>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</si>
  <si>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</si>
  <si>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</si>
  <si>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</si>
  <si>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</si>
  <si>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</si>
  <si>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</si>
  <si>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</si>
  <si>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</si>
  <si>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</si>
  <si>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</si>
  <si>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</si>
  <si>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</si>
  <si>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</si>
  <si>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</si>
  <si>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</si>
  <si>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</si>
  <si>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</si>
  <si>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</si>
  <si>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</si>
  <si>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</si>
  <si>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</si>
  <si>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</si>
  <si>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</si>
  <si>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</si>
  <si>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</si>
  <si>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</si>
  <si>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</si>
  <si>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</si>
  <si>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</si>
  <si>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</si>
  <si>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</si>
  <si>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</si>
  <si>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</si>
  <si>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</si>
  <si>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</si>
  <si>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</si>
  <si>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</si>
  <si>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</si>
  <si>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</si>
  <si>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</si>
  <si>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</si>
  <si>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</si>
  <si>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</si>
  <si>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</si>
  <si>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</si>
  <si>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</si>
  <si>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</si>
  <si>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</si>
  <si>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</si>
  <si>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</si>
  <si>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</si>
  <si>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</si>
  <si>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</si>
  <si>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</si>
  <si>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</si>
  <si>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</si>
  <si>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</si>
  <si>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</si>
  <si>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</si>
  <si>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</si>
  <si>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</si>
  <si>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</si>
  <si>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</si>
  <si>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</si>
  <si>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</si>
  <si>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</si>
  <si>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</si>
  <si>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</si>
  <si>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</si>
  <si>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</si>
  <si>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</si>
  <si>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</si>
  <si>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</si>
  <si>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</si>
  <si>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</si>
  <si>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</si>
  <si>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</si>
  <si>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</si>
  <si>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</si>
  <si>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</si>
  <si>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</si>
  <si>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</si>
  <si>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</si>
  <si>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</si>
  <si>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</si>
  <si>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</si>
  <si>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</si>
  <si>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</si>
  <si>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</si>
  <si>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</si>
  <si>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</si>
  <si>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</si>
  <si>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</si>
  <si>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</si>
  <si>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</si>
  <si>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</si>
  <si>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</si>
  <si>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</si>
  <si>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</si>
  <si>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</si>
  <si>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</si>
  <si>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</si>
  <si>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</si>
  <si>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</si>
  <si>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</si>
  <si>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</si>
  <si>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</si>
  <si>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</si>
  <si>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</si>
  <si>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</si>
  <si>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</si>
  <si>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</si>
  <si>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</si>
  <si>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</si>
  <si>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</si>
  <si>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</si>
  <si>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</si>
  <si>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</si>
  <si>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</si>
  <si>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</si>
  <si>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</si>
  <si>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</si>
  <si>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</si>
  <si>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</si>
  <si>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</si>
  <si>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</si>
  <si>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</si>
  <si>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</si>
  <si>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</si>
  <si>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</si>
  <si>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</si>
  <si>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</si>
  <si>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</si>
  <si>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</si>
  <si>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</si>
  <si>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</si>
  <si>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</si>
  <si>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</si>
  <si>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</si>
  <si>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</si>
  <si>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</si>
  <si>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</si>
  <si>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</si>
  <si>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</si>
  <si>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</si>
  <si>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</si>
  <si>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</si>
  <si>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</si>
  <si>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</si>
  <si>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</si>
  <si>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</si>
  <si>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</si>
  <si>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</si>
  <si>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</si>
  <si>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</si>
  <si>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</si>
  <si>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</si>
  <si>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</si>
  <si>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</si>
  <si>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</si>
  <si>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</si>
  <si>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</si>
  <si>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</si>
  <si>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</si>
  <si>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</si>
  <si>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</si>
  <si>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</si>
  <si>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</si>
  <si>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</si>
  <si>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</si>
  <si>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</si>
  <si>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</si>
  <si>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</si>
  <si>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</si>
  <si>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</si>
  <si>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</si>
  <si>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</si>
  <si>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</si>
  <si>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</si>
  <si>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</si>
  <si>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</si>
  <si>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</si>
  <si>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</si>
  <si>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</si>
  <si>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</si>
  <si>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</si>
  <si>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</si>
  <si>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</si>
  <si>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</si>
  <si>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</si>
  <si>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</si>
  <si>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</si>
  <si>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</si>
  <si>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</si>
  <si>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</si>
  <si>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</si>
  <si>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</si>
  <si>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</si>
  <si>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</si>
  <si>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</si>
  <si>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</si>
  <si>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</si>
  <si>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</si>
  <si>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</si>
  <si>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</si>
  <si>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</si>
  <si>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</si>
  <si>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</si>
  <si>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</si>
  <si>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</si>
  <si>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</si>
  <si>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</si>
  <si>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</si>
  <si>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</si>
  <si>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</si>
  <si>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</si>
  <si>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</si>
  <si>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</si>
  <si>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</si>
  <si>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</si>
  <si>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</si>
  <si>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</si>
  <si>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</si>
  <si>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</si>
  <si>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</si>
  <si>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</si>
  <si>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</si>
  <si>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</si>
  <si>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</si>
  <si>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</si>
  <si>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</si>
  <si>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</si>
  <si>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</si>
  <si>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</si>
  <si>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</si>
  <si>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</si>
  <si>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</si>
  <si>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</si>
  <si>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</si>
  <si>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</si>
  <si>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</si>
  <si>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</si>
  <si>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</si>
  <si>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</si>
  <si>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</si>
  <si>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</si>
  <si>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</si>
  <si>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</si>
  <si>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</si>
  <si>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</si>
  <si>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</si>
  <si>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</si>
  <si>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</si>
  <si>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</si>
  <si>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</si>
  <si>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</si>
  <si>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</si>
  <si>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</si>
  <si>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</si>
  <si>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</si>
  <si>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</si>
  <si>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</si>
  <si>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</si>
  <si>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</si>
  <si>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</si>
  <si>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</si>
  <si>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</si>
  <si>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</si>
  <si>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</si>
  <si>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</si>
  <si>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</si>
  <si>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</si>
  <si>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</si>
  <si>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</si>
  <si>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</si>
  <si>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</si>
  <si>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</si>
  <si>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</si>
  <si>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</si>
  <si>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</si>
  <si>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</si>
  <si>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</si>
  <si>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</si>
  <si>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</si>
  <si>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</si>
  <si>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</si>
  <si>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</si>
  <si>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</si>
  <si>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</si>
  <si>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</si>
  <si>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</si>
  <si>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</si>
  <si>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</si>
  <si>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</si>
  <si>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</si>
  <si>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</si>
  <si>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</si>
  <si>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</si>
  <si>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</si>
  <si>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</si>
  <si>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</si>
  <si>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</si>
  <si>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</si>
  <si>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</si>
  <si>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</si>
  <si>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</si>
  <si>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</si>
  <si>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</si>
  <si>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</si>
  <si>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</si>
  <si>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</si>
  <si>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</si>
  <si>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</si>
  <si>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</si>
  <si>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</si>
  <si>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</si>
  <si>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</si>
  <si>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</si>
  <si>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</si>
  <si>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</si>
  <si>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</si>
  <si>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</si>
  <si>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</si>
  <si>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</si>
  <si>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</si>
  <si>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</si>
  <si>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</si>
  <si>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</si>
  <si>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</si>
  <si>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</si>
  <si>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</si>
  <si>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</si>
  <si>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</si>
  <si>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</si>
  <si>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</si>
  <si>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</si>
  <si>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</si>
  <si>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</si>
  <si>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</si>
  <si>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</si>
  <si>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</si>
  <si>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</si>
  <si>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</si>
  <si>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</si>
  <si>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</si>
  <si>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</si>
  <si>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</si>
  <si>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</si>
  <si>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</si>
  <si>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</si>
  <si>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</si>
  <si>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</si>
  <si>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</si>
  <si>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</si>
  <si>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</si>
  <si>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</si>
  <si>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</si>
  <si>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</si>
  <si>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</si>
  <si>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</si>
  <si>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</si>
  <si>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</si>
  <si>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</si>
  <si>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</si>
  <si>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</si>
  <si>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</si>
  <si>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</si>
  <si>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</si>
  <si>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</si>
  <si>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</si>
  <si>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</si>
  <si>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</si>
  <si>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</si>
  <si>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</si>
  <si>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</si>
  <si>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</si>
  <si>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</si>
  <si>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</si>
  <si>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</si>
  <si>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</si>
  <si>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</si>
  <si>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</si>
  <si>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</si>
  <si>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</si>
  <si>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</si>
  <si>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</si>
  <si>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</si>
  <si>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</si>
  <si>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</si>
  <si>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</si>
  <si>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</si>
  <si>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</si>
  <si>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</si>
  <si>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</si>
  <si>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</si>
  <si>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</si>
  <si>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</si>
  <si>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</si>
  <si>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</si>
  <si>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</si>
  <si>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</si>
  <si>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</si>
  <si>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</si>
  <si>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</si>
  <si>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</si>
  <si>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</si>
  <si>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</si>
  <si>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</si>
  <si>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</si>
  <si>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</si>
  <si>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</si>
  <si>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</si>
  <si>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</si>
  <si>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</si>
  <si>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</si>
  <si>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</si>
  <si>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</si>
  <si>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</si>
  <si>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</si>
  <si>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</si>
  <si>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</si>
  <si>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</si>
  <si>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</si>
  <si>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</si>
  <si>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</si>
  <si>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</si>
  <si>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</si>
  <si>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</si>
  <si>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</si>
  <si>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</si>
  <si>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</si>
  <si>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</si>
  <si>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</si>
  <si>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</si>
  <si>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</si>
  <si>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</si>
  <si>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</si>
  <si>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</si>
  <si>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</si>
  <si>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</si>
  <si>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</si>
  <si>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</si>
  <si>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</si>
  <si>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</si>
  <si>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</si>
  <si>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</si>
  <si>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</si>
  <si>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</si>
  <si>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</si>
  <si>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</si>
  <si>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</si>
  <si>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</si>
  <si>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</si>
  <si>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</si>
  <si>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</si>
  <si>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</si>
  <si>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</si>
  <si>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</si>
  <si>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</si>
  <si>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</si>
  <si>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</si>
  <si>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</si>
  <si>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</si>
  <si>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</si>
  <si>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</si>
  <si>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</si>
  <si>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</si>
  <si>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</si>
  <si>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</si>
  <si>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</si>
  <si>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</si>
  <si>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</si>
  <si>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</si>
  <si>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</si>
  <si>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</si>
  <si>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</si>
  <si>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</si>
  <si>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</si>
  <si>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</si>
  <si>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</si>
  <si>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</si>
  <si>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</si>
  <si>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</si>
  <si>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</si>
  <si>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</si>
  <si>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</si>
  <si>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</si>
  <si>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</si>
  <si>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</si>
  <si>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</si>
  <si>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</si>
  <si>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</si>
  <si>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</si>
  <si>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</si>
  <si>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</si>
  <si>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</si>
  <si>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</si>
  <si>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</si>
  <si>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</si>
  <si>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</si>
  <si>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</si>
  <si>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</si>
  <si>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</si>
  <si>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</si>
  <si>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</si>
  <si>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</si>
  <si>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</si>
  <si>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</si>
  <si>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</si>
  <si>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</si>
  <si>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</si>
  <si>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</si>
  <si>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</si>
  <si>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</si>
  <si>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</si>
  <si>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</si>
  <si>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</si>
  <si>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</si>
  <si>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</si>
  <si>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</si>
  <si>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</si>
  <si>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</si>
  <si>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</si>
  <si>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</si>
  <si>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</si>
  <si>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</si>
  <si>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</si>
  <si>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</si>
  <si>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</si>
  <si>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</si>
  <si>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</si>
  <si>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</si>
  <si>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</si>
  <si>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</si>
  <si>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</si>
  <si>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</si>
  <si>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</si>
  <si>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</si>
  <si>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</si>
  <si>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</si>
  <si>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</si>
  <si>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</si>
  <si>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</si>
  <si>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</si>
  <si>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</si>
  <si>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</si>
  <si>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</si>
  <si>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</si>
  <si>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</si>
  <si>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</si>
  <si>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</si>
  <si>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</si>
  <si>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</si>
  <si>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</si>
  <si>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</si>
  <si>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</si>
  <si>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</si>
  <si>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</si>
  <si>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</si>
  <si>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</si>
  <si>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</si>
  <si>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</si>
  <si>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</si>
  <si>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</si>
  <si>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</si>
  <si>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</si>
  <si>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</si>
  <si>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</si>
  <si>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</si>
  <si>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</si>
  <si>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</si>
  <si>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</si>
  <si>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</si>
  <si>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</si>
  <si>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</si>
  <si>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</si>
  <si>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</si>
  <si>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</si>
  <si>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</si>
  <si>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</si>
  <si>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</si>
  <si>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</si>
  <si>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</si>
  <si>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</si>
  <si>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</si>
  <si>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</si>
  <si>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</si>
  <si>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</si>
  <si>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</si>
  <si>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</si>
  <si>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</si>
  <si>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</si>
  <si>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</si>
  <si>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</si>
  <si>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</si>
  <si>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</si>
  <si>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</si>
  <si>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</si>
  <si>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</si>
  <si>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</si>
  <si>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</si>
  <si>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</si>
  <si>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</si>
  <si>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</si>
  <si>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</si>
  <si>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</si>
  <si>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</si>
  <si>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</si>
  <si>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</si>
  <si>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</si>
  <si>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</si>
  <si>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</si>
  <si>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</si>
  <si>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</si>
  <si>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</si>
  <si>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</si>
  <si>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</si>
  <si>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</si>
  <si>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</si>
  <si>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</si>
  <si>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</si>
  <si>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</si>
  <si>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</si>
  <si>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</si>
  <si>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</si>
  <si>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</si>
  <si>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</si>
  <si>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</si>
  <si>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</si>
  <si>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</si>
  <si>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</si>
  <si>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</si>
  <si>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</si>
  <si>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</si>
  <si>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</si>
  <si>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</si>
  <si>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</si>
  <si>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</si>
  <si>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</si>
  <si>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</si>
  <si>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</si>
  <si>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</si>
  <si>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</si>
  <si>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</si>
  <si>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</si>
  <si>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</si>
  <si>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</si>
  <si>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</si>
  <si>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</si>
  <si>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</si>
  <si>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</si>
  <si>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</si>
  <si>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</si>
  <si>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</si>
  <si>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</si>
  <si>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</si>
  <si>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</si>
  <si>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</si>
  <si>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</si>
  <si>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</si>
  <si>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</si>
  <si>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</si>
  <si>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</si>
  <si>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</si>
  <si>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</si>
  <si>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</si>
  <si>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</si>
  <si>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</si>
  <si>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</si>
  <si>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</si>
  <si>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</si>
  <si>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</si>
  <si>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</si>
  <si>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</si>
  <si>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</si>
  <si>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</si>
  <si>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</si>
  <si>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</si>
  <si>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</si>
  <si>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</si>
  <si>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</si>
  <si>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</si>
  <si>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</si>
  <si>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</si>
  <si>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</si>
  <si>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</si>
  <si>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</si>
  <si>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</si>
  <si>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</si>
  <si>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</si>
  <si>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</si>
  <si>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</si>
  <si>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</si>
  <si>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</si>
  <si>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</si>
  <si>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</si>
  <si>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</si>
  <si>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</si>
  <si>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</si>
  <si>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</si>
  <si>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</si>
  <si>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</si>
  <si>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</si>
  <si>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</si>
  <si>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</si>
  <si>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</si>
  <si>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</si>
  <si>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</si>
  <si>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</si>
  <si>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</si>
  <si>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</si>
  <si>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</si>
  <si>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</si>
  <si>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</si>
  <si>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</si>
  <si>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</si>
  <si>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</si>
  <si>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</si>
  <si>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</si>
  <si>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</si>
  <si>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</si>
  <si>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</si>
  <si>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</si>
  <si>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</si>
  <si>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</si>
  <si>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</si>
  <si>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</si>
  <si>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</si>
  <si>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</si>
  <si>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</si>
  <si>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</si>
  <si>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</si>
  <si>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</si>
  <si>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</si>
  <si>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</si>
  <si>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</si>
  <si>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</si>
  <si>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</si>
  <si>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</si>
  <si>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</si>
  <si>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</si>
  <si>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</si>
  <si>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</si>
  <si>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</si>
  <si>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</si>
  <si>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</si>
  <si>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</si>
  <si>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</si>
  <si>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</si>
  <si>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</si>
  <si>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</si>
  <si>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</si>
  <si>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</si>
  <si>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</si>
  <si>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</si>
  <si>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</si>
  <si>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</si>
  <si>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</si>
  <si>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</si>
  <si>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</si>
  <si>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</si>
  <si>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</si>
  <si>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</si>
  <si>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</si>
  <si>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</si>
  <si>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</si>
  <si>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</si>
  <si>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</si>
  <si>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</si>
  <si>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</si>
  <si>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</si>
  <si>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</si>
  <si>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</si>
  <si>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</si>
  <si>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</si>
  <si>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</si>
  <si>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</si>
  <si>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</si>
  <si>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</si>
  <si>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</si>
  <si>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</si>
  <si>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</si>
  <si>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</si>
  <si>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</si>
  <si>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</si>
  <si>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</si>
  <si>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</si>
  <si>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</si>
  <si>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</si>
  <si>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</si>
  <si>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</si>
  <si>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</si>
  <si>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</si>
  <si>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</si>
  <si>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</si>
  <si>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</si>
  <si>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</si>
  <si>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</si>
  <si>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</si>
  <si>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</si>
  <si>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</si>
  <si>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</si>
  <si>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</si>
  <si>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</si>
  <si>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</si>
  <si>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</si>
  <si>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</si>
  <si>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</si>
  <si>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</si>
  <si>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</si>
  <si>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</si>
  <si>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</si>
  <si>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</si>
  <si>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</si>
  <si>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</si>
  <si>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</si>
  <si>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</si>
  <si>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</si>
  <si>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</si>
  <si>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</si>
  <si>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</si>
  <si>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</si>
  <si>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</si>
  <si>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</si>
  <si>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</si>
  <si>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</si>
  <si>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</si>
  <si>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</si>
  <si>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</si>
  <si>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</si>
  <si>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</si>
  <si>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</si>
  <si>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</si>
  <si>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</si>
  <si>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</si>
  <si>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</si>
  <si>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</si>
  <si>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</si>
  <si>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</si>
  <si>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</si>
  <si>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</si>
  <si>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</si>
  <si>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</si>
  <si>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</si>
  <si>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</si>
  <si>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</si>
  <si>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</si>
  <si>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</si>
  <si>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</si>
  <si>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</si>
  <si>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</si>
  <si>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</si>
  <si>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</si>
  <si>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</si>
  <si>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</si>
  <si>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</si>
  <si>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</si>
  <si>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</si>
  <si>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</si>
  <si>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</si>
  <si>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</si>
  <si>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</si>
  <si>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</si>
  <si>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</si>
  <si>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</si>
  <si>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</si>
  <si>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</si>
  <si>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</si>
  <si>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</si>
  <si>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</si>
  <si>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</si>
  <si>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</si>
  <si>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</si>
  <si>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</si>
  <si>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</si>
  <si>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</si>
  <si>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</si>
  <si>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</si>
  <si>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</si>
  <si>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</si>
  <si>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</si>
  <si>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</si>
  <si>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</si>
  <si>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</si>
  <si>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</si>
  <si>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</si>
  <si>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</si>
  <si>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</si>
  <si>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</si>
  <si>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</si>
  <si>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</si>
  <si>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</si>
  <si>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</si>
  <si>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</si>
  <si>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</si>
  <si>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</si>
  <si>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</si>
  <si>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</si>
  <si>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</si>
  <si>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</si>
  <si>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</si>
  <si>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</si>
  <si>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</si>
  <si>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</si>
  <si>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</si>
  <si>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</si>
  <si>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</si>
  <si>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</si>
  <si>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</si>
  <si>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</si>
  <si>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</si>
  <si>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</si>
  <si>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</si>
  <si>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</si>
  <si>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</si>
  <si>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</si>
  <si>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</si>
  <si>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</si>
  <si>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</si>
  <si>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</si>
  <si>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</si>
  <si>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</si>
  <si>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</si>
  <si>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</si>
  <si>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</si>
  <si>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</si>
  <si>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</si>
  <si>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</si>
  <si>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</si>
  <si>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</si>
  <si>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</si>
  <si>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</si>
  <si>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</si>
  <si>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</si>
  <si>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</si>
  <si>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</si>
  <si>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</si>
  <si>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</si>
  <si>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</si>
  <si>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</si>
  <si>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</si>
  <si>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</si>
  <si>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</si>
  <si>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</si>
  <si>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</si>
  <si>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</si>
  <si>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</si>
  <si>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</si>
  <si>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</si>
  <si>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</si>
  <si>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</si>
  <si>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</si>
  <si>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</si>
  <si>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</si>
  <si>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</si>
  <si>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</si>
  <si>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</si>
  <si>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</si>
  <si>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</si>
  <si>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</si>
  <si>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</si>
  <si>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</si>
  <si>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</si>
  <si>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</si>
  <si>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</si>
  <si>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</si>
  <si>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</si>
  <si>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</si>
  <si>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</si>
  <si>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</si>
  <si>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</si>
  <si>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</si>
  <si>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</si>
  <si>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</si>
  <si>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</si>
  <si>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</si>
  <si>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</si>
  <si>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</si>
  <si>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</si>
  <si>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</si>
  <si>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</si>
  <si>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</si>
  <si>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</si>
  <si>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</si>
  <si>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</si>
  <si>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</si>
  <si>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</si>
  <si>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</si>
  <si>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</si>
  <si>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</si>
  <si>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</si>
  <si>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</si>
  <si>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</si>
  <si>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</si>
  <si>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</si>
  <si>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</si>
  <si>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</si>
  <si>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</si>
  <si>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</si>
  <si>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</si>
  <si>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</si>
  <si>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</si>
  <si>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</si>
  <si>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</si>
  <si>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</si>
  <si>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</si>
  <si>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</si>
  <si>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</si>
  <si>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</si>
  <si>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</si>
  <si>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</si>
  <si>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</si>
  <si>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</si>
  <si>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</si>
  <si>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</si>
  <si>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</si>
  <si>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</si>
  <si>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</si>
  <si>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</si>
  <si>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</si>
  <si>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</si>
  <si>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</si>
  <si>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</si>
  <si>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</si>
  <si>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</si>
  <si>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</si>
  <si>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</si>
  <si>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</si>
  <si>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</si>
  <si>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</si>
  <si>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</si>
  <si>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</si>
  <si>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</si>
  <si>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</si>
  <si>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</si>
  <si>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</si>
  <si>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</si>
  <si>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</si>
  <si>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</si>
  <si>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</si>
  <si>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</si>
  <si>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</si>
  <si>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</si>
  <si>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</si>
  <si>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</si>
  <si>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</si>
  <si>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</si>
  <si>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</si>
  <si>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</si>
  <si>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</si>
  <si>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</si>
  <si>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</si>
  <si>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</si>
  <si>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</si>
  <si>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</si>
  <si>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</si>
  <si>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</si>
  <si>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</si>
  <si>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</si>
  <si>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</si>
  <si>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</si>
  <si>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</si>
  <si>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</si>
  <si>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</si>
  <si>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</si>
  <si>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</si>
  <si>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</si>
  <si>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</si>
  <si>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</si>
  <si>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</si>
  <si>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</si>
  <si>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</si>
  <si>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</si>
  <si>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</si>
  <si>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</si>
  <si>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</si>
  <si>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</si>
  <si>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</si>
  <si>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</si>
  <si>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</si>
  <si>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</si>
  <si>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</si>
  <si>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</si>
  <si>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</si>
  <si>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</si>
  <si>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</si>
  <si>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</si>
  <si>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</si>
  <si>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</si>
  <si>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</si>
  <si>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</si>
  <si>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</si>
  <si>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</si>
  <si>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</si>
  <si>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</si>
  <si>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</si>
  <si>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</si>
  <si>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</si>
  <si>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</si>
  <si>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</si>
  <si>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</si>
  <si>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</si>
  <si>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</si>
  <si>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</si>
  <si>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</si>
  <si>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</si>
  <si>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</si>
  <si>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</si>
  <si>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</si>
  <si>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</si>
  <si>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</si>
  <si>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</si>
  <si>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</si>
  <si>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</si>
  <si>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</si>
  <si>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</si>
  <si>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</si>
  <si>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</si>
  <si>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</si>
  <si>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</si>
  <si>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</si>
  <si>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</si>
  <si>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</si>
  <si>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</si>
  <si>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</si>
  <si>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</si>
  <si>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</si>
  <si>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</si>
  <si>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</si>
  <si>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</si>
  <si>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</si>
  <si>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</si>
  <si>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</si>
  <si>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</si>
  <si>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</si>
  <si>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</si>
  <si>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</si>
  <si>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</si>
  <si>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</si>
  <si>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</si>
  <si>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</si>
  <si>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</si>
  <si>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</si>
  <si>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</si>
  <si>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</si>
  <si>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</si>
  <si>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</si>
  <si>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</si>
  <si>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</si>
  <si>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</si>
  <si>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</si>
  <si>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</si>
  <si>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</si>
  <si>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</si>
  <si>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</si>
  <si>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</si>
  <si>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</si>
  <si>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</si>
  <si>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</si>
  <si>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</si>
  <si>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</si>
  <si>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</si>
  <si>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</si>
  <si>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</si>
  <si>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</si>
  <si>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</si>
  <si>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</si>
  <si>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</si>
  <si>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</si>
  <si>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</si>
  <si>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</si>
  <si>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</si>
  <si>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</si>
  <si>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</si>
  <si>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</si>
  <si>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</si>
  <si>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</si>
  <si>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</si>
  <si>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</si>
  <si>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</si>
  <si>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</si>
  <si>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</si>
  <si>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</si>
  <si>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</si>
  <si>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</si>
  <si>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</si>
  <si>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</si>
  <si>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</si>
  <si>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</si>
  <si>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</si>
  <si>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</si>
  <si>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</si>
  <si>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</si>
  <si>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</si>
  <si>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</si>
  <si>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</si>
  <si>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</si>
  <si>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</si>
  <si>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</si>
  <si>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</si>
  <si>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</si>
  <si>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</si>
  <si>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</si>
  <si>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</si>
  <si>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</si>
  <si>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</si>
  <si>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</si>
  <si>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</si>
  <si>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</si>
  <si>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</si>
  <si>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</si>
  <si>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</si>
  <si>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</si>
  <si>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</si>
  <si>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</si>
  <si>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</si>
  <si>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</si>
  <si>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</si>
  <si>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</si>
  <si>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</si>
  <si>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</si>
  <si>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</si>
  <si>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</si>
  <si>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</si>
  <si>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</si>
  <si>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</si>
  <si>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</si>
  <si>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</si>
  <si>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</si>
  <si>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</si>
  <si>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</si>
  <si>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</si>
  <si>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</si>
  <si>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</si>
  <si>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</si>
  <si>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</si>
  <si>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</si>
  <si>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</si>
  <si>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</si>
  <si>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</si>
  <si>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</si>
  <si>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</si>
  <si>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</si>
  <si>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</si>
  <si>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</si>
  <si>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</si>
  <si>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</si>
  <si>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</si>
  <si>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</si>
  <si>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</si>
  <si>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</si>
  <si>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</si>
  <si>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</si>
  <si>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</si>
  <si>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</si>
  <si>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</si>
  <si>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</si>
  <si>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</si>
  <si>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</si>
  <si>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</si>
  <si>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</si>
  <si>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</si>
  <si>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</si>
  <si>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</si>
  <si>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</si>
  <si>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</si>
  <si>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</si>
  <si>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</si>
  <si>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</si>
  <si>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</si>
  <si>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</si>
  <si>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</si>
  <si>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</si>
  <si>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</si>
  <si>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</si>
  <si>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</si>
  <si>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</si>
  <si>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</si>
  <si>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</si>
  <si>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</si>
  <si>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</si>
  <si>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</si>
  <si>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</si>
  <si>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</si>
  <si>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</si>
  <si>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</si>
  <si>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</si>
  <si>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</si>
  <si>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</si>
  <si>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</si>
  <si>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</si>
  <si>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</si>
  <si>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</si>
  <si>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</si>
  <si>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</si>
  <si>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</si>
  <si>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</si>
  <si>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</si>
  <si>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</si>
  <si>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</si>
  <si>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</si>
  <si>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</si>
  <si>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</si>
  <si>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</si>
  <si>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</si>
  <si>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</si>
  <si>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</si>
  <si>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</si>
  <si>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</si>
  <si>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</si>
  <si>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</si>
  <si>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</si>
  <si>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</si>
  <si>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</si>
  <si>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</si>
  <si>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</si>
  <si>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</si>
  <si>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</si>
  <si>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</si>
  <si>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</si>
  <si>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</si>
  <si>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</si>
  <si>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</si>
  <si>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</si>
  <si>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</si>
  <si>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</si>
  <si>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</si>
  <si>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</si>
  <si>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</si>
  <si>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</si>
  <si>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</si>
  <si>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</si>
  <si>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</si>
  <si>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</si>
  <si>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</si>
  <si>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</si>
  <si>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</si>
  <si>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</si>
  <si>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</si>
  <si>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</si>
  <si>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</si>
  <si>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</si>
  <si>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</si>
  <si>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</si>
  <si>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</si>
  <si>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</si>
  <si>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</si>
  <si>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</si>
  <si>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</si>
  <si>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</si>
  <si>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</si>
  <si>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</si>
  <si>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</si>
  <si>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</si>
  <si>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</si>
  <si>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</si>
  <si>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</si>
  <si>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</si>
  <si>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</si>
  <si>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</si>
  <si>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</si>
  <si>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</si>
  <si>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</si>
  <si>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</si>
  <si>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</si>
  <si>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</si>
  <si>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</si>
  <si>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</si>
  <si>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</si>
  <si>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</si>
  <si>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</si>
  <si>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</si>
  <si>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</si>
  <si>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</si>
  <si>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</si>
  <si>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</si>
  <si>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</si>
  <si>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</si>
  <si>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</si>
  <si>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</si>
  <si>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</si>
  <si>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</si>
  <si>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</si>
  <si>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</si>
  <si>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</si>
  <si>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</si>
  <si>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</si>
  <si>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</si>
  <si>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</si>
  <si>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</si>
  <si>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</si>
  <si>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</si>
  <si>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</si>
  <si>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</si>
  <si>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</si>
  <si>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</si>
  <si>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</si>
  <si>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</si>
  <si>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</si>
  <si>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</si>
  <si>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</si>
  <si>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</si>
  <si>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</si>
  <si>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</si>
  <si>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</si>
  <si>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</si>
  <si>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</si>
  <si>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</si>
  <si>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</si>
  <si>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</si>
  <si>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</si>
  <si>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</si>
  <si>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</si>
  <si>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</si>
  <si>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</si>
  <si>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</si>
  <si>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</si>
  <si>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</si>
  <si>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</si>
  <si>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</si>
  <si>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</si>
  <si>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</si>
  <si>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</si>
  <si>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</si>
  <si>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</si>
  <si>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</si>
  <si>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</si>
  <si>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</si>
  <si>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</si>
  <si>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</si>
  <si>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</si>
  <si>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</si>
  <si>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</si>
  <si>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</si>
  <si>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</si>
  <si>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</si>
  <si>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</si>
  <si>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</si>
  <si>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</si>
  <si>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</si>
  <si>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</si>
  <si>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</si>
  <si>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</si>
  <si>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</si>
  <si>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</si>
  <si>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</si>
  <si>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</si>
  <si>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</si>
  <si>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</si>
  <si>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</si>
  <si>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</si>
  <si>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</si>
  <si>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</si>
  <si>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</si>
  <si>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</si>
  <si>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</si>
  <si>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</si>
  <si>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</si>
  <si>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</si>
  <si>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</si>
  <si>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</si>
  <si>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</si>
  <si>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</si>
  <si>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</si>
  <si>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</si>
  <si>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</si>
  <si>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</si>
  <si>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</si>
  <si>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</si>
  <si>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</si>
  <si>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</si>
  <si>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</si>
  <si>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</si>
  <si>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</si>
  <si>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</si>
  <si>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</si>
  <si>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</si>
  <si>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</si>
  <si>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</si>
  <si>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</si>
  <si>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</si>
  <si>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</si>
  <si>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</si>
  <si>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</si>
  <si>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</si>
  <si>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</si>
  <si>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</si>
  <si>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</si>
  <si>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</si>
  <si>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</si>
  <si>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</si>
  <si>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</si>
  <si>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</si>
  <si>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</si>
  <si>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</si>
  <si>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</si>
  <si>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</si>
  <si>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</si>
  <si>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</si>
  <si>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</si>
  <si>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</si>
  <si>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</si>
  <si>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</si>
  <si>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</si>
  <si>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</si>
  <si>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</si>
  <si>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</si>
  <si>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</si>
  <si>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</si>
  <si>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</si>
  <si>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</si>
  <si>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</si>
  <si>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</si>
  <si>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</si>
  <si>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</si>
  <si>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</si>
  <si>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</si>
  <si>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</si>
  <si>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</si>
  <si>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</si>
  <si>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</si>
  <si>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</si>
  <si>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</si>
  <si>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</si>
  <si>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</si>
  <si>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</si>
  <si>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</si>
  <si>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</si>
  <si>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</si>
  <si>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</si>
  <si>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</si>
  <si>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</si>
  <si>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</si>
  <si>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</si>
  <si>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</si>
  <si>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</si>
  <si>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</si>
  <si>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</si>
  <si>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</si>
  <si>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</si>
  <si>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</si>
  <si>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</si>
  <si>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</si>
  <si>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</si>
  <si>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</si>
  <si>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</si>
  <si>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</si>
  <si>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</si>
  <si>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</si>
  <si>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</si>
  <si>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</si>
  <si>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</si>
  <si>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</si>
  <si>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</si>
  <si>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</si>
  <si>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</si>
  <si>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</si>
  <si>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</si>
  <si>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</si>
  <si>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</si>
  <si>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</si>
  <si>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</si>
  <si>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</si>
  <si>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</si>
  <si>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</si>
  <si>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</si>
  <si>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</si>
  <si>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</si>
  <si>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</si>
  <si>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</si>
  <si>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</si>
  <si>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</si>
  <si>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</si>
  <si>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</si>
  <si>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</si>
  <si>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</si>
  <si>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</si>
  <si>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</si>
  <si>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</si>
  <si>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</si>
  <si>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</si>
  <si>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</si>
  <si>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</si>
  <si>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</si>
  <si>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</si>
  <si>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</si>
  <si>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</si>
  <si>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</si>
  <si>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</si>
  <si>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</si>
  <si>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</si>
  <si>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</si>
  <si>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</si>
  <si>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</si>
  <si>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</si>
  <si>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</si>
  <si>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</si>
  <si>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</si>
  <si>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</si>
  <si>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</si>
  <si>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</si>
  <si>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</si>
  <si>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</si>
  <si>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</si>
  <si>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</si>
  <si>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</si>
  <si>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</si>
  <si>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</si>
  <si>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</si>
  <si>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</si>
  <si>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</si>
  <si>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</si>
  <si>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</si>
  <si>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</si>
  <si>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</si>
  <si>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</si>
  <si>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</si>
  <si>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</si>
  <si>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</si>
  <si>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</si>
  <si>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</si>
  <si>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</si>
  <si>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</si>
  <si>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</si>
  <si>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</si>
  <si>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</si>
  <si>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</si>
  <si>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</si>
  <si>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</si>
  <si>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</si>
  <si>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</si>
  <si>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</si>
  <si>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</si>
  <si>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</si>
  <si>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</si>
  <si>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</si>
  <si>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</si>
  <si>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</si>
  <si>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</si>
  <si>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</si>
  <si>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</si>
  <si>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</si>
  <si>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</si>
  <si>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</si>
  <si>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</si>
  <si>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</si>
  <si>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</si>
  <si>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</si>
  <si>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</si>
  <si>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</si>
  <si>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</si>
  <si>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</si>
  <si>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</si>
  <si>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</si>
  <si>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</si>
  <si>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</si>
  <si>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</si>
  <si>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</si>
  <si>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</si>
  <si>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</si>
  <si>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</si>
  <si>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</si>
  <si>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</si>
  <si>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</si>
  <si>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</si>
  <si>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</si>
  <si>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</si>
  <si>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</si>
  <si>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</si>
  <si>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</si>
  <si>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</si>
  <si>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</si>
  <si>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</si>
  <si>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</si>
  <si>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</si>
  <si>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</si>
  <si>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</si>
  <si>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</si>
  <si>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</si>
  <si>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</si>
  <si>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</si>
  <si>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</si>
  <si>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</si>
  <si>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</si>
  <si>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</si>
  <si>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</si>
  <si>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</si>
  <si>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</si>
  <si>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</si>
  <si>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</si>
  <si>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</si>
  <si>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</si>
  <si>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</si>
  <si>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</si>
  <si>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</si>
  <si>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</si>
  <si>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</si>
  <si>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</si>
  <si>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</si>
  <si>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</si>
  <si>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</si>
  <si>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</si>
  <si>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</si>
  <si>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</si>
  <si>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</si>
  <si>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</si>
  <si>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</si>
  <si>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</si>
  <si>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</si>
  <si>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</si>
  <si>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</si>
  <si>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</si>
  <si>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</si>
  <si>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</si>
  <si>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</si>
  <si>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</si>
  <si>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</si>
  <si>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</si>
  <si>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</si>
  <si>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</si>
  <si>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</si>
  <si>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</si>
  <si>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</si>
  <si>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</si>
  <si>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</si>
  <si>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</si>
  <si>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</si>
  <si>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</si>
  <si>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</si>
  <si>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</si>
  <si>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</si>
  <si>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</si>
  <si>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</si>
  <si>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</si>
  <si>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</si>
  <si>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</si>
  <si>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</si>
  <si>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</si>
  <si>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</si>
  <si>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</si>
  <si>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</si>
  <si>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</si>
  <si>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</si>
  <si>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</si>
  <si>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</si>
  <si>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</si>
  <si>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</si>
  <si>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</si>
  <si>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</si>
  <si>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</si>
  <si>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</si>
  <si>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</si>
  <si>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</si>
  <si>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</si>
  <si>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</si>
  <si>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</si>
  <si>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</si>
  <si>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</si>
  <si>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</si>
  <si>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</si>
  <si>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</si>
  <si>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</si>
  <si>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</si>
  <si>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</si>
  <si>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</si>
  <si>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</si>
  <si>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</si>
  <si>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</si>
  <si>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</si>
  <si>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</si>
  <si>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</si>
  <si>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</si>
  <si>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</si>
  <si>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</si>
  <si>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</si>
  <si>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</si>
  <si>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</si>
  <si>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</si>
  <si>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</si>
  <si>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</si>
  <si>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</si>
  <si>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</si>
  <si>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</si>
  <si>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</si>
  <si>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</si>
  <si>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</si>
  <si>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</si>
  <si>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</si>
  <si>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</si>
  <si>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</si>
  <si>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</si>
  <si>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</si>
  <si>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</si>
  <si>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</si>
  <si>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</si>
  <si>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</si>
  <si>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</si>
  <si>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</si>
  <si>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</si>
  <si>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</si>
  <si>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</si>
  <si>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</si>
  <si>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</si>
  <si>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</si>
  <si>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</si>
  <si>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</si>
  <si>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</si>
  <si>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</si>
  <si>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</si>
  <si>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</si>
  <si>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</si>
  <si>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</si>
  <si>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</si>
  <si>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</si>
  <si>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</si>
  <si>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</si>
  <si>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</si>
  <si>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</si>
  <si>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</si>
  <si>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</si>
  <si>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</si>
  <si>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</si>
  <si>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</si>
  <si>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</si>
  <si>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</si>
  <si>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</si>
  <si>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</si>
  <si>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</si>
  <si>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</si>
  <si>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</si>
  <si>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</si>
  <si>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</si>
  <si>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</si>
  <si>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</si>
  <si>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</si>
  <si>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</si>
  <si>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</si>
  <si>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</si>
  <si>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</si>
  <si>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</si>
  <si>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</si>
  <si>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</si>
  <si>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</si>
  <si>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</si>
  <si>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</si>
  <si>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</si>
  <si>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</si>
  <si>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</si>
  <si>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</si>
  <si>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</si>
  <si>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</si>
  <si>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</si>
  <si>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</si>
  <si>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</si>
  <si>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</si>
  <si>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</si>
  <si>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</si>
  <si>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</si>
  <si>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</si>
  <si>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</si>
  <si>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</si>
  <si>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</si>
  <si>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</si>
  <si>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</si>
  <si>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</si>
  <si>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</si>
  <si>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</si>
  <si>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</si>
  <si>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</si>
  <si>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</si>
  <si>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</si>
  <si>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</si>
  <si>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</si>
  <si>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</si>
  <si>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</si>
  <si>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</si>
  <si>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</si>
  <si>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</si>
  <si>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</si>
  <si>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</si>
  <si>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</si>
  <si>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</si>
  <si>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</si>
  <si>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</si>
  <si>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</si>
  <si>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</si>
  <si>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</si>
  <si>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</si>
  <si>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</si>
  <si>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</si>
  <si>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</si>
  <si>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</si>
  <si>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</si>
  <si>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</si>
  <si>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</si>
  <si>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</si>
  <si>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</si>
  <si>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</si>
  <si>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</si>
  <si>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</si>
  <si>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</si>
  <si>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</si>
  <si>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</si>
  <si>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</si>
  <si>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</si>
  <si>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</si>
  <si>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</si>
  <si>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</si>
  <si>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</si>
  <si>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</si>
  <si>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</si>
  <si>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</si>
  <si>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</si>
  <si>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</si>
  <si>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</si>
  <si>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</si>
  <si>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</si>
  <si>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</si>
  <si>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</si>
  <si>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</si>
  <si>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</si>
  <si>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</si>
  <si>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</si>
  <si>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</si>
  <si>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</si>
  <si>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</si>
  <si>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</si>
  <si>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</si>
  <si>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</si>
  <si>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</si>
  <si>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</si>
  <si>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</si>
  <si>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</si>
  <si>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</si>
  <si>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</si>
  <si>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</si>
  <si>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</si>
  <si>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</si>
  <si>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</si>
  <si>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</si>
  <si>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</si>
  <si>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</si>
  <si>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</si>
  <si>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</si>
  <si>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</si>
  <si>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</si>
  <si>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</si>
  <si>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</si>
  <si>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</si>
  <si>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</si>
  <si>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</si>
  <si>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</si>
  <si>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</si>
  <si>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</si>
  <si>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</si>
  <si>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</si>
  <si>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</si>
  <si>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</si>
  <si>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</si>
  <si>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</si>
  <si>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</si>
  <si>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</si>
  <si>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</si>
  <si>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</si>
  <si>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</si>
  <si>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</si>
  <si>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</si>
  <si>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</si>
  <si>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</si>
  <si>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</si>
  <si>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</si>
  <si>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</si>
  <si>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</si>
  <si>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</si>
  <si>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</si>
  <si>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</si>
  <si>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</si>
  <si>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</si>
  <si>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</si>
  <si>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</si>
  <si>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</si>
  <si>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</si>
  <si>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</si>
  <si>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</si>
  <si>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</si>
  <si>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</si>
  <si>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</si>
  <si>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</si>
  <si>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</si>
  <si>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</si>
  <si>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</si>
  <si>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</si>
  <si>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</si>
  <si>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</si>
  <si>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</si>
  <si>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</si>
  <si>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</si>
  <si>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</si>
  <si>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</si>
  <si>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</si>
  <si>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</si>
  <si>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</si>
  <si>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</si>
  <si>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</si>
  <si>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</si>
  <si>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</si>
  <si>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</si>
  <si>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</si>
  <si>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</si>
  <si>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</si>
  <si>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</si>
  <si>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</si>
  <si>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</si>
  <si>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</si>
  <si>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</si>
  <si>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</si>
  <si>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</si>
  <si>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</si>
  <si>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</si>
  <si>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</si>
  <si>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</si>
  <si>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</si>
  <si>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</si>
  <si>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</si>
  <si>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</si>
  <si>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</si>
  <si>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</si>
  <si>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</si>
  <si>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</si>
  <si>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</si>
  <si>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</si>
  <si>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</si>
  <si>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</si>
  <si>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</si>
  <si>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</si>
  <si>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</si>
  <si>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</si>
  <si>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</si>
  <si>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</si>
  <si>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</si>
  <si>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</si>
  <si>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</si>
  <si>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</si>
  <si>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</si>
  <si>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</si>
  <si>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</si>
  <si>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</si>
  <si>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</si>
  <si>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</si>
  <si>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</si>
  <si>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</si>
  <si>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</si>
  <si>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</si>
  <si>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</si>
  <si>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</si>
  <si>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</si>
  <si>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</si>
  <si>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</si>
  <si>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</si>
  <si>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</si>
  <si>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</si>
  <si>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</si>
  <si>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</si>
  <si>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</si>
  <si>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</si>
  <si>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</si>
  <si>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</si>
  <si>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</si>
  <si>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</si>
  <si>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</si>
  <si>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</si>
  <si>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</si>
  <si>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</si>
  <si>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</si>
  <si>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</si>
  <si>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</si>
  <si>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</si>
  <si>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</si>
  <si>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</si>
  <si>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</si>
  <si>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</si>
  <si>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</si>
  <si>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</si>
  <si>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</si>
  <si>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</si>
  <si>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</si>
  <si>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</si>
  <si>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</si>
  <si>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</si>
  <si>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</si>
  <si>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</si>
  <si>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</si>
  <si>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</si>
  <si>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</si>
  <si>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</si>
  <si>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</si>
  <si>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</si>
  <si>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</si>
  <si>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</si>
  <si>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</si>
  <si>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</si>
  <si>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</si>
  <si>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</si>
  <si>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</si>
  <si>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</si>
  <si>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</si>
  <si>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</si>
  <si>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</si>
  <si>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</si>
  <si>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</si>
  <si>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</si>
  <si>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</si>
  <si>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</si>
  <si>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</si>
  <si>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</si>
  <si>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</si>
  <si>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</si>
  <si>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</si>
  <si>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</si>
  <si>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</si>
  <si>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</si>
  <si>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</si>
  <si>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</si>
  <si>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</si>
  <si>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</si>
  <si>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</si>
  <si>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</si>
  <si>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</si>
  <si>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</si>
  <si>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</si>
  <si>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</si>
  <si>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</si>
  <si>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</si>
  <si>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</si>
  <si>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</si>
  <si>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</si>
  <si>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</si>
  <si>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</si>
  <si>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</si>
  <si>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</si>
  <si>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</si>
  <si>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</si>
  <si>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</si>
  <si>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</si>
  <si>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</si>
  <si>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</si>
  <si>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</si>
  <si>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</si>
  <si>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</si>
  <si>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</si>
  <si>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</si>
  <si>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</si>
  <si>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</si>
  <si>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</si>
  <si>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</si>
  <si>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</si>
  <si>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</si>
  <si>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</si>
  <si>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</si>
  <si>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</si>
  <si>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</si>
  <si>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</si>
  <si>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</si>
  <si>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</si>
  <si>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</si>
  <si>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</si>
  <si>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</si>
  <si>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</si>
  <si>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</si>
  <si>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</si>
  <si>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</si>
  <si>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</si>
  <si>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</si>
  <si>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</si>
  <si>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</si>
  <si>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</si>
  <si>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</si>
  <si>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</si>
  <si>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</si>
  <si>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</si>
  <si>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</si>
  <si>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</si>
  <si>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</si>
  <si>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</si>
  <si>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</si>
  <si>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</si>
  <si>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</si>
  <si>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</si>
  <si>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</si>
  <si>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</si>
  <si>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</si>
  <si>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</si>
  <si>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</si>
  <si>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</si>
  <si>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</si>
  <si>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</si>
  <si>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</si>
  <si>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</si>
  <si>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</si>
  <si>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</si>
  <si>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</si>
  <si>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</si>
  <si>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</si>
  <si>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</si>
  <si>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</si>
  <si>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</si>
  <si>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</si>
  <si>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</si>
  <si>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</si>
  <si>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</si>
  <si>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</si>
  <si>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</si>
  <si>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</si>
  <si>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</si>
  <si>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</si>
  <si>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</si>
  <si>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</si>
  <si>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</si>
  <si>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</si>
  <si>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</si>
  <si>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</si>
  <si>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</si>
  <si>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</si>
  <si>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</si>
  <si>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</si>
  <si>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</si>
  <si>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</si>
  <si>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</si>
  <si>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</si>
  <si>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</si>
  <si>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</si>
  <si>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</si>
  <si>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</si>
  <si>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</si>
  <si>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</si>
  <si>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</si>
  <si>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</si>
  <si>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</si>
  <si>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</si>
  <si>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</si>
  <si>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</si>
  <si>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</si>
  <si>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</si>
  <si>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</si>
  <si>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</si>
  <si>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</si>
  <si>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</si>
  <si>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</si>
  <si>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</si>
  <si>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</si>
  <si>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</si>
  <si>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</si>
  <si>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</si>
  <si>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</si>
  <si>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</si>
  <si>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</si>
  <si>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</si>
  <si>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</si>
  <si>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</si>
  <si>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</si>
  <si>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</si>
  <si>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</si>
  <si>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</si>
  <si>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</si>
  <si>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</si>
  <si>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</si>
  <si>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</si>
  <si>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</si>
  <si>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</si>
  <si>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</si>
  <si>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</si>
  <si>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</si>
  <si>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</si>
  <si>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</si>
  <si>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</si>
  <si>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</si>
  <si>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</si>
  <si>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</si>
  <si>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</si>
  <si>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</si>
  <si>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</si>
  <si>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</si>
  <si>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</si>
  <si>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</si>
  <si>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</si>
  <si>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</si>
  <si>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</si>
  <si>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</si>
  <si>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</si>
  <si>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</si>
  <si>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</si>
  <si>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</si>
  <si>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</si>
  <si>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</si>
  <si>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</si>
  <si>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</si>
  <si>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</si>
  <si>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</si>
  <si>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</si>
  <si>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</si>
  <si>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</si>
  <si>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</si>
  <si>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</si>
  <si>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</si>
  <si>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</si>
  <si>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</si>
  <si>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</si>
  <si>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</si>
  <si>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</si>
  <si>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</si>
  <si>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</si>
  <si>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</si>
  <si>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</si>
  <si>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</si>
  <si>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</si>
  <si>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</si>
  <si>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</si>
  <si>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</si>
  <si>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</si>
  <si>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</si>
  <si>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</si>
  <si>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</si>
  <si>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</si>
  <si>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</si>
  <si>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</si>
  <si>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</si>
  <si>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</si>
  <si>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</si>
  <si>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</si>
  <si>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</si>
  <si>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</si>
  <si>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</si>
  <si>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</si>
  <si>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</si>
  <si>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</si>
  <si>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</si>
  <si>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</si>
  <si>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</si>
  <si>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</si>
  <si>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</si>
  <si>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</si>
  <si>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</si>
  <si>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</si>
  <si>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</si>
  <si>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</si>
  <si>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</si>
  <si>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</si>
  <si>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</si>
  <si>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</si>
  <si>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</si>
  <si>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</si>
  <si>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</si>
  <si>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</si>
  <si>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</si>
  <si>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</si>
  <si>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</si>
  <si>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</si>
  <si>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</si>
  <si>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</si>
  <si>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</si>
  <si>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</si>
  <si>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</si>
  <si>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</si>
  <si>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</si>
  <si>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</si>
  <si>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</si>
  <si>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</si>
  <si>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</si>
  <si>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</si>
  <si>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</si>
  <si>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</si>
  <si>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</si>
  <si>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</si>
  <si>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</si>
  <si>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</si>
  <si>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</si>
  <si>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</si>
  <si>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</si>
  <si>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</si>
  <si>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</si>
  <si>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</si>
  <si>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</si>
  <si>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</si>
  <si>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</si>
  <si>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</si>
  <si>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</si>
  <si>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</si>
  <si>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</si>
  <si>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</si>
  <si>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</si>
  <si>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</si>
  <si>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</si>
  <si>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</si>
  <si>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</si>
  <si>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</si>
  <si>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</si>
  <si>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</si>
  <si>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</si>
  <si>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</si>
  <si>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</si>
  <si>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</si>
  <si>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</si>
  <si>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</si>
  <si>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</si>
  <si>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</si>
  <si>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</si>
  <si>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</si>
  <si>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</si>
  <si>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</si>
  <si>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</si>
  <si>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</si>
  <si>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</si>
  <si>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</si>
  <si>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</si>
  <si>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</si>
  <si>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</si>
  <si>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</si>
  <si>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</si>
  <si>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</si>
  <si>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</si>
  <si>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</si>
  <si>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</si>
  <si>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</si>
  <si>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</si>
  <si>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</si>
  <si>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</si>
  <si>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</si>
  <si>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</si>
  <si>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</si>
  <si>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</si>
  <si>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</si>
  <si>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</si>
  <si>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</si>
  <si>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</si>
  <si>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</si>
  <si>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</si>
  <si>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</si>
  <si>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</si>
  <si>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</si>
  <si>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</si>
  <si>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</si>
  <si>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</si>
  <si>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</si>
  <si>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</si>
  <si>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</si>
  <si>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</si>
  <si>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</si>
  <si>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</si>
  <si>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</si>
  <si>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</si>
  <si>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</si>
  <si>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</si>
  <si>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</si>
  <si>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</si>
  <si>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</si>
  <si>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</si>
  <si>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</si>
  <si>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</si>
  <si>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</si>
  <si>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</si>
  <si>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</si>
  <si>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</si>
  <si>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</si>
  <si>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</si>
  <si>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</si>
  <si>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</si>
  <si>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</si>
  <si>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</si>
  <si>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</si>
  <si>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</si>
  <si>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</si>
  <si>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</si>
  <si>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</si>
  <si>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</si>
  <si>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</si>
  <si>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</si>
  <si>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</si>
  <si>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</si>
  <si>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</si>
  <si>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</si>
  <si>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</si>
  <si>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</si>
  <si>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</si>
  <si>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</si>
  <si>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</si>
  <si>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</si>
  <si>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</si>
  <si>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</si>
  <si>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</si>
  <si>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</si>
  <si>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</si>
  <si>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</si>
  <si>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</si>
  <si>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</si>
  <si>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</si>
  <si>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</si>
  <si>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</si>
  <si>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</si>
  <si>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</si>
  <si>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</si>
  <si>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</si>
  <si>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</si>
  <si>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</si>
  <si>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</si>
  <si>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</si>
  <si>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</si>
  <si>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</si>
  <si>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</si>
  <si>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</si>
  <si>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</si>
  <si>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</si>
  <si>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</si>
  <si>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</si>
  <si>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</si>
  <si>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</si>
  <si>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</si>
  <si>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</si>
  <si>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</si>
  <si>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</si>
  <si>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</si>
  <si>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</si>
  <si>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</si>
  <si>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</si>
  <si>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</si>
  <si>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</si>
  <si>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</si>
  <si>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</si>
  <si>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</si>
  <si>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</si>
  <si>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</si>
  <si>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</si>
  <si>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</si>
  <si>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</si>
  <si>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</si>
  <si>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</si>
  <si>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</si>
  <si>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</si>
  <si>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</si>
  <si>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</si>
  <si>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</si>
  <si>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</si>
  <si>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</si>
  <si>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</si>
  <si>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</si>
  <si>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</si>
  <si>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</si>
  <si>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</si>
  <si>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</si>
  <si>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</si>
  <si>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</si>
  <si>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</si>
  <si>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</si>
  <si>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</si>
  <si>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</si>
  <si>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</si>
  <si>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</si>
  <si>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</si>
  <si>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</si>
  <si>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</si>
  <si>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</si>
  <si>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</si>
  <si>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</si>
  <si>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</si>
  <si>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</si>
  <si>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</si>
  <si>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</si>
  <si>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</si>
  <si>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</si>
  <si>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</si>
  <si>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</si>
  <si>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</si>
  <si>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</si>
  <si>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</si>
  <si>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</si>
  <si>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</si>
  <si>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</si>
  <si>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</si>
  <si>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</si>
  <si>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</si>
  <si>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</si>
  <si>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</si>
  <si>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</si>
  <si>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</si>
  <si>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</si>
  <si>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</si>
  <si>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</si>
  <si>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</si>
  <si>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</si>
  <si>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</si>
  <si>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</si>
  <si>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</si>
  <si>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</si>
  <si>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</si>
  <si>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</si>
  <si>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</si>
  <si>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</si>
  <si>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</si>
  <si>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</si>
  <si>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</si>
  <si>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</si>
  <si>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</si>
  <si>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</si>
  <si>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</si>
  <si>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</si>
  <si>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</si>
  <si>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</si>
  <si>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</si>
  <si>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</si>
  <si>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</si>
  <si>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</si>
  <si>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</si>
  <si>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</si>
  <si>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</si>
  <si>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</si>
  <si>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</si>
  <si>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</si>
  <si>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</si>
  <si>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</si>
  <si>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</si>
  <si>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</si>
  <si>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</si>
  <si>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</si>
  <si>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</si>
  <si>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</si>
  <si>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</si>
  <si>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</si>
  <si>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</si>
  <si>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</si>
  <si>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</si>
  <si>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</si>
  <si>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</si>
  <si>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</si>
  <si>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</si>
  <si>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</si>
  <si>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</si>
  <si>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</si>
  <si>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</si>
  <si>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</si>
  <si>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</si>
  <si>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</si>
  <si>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</si>
  <si>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</si>
  <si>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</si>
  <si>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</si>
  <si>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</si>
  <si>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</si>
  <si>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</si>
  <si>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</si>
  <si>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</si>
  <si>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</si>
  <si>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</si>
  <si>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</si>
  <si>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</si>
  <si>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</si>
  <si>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</si>
  <si>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</si>
  <si>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</si>
  <si>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</si>
  <si>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</si>
  <si>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</si>
  <si>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</si>
  <si>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</si>
  <si>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</si>
  <si>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</si>
  <si>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</si>
  <si>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</si>
  <si>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</si>
  <si>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</si>
  <si>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</si>
  <si>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</si>
  <si>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</si>
  <si>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</si>
  <si>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</si>
  <si>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</si>
  <si>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</si>
  <si>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</si>
  <si>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</si>
  <si>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</si>
  <si>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</si>
  <si>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</si>
  <si>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</si>
  <si>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</si>
  <si>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</si>
  <si>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</si>
  <si>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</si>
  <si>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</si>
  <si>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</si>
  <si>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</si>
  <si>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</si>
  <si>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</si>
  <si>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</si>
  <si>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</si>
  <si>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</si>
  <si>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</si>
  <si>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</si>
  <si>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</si>
  <si>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</si>
  <si>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</si>
  <si>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</si>
  <si>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</si>
  <si>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</si>
  <si>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</si>
  <si>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</si>
  <si>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</si>
  <si>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</si>
  <si>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</si>
  <si>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</si>
  <si>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</si>
  <si>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</si>
  <si>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</si>
  <si>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</si>
  <si>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</si>
  <si>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</si>
  <si>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</si>
  <si>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</si>
  <si>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</si>
  <si>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</si>
  <si>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</si>
  <si>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</si>
  <si>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</si>
  <si>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</si>
  <si>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</si>
  <si>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</si>
  <si>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</si>
  <si>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</si>
  <si>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</si>
  <si>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</si>
  <si>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</si>
  <si>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</si>
  <si>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</si>
  <si>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</si>
  <si>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</si>
  <si>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</si>
  <si>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</si>
  <si>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</si>
  <si>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</si>
  <si>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</si>
  <si>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</si>
  <si>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</si>
  <si>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</si>
  <si>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</si>
  <si>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</si>
  <si>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</si>
  <si>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</si>
  <si>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</si>
  <si>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</si>
  <si>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</si>
  <si>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</si>
  <si>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</si>
  <si>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</si>
  <si>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</si>
  <si>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</si>
  <si>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</si>
  <si>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</si>
  <si>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</si>
  <si>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</si>
  <si>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</si>
  <si>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</si>
  <si>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</si>
  <si>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</si>
  <si>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</si>
  <si>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</si>
  <si>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</si>
  <si>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</si>
  <si>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</si>
  <si>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</si>
  <si>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</si>
  <si>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</si>
  <si>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</si>
  <si>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</si>
  <si>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</si>
  <si>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</si>
  <si>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</si>
  <si>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</si>
  <si>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</si>
  <si>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</si>
  <si>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</si>
  <si>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</si>
  <si>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</si>
  <si>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</si>
  <si>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</si>
  <si>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</si>
  <si>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</si>
  <si>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</si>
  <si>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</si>
  <si>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</si>
  <si>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</si>
  <si>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</si>
  <si>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</si>
  <si>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</si>
  <si>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</si>
  <si>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</si>
  <si>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</si>
  <si>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</si>
  <si>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</si>
  <si>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</si>
  <si>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</si>
  <si>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</si>
  <si>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</si>
  <si>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</si>
  <si>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</si>
  <si>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</si>
  <si>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</si>
  <si>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</si>
  <si>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</si>
  <si>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</si>
  <si>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</si>
  <si>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</si>
  <si>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</si>
  <si>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</si>
  <si>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</si>
  <si>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</si>
  <si>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</si>
  <si>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</si>
  <si>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</si>
  <si>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</si>
  <si>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</si>
  <si>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</si>
  <si>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</si>
  <si>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</si>
  <si>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</si>
  <si>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</si>
  <si>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</si>
  <si>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</si>
  <si>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</si>
  <si>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</si>
  <si>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</si>
  <si>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</si>
  <si>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</si>
  <si>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</si>
  <si>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</si>
  <si>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</si>
  <si>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</si>
  <si>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</si>
  <si>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</si>
  <si>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</si>
  <si>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</si>
  <si>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</si>
  <si>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</si>
  <si>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</si>
  <si>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</si>
  <si>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</si>
  <si>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</si>
  <si>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</si>
  <si>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</si>
  <si>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</si>
  <si>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</si>
  <si>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</si>
  <si>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</si>
  <si>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</si>
  <si>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</si>
  <si>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</si>
  <si>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</si>
  <si>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</si>
  <si>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</si>
  <si>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</si>
  <si>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</si>
  <si>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</si>
  <si>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</si>
  <si>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</si>
  <si>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</si>
  <si>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</si>
  <si>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</si>
  <si>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</si>
  <si>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</si>
  <si>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</si>
  <si>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</si>
  <si>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</si>
  <si>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</si>
  <si>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</si>
  <si>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</si>
  <si>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</si>
  <si>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</si>
  <si>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</si>
  <si>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</si>
  <si>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</si>
  <si>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</si>
  <si>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</si>
  <si>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</si>
  <si>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</si>
  <si>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</si>
  <si>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Fieles y unidas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</si>
  <si>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</si>
  <si>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</si>
  <si>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</si>
  <si>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</si>
  <si>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</si>
  <si>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</si>
  <si>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</si>
  <si>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</si>
  <si>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</si>
  <si>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</si>
  <si>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</si>
  <si>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</si>
  <si>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</si>
  <si>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</si>
  <si>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</si>
  <si>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</si>
  <si>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</si>
  <si>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</si>
  <si>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</si>
  <si>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</si>
  <si>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</si>
  <si>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</si>
  <si>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</si>
  <si>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</si>
  <si>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</si>
  <si>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</si>
  <si>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</si>
  <si>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</si>
  <si>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</si>
  <si>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</si>
  <si>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</si>
  <si>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</si>
  <si>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</si>
  <si>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</si>
  <si>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</si>
  <si>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</si>
  <si>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</si>
  <si>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</si>
  <si>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</si>
  <si>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</si>
  <si>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</si>
  <si>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</si>
  <si>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</si>
  <si>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</si>
  <si>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</si>
  <si>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</si>
  <si>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</si>
  <si>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</si>
  <si>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</si>
  <si>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</si>
  <si>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</si>
  <si>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</si>
  <si>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</si>
  <si>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</si>
  <si>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</si>
  <si>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</si>
  <si>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</si>
  <si>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</si>
  <si>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</si>
  <si>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</si>
  <si>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</si>
  <si>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</si>
  <si>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</si>
  <si>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</si>
  <si>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</si>
  <si>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</si>
  <si>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</si>
  <si>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</si>
  <si>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</si>
  <si>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</si>
  <si>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</si>
  <si>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</si>
  <si>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</si>
  <si>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</si>
  <si>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</si>
  <si>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</si>
  <si>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</si>
  <si>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</si>
  <si>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</si>
  <si>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</si>
  <si>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</si>
  <si>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</si>
  <si>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</si>
  <si>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</si>
  <si>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</si>
  <si>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</si>
  <si>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</si>
  <si>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</si>
  <si>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</si>
  <si>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</si>
  <si>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</si>
  <si>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</si>
  <si>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</si>
  <si>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</si>
  <si>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</si>
  <si>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</si>
  <si>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</si>
  <si>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</si>
  <si>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</si>
  <si>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</si>
  <si>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</si>
  <si>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</si>
  <si>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</si>
  <si>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</si>
  <si>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</si>
  <si>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</si>
  <si>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</si>
  <si>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</si>
  <si>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</si>
  <si>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</si>
  <si>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</si>
  <si>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</si>
  <si>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</si>
  <si>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</si>
  <si>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</si>
  <si>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</si>
  <si>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</si>
  <si>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</si>
  <si>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</si>
  <si>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</si>
  <si>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</si>
  <si>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</si>
  <si>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</si>
  <si>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</si>
  <si>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</si>
  <si>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</si>
  <si>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</si>
  <si>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</si>
  <si>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</si>
  <si>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</si>
  <si>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</si>
  <si>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</si>
  <si>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</si>
  <si>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</si>
  <si>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</si>
  <si>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</si>
  <si>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</si>
  <si>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</si>
  <si>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</si>
  <si>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</si>
  <si>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</si>
  <si>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</si>
  <si>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</si>
  <si>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</si>
  <si>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</si>
  <si>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</si>
  <si>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</si>
  <si>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</si>
  <si>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</si>
  <si>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</si>
  <si>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</si>
  <si>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</si>
  <si>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</si>
  <si>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</si>
  <si>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</si>
  <si>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</si>
  <si>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</si>
  <si>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</si>
  <si>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</si>
  <si>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</si>
  <si>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</si>
  <si>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</si>
  <si>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</si>
  <si>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</si>
  <si>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</si>
  <si>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</si>
  <si>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</si>
  <si>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</si>
  <si>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</si>
  <si>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</si>
  <si>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</si>
  <si>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</si>
  <si>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</si>
  <si>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</si>
  <si>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</si>
  <si>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</si>
  <si>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</si>
  <si>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</si>
  <si>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</si>
  <si>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</si>
  <si>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</si>
  <si>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</si>
  <si>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</si>
  <si>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</si>
  <si>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</si>
  <si>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</si>
  <si>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</si>
  <si>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</si>
  <si>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</si>
  <si>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</si>
  <si>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</si>
  <si>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</si>
  <si>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</si>
  <si>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</si>
  <si>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</si>
  <si>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</si>
  <si>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</si>
  <si>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</si>
  <si>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</si>
  <si>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</si>
  <si>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</si>
  <si>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</si>
  <si>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</si>
  <si>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</si>
  <si>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</si>
  <si>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</si>
  <si>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</si>
  <si>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</si>
  <si>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</si>
  <si>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</si>
  <si>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</si>
  <si>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</si>
  <si>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</si>
  <si>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</si>
  <si>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</si>
  <si>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</si>
  <si>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</si>
  <si>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</si>
  <si>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</si>
  <si>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</si>
  <si>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</si>
  <si>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</si>
  <si>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</si>
  <si>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</si>
  <si>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</si>
  <si>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</si>
  <si>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</si>
  <si>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</si>
  <si>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</si>
  <si>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</si>
  <si>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</si>
  <si>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</si>
  <si>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</si>
  <si>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</si>
  <si>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</si>
  <si>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</si>
  <si>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</si>
  <si>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</si>
  <si>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</si>
  <si>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</si>
  <si>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</si>
  <si>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</si>
  <si>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</si>
  <si>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</si>
  <si>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</si>
  <si>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</si>
  <si>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</si>
  <si>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</si>
  <si>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</si>
  <si>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</si>
  <si>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</si>
  <si>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</si>
  <si>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</si>
  <si>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</si>
  <si>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</si>
  <si>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</si>
  <si>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</si>
  <si>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</si>
  <si>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</si>
  <si>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</si>
  <si>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</si>
  <si>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</si>
  <si>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</si>
  <si>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</si>
  <si>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</si>
  <si>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</si>
  <si>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</si>
  <si>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</si>
  <si>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</si>
  <si>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</si>
  <si>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</si>
  <si>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</si>
  <si>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</si>
  <si>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</si>
  <si>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</si>
  <si>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</si>
  <si>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</si>
  <si>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</si>
  <si>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</si>
  <si>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</si>
  <si>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</si>
  <si>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</si>
  <si>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</si>
  <si>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</si>
  <si>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</si>
  <si>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</si>
  <si>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</si>
  <si>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</si>
  <si>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</si>
  <si>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</si>
  <si>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</si>
  <si>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</si>
  <si>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</si>
  <si>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</si>
  <si>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</si>
  <si>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</si>
  <si>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</si>
  <si>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</si>
  <si>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</si>
  <si>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</si>
  <si>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</si>
  <si>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</si>
  <si>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</si>
  <si>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</si>
  <si>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</si>
  <si>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</si>
  <si>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</si>
  <si>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</si>
  <si>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</si>
  <si>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</si>
  <si>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</si>
  <si>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</si>
  <si>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</si>
  <si>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</si>
  <si>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</si>
  <si>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</si>
  <si>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</si>
  <si>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</si>
  <si>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</si>
  <si>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</si>
  <si>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</si>
  <si>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</si>
  <si>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</si>
  <si>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</si>
  <si>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</si>
  <si>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</si>
  <si>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</si>
  <si>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</si>
  <si>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</si>
  <si>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</si>
  <si>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</si>
  <si>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</si>
  <si>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</si>
  <si>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</si>
  <si>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</si>
  <si>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</si>
  <si>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</si>
  <si>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</si>
  <si>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</si>
  <si>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</si>
  <si>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</si>
  <si>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</si>
  <si>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</si>
  <si>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</si>
  <si>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</si>
  <si>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</si>
  <si>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</si>
  <si>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</si>
  <si>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</si>
  <si>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</si>
  <si>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</si>
  <si>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</si>
  <si>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</si>
  <si>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</si>
  <si>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</si>
  <si>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</si>
  <si>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</si>
  <si>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</si>
  <si>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</si>
  <si>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</si>
  <si>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</si>
  <si>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</si>
  <si>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</si>
  <si>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</si>
  <si>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</si>
  <si>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</si>
  <si>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</si>
  <si>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</si>
  <si>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</si>
  <si>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</si>
  <si>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</si>
  <si>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</si>
  <si>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</si>
  <si>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</si>
  <si>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</si>
  <si>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</si>
  <si>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</si>
  <si>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</si>
  <si>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</si>
  <si>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</si>
  <si>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</si>
  <si>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</si>
  <si>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</si>
  <si>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</si>
  <si>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</si>
  <si>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</si>
  <si>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</si>
  <si>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</si>
  <si>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</si>
  <si>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</si>
  <si>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</si>
  <si>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</si>
  <si>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</si>
  <si>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</si>
  <si>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</si>
  <si>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</si>
  <si>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</si>
  <si>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</si>
  <si>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</si>
  <si>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</si>
  <si>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</si>
  <si>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</si>
  <si>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</si>
  <si>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</si>
  <si>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</si>
  <si>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</si>
  <si>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</si>
  <si>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</si>
  <si>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</si>
  <si>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</si>
  <si>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</si>
  <si>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</si>
  <si>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</si>
  <si>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</si>
  <si>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</si>
  <si>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</si>
  <si>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</si>
  <si>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</si>
  <si>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</si>
  <si>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</si>
  <si>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</si>
  <si>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</si>
  <si>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</si>
  <si>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</si>
  <si>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</si>
  <si>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</si>
  <si>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</si>
  <si>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</si>
  <si>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</si>
  <si>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</si>
  <si>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</si>
  <si>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</si>
  <si>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</si>
  <si>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</si>
  <si>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</si>
  <si>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</si>
  <si>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</si>
  <si>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</si>
  <si>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</si>
  <si>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</si>
  <si>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</si>
  <si>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</si>
  <si>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</si>
  <si>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</si>
  <si>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</si>
  <si>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</si>
  <si>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</si>
  <si>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</si>
  <si>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</si>
  <si>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</si>
  <si>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</si>
  <si>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</si>
  <si>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</si>
  <si>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</si>
  <si>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</si>
  <si>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</si>
  <si>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</si>
  <si>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</si>
  <si>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</si>
  <si>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</si>
  <si>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</si>
  <si>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</si>
  <si>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</si>
  <si>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</si>
  <si>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</si>
  <si>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</si>
  <si>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</si>
  <si>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</si>
  <si>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</si>
  <si>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</si>
  <si>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</si>
  <si>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</si>
  <si>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</si>
  <si>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</si>
  <si>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</si>
  <si>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</si>
  <si>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</si>
  <si>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</si>
  <si>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</si>
  <si>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</si>
  <si>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</si>
  <si>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</si>
  <si>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</si>
  <si>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</si>
  <si>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</si>
  <si>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</si>
  <si>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</si>
  <si>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</si>
  <si>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</si>
  <si>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</si>
  <si>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</si>
  <si>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</si>
  <si>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</si>
  <si>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</si>
  <si>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</si>
  <si>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</si>
  <si>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</si>
  <si>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</si>
  <si>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</si>
  <si>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</si>
  <si>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</si>
  <si>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</si>
  <si>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</si>
  <si>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</si>
  <si>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</si>
  <si>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</si>
  <si>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</si>
  <si>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</si>
  <si>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</si>
  <si>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</si>
  <si>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</si>
  <si>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</si>
  <si>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</si>
  <si>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</si>
  <si>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</si>
  <si>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</si>
  <si>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</si>
  <si>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</si>
  <si>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</si>
  <si>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</si>
  <si>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</si>
  <si>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</si>
  <si>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</si>
  <si>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</si>
  <si>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</si>
  <si>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</si>
  <si>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</si>
  <si>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</si>
  <si>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</si>
  <si>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</si>
  <si>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</si>
  <si>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</si>
  <si>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</si>
  <si>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</si>
  <si>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</si>
  <si>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</si>
  <si>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</si>
  <si>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</si>
  <si>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</si>
  <si>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</si>
  <si>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</si>
  <si>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</si>
  <si>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</si>
  <si>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</si>
  <si>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</si>
  <si>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</si>
  <si>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</si>
  <si>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</si>
  <si>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</si>
  <si>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</si>
  <si>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</si>
  <si>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</si>
  <si>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</si>
  <si>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</si>
  <si>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</si>
  <si>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</si>
  <si>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</si>
  <si>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</si>
  <si>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</si>
  <si>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</si>
  <si>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</si>
  <si>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</si>
  <si>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</si>
  <si>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</si>
  <si>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</si>
  <si>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</si>
  <si>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</si>
  <si>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</si>
  <si>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</si>
  <si>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</si>
  <si>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</si>
  <si>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</si>
  <si>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</si>
  <si>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</si>
  <si>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</si>
  <si>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</si>
  <si>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</si>
  <si>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</si>
  <si>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</si>
  <si>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</si>
  <si>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</si>
  <si>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</si>
  <si>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</si>
  <si>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</si>
  <si>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</si>
  <si>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</si>
  <si>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</si>
  <si>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</si>
  <si>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</si>
  <si>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</si>
  <si>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</si>
  <si>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</si>
  <si>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</si>
  <si>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</si>
  <si>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</si>
  <si>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</si>
  <si>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</si>
  <si>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</si>
  <si>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</si>
  <si>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</si>
  <si>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</si>
  <si>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</si>
  <si>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</si>
  <si>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</si>
  <si>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</si>
  <si>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</si>
  <si>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</si>
  <si>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</si>
  <si>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</si>
  <si>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</si>
  <si>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</si>
  <si>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</si>
  <si>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</si>
  <si>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</si>
  <si>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</si>
  <si>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</si>
  <si>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</si>
  <si>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</si>
  <si>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</si>
  <si>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</si>
  <si>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</si>
  <si>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</si>
  <si>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</si>
  <si>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</si>
  <si>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</si>
  <si>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</si>
  <si>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</si>
  <si>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</si>
  <si>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</si>
  <si>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</si>
  <si>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</si>
  <si>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</si>
  <si>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</si>
  <si>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</si>
  <si>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</si>
  <si>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</si>
  <si>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</si>
  <si>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</si>
  <si>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</si>
  <si>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</si>
  <si>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</si>
  <si>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</si>
  <si>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</si>
  <si>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</si>
  <si>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</si>
  <si>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</si>
  <si>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</si>
  <si>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</si>
  <si>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</si>
  <si>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</si>
  <si>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</si>
  <si>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</si>
  <si>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</si>
  <si>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</si>
  <si>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</si>
  <si>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</si>
  <si>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</si>
  <si>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</si>
  <si>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</si>
  <si>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</si>
  <si>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</si>
  <si>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</si>
  <si>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</si>
  <si>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</si>
  <si>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</si>
  <si>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</si>
  <si>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</si>
  <si>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</si>
  <si>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</si>
  <si>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</si>
  <si>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</si>
  <si>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</si>
  <si>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</si>
  <si>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</si>
  <si>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</si>
  <si>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</si>
  <si>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</si>
  <si>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</si>
  <si>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</si>
  <si>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</si>
  <si>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</si>
  <si>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</si>
  <si>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</si>
  <si>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</si>
  <si>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</si>
  <si>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</si>
  <si>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</si>
  <si>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</si>
  <si>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</si>
  <si>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</si>
  <si>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</si>
  <si>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</si>
  <si>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</si>
  <si>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</si>
  <si>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</si>
  <si>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</si>
  <si>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</si>
  <si>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</si>
  <si>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</si>
  <si>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</si>
  <si>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</si>
  <si>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</si>
  <si>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</si>
  <si>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</si>
  <si>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</si>
  <si>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</si>
  <si>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</si>
  <si>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</si>
  <si>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</si>
  <si>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</si>
  <si>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</si>
  <si>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</si>
  <si>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</si>
  <si>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</si>
  <si>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</si>
  <si>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</si>
  <si>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</si>
  <si>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</si>
  <si>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</si>
  <si>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</si>
  <si>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</si>
  <si>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</si>
  <si>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</si>
  <si>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</si>
  <si>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</si>
  <si>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</si>
  <si>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</si>
  <si>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</si>
  <si>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</si>
  <si>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</si>
  <si>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</si>
  <si>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</si>
  <si>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</si>
  <si>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</si>
  <si>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</si>
  <si>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</si>
  <si>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</si>
  <si>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</si>
  <si>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</si>
  <si>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</si>
  <si>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</si>
  <si>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</si>
  <si>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</si>
  <si>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</si>
  <si>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</si>
  <si>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</si>
  <si>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</si>
  <si>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</si>
  <si>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</si>
  <si>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</si>
  <si>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</si>
  <si>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</si>
  <si>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</si>
  <si>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</si>
  <si>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</si>
  <si>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</si>
  <si>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</si>
  <si>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</si>
  <si>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</si>
  <si>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</si>
  <si>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</si>
  <si>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</si>
  <si>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</si>
  <si>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</si>
  <si>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</si>
  <si>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</si>
  <si>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</si>
  <si>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</si>
  <si>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</si>
  <si>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</si>
  <si>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</si>
  <si>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</si>
  <si>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</si>
  <si>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</si>
  <si>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</si>
  <si>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</si>
  <si>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</si>
  <si>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</si>
  <si>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</si>
  <si>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</si>
  <si>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</si>
  <si>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</si>
  <si>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</si>
  <si>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</si>
  <si>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</si>
  <si>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</si>
  <si>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</si>
  <si>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</si>
  <si>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</si>
  <si>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</si>
  <si>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</si>
  <si>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</si>
  <si>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</si>
  <si>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</si>
  <si>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</si>
  <si>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</si>
  <si>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</si>
  <si>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</si>
  <si>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</si>
  <si>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</si>
  <si>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</si>
  <si>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</si>
  <si>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</si>
  <si>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</si>
  <si>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</si>
  <si>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</si>
  <si>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</si>
  <si>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</si>
  <si>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</si>
  <si>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</si>
  <si>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</si>
  <si>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</si>
  <si>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</si>
  <si>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</si>
  <si>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</si>
  <si>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</si>
  <si>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</si>
  <si>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</si>
  <si>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</si>
  <si>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</si>
  <si>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</si>
  <si>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</si>
  <si>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</si>
  <si>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</si>
  <si>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</si>
  <si>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</si>
  <si>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</si>
  <si>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</si>
  <si>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</si>
  <si>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</si>
  <si>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</si>
  <si>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</si>
  <si>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</si>
  <si>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</si>
  <si>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</si>
  <si>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</si>
  <si>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</si>
  <si>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</si>
  <si>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</si>
  <si>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</si>
  <si>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</si>
  <si>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</si>
  <si>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</si>
  <si>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</si>
  <si>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</si>
  <si>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</si>
  <si>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</si>
  <si>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</si>
  <si>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</si>
  <si>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</si>
  <si>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</si>
  <si>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</si>
  <si>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</si>
  <si>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</si>
  <si>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</si>
  <si>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</si>
  <si>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</si>
  <si>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</si>
  <si>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</si>
  <si>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</si>
  <si>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</si>
  <si>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</si>
  <si>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</si>
  <si>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</si>
  <si>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</si>
  <si>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</si>
  <si>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</si>
  <si>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</si>
  <si>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</si>
  <si>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</si>
  <si>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</si>
  <si>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</si>
  <si>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</si>
  <si>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</si>
  <si>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</si>
  <si>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</si>
  <si>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</si>
  <si>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</si>
  <si>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</si>
  <si>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</si>
  <si>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</si>
  <si>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</si>
  <si>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</si>
  <si>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</si>
  <si>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</si>
  <si>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</si>
  <si>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</si>
  <si>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</si>
  <si>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</si>
  <si>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</si>
  <si>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</si>
  <si>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</si>
  <si>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</si>
  <si>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</si>
  <si>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</si>
  <si>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</si>
  <si>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</si>
  <si>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</si>
  <si>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</si>
  <si>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</si>
  <si>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</si>
  <si>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</si>
  <si>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</si>
  <si>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</si>
  <si>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</si>
  <si>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</si>
  <si>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</si>
  <si>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</si>
  <si>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</si>
  <si>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</si>
  <si>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</si>
  <si>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</si>
  <si>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</si>
  <si>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</si>
  <si>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</si>
  <si>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</si>
  <si>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</si>
  <si>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</si>
  <si>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</si>
  <si>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</si>
  <si>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</si>
  <si>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</si>
  <si>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</si>
  <si>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</si>
  <si>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</si>
  <si>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</si>
  <si>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</si>
  <si>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</si>
  <si>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</si>
  <si>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</si>
  <si>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</si>
  <si>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</si>
  <si>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</si>
  <si>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</si>
  <si>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</si>
  <si>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</si>
  <si>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</si>
  <si>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</si>
  <si>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</si>
  <si>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</si>
  <si>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</si>
  <si>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</si>
  <si>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</si>
  <si>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</si>
  <si>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</si>
  <si>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</si>
  <si>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</si>
  <si>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</si>
  <si>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</si>
  <si>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</si>
  <si>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</si>
  <si>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</si>
  <si>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</si>
  <si>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</si>
  <si>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</si>
  <si>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</si>
  <si>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</si>
  <si>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</si>
  <si>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</si>
  <si>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</si>
  <si>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</si>
  <si>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</si>
  <si>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</si>
  <si>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</si>
  <si>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</si>
  <si>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</si>
  <si>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</si>
  <si>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</si>
  <si>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</si>
  <si>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</si>
  <si>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</si>
  <si>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</si>
  <si>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</si>
  <si>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</si>
  <si>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</si>
  <si>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</si>
  <si>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</si>
  <si>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</si>
  <si>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</si>
  <si>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</si>
  <si>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</si>
  <si>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</si>
  <si>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https://www.youtube.com/watch?v=f0LSzwq2nY4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</si>
  <si>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</si>
  <si>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</si>
  <si>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</si>
  <si>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</si>
  <si>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</si>
  <si>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</si>
  <si>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</si>
  <si>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</si>
  <si>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</si>
  <si>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</si>
  <si>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</si>
  <si>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</si>
  <si>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</si>
  <si>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</si>
  <si>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</si>
  <si>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</si>
  <si>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</si>
  <si>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</si>
  <si>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</si>
  <si>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</si>
  <si>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</si>
  <si>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</si>
  <si>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</si>
  <si>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</si>
  <si>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</si>
  <si>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</si>
  <si>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</si>
  <si>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</si>
  <si>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</si>
  <si>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</si>
  <si>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</si>
  <si>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</si>
  <si>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</si>
  <si>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</si>
  <si>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</si>
  <si>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</si>
  <si>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</si>
  <si>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</si>
  <si>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</si>
  <si>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</si>
  <si>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</si>
  <si>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</si>
  <si>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</si>
  <si>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</si>
  <si>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</si>
  <si>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</si>
  <si>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</si>
  <si>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</si>
  <si>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</si>
  <si>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</si>
  <si>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</si>
  <si>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</si>
  <si>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</si>
  <si>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</si>
  <si>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</si>
  <si>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</si>
  <si>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</si>
  <si>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</si>
  <si>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</si>
  <si>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</si>
  <si>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</si>
  <si>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</si>
  <si>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</si>
  <si>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</si>
  <si>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</si>
  <si>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</si>
  <si>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</si>
  <si>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</si>
  <si>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</si>
  <si>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</si>
  <si>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</si>
  <si>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</si>
  <si>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</si>
  <si>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</si>
  <si>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</si>
  <si>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</si>
  <si>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</si>
  <si>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</si>
  <si>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</si>
  <si>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</si>
  <si>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</si>
  <si>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</si>
  <si>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</si>
  <si>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</si>
  <si>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</si>
  <si>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</si>
  <si>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</si>
  <si>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</si>
  <si>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</si>
  <si>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</si>
  <si>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</si>
  <si>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</si>
  <si>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</si>
  <si>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</si>
  <si>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</si>
  <si>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</si>
  <si>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</si>
  <si>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</si>
  <si>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</si>
  <si>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</si>
  <si>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</si>
  <si>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</si>
  <si>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</si>
  <si>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</si>
  <si>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</si>
  <si>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</si>
  <si>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</si>
  <si>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</si>
  <si>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</si>
  <si>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</si>
  <si>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</si>
  <si>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</si>
  <si>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</si>
  <si>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</si>
  <si>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</si>
  <si>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</si>
  <si>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</si>
  <si>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</si>
  <si>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</si>
  <si>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https://www.mercaba.org/Musica/Cesareo%20Gabarain/aclamaciones%20para%20la%20celebracion,%20gabarain%20(m)/21%20aclamacion%20pentecostes.mp3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</si>
  <si>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</si>
  <si>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</si>
  <si>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</si>
  <si>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</si>
  <si>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</si>
  <si>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</si>
  <si>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</si>
  <si>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</si>
  <si>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</si>
  <si>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</si>
  <si>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</si>
  <si>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</si>
  <si>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</si>
  <si>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</si>
  <si>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</si>
  <si>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</si>
  <si>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</si>
  <si>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</si>
  <si>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</si>
  <si>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</si>
  <si>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</si>
  <si>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</si>
  <si>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</si>
  <si>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</si>
  <si>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</si>
  <si>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</si>
  <si>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</si>
  <si>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</si>
  <si>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</si>
  <si>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</si>
  <si>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</si>
  <si>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</si>
  <si>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</si>
  <si>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</si>
  <si>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</si>
  <si>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</si>
  <si>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</si>
  <si>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</si>
  <si>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</si>
  <si>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</si>
  <si>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</si>
  <si>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</si>
  <si>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</si>
  <si>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</si>
  <si>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</si>
  <si>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</si>
  <si>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</si>
  <si>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</si>
  <si>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</si>
  <si>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</si>
  <si>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</si>
  <si>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</si>
  <si>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</si>
  <si>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Plegaria eucarística I</t>
  </si>
  <si>
    <t>Plegaria eucarística II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</si>
  <si>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</si>
  <si>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</si>
  <si>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</si>
  <si>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</si>
  <si>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</si>
  <si>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</si>
  <si>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</si>
  <si>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https://www.mercaba.org/Musica/Cesareo%20Gabarain/Cantando%20Venimos/08%20-%20Plegaria%20eucar%C3%ADstica%20I.mp3</t>
  </si>
  <si>
    <t>https://www.mercaba.org/Musica/Cesareo%20Gabarain/Cantando%20Venimos/09%20-%20Plegaria%20eucar%C3%ADstica%20II.mp3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</si>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</sst>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173" totalsRowShown="0" headerRowDxfId="57" dataDxfId="56">
  <autoFilter ref="A1:X2173" xr:uid="{E5A23D2C-4E40-4F63-A29F-33A92F43E326}"/>
  <sortState xmlns:xlrd2="http://schemas.microsoft.com/office/spreadsheetml/2017/richdata2" ref="A2:X2173">
    <sortCondition ref="Q2:Q2173"/>
    <sortCondition ref="M2:M2173"/>
    <sortCondition ref="N2:N2173"/>
    <sortCondition ref="O2:O2173"/>
    <sortCondition ref="B2:B2173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15"/>
    <tableColumn id="18" xr3:uid="{8D0C09FC-5BDC-42E2-A6A2-AFA51ECF62BD}" name="Carpeta" dataDxfId="40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9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8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7"/>
    <tableColumn id="17" xr3:uid="{CA8CE824-9C3A-4210-80CC-1944C295CBF1}" name="Linked" dataDxfId="36"/>
    <tableColumn id="15" xr3:uid="{9FCFA60A-F350-4627-8B5D-B60C03A16C40}" name="link" dataDxfId="35"/>
    <tableColumn id="23" xr3:uid="{C94C48E6-541E-4213-940B-0A99D953D361}" name="index.html" dataDxfId="34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3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3/10tumesondeas.mp3" TargetMode="External"/><Relationship Id="rId682" Type="http://schemas.openxmlformats.org/officeDocument/2006/relationships/hyperlink" Target="https://www.youtube.com/watch?v=ri2lolcTu2c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542" Type="http://schemas.openxmlformats.org/officeDocument/2006/relationships/hyperlink" Target="https://www.maristes.cat/sites/default/files/content/nodes/recurs/file/8836/3cristo.mp3" TargetMode="External"/><Relationship Id="rId987" Type="http://schemas.openxmlformats.org/officeDocument/2006/relationships/hyperlink" Target="https://open.spotify.com/intl-es/track/4uJP6RGSfzBkoXfm8CACfz?si=73a58ca5c1414e95" TargetMode="External"/><Relationship Id="rId1172" Type="http://schemas.openxmlformats.org/officeDocument/2006/relationships/hyperlink" Target="https://www.youtube.com/watch?v=pDLbgQx6h14" TargetMode="External"/><Relationship Id="rId402" Type="http://schemas.openxmlformats.org/officeDocument/2006/relationships/hyperlink" Target="https://www.maristes.cat/sites/default/files/content/nodes/recurs/file/9024/02-delamano.mp3" TargetMode="External"/><Relationship Id="rId847" Type="http://schemas.openxmlformats.org/officeDocument/2006/relationships/hyperlink" Target="https://www.youtube.com/watch?v=Etb_twj8Goo" TargetMode="External"/><Relationship Id="rId1032" Type="http://schemas.openxmlformats.org/officeDocument/2006/relationships/hyperlink" Target="https://www.youtube.com/watch?v=UAUvFhJqWLM" TargetMode="External"/><Relationship Id="rId707" Type="http://schemas.openxmlformats.org/officeDocument/2006/relationships/hyperlink" Target="https://www.youtube.com/watch?v=j5fUZM__VI4" TargetMode="External"/><Relationship Id="rId914" Type="http://schemas.openxmlformats.org/officeDocument/2006/relationships/hyperlink" Target="https://www.youtube.com/watch?v=HJ_OZQ80CS0" TargetMode="External"/><Relationship Id="rId43" Type="http://schemas.openxmlformats.org/officeDocument/2006/relationships/hyperlink" Target="https://www.youtube.com/watch?v=XuoPNqY5n9A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4/6graciasmadre.mp3" TargetMode="External"/><Relationship Id="rId357" Type="http://schemas.openxmlformats.org/officeDocument/2006/relationships/hyperlink" Target="https://www.maristes.cat/sites/default/files/content/nodes/recurs/file/9458/trackno04.mp3" TargetMode="External"/><Relationship Id="rId1194" Type="http://schemas.openxmlformats.org/officeDocument/2006/relationships/hyperlink" Target="https://www.mercaba.org/Musica/Cesareo%20Gabarain/Ven%20Se%C3%B1or/02%20juntos%20como%20hermanos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6/1uncorazonsinfronteras.mp3" TargetMode="External"/><Relationship Id="rId771" Type="http://schemas.openxmlformats.org/officeDocument/2006/relationships/hyperlink" Target="https://www.youtube.com/watch?v=OufUpQWr7O4" TargetMode="External"/><Relationship Id="rId869" Type="http://schemas.openxmlformats.org/officeDocument/2006/relationships/hyperlink" Target="https://www.youtube.com/watch?v=Cwjg6eBBZMo" TargetMode="External"/><Relationship Id="rId424" Type="http://schemas.openxmlformats.org/officeDocument/2006/relationships/hyperlink" Target="https://www.maristes.cat/sites/default/files/content/nodes/recurs/file/9022/13angelremix.mp3" TargetMode="External"/><Relationship Id="rId631" Type="http://schemas.openxmlformats.org/officeDocument/2006/relationships/hyperlink" Target="https://www.youtube.com/watch?v=gQTkSndgz-E" TargetMode="External"/><Relationship Id="rId729" Type="http://schemas.openxmlformats.org/officeDocument/2006/relationships/hyperlink" Target="https://www.youtube.com/watch?v=m6N_QxNTGOc" TargetMode="External"/><Relationship Id="rId1054" Type="http://schemas.openxmlformats.org/officeDocument/2006/relationships/hyperlink" Target="https://www.youtube.com/watch?v=U2UIr2XOcW4" TargetMode="External"/><Relationship Id="rId1261" Type="http://schemas.openxmlformats.org/officeDocument/2006/relationships/hyperlink" Target="https://www.mercaba.org/Musica/Cesareo%20Gabarain/Cantando%20Venimos/07%20-%20Somos%20un%20pueblo%20nacido.mp3" TargetMode="External"/><Relationship Id="rId936" Type="http://schemas.openxmlformats.org/officeDocument/2006/relationships/hyperlink" Target="https://www.youtube.com/watch?v=Ecv7pTkrWSY" TargetMode="External"/><Relationship Id="rId1121" Type="http://schemas.openxmlformats.org/officeDocument/2006/relationships/hyperlink" Target="https://www.youtube.com/watch?v=osze-c7wvC4" TargetMode="External"/><Relationship Id="rId1219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65" Type="http://schemas.openxmlformats.org/officeDocument/2006/relationships/hyperlink" Target="https://www.youtube.com/watch?v=RZHzMY27QHE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5/1estuamigoes.mp3" TargetMode="External"/><Relationship Id="rId586" Type="http://schemas.openxmlformats.org/officeDocument/2006/relationships/hyperlink" Target="https://www.maristes.cat/sites/default/files/content/nodes/recurs/file/8803/1gloriahosana.mp3" TargetMode="External"/><Relationship Id="rId793" Type="http://schemas.openxmlformats.org/officeDocument/2006/relationships/hyperlink" Target="https://www.youtube.com/watch?v=tg3b_a_TlHo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5/10sivamosdesnudosporcristo.mp3" TargetMode="External"/><Relationship Id="rId653" Type="http://schemas.openxmlformats.org/officeDocument/2006/relationships/hyperlink" Target="https://www.youtube.com/watch?v=gUbwARp-L5o" TargetMode="External"/><Relationship Id="rId1076" Type="http://schemas.openxmlformats.org/officeDocument/2006/relationships/hyperlink" Target="https://www.youtube.com/watch?v=XSS8VwOlhno" TargetMode="External"/><Relationship Id="rId1283" Type="http://schemas.openxmlformats.org/officeDocument/2006/relationships/hyperlink" Target="https://www.mercaba.org/Musica/Cesareo%20Gabarain/Dios%20con%20Nosotros/06%20-%20Se%C3%B1or,%20me%20has%20llamado%20amig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e0Wy6ybLtjY" TargetMode="External"/><Relationship Id="rId958" Type="http://schemas.openxmlformats.org/officeDocument/2006/relationships/hyperlink" Target="https://www.youtube.com/watch?v=PZe14eFmXLs" TargetMode="External"/><Relationship Id="rId1143" Type="http://schemas.openxmlformats.org/officeDocument/2006/relationships/hyperlink" Target="https://www.youtube.com/watch?v=Y6X_6_oivHM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1/11elbardelbosnio.mp3" TargetMode="External"/><Relationship Id="rId720" Type="http://schemas.openxmlformats.org/officeDocument/2006/relationships/hyperlink" Target="https://www.youtube.com/watch?v=CzMY7Ka_sZU" TargetMode="External"/><Relationship Id="rId818" Type="http://schemas.openxmlformats.org/officeDocument/2006/relationships/hyperlink" Target="https://www.youtube.com/watch?v=beFI9hzhQxg" TargetMode="External"/><Relationship Id="rId1003" Type="http://schemas.openxmlformats.org/officeDocument/2006/relationships/hyperlink" Target="https://open.spotify.com/intl-es/track/7HmbcncwspOoj4ye48NTUX?si=96dfc4d12d734322" TargetMode="External"/><Relationship Id="rId1210" Type="http://schemas.openxmlformats.org/officeDocument/2006/relationships/hyperlink" Target="https://www.mercaba.org/Musica/Cesareo%20Gabarain/Jesus%20Nuestro%20Amigo/06%20-%20Jes%C3%BAs%20nuestro%20amigo.mp3" TargetMode="External"/><Relationship Id="rId1308" Type="http://schemas.openxmlformats.org/officeDocument/2006/relationships/hyperlink" Target="https://www.youtube.com/watch?v=0P58Nuik1k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5/3quedateaquisenor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6/3jesusestaentrenosotros.mp3" TargetMode="External"/><Relationship Id="rId675" Type="http://schemas.openxmlformats.org/officeDocument/2006/relationships/hyperlink" Target="https://www.youtube.com/watch?v=DSzvbHUxI9g" TargetMode="External"/><Relationship Id="rId882" Type="http://schemas.openxmlformats.org/officeDocument/2006/relationships/hyperlink" Target="https://www.youtube.com/watch?v=JBgAx8LFAVU" TargetMode="External"/><Relationship Id="rId1098" Type="http://schemas.openxmlformats.org/officeDocument/2006/relationships/hyperlink" Target="https://www.youtube.com/watch?v=m8mhmmelotI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1/kairoi-profetadelafamilia-06-santafamilia.mp3" TargetMode="External"/><Relationship Id="rId742" Type="http://schemas.openxmlformats.org/officeDocument/2006/relationships/hyperlink" Target="https://www.youtube.com/watch?v=byMmFWW9JzU" TargetMode="External"/><Relationship Id="rId1165" Type="http://schemas.openxmlformats.org/officeDocument/2006/relationships/hyperlink" Target="https://www.youtube.com/watch?v=b-to-m7Emeo" TargetMode="External"/><Relationship Id="rId602" Type="http://schemas.openxmlformats.org/officeDocument/2006/relationships/hyperlink" Target="https://www.maristes.cat/sites/default/files/content/nodes/recurs/file/8957/4comomaria.mp3" TargetMode="External"/><Relationship Id="rId1025" Type="http://schemas.openxmlformats.org/officeDocument/2006/relationships/hyperlink" Target="https://www.youtube.com/watch?v=zDGYchYL5is" TargetMode="External"/><Relationship Id="rId1232" Type="http://schemas.openxmlformats.org/officeDocument/2006/relationships/hyperlink" Target="https://www.youtube.com/watch?v=VqCekCOZdcc" TargetMode="External"/><Relationship Id="rId907" Type="http://schemas.openxmlformats.org/officeDocument/2006/relationships/hyperlink" Target="https://www.youtube.com/watch?v=4qqq7qILFS0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5/2confianzaendios.mp3" TargetMode="External"/><Relationship Id="rId697" Type="http://schemas.openxmlformats.org/officeDocument/2006/relationships/hyperlink" Target="https://www.youtube.com/watch?v=vfIdWDJbPuY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La%20Fuerza%20del%20Espiritu/08%20-%20Siempre%20es%20Pentecost%C3%A9s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3/6quejatesipuedes.mp3" TargetMode="External"/><Relationship Id="rId764" Type="http://schemas.openxmlformats.org/officeDocument/2006/relationships/hyperlink" Target="https://www.youtube.com/watch?v=0NrRTyvWvFg" TargetMode="External"/><Relationship Id="rId971" Type="http://schemas.openxmlformats.org/officeDocument/2006/relationships/hyperlink" Target="https://www.youtube.com/watch?v=os6wOS6G52w" TargetMode="External"/><Relationship Id="rId417" Type="http://schemas.openxmlformats.org/officeDocument/2006/relationships/hyperlink" Target="https://www.maristes.cat/sites/default/files/content/nodes/recurs/file/9014/5angel.mp3" TargetMode="External"/><Relationship Id="rId624" Type="http://schemas.openxmlformats.org/officeDocument/2006/relationships/hyperlink" Target="https://www.youtube.com/watch?v=BG0dJBl5euk" TargetMode="External"/><Relationship Id="rId831" Type="http://schemas.openxmlformats.org/officeDocument/2006/relationships/hyperlink" Target="https://www.youtube.com/watch?v=jiOvAIKYcSI" TargetMode="External"/><Relationship Id="rId1047" Type="http://schemas.openxmlformats.org/officeDocument/2006/relationships/hyperlink" Target="https://www.youtube.com/watch?v=p2vJ0AkQq58" TargetMode="External"/><Relationship Id="rId1254" Type="http://schemas.openxmlformats.org/officeDocument/2006/relationships/hyperlink" Target="https://www.mercaba.org/Musica/Cesareo%20Gabarain/Bendito%20eres%20Se%C3%B1or/10%20-%20Camino%20De%20Ema%C3%BAs.mp3" TargetMode="External"/><Relationship Id="rId929" Type="http://schemas.openxmlformats.org/officeDocument/2006/relationships/hyperlink" Target="https://www.youtube.com/watch?v=rrN6Wf1xFZs" TargetMode="External"/><Relationship Id="rId1114" Type="http://schemas.openxmlformats.org/officeDocument/2006/relationships/hyperlink" Target="https://www.youtube.com/watch?v=XMW4yOvm3Kk" TargetMode="External"/><Relationship Id="rId58" Type="http://schemas.openxmlformats.org/officeDocument/2006/relationships/hyperlink" Target="https://www.youtube.com/watch?v=6Hkwjq8gdQc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7/07graciasportudon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1/05nopuedojugar.mp3" TargetMode="External"/><Relationship Id="rId786" Type="http://schemas.openxmlformats.org/officeDocument/2006/relationships/hyperlink" Target="https://www.youtube.com/watch?v=UIUY93HA3aI" TargetMode="External"/><Relationship Id="rId993" Type="http://schemas.openxmlformats.org/officeDocument/2006/relationships/hyperlink" Target="https://open.spotify.com/intl-es/track/6kV3XfTXXeTlu088nmtjHn?si=d6b8aeceea86417b" TargetMode="External"/><Relationship Id="rId341" Type="http://schemas.openxmlformats.org/officeDocument/2006/relationships/hyperlink" Target="https://www.youtube.com/watch?v=BUk4HldkYHQ" TargetMode="External"/><Relationship Id="rId439" Type="http://schemas.openxmlformats.org/officeDocument/2006/relationships/hyperlink" Target="https://www.maristes.cat/sites/default/files/content/nodes/recurs/file/8868/3rezarnoesotracosa.mp3" TargetMode="External"/><Relationship Id="rId646" Type="http://schemas.openxmlformats.org/officeDocument/2006/relationships/hyperlink" Target="https://www.youtube.com/watch?v=lseBd7-XJXg" TargetMode="External"/><Relationship Id="rId1069" Type="http://schemas.openxmlformats.org/officeDocument/2006/relationships/hyperlink" Target="https://www.youtube.com/watch?v=KUvMNJ0u0kE" TargetMode="External"/><Relationship Id="rId1276" Type="http://schemas.openxmlformats.org/officeDocument/2006/relationships/hyperlink" Target="https://www.mercaba.org/Musica/Cesareo%20Gabarain/Catequesis%20y%20Cancion/13%20ya%20viene%20el%20ni%C3%B1ito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4/4nosprecederan.mp3" TargetMode="External"/><Relationship Id="rId853" Type="http://schemas.openxmlformats.org/officeDocument/2006/relationships/hyperlink" Target="https://www.youtube.com/watch?v=tj6jkdiJI2Y" TargetMode="External"/><Relationship Id="rId1136" Type="http://schemas.openxmlformats.org/officeDocument/2006/relationships/hyperlink" Target="https://www.youtube.com/watch?v=ljHynM0-OuQ" TargetMode="External"/><Relationship Id="rId713" Type="http://schemas.openxmlformats.org/officeDocument/2006/relationships/hyperlink" Target="https://www.youtube.com/watch?v=7ig4AfuKpXY" TargetMode="External"/><Relationship Id="rId920" Type="http://schemas.openxmlformats.org/officeDocument/2006/relationships/hyperlink" Target="https://www.youtube.com/watch?v=9zhCMVuoNHU" TargetMode="External"/><Relationship Id="rId1203" Type="http://schemas.openxmlformats.org/officeDocument/2006/relationships/hyperlink" Target="https://www.mercaba.org/Musica/Cesareo%20Gabarain/La%20Misa%20es%20una%20Fiesta/02%20se%C3%B1or%20ten%20piedad.mp3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4/trackno10.mp3" TargetMode="External"/><Relationship Id="rId570" Type="http://schemas.openxmlformats.org/officeDocument/2006/relationships/hyperlink" Target="https://www.maristes.cat/sites/default/files/content/nodes/recurs/file/8944/9hermanoconfiaendios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0/trackno06.mp3" TargetMode="External"/><Relationship Id="rId668" Type="http://schemas.openxmlformats.org/officeDocument/2006/relationships/hyperlink" Target="https://www.youtube.com/watch?v=TpCZ4pXNSr4" TargetMode="External"/><Relationship Id="rId875" Type="http://schemas.openxmlformats.org/officeDocument/2006/relationships/hyperlink" Target="https://www.youtube.com/watch?v=BWALkbiwBTw" TargetMode="External"/><Relationship Id="rId1060" Type="http://schemas.openxmlformats.org/officeDocument/2006/relationships/hyperlink" Target="https://www.youtube.com/watch?v=l5szV3_nYq4" TargetMode="External"/><Relationship Id="rId1298" Type="http://schemas.openxmlformats.org/officeDocument/2006/relationships/hyperlink" Target="https://www.youtube.com/watch?v=2Eb67pp-UQA" TargetMode="External"/><Relationship Id="rId528" Type="http://schemas.openxmlformats.org/officeDocument/2006/relationships/hyperlink" Target="https://www.maristes.cat/sites/default/files/content/nodes/recurs/file/8984/13teseguire.mp3" TargetMode="External"/><Relationship Id="rId735" Type="http://schemas.openxmlformats.org/officeDocument/2006/relationships/hyperlink" Target="https://www.youtube.com/watch?v=1ElpNZVhSnQ" TargetMode="External"/><Relationship Id="rId942" Type="http://schemas.openxmlformats.org/officeDocument/2006/relationships/hyperlink" Target="https://www.youtube.com/watch?v=lBptuQOHTlU" TargetMode="External"/><Relationship Id="rId1158" Type="http://schemas.openxmlformats.org/officeDocument/2006/relationships/hyperlink" Target="https://www.youtube.com/watch?v=kCUp2TAmvHI" TargetMode="External"/><Relationship Id="rId1018" Type="http://schemas.openxmlformats.org/officeDocument/2006/relationships/hyperlink" Target="https://www.youtube.com/watch?v=Clg4KBXpWRw" TargetMode="External"/><Relationship Id="rId1225" Type="http://schemas.openxmlformats.org/officeDocument/2006/relationships/hyperlink" Target="https://www.mercaba.org/Musica/Cesareo%20Gabarain/aclamaciones%20para%20la%20celebracion,%20gabarain%20(m)/15%20por%20cristo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O2JKvhMNhyo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1/7conlosninos.mp3" TargetMode="External"/><Relationship Id="rId592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799/9diosenlaciudad.mp3" TargetMode="External"/><Relationship Id="rId897" Type="http://schemas.openxmlformats.org/officeDocument/2006/relationships/hyperlink" Target="https://www.youtube.com/watch?v=QK6In6mIcFs" TargetMode="External"/><Relationship Id="rId1082" Type="http://schemas.openxmlformats.org/officeDocument/2006/relationships/hyperlink" Target="https://www.youtube.com/watch?v=H_Mc--VmCHQ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5EmsBDwrZKs" TargetMode="External"/><Relationship Id="rId964" Type="http://schemas.openxmlformats.org/officeDocument/2006/relationships/hyperlink" Target="https://www.youtube.com/watch?v=ha8OsVlw5VM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1/9venespiritudedios.mp3" TargetMode="External"/><Relationship Id="rId824" Type="http://schemas.openxmlformats.org/officeDocument/2006/relationships/hyperlink" Target="https://www.youtube.com/watch?v=vkBzkZ9B5yM" TargetMode="External"/><Relationship Id="rId1247" Type="http://schemas.openxmlformats.org/officeDocument/2006/relationships/hyperlink" Target="https://www.mercaba.org/Musica/Cesareo%20Gabarain/Bendito%20eres%20Se%C3%B1or/03%20-%20Tuve%20Hambre%20Y%20Me%20Diste%20De%20Comer.mp3" TargetMode="External"/><Relationship Id="rId1107" Type="http://schemas.openxmlformats.org/officeDocument/2006/relationships/hyperlink" Target="https://www.youtube.com/watch?v=KoGjWsmYOGk" TargetMode="External"/><Relationship Id="rId1314" Type="http://schemas.openxmlformats.org/officeDocument/2006/relationships/hyperlink" Target="https://www.youtube.com/watch?v=AiDiWxO9bNc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2/9gloriaadio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Zkwri57b4gY" TargetMode="External"/><Relationship Id="rId779" Type="http://schemas.openxmlformats.org/officeDocument/2006/relationships/hyperlink" Target="https://www.youtube.com/watch?v=jGCkrC9R6sc" TargetMode="External"/><Relationship Id="rId986" Type="http://schemas.openxmlformats.org/officeDocument/2006/relationships/hyperlink" Target="https://open.spotify.com/intl-es/track/0e4gJvX84bIefNwMWLoCAX?si=80b816c7eb584408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5/2tuserasmihermano.mp3" TargetMode="External"/><Relationship Id="rId639" Type="http://schemas.openxmlformats.org/officeDocument/2006/relationships/hyperlink" Target="https://www.youtube.com/watch?v=WNHK4BkEMis" TargetMode="External"/><Relationship Id="rId1171" Type="http://schemas.openxmlformats.org/officeDocument/2006/relationships/hyperlink" Target="https://www.youtube.com/watch?v=rqqVJpf1IWo" TargetMode="External"/><Relationship Id="rId1269" Type="http://schemas.openxmlformats.org/officeDocument/2006/relationships/hyperlink" Target="https://www.mercaba.org/Musica/Cesareo%20Gabarain/Catequesis%20y%20Cancion/06%20solo%20dios%20es%20grande.mp3" TargetMode="External"/><Relationship Id="rId401" Type="http://schemas.openxmlformats.org/officeDocument/2006/relationships/hyperlink" Target="https://www.maristes.cat/sites/default/files/content/nodes/recurs/file/9023/01-corazonesnomadas.mp3" TargetMode="External"/><Relationship Id="rId846" Type="http://schemas.openxmlformats.org/officeDocument/2006/relationships/hyperlink" Target="https://www.youtube.com/watch?v=8ETdEBpBplo" TargetMode="External"/><Relationship Id="rId1031" Type="http://schemas.openxmlformats.org/officeDocument/2006/relationships/hyperlink" Target="https://www.youtube.com/watch?v=pogsTHrqkxU" TargetMode="External"/><Relationship Id="rId1129" Type="http://schemas.openxmlformats.org/officeDocument/2006/relationships/hyperlink" Target="https://www.youtube.com/watch?v=hJv-oTKFA7o" TargetMode="External"/><Relationship Id="rId706" Type="http://schemas.openxmlformats.org/officeDocument/2006/relationships/hyperlink" Target="https://www.youtube.com/watch?v=MufGxgNFaDQ" TargetMode="External"/><Relationship Id="rId913" Type="http://schemas.openxmlformats.org/officeDocument/2006/relationships/hyperlink" Target="https://www.youtube.com/watch?v=wMrfIGvAMIA" TargetMode="External"/><Relationship Id="rId42" Type="http://schemas.openxmlformats.org/officeDocument/2006/relationships/hyperlink" Target="https://www.youtube.com/watch?v=RBbbPNeLt9c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3/5angelus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7/trackno03.mp3" TargetMode="External"/><Relationship Id="rId563" Type="http://schemas.openxmlformats.org/officeDocument/2006/relationships/hyperlink" Target="https://www.maristes.cat/sites/default/files/content/nodes/recurs/file/8889/12esperadalsenor.mp3" TargetMode="External"/><Relationship Id="rId770" Type="http://schemas.openxmlformats.org/officeDocument/2006/relationships/hyperlink" Target="https://www.youtube.com/watch?v=rJU70C-RODA" TargetMode="External"/><Relationship Id="rId1193" Type="http://schemas.openxmlformats.org/officeDocument/2006/relationships/hyperlink" Target="https://www.mercaba.org/Musica/Cesareo%20Gabarain/La%20Fuerza%20del%20Espiritu/06%20-%20Iglesia%20somos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1/12anteelespejo.mp3" TargetMode="External"/><Relationship Id="rId868" Type="http://schemas.openxmlformats.org/officeDocument/2006/relationships/hyperlink" Target="https://www.youtube.com/watch?v=ONwax9iCO0U" TargetMode="External"/><Relationship Id="rId1053" Type="http://schemas.openxmlformats.org/officeDocument/2006/relationships/hyperlink" Target="https://www.youtube.com/watch?v=JFwjv-xY-Mw" TargetMode="External"/><Relationship Id="rId1260" Type="http://schemas.openxmlformats.org/officeDocument/2006/relationships/hyperlink" Target="https://www.mercaba.org/Musica/Cesareo%20Gabarain/Cantando%20Venimos/06%20-%20Como%20cantan%20los%20p%C3%A1jaros.mp3" TargetMode="External"/><Relationship Id="rId630" Type="http://schemas.openxmlformats.org/officeDocument/2006/relationships/hyperlink" Target="https://www.youtube.com/watch?v=GwuVLMz99vY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bdipK6NtEWs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nhsCBGwQ07M" TargetMode="External"/><Relationship Id="rId1218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280" Type="http://schemas.openxmlformats.org/officeDocument/2006/relationships/hyperlink" Target="https://www.youtube.com/watch?v=gUOmUJxIPUE" TargetMode="External"/><Relationship Id="rId501" Type="http://schemas.openxmlformats.org/officeDocument/2006/relationships/hyperlink" Target="https://www.maristes.cat/sites/default/files/content/nodes/recurs/file/8749/11madre.mp3" TargetMode="External"/><Relationship Id="rId946" Type="http://schemas.openxmlformats.org/officeDocument/2006/relationships/hyperlink" Target="https://www.youtube.com/watch?v=JmV7CgVv69U" TargetMode="External"/><Relationship Id="rId1131" Type="http://schemas.openxmlformats.org/officeDocument/2006/relationships/hyperlink" Target="https://www.youtube.com/watch?v=lPX674Wuk3w" TargetMode="External"/><Relationship Id="rId1229" Type="http://schemas.openxmlformats.org/officeDocument/2006/relationships/hyperlink" Target="https://www.mercaba.org/Musica/Cesareo%20Gabarain/aclamaciones%20para%20la%20celebracion,%20gabarain%20(m)/19%20aclamacion%20cuaresma.mp3" TargetMode="External"/><Relationship Id="rId75" Type="http://schemas.openxmlformats.org/officeDocument/2006/relationships/hyperlink" Target="https://www.youtube.com/watch?v=mC0dGlHYC-s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684/12venconmigoamigo.mp3" TargetMode="External"/><Relationship Id="rId585" Type="http://schemas.openxmlformats.org/officeDocument/2006/relationships/hyperlink" Target="https://www.maristes.cat/sites/default/files/content/nodes/recurs/file/8737/11tuyyoesteaquel.mp3" TargetMode="External"/><Relationship Id="rId792" Type="http://schemas.openxmlformats.org/officeDocument/2006/relationships/hyperlink" Target="https://www.youtube.com/watch?v=pkFZjv20p_c" TargetMode="External"/><Relationship Id="rId806" Type="http://schemas.openxmlformats.org/officeDocument/2006/relationships/hyperlink" Target="https://www.youtube.com/watch?v=kPy_uaYmsKQ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4/9tealabosenor.mp3" TargetMode="External"/><Relationship Id="rId652" Type="http://schemas.openxmlformats.org/officeDocument/2006/relationships/hyperlink" Target="https://www.youtube.com/watch?v=k_nV6Q-B53Y" TargetMode="External"/><Relationship Id="rId1075" Type="http://schemas.openxmlformats.org/officeDocument/2006/relationships/hyperlink" Target="https://www.youtube.com/watch?v=essw1fppwDY" TargetMode="External"/><Relationship Id="rId1282" Type="http://schemas.openxmlformats.org/officeDocument/2006/relationships/hyperlink" Target="https://www.mercaba.org/Musica/Cesareo%20Gabarain/Dios%20con%20Nosotros/05%20-%20Canto%20de%20esperanza.mp3" TargetMode="External"/><Relationship Id="rId291" Type="http://schemas.openxmlformats.org/officeDocument/2006/relationships/hyperlink" Target="https://www.youtube.com/watch?v=J7ubJWGKpw0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0/10salvecompanerannuestra.mp3" TargetMode="External"/><Relationship Id="rId957" Type="http://schemas.openxmlformats.org/officeDocument/2006/relationships/hyperlink" Target="https://www.youtube.com/watch?v=pDD2leGBXLo" TargetMode="External"/><Relationship Id="rId1142" Type="http://schemas.openxmlformats.org/officeDocument/2006/relationships/hyperlink" Target="https://www.youtube.com/watch?v=-Dct2_m5GnQ" TargetMode="External"/><Relationship Id="rId86" Type="http://schemas.openxmlformats.org/officeDocument/2006/relationships/hyperlink" Target="https://www.youtube.com/watch?v=LtDM7PhDCGc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6/11alsenorcantad.mp3" TargetMode="External"/><Relationship Id="rId596" Type="http://schemas.openxmlformats.org/officeDocument/2006/relationships/hyperlink" Target="https://www.maristes.cat/sites/default/files/content/nodes/recurs/file/8812/10jesusresucitahoy.mp3" TargetMode="External"/><Relationship Id="rId817" Type="http://schemas.openxmlformats.org/officeDocument/2006/relationships/hyperlink" Target="https://www.youtube.com/watch?v=P2JsZgXXWNI" TargetMode="External"/><Relationship Id="rId1002" Type="http://schemas.openxmlformats.org/officeDocument/2006/relationships/hyperlink" Target="https://open.spotify.com/intl-es/track/2whB5hr2rwWUx5muRQbENl?si=f7b48634c5094fc6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2/3deseopaz.mp3" TargetMode="External"/><Relationship Id="rId663" Type="http://schemas.openxmlformats.org/officeDocument/2006/relationships/hyperlink" Target="https://www.youtube.com/watch?v=uoEmNvmW6ec" TargetMode="External"/><Relationship Id="rId870" Type="http://schemas.openxmlformats.org/officeDocument/2006/relationships/hyperlink" Target="https://www.youtube.com/watch?v=Fjzhe0suUgM" TargetMode="External"/><Relationship Id="rId1086" Type="http://schemas.openxmlformats.org/officeDocument/2006/relationships/hyperlink" Target="https://www.youtube.com/watch?v=myfcAQyd3z8" TargetMode="External"/><Relationship Id="rId1293" Type="http://schemas.openxmlformats.org/officeDocument/2006/relationships/hyperlink" Target="https://www.mercaba.org/Musica/Cesareo%20Gabarain/Dios%20Hombre%20Mundo/11%20-%20Hoy%20Se%C3%B1or%20te%20damos%20gracias.mp3" TargetMode="External"/><Relationship Id="rId1307" Type="http://schemas.openxmlformats.org/officeDocument/2006/relationships/hyperlink" Target="https://www.youtube.com/watch?v=IdvTzCgMTKc" TargetMode="External"/><Relationship Id="rId13" Type="http://schemas.openxmlformats.org/officeDocument/2006/relationships/hyperlink" Target="https://www.youtube.com/watch?v=OwzdalM_9_c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79/8chaminade.mp3" TargetMode="External"/><Relationship Id="rId968" Type="http://schemas.openxmlformats.org/officeDocument/2006/relationships/hyperlink" Target="https://www.youtube.com/watch?v=Rsz6KruYK7Q" TargetMode="External"/><Relationship Id="rId1153" Type="http://schemas.openxmlformats.org/officeDocument/2006/relationships/hyperlink" Target="https://www.youtube.com/watch?v=S_-1D4492Ec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9b0im0Xn4sQ" TargetMode="External"/><Relationship Id="rId828" Type="http://schemas.openxmlformats.org/officeDocument/2006/relationships/hyperlink" Target="https://www.youtube.com/watch?v=mZBPREwsQpw" TargetMode="External"/><Relationship Id="rId1013" Type="http://schemas.openxmlformats.org/officeDocument/2006/relationships/hyperlink" Target="https://www.youtube.com/watch?v=y99Dt-hY3ZY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3/2yocantare.mp3" TargetMode="External"/><Relationship Id="rId1097" Type="http://schemas.openxmlformats.org/officeDocument/2006/relationships/hyperlink" Target="https://www.youtube.com/watch?v=DqMSVnUUJD8" TargetMode="External"/><Relationship Id="rId1220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318" Type="http://schemas.openxmlformats.org/officeDocument/2006/relationships/table" Target="../tables/table2.xml"/><Relationship Id="rId674" Type="http://schemas.openxmlformats.org/officeDocument/2006/relationships/hyperlink" Target="https://www.youtube.com/watch?v=kChSEF696us" TargetMode="External"/><Relationship Id="rId881" Type="http://schemas.openxmlformats.org/officeDocument/2006/relationships/hyperlink" Target="https://www.youtube.com/watch?v=9APEZKs_gdw" TargetMode="External"/><Relationship Id="rId979" Type="http://schemas.openxmlformats.org/officeDocument/2006/relationships/hyperlink" Target="https://open.spotify.com/intl-es/track/5Fcz0xhDUSg7nUsrjFylAD?si=0d98458416ed4dbd" TargetMode="External"/><Relationship Id="rId24" Type="http://schemas.openxmlformats.org/officeDocument/2006/relationships/hyperlink" Target="https://www.youtube.com/watch?v=g7vRXBpL10k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0/kairoi-profetadelafamilia-05-supalabra.mp3" TargetMode="External"/><Relationship Id="rId741" Type="http://schemas.openxmlformats.org/officeDocument/2006/relationships/hyperlink" Target="https://www.youtube.com/watch?v=in8sjfCrqa0" TargetMode="External"/><Relationship Id="rId839" Type="http://schemas.openxmlformats.org/officeDocument/2006/relationships/hyperlink" Target="https://www.youtube.com/watch?v=unA8KsLyp2Y" TargetMode="External"/><Relationship Id="rId1164" Type="http://schemas.openxmlformats.org/officeDocument/2006/relationships/hyperlink" Target="https://www.youtube.com/watch?v=ZWynTIKr1XQ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6/2rockdepaz.mp3" TargetMode="External"/><Relationship Id="rId601" Type="http://schemas.openxmlformats.org/officeDocument/2006/relationships/hyperlink" Target="https://www.maristes.cat/sites/default/files/content/nodes/recurs/file/8956/3jesuscambianos.mp3" TargetMode="External"/><Relationship Id="rId1024" Type="http://schemas.openxmlformats.org/officeDocument/2006/relationships/hyperlink" Target="https://www.youtube.com/watch?v=6g_R6fNOmNo" TargetMode="External"/><Relationship Id="rId1231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3/03entornoalpan.wav" TargetMode="External"/><Relationship Id="rId685" Type="http://schemas.openxmlformats.org/officeDocument/2006/relationships/hyperlink" Target="https://www.youtube.com/watch?v=5tSfxzp_5tg" TargetMode="External"/><Relationship Id="rId892" Type="http://schemas.openxmlformats.org/officeDocument/2006/relationships/hyperlink" Target="https://www.youtube.com/watch?v=1FYGlKuQPaE" TargetMode="External"/><Relationship Id="rId906" Type="http://schemas.openxmlformats.org/officeDocument/2006/relationships/hyperlink" Target="https://www.youtube.com/watch?v=MRL3Ifsl3kE" TargetMode="External"/><Relationship Id="rId35" Type="http://schemas.openxmlformats.org/officeDocument/2006/relationships/hyperlink" Target="https://www.youtube.com/watch?v=Jj8X5vv5LNY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DuaCVtri6QU" TargetMode="External"/><Relationship Id="rId545" Type="http://schemas.openxmlformats.org/officeDocument/2006/relationships/hyperlink" Target="https://www.maristes.cat/sites/default/files/content/nodes/recurs/file/8842/6dejaqueentuvidacanteel.mp3" TargetMode="External"/><Relationship Id="rId752" Type="http://schemas.openxmlformats.org/officeDocument/2006/relationships/hyperlink" Target="https://www.youtube.com/watch?v=iDByYdT4ItU" TargetMode="External"/><Relationship Id="rId1175" Type="http://schemas.openxmlformats.org/officeDocument/2006/relationships/hyperlink" Target="https://www.youtube.com/watch?v=J3cob5AYHWs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4/1testigosdelsenor.mp3" TargetMode="External"/><Relationship Id="rId405" Type="http://schemas.openxmlformats.org/officeDocument/2006/relationships/hyperlink" Target="https://www.maristes.cat/sites/default/files/content/nodes/recurs/file/9027/05-decirtunombremaria.mp3" TargetMode="External"/><Relationship Id="rId612" Type="http://schemas.openxmlformats.org/officeDocument/2006/relationships/hyperlink" Target="https://www.maristes.cat/sites/default/files/content/nodes/recurs/file/8766/4tocareparati.mp3" TargetMode="External"/><Relationship Id="rId1035" Type="http://schemas.openxmlformats.org/officeDocument/2006/relationships/hyperlink" Target="https://www.youtube.com/watch?v=7YWd9Xp6g3w" TargetMode="External"/><Relationship Id="rId1242" Type="http://schemas.openxmlformats.org/officeDocument/2006/relationships/hyperlink" Target="https://www.mercaba.org/Musica/Cesareo%20Gabarain/Al%20Atardecer%20de%20la%20Vida/11%20-%20Letan%C3%ADa%20por%20el%20difunto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9454/10cortolaroca.mp3" TargetMode="External"/><Relationship Id="rId696" Type="http://schemas.openxmlformats.org/officeDocument/2006/relationships/hyperlink" Target="https://www.youtube.com/watch?v=yV0m5OAYpRA" TargetMode="External"/><Relationship Id="rId917" Type="http://schemas.openxmlformats.org/officeDocument/2006/relationships/hyperlink" Target="https://www.youtube.com/watch?v=jmVqAKiaUmw" TargetMode="External"/><Relationship Id="rId1102" Type="http://schemas.openxmlformats.org/officeDocument/2006/relationships/hyperlink" Target="https://www.youtube.com/watch?v=TQlQi2AHvzQ" TargetMode="External"/><Relationship Id="rId46" Type="http://schemas.openxmlformats.org/officeDocument/2006/relationships/hyperlink" Target="https://www.youtube.com/watch?v=TkI6CtxnIIQ" TargetMode="External"/><Relationship Id="rId349" Type="http://schemas.openxmlformats.org/officeDocument/2006/relationships/hyperlink" Target="https://www.youtube.com/watch?v=5s9NbfvVKAA" TargetMode="External"/><Relationship Id="rId556" Type="http://schemas.openxmlformats.org/officeDocument/2006/relationships/hyperlink" Target="https://www.maristes.cat/sites/default/files/content/nodes/recurs/file/8882/5quesepamosestar.mp3" TargetMode="External"/><Relationship Id="rId763" Type="http://schemas.openxmlformats.org/officeDocument/2006/relationships/hyperlink" Target="https://www.youtube.com/watch?v=YOSAx_gBTXc" TargetMode="External"/><Relationship Id="rId1186" Type="http://schemas.openxmlformats.org/officeDocument/2006/relationships/hyperlink" Target="https://www.mercaba.org/Musica/Cesareo%20Gabarain/Jesus%20Nuestro%20Amigo/03%20-%20Cristo%20te%20necesita.mp3" TargetMode="External"/><Relationship Id="rId111" Type="http://schemas.openxmlformats.org/officeDocument/2006/relationships/hyperlink" Target="https://www.youtube.com/watch?v=399BIn0bl1k" TargetMode="External"/><Relationship Id="rId195" Type="http://schemas.openxmlformats.org/officeDocument/2006/relationships/hyperlink" Target="https://www.youtube.com/watch?v=s0bRyeGJwDc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3/4ungesto.mp3" TargetMode="External"/><Relationship Id="rId970" Type="http://schemas.openxmlformats.org/officeDocument/2006/relationships/hyperlink" Target="https://www.youtube.com/watch?v=frPiM5SPG9c" TargetMode="External"/><Relationship Id="rId1046" Type="http://schemas.openxmlformats.org/officeDocument/2006/relationships/hyperlink" Target="https://www.youtube.com/watch?v=WLgpsePLddQ" TargetMode="External"/><Relationship Id="rId1253" Type="http://schemas.openxmlformats.org/officeDocument/2006/relationships/hyperlink" Target="https://www.mercaba.org/Musica/Cesareo%20Gabarain/Bendito%20eres%20Se%C3%B1or/09%20-%20Bendito%20Eres%20Se%C3%B1or.mp3" TargetMode="External"/><Relationship Id="rId623" Type="http://schemas.openxmlformats.org/officeDocument/2006/relationships/hyperlink" Target="https://www.youtube.com/watch?v=6A3AS5oavA0" TargetMode="External"/><Relationship Id="rId830" Type="http://schemas.openxmlformats.org/officeDocument/2006/relationships/hyperlink" Target="https://www.youtube.com/watch?v=7b1v7i4KRPs" TargetMode="External"/><Relationship Id="rId928" Type="http://schemas.openxmlformats.org/officeDocument/2006/relationships/hyperlink" Target="https://www.youtube.com/watch?v=uE5e-HqpIXs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941/6hermanoentreloshombres.mp3" TargetMode="External"/><Relationship Id="rId1113" Type="http://schemas.openxmlformats.org/officeDocument/2006/relationships/hyperlink" Target="https://www.youtube.com/watch?v=q6mlU-y8VMc" TargetMode="External"/><Relationship Id="rId1197" Type="http://schemas.openxmlformats.org/officeDocument/2006/relationships/hyperlink" Target="https://www.mercaba.org/Musica/Cesareo%20Gabarain/Lampara%20de%20Barro/01%20solo%20el%20amor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jJP1UYGyhuw" TargetMode="External"/><Relationship Id="rId981" Type="http://schemas.openxmlformats.org/officeDocument/2006/relationships/hyperlink" Target="https://open.spotify.com/intl-es/track/61c2KYQwdLDXO8i1jquizI?si=d911c8eb8adc4bb3" TargetMode="External"/><Relationship Id="rId1057" Type="http://schemas.openxmlformats.org/officeDocument/2006/relationships/hyperlink" Target="https://www.youtube.com/watch?v=MCA1U_Jz2U8" TargetMode="External"/><Relationship Id="rId427" Type="http://schemas.openxmlformats.org/officeDocument/2006/relationships/hyperlink" Target="https://www.maristes.cat/sites/default/files/content/nodes/recurs/file/8927/trackno03.mp3" TargetMode="External"/><Relationship Id="rId634" Type="http://schemas.openxmlformats.org/officeDocument/2006/relationships/hyperlink" Target="https://www.youtube.com/watch?v=ViQlE2MpKes" TargetMode="External"/><Relationship Id="rId841" Type="http://schemas.openxmlformats.org/officeDocument/2006/relationships/hyperlink" Target="https://www.youtube.com/watch?v=NWJ5cOEhBcs" TargetMode="External"/><Relationship Id="rId1264" Type="http://schemas.openxmlformats.org/officeDocument/2006/relationships/hyperlink" Target="https://www.mercaba.org/Musica/Cesareo%20Gabarain/Catequesis%20y%20Cancion/01%20dios%20no%20es%20una%20imagen%20de%20madera.mp3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6/06caminar.wav" TargetMode="External"/><Relationship Id="rId701" Type="http://schemas.openxmlformats.org/officeDocument/2006/relationships/hyperlink" Target="https://www.youtube.com/watch?v=R8xCu-J9jJM" TargetMode="External"/><Relationship Id="rId939" Type="http://schemas.openxmlformats.org/officeDocument/2006/relationships/hyperlink" Target="https://www.youtube.com/watch?v=_oFThiCZqmw" TargetMode="External"/><Relationship Id="rId1124" Type="http://schemas.openxmlformats.org/officeDocument/2006/relationships/hyperlink" Target="https://www.youtube.com/watch?v=g659Ssh5Rvk" TargetMode="External"/><Relationship Id="rId68" Type="http://schemas.openxmlformats.org/officeDocument/2006/relationships/hyperlink" Target="https://www.youtube.com/watch?v=GvfT0gPkWdM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jP7zsYKbaKw" TargetMode="External"/><Relationship Id="rId578" Type="http://schemas.openxmlformats.org/officeDocument/2006/relationships/hyperlink" Target="https://www.maristes.cat/sites/default/files/content/nodes/recurs/file/8730/04quisierahabernacido.mp3" TargetMode="External"/><Relationship Id="rId785" Type="http://schemas.openxmlformats.org/officeDocument/2006/relationships/hyperlink" Target="https://www.youtube.com/watch?v=fV9XsKsjZpQ" TargetMode="External"/><Relationship Id="rId992" Type="http://schemas.openxmlformats.org/officeDocument/2006/relationships/hyperlink" Target="https://open.spotify.com/intl-es/track/2bC2Iiuh9dsOg1VG9bOGVk?si=af7c8eea8e734cf9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7/2claraimagendedios.mp3" TargetMode="External"/><Relationship Id="rId645" Type="http://schemas.openxmlformats.org/officeDocument/2006/relationships/hyperlink" Target="https://www.youtube.com/watch?v=-SxCIMC0IqM" TargetMode="External"/><Relationship Id="rId852" Type="http://schemas.openxmlformats.org/officeDocument/2006/relationships/hyperlink" Target="https://www.youtube.com/watch?v=94AmBap4yqc" TargetMode="External"/><Relationship Id="rId1068" Type="http://schemas.openxmlformats.org/officeDocument/2006/relationships/hyperlink" Target="https://www.youtube.com/watch?v=FG74aDT1B78" TargetMode="External"/><Relationship Id="rId1275" Type="http://schemas.openxmlformats.org/officeDocument/2006/relationships/hyperlink" Target="https://www.mercaba.org/Musica/Cesareo%20Gabarain/Catequesis%20y%20Cancion/12%20el%20peque%C3%B1o%20david.mp3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62/12nuestrasvocescantan.mp3" TargetMode="External"/><Relationship Id="rId505" Type="http://schemas.openxmlformats.org/officeDocument/2006/relationships/hyperlink" Target="https://www.maristes.cat/sites/default/files/content/nodes/recurs/file/8903/3indigena.mp3" TargetMode="External"/><Relationship Id="rId712" Type="http://schemas.openxmlformats.org/officeDocument/2006/relationships/hyperlink" Target="https://www.youtube.com/watch?v=Yr8TIVPiWOE" TargetMode="External"/><Relationship Id="rId1135" Type="http://schemas.openxmlformats.org/officeDocument/2006/relationships/hyperlink" Target="https://www.youtube.com/watch?v=epPas0k9yBo" TargetMode="External"/><Relationship Id="rId79" Type="http://schemas.openxmlformats.org/officeDocument/2006/relationships/hyperlink" Target="https://www.youtube.com/watch?v=SkLaiznSbUs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6" Type="http://schemas.openxmlformats.org/officeDocument/2006/relationships/hyperlink" Target="https://www.youtube.com/watch?v=6T91M6qcBrw" TargetMode="External"/><Relationship Id="rId1202" Type="http://schemas.openxmlformats.org/officeDocument/2006/relationships/hyperlink" Target="https://www.mercaba.org/Musica/Cesareo%20Gabarain/Dios%20con%20Nosotros/09%20-%20Iglesia%20peregrina.mp3" TargetMode="External"/><Relationship Id="rId351" Type="http://schemas.openxmlformats.org/officeDocument/2006/relationships/hyperlink" Target="https://www.youtube.com/watch?v=7gb1Tq33ndk" TargetMode="External"/><Relationship Id="rId449" Type="http://schemas.openxmlformats.org/officeDocument/2006/relationships/hyperlink" Target="https://www.maristes.cat/sites/default/files/content/nodes/recurs/file/8790/3comomarcelino.mp3" TargetMode="External"/><Relationship Id="rId656" Type="http://schemas.openxmlformats.org/officeDocument/2006/relationships/hyperlink" Target="https://www.youtube.com/watch?v=hEweJKc1xgs" TargetMode="External"/><Relationship Id="rId863" Type="http://schemas.openxmlformats.org/officeDocument/2006/relationships/hyperlink" Target="https://www.youtube.com/watch?v=0FaI-o1DQrY" TargetMode="External"/><Relationship Id="rId1079" Type="http://schemas.openxmlformats.org/officeDocument/2006/relationships/hyperlink" Target="https://www.youtube.com/watch?v=K63ellFKbFA" TargetMode="External"/><Relationship Id="rId1286" Type="http://schemas.openxmlformats.org/officeDocument/2006/relationships/hyperlink" Target="https://www.mercaba.org/Musica/Cesareo%20Gabarain/Dios%20Hombre%20Mundo/02%20-%20Aleluya,%20mi%20padre%20Dios%20me%20quiere.mp3" TargetMode="External"/><Relationship Id="rId211" Type="http://schemas.openxmlformats.org/officeDocument/2006/relationships/hyperlink" Target="https://www.youtube.com/watch?v=uX_oSn-_Qxk" TargetMode="External"/><Relationship Id="rId295" Type="http://schemas.openxmlformats.org/officeDocument/2006/relationships/hyperlink" Target="https://www.youtube.com/watch?v=7V5tJwSHF8g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69/1nacidosdemujer.mp3" TargetMode="External"/><Relationship Id="rId1146" Type="http://schemas.openxmlformats.org/officeDocument/2006/relationships/hyperlink" Target="https://www.youtube.com/watch?v=nXhvAn69x4A" TargetMode="External"/><Relationship Id="rId723" Type="http://schemas.openxmlformats.org/officeDocument/2006/relationships/hyperlink" Target="https://www.youtube.com/watch?v=eXzcrgO4YFE" TargetMode="External"/><Relationship Id="rId930" Type="http://schemas.openxmlformats.org/officeDocument/2006/relationships/hyperlink" Target="https://www.youtube.com/watch?v=8XP8KdBvGQQ" TargetMode="External"/><Relationship Id="rId1006" Type="http://schemas.openxmlformats.org/officeDocument/2006/relationships/hyperlink" Target="https://www.youtube.com/watch?v=jzE9G65V3uM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3/trackno09.mp3" TargetMode="External"/><Relationship Id="rId1213" Type="http://schemas.openxmlformats.org/officeDocument/2006/relationships/hyperlink" Target="https://www.mercaba.org/Musica/Cesareo%20Gabarain/aclamaciones%20para%20la%20celebracion,%20gabarain%20(m)/03%20gloria.mp3" TargetMode="External"/><Relationship Id="rId1297" Type="http://schemas.openxmlformats.org/officeDocument/2006/relationships/hyperlink" Target="https://www.youtube.com/watch?v=iPEF1PDg4jk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3g8Ju0IqFII" TargetMode="External"/><Relationship Id="rId874" Type="http://schemas.openxmlformats.org/officeDocument/2006/relationships/hyperlink" Target="https://www.youtube.com/watch?v=hpyfVcKI26U" TargetMode="External"/><Relationship Id="rId17" Type="http://schemas.openxmlformats.org/officeDocument/2006/relationships/hyperlink" Target="https://www.youtube.com/watch?v=LEj4ybN6Ovc" TargetMode="External"/><Relationship Id="rId527" Type="http://schemas.openxmlformats.org/officeDocument/2006/relationships/hyperlink" Target="https://www.maristes.cat/sites/default/files/content/nodes/recurs/file/8983/12vinonuevo.mp3" TargetMode="External"/><Relationship Id="rId734" Type="http://schemas.openxmlformats.org/officeDocument/2006/relationships/hyperlink" Target="https://www.youtube.com/watch?v=8UUf3RdUsuM" TargetMode="External"/><Relationship Id="rId941" Type="http://schemas.openxmlformats.org/officeDocument/2006/relationships/hyperlink" Target="https://www.youtube.com/watch?v=ez5pIGVEcSs" TargetMode="External"/><Relationship Id="rId1157" Type="http://schemas.openxmlformats.org/officeDocument/2006/relationships/hyperlink" Target="https://www.youtube.com/watch?v=NgtvajcOb8c" TargetMode="External"/><Relationship Id="rId70" Type="http://schemas.openxmlformats.org/officeDocument/2006/relationships/hyperlink" Target="https://www.youtube.com/watch?v=u6cOz4g4_0I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79/7elespiritudelsenor.mp3" TargetMode="External"/><Relationship Id="rId580" Type="http://schemas.openxmlformats.org/officeDocument/2006/relationships/hyperlink" Target="https://www.maristes.cat/sites/default/files/content/nodes/recurs/file/8732/06quienmeayuda.mp3" TargetMode="External"/><Relationship Id="rId801" Type="http://schemas.openxmlformats.org/officeDocument/2006/relationships/hyperlink" Target="https://www.youtube.com/watch?v=jCCUQqkocdY" TargetMode="External"/><Relationship Id="rId1017" Type="http://schemas.openxmlformats.org/officeDocument/2006/relationships/hyperlink" Target="https://www.youtube.com/watch?v=sgHZUaaDHc8" TargetMode="External"/><Relationship Id="rId1224" Type="http://schemas.openxmlformats.org/officeDocument/2006/relationships/hyperlink" Target="https://www.mercaba.org/Musica/Cesareo%20Gabarain/aclamaciones%20para%20la%20celebracion,%20gabarain%20(m)/14%20por%20cristo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69/4jesusteama.mp3" TargetMode="External"/><Relationship Id="rId678" Type="http://schemas.openxmlformats.org/officeDocument/2006/relationships/hyperlink" Target="https://www.youtube.com/watch?v=a1pKpLrHYkE" TargetMode="External"/><Relationship Id="rId885" Type="http://schemas.openxmlformats.org/officeDocument/2006/relationships/hyperlink" Target="https://www.youtube.com/watch?v=bO_KS85NMyE" TargetMode="External"/><Relationship Id="rId1070" Type="http://schemas.openxmlformats.org/officeDocument/2006/relationships/hyperlink" Target="https://www.youtube.com/watch?v=57Iz4l5TRrU" TargetMode="External"/><Relationship Id="rId28" Type="http://schemas.openxmlformats.org/officeDocument/2006/relationships/hyperlink" Target="https://www.youtube.com/watch?v=V86NBrzhSAo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4/kairoi-profetadelafamilia-09-familias.mp3" TargetMode="External"/><Relationship Id="rId745" Type="http://schemas.openxmlformats.org/officeDocument/2006/relationships/hyperlink" Target="https://www.youtube.com/watch?v=KatC2n-q3dI" TargetMode="External"/><Relationship Id="rId952" Type="http://schemas.openxmlformats.org/officeDocument/2006/relationships/hyperlink" Target="https://www.youtube.com/watch?v=reGIyPPVyyM" TargetMode="External"/><Relationship Id="rId1168" Type="http://schemas.openxmlformats.org/officeDocument/2006/relationships/hyperlink" Target="https://www.youtube.com/watch?v=3IJ08pHIEqE" TargetMode="External"/><Relationship Id="rId81" Type="http://schemas.openxmlformats.org/officeDocument/2006/relationships/hyperlink" Target="https://www.youtube.com/watch?v=71nzxwlVVWI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0/6nochesilenciosa.mp3" TargetMode="External"/><Relationship Id="rId591" Type="http://schemas.openxmlformats.org/officeDocument/2006/relationships/hyperlink" Target="https://www.maristes.cat/sites/default/files/content/nodes/recurs/file/8808/6ensumesahayamor.mp3" TargetMode="External"/><Relationship Id="rId605" Type="http://schemas.openxmlformats.org/officeDocument/2006/relationships/hyperlink" Target="https://www.maristes.cat/sites/default/files/content/nodes/recurs/file/8961/7soymujer.mp3" TargetMode="External"/><Relationship Id="rId812" Type="http://schemas.openxmlformats.org/officeDocument/2006/relationships/hyperlink" Target="https://www.youtube.com/watch?v=lUu9gLQKgNI" TargetMode="External"/><Relationship Id="rId1028" Type="http://schemas.openxmlformats.org/officeDocument/2006/relationships/hyperlink" Target="https://www.youtube.com/watch?v=F2hAv7cSEf4" TargetMode="External"/><Relationship Id="rId1235" Type="http://schemas.openxmlformats.org/officeDocument/2006/relationships/hyperlink" Target="https://www.mercaba.org/Musica/Cesareo%20Gabarain/Al%20Atardecer%20de%20la%20Vida/04%20-%20Morimos%20para%20vivir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mwRMT2_pi9c" TargetMode="External"/><Relationship Id="rId896" Type="http://schemas.openxmlformats.org/officeDocument/2006/relationships/hyperlink" Target="https://www.youtube.com/watch?v=c03aq5W2RIo" TargetMode="External"/><Relationship Id="rId1081" Type="http://schemas.openxmlformats.org/officeDocument/2006/relationships/hyperlink" Target="https://www.youtube.com/watch?v=sPTgKhS4IkI" TargetMode="External"/><Relationship Id="rId1302" Type="http://schemas.openxmlformats.org/officeDocument/2006/relationships/hyperlink" Target="https://www.youtube.com/watch?v=gqWVl9aXtjE" TargetMode="External"/><Relationship Id="rId39" Type="http://schemas.openxmlformats.org/officeDocument/2006/relationships/hyperlink" Target="https://www.youtube.com/watch?v=rpwi0PjxShU" TargetMode="External"/><Relationship Id="rId451" Type="http://schemas.openxmlformats.org/officeDocument/2006/relationships/hyperlink" Target="https://www.maristes.cat/sites/default/files/content/nodes/recurs/file/8793/6unavida.mp3" TargetMode="External"/><Relationship Id="rId549" Type="http://schemas.openxmlformats.org/officeDocument/2006/relationships/hyperlink" Target="https://www.maristes.cat/sites/default/files/content/nodes/recurs/file/8846/10senordelahistoria.mp3" TargetMode="External"/><Relationship Id="rId756" Type="http://schemas.openxmlformats.org/officeDocument/2006/relationships/hyperlink" Target="https://www.youtube.com/watch?v=qHxe8u2cwfM" TargetMode="External"/><Relationship Id="rId1179" Type="http://schemas.openxmlformats.org/officeDocument/2006/relationships/hyperlink" Target="https://www.youtube.com/watch?v=2VUAY9lxP20" TargetMode="External"/><Relationship Id="rId104" Type="http://schemas.openxmlformats.org/officeDocument/2006/relationships/hyperlink" Target="https://www.youtube.com/watch?v=i75ZJtVbHMU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95" Type="http://schemas.openxmlformats.org/officeDocument/2006/relationships/hyperlink" Target="https://www.maristes.cat/sites/default/files/content/nodes/recurs/file/8918/5fraternidad.mp3" TargetMode="External"/><Relationship Id="rId409" Type="http://schemas.openxmlformats.org/officeDocument/2006/relationships/hyperlink" Target="https://www.maristes.cat/sites/default/files/content/nodes/recurs/file/9031/09-marcelino.mp3" TargetMode="External"/><Relationship Id="rId963" Type="http://schemas.openxmlformats.org/officeDocument/2006/relationships/hyperlink" Target="https://www.youtube.com/watch?v=LRn2qmk1u2Q" TargetMode="External"/><Relationship Id="rId1039" Type="http://schemas.openxmlformats.org/officeDocument/2006/relationships/hyperlink" Target="https://www.youtube.com/watch?v=omOmEEMbohE" TargetMode="External"/><Relationship Id="rId1246" Type="http://schemas.openxmlformats.org/officeDocument/2006/relationships/hyperlink" Target="https://www.mercaba.org/Musica/Cesareo%20Gabarain/Bendito%20eres%20Se%C3%B1or/02%20-%20EL%20Jov%C3%A9n%20Rico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0/8esperandoconmaria.mp3" TargetMode="External"/><Relationship Id="rId823" Type="http://schemas.openxmlformats.org/officeDocument/2006/relationships/hyperlink" Target="https://www.youtube.com/watch?v=3fsEZMXcW9U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2/9bienaventuranzas.mp3" TargetMode="External"/><Relationship Id="rId1092" Type="http://schemas.openxmlformats.org/officeDocument/2006/relationships/hyperlink" Target="https://www.youtube.com/watch?v=wCe1Z_eFnn0" TargetMode="External"/><Relationship Id="rId1106" Type="http://schemas.openxmlformats.org/officeDocument/2006/relationships/hyperlink" Target="https://www.youtube.com/watch?v=0jA_HUMcsu0" TargetMode="External"/><Relationship Id="rId1313" Type="http://schemas.openxmlformats.org/officeDocument/2006/relationships/hyperlink" Target="https://www.youtube.com/watch?v=gObavlJavp4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hNoOoCllCFQ" TargetMode="External"/><Relationship Id="rId974" Type="http://schemas.openxmlformats.org/officeDocument/2006/relationships/hyperlink" Target="https://www.youtube.com/watch?v=ubCNscvnoYI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dTv5uI_DRFo" TargetMode="External"/><Relationship Id="rId834" Type="http://schemas.openxmlformats.org/officeDocument/2006/relationships/hyperlink" Target="https://www.youtube.com/watch?v=kVb4E74Ihcg" TargetMode="External"/><Relationship Id="rId1257" Type="http://schemas.openxmlformats.org/officeDocument/2006/relationships/hyperlink" Target="https://www.mercaba.org/Musica/Cesareo%20Gabarain/Cantando%20Venimos/03%20-%20Yo%20quisiera%20escucha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1/8padremepongoentusmanos.mp3" TargetMode="External"/><Relationship Id="rId680" Type="http://schemas.openxmlformats.org/officeDocument/2006/relationships/hyperlink" Target="https://www.youtube.com/watch?v=dpJysvioGk0" TargetMode="External"/><Relationship Id="rId901" Type="http://schemas.openxmlformats.org/officeDocument/2006/relationships/hyperlink" Target="https://www.youtube.com/watch?v=Wa8wl7xodjU" TargetMode="External"/><Relationship Id="rId1117" Type="http://schemas.openxmlformats.org/officeDocument/2006/relationships/hyperlink" Target="https://www.youtube.com/watch?v=avWWebsy_f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4/1cristosenor.mp3" TargetMode="External"/><Relationship Id="rId778" Type="http://schemas.openxmlformats.org/officeDocument/2006/relationships/hyperlink" Target="https://www.youtube.com/watch?v=xetMYxSD-zI" TargetMode="External"/><Relationship Id="rId985" Type="http://schemas.openxmlformats.org/officeDocument/2006/relationships/hyperlink" Target="https://open.spotify.com/intl-es/track/0iEwaEXoK5F9G01lCuIsg3?si=0e8a1509bc20468c" TargetMode="External"/><Relationship Id="rId1170" Type="http://schemas.openxmlformats.org/officeDocument/2006/relationships/hyperlink" Target="https://www.youtube.com/watch?v=r3pAMvCBxV0" TargetMode="External"/><Relationship Id="rId638" Type="http://schemas.openxmlformats.org/officeDocument/2006/relationships/hyperlink" Target="https://www.youtube.com/watch?v=x-gJK52EB4c" TargetMode="External"/><Relationship Id="rId845" Type="http://schemas.openxmlformats.org/officeDocument/2006/relationships/hyperlink" Target="https://www.youtube.com/watch?v=G65qK43jixw" TargetMode="External"/><Relationship Id="rId1030" Type="http://schemas.openxmlformats.org/officeDocument/2006/relationships/hyperlink" Target="https://www.youtube.com/watch?v=4nj2ZWMp9GU" TargetMode="External"/><Relationship Id="rId1268" Type="http://schemas.openxmlformats.org/officeDocument/2006/relationships/hyperlink" Target="https://www.mercaba.org/Musica/Cesareo%20Gabarain/Catequesis%20y%20Cancion/05%20dios%20hos%20ha%20hecho%20hermanos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8923/10hacialaluz.mp3" TargetMode="External"/><Relationship Id="rId484" Type="http://schemas.openxmlformats.org/officeDocument/2006/relationships/hyperlink" Target="https://www.maristes.cat/sites/default/files/content/nodes/recurs/file/8753/3hermitagecasadelsenor.mp3" TargetMode="External"/><Relationship Id="rId705" Type="http://schemas.openxmlformats.org/officeDocument/2006/relationships/hyperlink" Target="https://www.youtube.com/watch?v=SrTLu4IjdSk" TargetMode="External"/><Relationship Id="rId1128" Type="http://schemas.openxmlformats.org/officeDocument/2006/relationships/hyperlink" Target="https://www.youtube.com/watch?v=pxOlXWBCT-g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E_ZKsPdIe9E" TargetMode="External"/><Relationship Id="rId691" Type="http://schemas.openxmlformats.org/officeDocument/2006/relationships/hyperlink" Target="https://www.youtube.com/watch?v=I2m01aEaXkI" TargetMode="External"/><Relationship Id="rId789" Type="http://schemas.openxmlformats.org/officeDocument/2006/relationships/hyperlink" Target="https://www.youtube.com/watch?v=PkqND-ZEOcI" TargetMode="External"/><Relationship Id="rId912" Type="http://schemas.openxmlformats.org/officeDocument/2006/relationships/hyperlink" Target="https://www.youtube.com/watch?v=vuFzfGsMjzI" TargetMode="External"/><Relationship Id="rId996" Type="http://schemas.openxmlformats.org/officeDocument/2006/relationships/hyperlink" Target="https://open.spotify.com/intl-es/track/3Rbt9FAwOSM7zT8gEvXDQF?si=dbac8866a77b4fe9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48/12yonohepodidoserbueno.mp3" TargetMode="External"/><Relationship Id="rId649" Type="http://schemas.openxmlformats.org/officeDocument/2006/relationships/hyperlink" Target="https://www.youtube.com/watch?v=f3uHOfRKv0s" TargetMode="External"/><Relationship Id="rId856" Type="http://schemas.openxmlformats.org/officeDocument/2006/relationships/hyperlink" Target="https://www.youtube.com/watch?v=LsSmcUoZs2s" TargetMode="External"/><Relationship Id="rId1181" Type="http://schemas.openxmlformats.org/officeDocument/2006/relationships/hyperlink" Target="https://www.youtube.com/watch?v=a3ZPdtmoS4U" TargetMode="External"/><Relationship Id="rId1279" Type="http://schemas.openxmlformats.org/officeDocument/2006/relationships/hyperlink" Target="https://www.mercaba.org/Musica/Cesareo%20Gabarain/Dios%20con%20Nosotros/02%20-%20Nueva%20creaci%C3%B3n.mp3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3/11-siyocambiara.mp3" TargetMode="External"/><Relationship Id="rId509" Type="http://schemas.openxmlformats.org/officeDocument/2006/relationships/hyperlink" Target="https://www.maristes.cat/sites/default/files/content/nodes/recurs/file/8907/7mascercadelsol.mp3" TargetMode="External"/><Relationship Id="rId1041" Type="http://schemas.openxmlformats.org/officeDocument/2006/relationships/hyperlink" Target="https://www.mercaba.org/Musica/Cesareo%20Gabarain/Dios%20con%20Nosotros/08%20-%20Pescador%20de%20hombres.mp3" TargetMode="External"/><Relationship Id="rId1139" Type="http://schemas.openxmlformats.org/officeDocument/2006/relationships/hyperlink" Target="https://www.youtube.com/watch?v=VLS6ony07Nk" TargetMode="External"/><Relationship Id="rId495" Type="http://schemas.openxmlformats.org/officeDocument/2006/relationships/hyperlink" Target="https://www.maristes.cat/sites/default/files/content/nodes/recurs/file/8742/4magnificat.mp3" TargetMode="External"/><Relationship Id="rId716" Type="http://schemas.openxmlformats.org/officeDocument/2006/relationships/hyperlink" Target="https://www.youtube.com/watch?v=Q1Ze4NaD9Ew" TargetMode="External"/><Relationship Id="rId923" Type="http://schemas.openxmlformats.org/officeDocument/2006/relationships/hyperlink" Target="https://www.youtube.com/watch?v=IkffnCL0BOU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6/trackno02.mp3" TargetMode="External"/><Relationship Id="rId562" Type="http://schemas.openxmlformats.org/officeDocument/2006/relationships/hyperlink" Target="https://www.maristes.cat/sites/default/files/content/nodes/recurs/file/8888/11tepediranlavida.mp3" TargetMode="External"/><Relationship Id="rId1192" Type="http://schemas.openxmlformats.org/officeDocument/2006/relationships/hyperlink" Target="https://www.mercaba.org/Musica/Cesareo%20Gabarain/Liturgia%20y%20Cancion/01%20esperando.mp3" TargetMode="External"/><Relationship Id="rId1206" Type="http://schemas.openxmlformats.org/officeDocument/2006/relationships/hyperlink" Target="https://www.mercaba.org/Musica/Cesareo%20Gabarain/Liturgia%20y%20Cancion/06%20nueva%20vida.mp3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0/11asuimagenysemejanza.mp3" TargetMode="External"/><Relationship Id="rId867" Type="http://schemas.openxmlformats.org/officeDocument/2006/relationships/hyperlink" Target="https://www.youtube.com/watch?v=k9niro6bf1U" TargetMode="External"/><Relationship Id="rId1052" Type="http://schemas.openxmlformats.org/officeDocument/2006/relationships/hyperlink" Target="https://www.youtube.com/watch?v=04NVt3acr6s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vwCVe0mKdPs" TargetMode="External"/><Relationship Id="rId934" Type="http://schemas.openxmlformats.org/officeDocument/2006/relationships/hyperlink" Target="https://www.youtube.com/watch?v=QOyUsQRly0A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7/trackno13.mp3" TargetMode="External"/><Relationship Id="rId573" Type="http://schemas.openxmlformats.org/officeDocument/2006/relationships/hyperlink" Target="https://www.maristes.cat/sites/default/files/content/nodes/recurs/file/8948/13hermanoadios.mp3" TargetMode="External"/><Relationship Id="rId780" Type="http://schemas.openxmlformats.org/officeDocument/2006/relationships/hyperlink" Target="https://www.youtube.com/watch?v=nnFrxZra39I" TargetMode="External"/><Relationship Id="rId1217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4/trackno10.mp3" TargetMode="External"/><Relationship Id="rId878" Type="http://schemas.openxmlformats.org/officeDocument/2006/relationships/hyperlink" Target="https://www.youtube.com/watch?v=RgVSWsDBee8" TargetMode="External"/><Relationship Id="rId1063" Type="http://schemas.openxmlformats.org/officeDocument/2006/relationships/hyperlink" Target="https://www.youtube.com/watch?v=1sd9wQKZNQw" TargetMode="External"/><Relationship Id="rId1270" Type="http://schemas.openxmlformats.org/officeDocument/2006/relationships/hyperlink" Target="https://www.mercaba.org/Musica/Cesareo%20Gabarain/Catequesis%20y%20Cancion/07%20una%20vida%20singular.mp3" TargetMode="External"/><Relationship Id="rId640" Type="http://schemas.openxmlformats.org/officeDocument/2006/relationships/hyperlink" Target="https://www.youtube.com/watch?v=s3ah9LVIprk" TargetMode="External"/><Relationship Id="rId738" Type="http://schemas.openxmlformats.org/officeDocument/2006/relationships/hyperlink" Target="https://www.youtube.com/watch?v=r22uqhWdgOM" TargetMode="External"/><Relationship Id="rId945" Type="http://schemas.openxmlformats.org/officeDocument/2006/relationships/hyperlink" Target="https://www.youtube.com/watch?v=wQoRNoFS_-k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3/11tujesus.mp3" TargetMode="External"/><Relationship Id="rId500" Type="http://schemas.openxmlformats.org/officeDocument/2006/relationships/hyperlink" Target="https://www.maristes.cat/sites/default/files/content/nodes/recurs/file/8748/10tueresdelsenor.mp3" TargetMode="External"/><Relationship Id="rId584" Type="http://schemas.openxmlformats.org/officeDocument/2006/relationships/hyperlink" Target="https://www.maristes.cat/sites/default/files/content/nodes/recurs/file/8736/10mehicieronasi.mp3" TargetMode="External"/><Relationship Id="rId805" Type="http://schemas.openxmlformats.org/officeDocument/2006/relationships/hyperlink" Target="https://www.youtube.com/watch?v=i34kWAIwwbU" TargetMode="External"/><Relationship Id="rId1130" Type="http://schemas.openxmlformats.org/officeDocument/2006/relationships/hyperlink" Target="https://www.youtube.com/watch?v=c4RyIW0bDp0" TargetMode="External"/><Relationship Id="rId1228" Type="http://schemas.openxmlformats.org/officeDocument/2006/relationships/hyperlink" Target="https://www.mercaba.org/Musica/Cesareo%20Gabarain/aclamaciones%20para%20la%20celebracion,%20gabarain%20(m)/18%20aclamacion%20navidad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u5JDSOKxxnQ" TargetMode="External"/><Relationship Id="rId889" Type="http://schemas.openxmlformats.org/officeDocument/2006/relationships/hyperlink" Target="https://www.youtube.com/watch?v=n8Lxe3tdS88" TargetMode="External"/><Relationship Id="rId1074" Type="http://schemas.openxmlformats.org/officeDocument/2006/relationships/hyperlink" Target="https://www.youtube.com/watch?v=Q0T9NrWxbd8" TargetMode="External"/><Relationship Id="rId444" Type="http://schemas.openxmlformats.org/officeDocument/2006/relationships/hyperlink" Target="https://www.maristes.cat/sites/default/files/content/nodes/recurs/file/8873/8padredelasmisericordias.mp3" TargetMode="External"/><Relationship Id="rId651" Type="http://schemas.openxmlformats.org/officeDocument/2006/relationships/hyperlink" Target="https://www.youtube.com/watch?v=4yNJyu7Tazs" TargetMode="External"/><Relationship Id="rId749" Type="http://schemas.openxmlformats.org/officeDocument/2006/relationships/hyperlink" Target="https://www.youtube.com/watch?v=hWzXJz98vII" TargetMode="External"/><Relationship Id="rId1281" Type="http://schemas.openxmlformats.org/officeDocument/2006/relationships/hyperlink" Target="https://www.mercaba.org/Musica/Cesareo%20Gabarain/Dios%20con%20Nosotros/04%20-%20Cristo,%20nuestro%20Salvador.mp3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5/10kikiki.mp3" TargetMode="External"/><Relationship Id="rId511" Type="http://schemas.openxmlformats.org/officeDocument/2006/relationships/hyperlink" Target="https://www.maristes.cat/sites/default/files/content/nodes/recurs/file/8909/9quenonosdenelpanbanadoensangre.mp3" TargetMode="External"/><Relationship Id="rId609" Type="http://schemas.openxmlformats.org/officeDocument/2006/relationships/hyperlink" Target="https://www.maristes.cat/sites/default/files/content/nodes/recurs/file/8763/1pazenlatierra.mp3" TargetMode="External"/><Relationship Id="rId956" Type="http://schemas.openxmlformats.org/officeDocument/2006/relationships/hyperlink" Target="https://www.youtube.com/watch?v=-y5MDGjleA4" TargetMode="External"/><Relationship Id="rId1141" Type="http://schemas.openxmlformats.org/officeDocument/2006/relationships/hyperlink" Target="https://www.youtube.com/watch?v=TUzfRLO_Nes" TargetMode="External"/><Relationship Id="rId1239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1/9pregonpascual.mp3" TargetMode="External"/><Relationship Id="rId816" Type="http://schemas.openxmlformats.org/officeDocument/2006/relationships/hyperlink" Target="https://www.youtube.com/watch?v=gXdX0VFYsdE" TargetMode="External"/><Relationship Id="rId1001" Type="http://schemas.openxmlformats.org/officeDocument/2006/relationships/hyperlink" Target="https://open.spotify.com/intl-es/track/3xOXxHhp0A7jhI1p8fynpD?si=60e9e30ae8994eff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1/2mehasseducidosenor.mp3" TargetMode="External"/><Relationship Id="rId662" Type="http://schemas.openxmlformats.org/officeDocument/2006/relationships/hyperlink" Target="https://www.youtube.com/watch?v=A6PxqOLW_nU" TargetMode="External"/><Relationship Id="rId1085" Type="http://schemas.openxmlformats.org/officeDocument/2006/relationships/hyperlink" Target="https://www.youtube.com/watch?v=GvH7tLV37X4" TargetMode="External"/><Relationship Id="rId1292" Type="http://schemas.openxmlformats.org/officeDocument/2006/relationships/hyperlink" Target="https://www.mercaba.org/Musica/Cesareo%20Gabarain/Dios%20Hombre%20Mundo/12%20-%20Demos%20gracias%20al%20Se%C3%B1or.mp3" TargetMode="External"/><Relationship Id="rId1306" Type="http://schemas.openxmlformats.org/officeDocument/2006/relationships/hyperlink" Target="https://www.youtube.com/watch?v=6eZB0NIW6p4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8/7pequenocorazon.mp3" TargetMode="External"/><Relationship Id="rId967" Type="http://schemas.openxmlformats.org/officeDocument/2006/relationships/hyperlink" Target="https://www.youtube.com/watch?v=m02931E7zn4" TargetMode="External"/><Relationship Id="rId1152" Type="http://schemas.openxmlformats.org/officeDocument/2006/relationships/hyperlink" Target="https://www.youtube.com/watch?v=f_f6yUgCHqA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2/9sonarunmundomasfeliz.mp3" TargetMode="External"/><Relationship Id="rId827" Type="http://schemas.openxmlformats.org/officeDocument/2006/relationships/hyperlink" Target="https://www.youtube.com/watch?v=kYFXO4924cU" TargetMode="External"/><Relationship Id="rId1012" Type="http://schemas.openxmlformats.org/officeDocument/2006/relationships/hyperlink" Target="https://www.youtube.com/watch?v=51seIPuZr2I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2/1jesusessenor.mp3" TargetMode="External"/><Relationship Id="rId673" Type="http://schemas.openxmlformats.org/officeDocument/2006/relationships/hyperlink" Target="https://www.youtube.com/watch?v=UHGO6GMUHuY" TargetMode="External"/><Relationship Id="rId880" Type="http://schemas.openxmlformats.org/officeDocument/2006/relationships/hyperlink" Target="https://www.youtube.com/watch?v=nktGI5wIkx8" TargetMode="External"/><Relationship Id="rId1096" Type="http://schemas.openxmlformats.org/officeDocument/2006/relationships/hyperlink" Target="https://www.youtube.com/watch?v=EdObwcO2lpE" TargetMode="External"/><Relationship Id="rId1317" Type="http://schemas.openxmlformats.org/officeDocument/2006/relationships/printerSettings" Target="../printerSettings/printerSettings1.bin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89/kairoi-profetadelafamilia-04-siempresicelebrare.mp3" TargetMode="External"/><Relationship Id="rId978" Type="http://schemas.openxmlformats.org/officeDocument/2006/relationships/hyperlink" Target="https://open.spotify.com/intl-es/track/45hdRERkPk24IlujX4dlXq?si=4544995abc384cf4" TargetMode="External"/><Relationship Id="rId1163" Type="http://schemas.openxmlformats.org/officeDocument/2006/relationships/hyperlink" Target="https://www.youtube.com/watch?v=_xaaNbGe70g" TargetMode="External"/><Relationship Id="rId740" Type="http://schemas.openxmlformats.org/officeDocument/2006/relationships/hyperlink" Target="https://www.youtube.com/watch?v=d24kzOMC0fA" TargetMode="External"/><Relationship Id="rId838" Type="http://schemas.openxmlformats.org/officeDocument/2006/relationships/hyperlink" Target="https://www.youtube.com/watch?v=2JyC93ZnfWg" TargetMode="External"/><Relationship Id="rId1023" Type="http://schemas.openxmlformats.org/officeDocument/2006/relationships/hyperlink" Target="https://www.youtube.com/watch?v=NpVc6nGwuz0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8725/12cantajerusalen.mp3" TargetMode="External"/><Relationship Id="rId600" Type="http://schemas.openxmlformats.org/officeDocument/2006/relationships/hyperlink" Target="https://www.maristes.cat/sites/default/files/content/nodes/recurs/file/8955/2ysevivelavida.mp3" TargetMode="External"/><Relationship Id="rId684" Type="http://schemas.openxmlformats.org/officeDocument/2006/relationships/hyperlink" Target="https://www.youtube.com/watch?v=svph2ni-aT8" TargetMode="External"/><Relationship Id="rId1230" Type="http://schemas.openxmlformats.org/officeDocument/2006/relationships/hyperlink" Target="https://www.mercaba.org/Musica/Cesareo%20Gabarain/aclamaciones%20para%20la%20celebracion,%20gabarain%20(m)/20%20aclamacion%20pascua.mp3" TargetMode="External"/><Relationship Id="rId337" Type="http://schemas.openxmlformats.org/officeDocument/2006/relationships/hyperlink" Target="https://www.youtube.com/watch?v=O9T7mrMtU40" TargetMode="External"/><Relationship Id="rId891" Type="http://schemas.openxmlformats.org/officeDocument/2006/relationships/hyperlink" Target="https://www.youtube.com/watch?v=mtMx1XR_eVA" TargetMode="External"/><Relationship Id="rId905" Type="http://schemas.openxmlformats.org/officeDocument/2006/relationships/hyperlink" Target="https://www.youtube.com/watch?v=2L3Nkx3CHHE" TargetMode="External"/><Relationship Id="rId989" Type="http://schemas.openxmlformats.org/officeDocument/2006/relationships/hyperlink" Target="https://open.spotify.com/intl-es/track/1AiP0ESlQhVMuzxXpsmcyp?si=291920fa66fa4318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1/5nohayllorosporunninomuerto.mp3" TargetMode="External"/><Relationship Id="rId751" Type="http://schemas.openxmlformats.org/officeDocument/2006/relationships/hyperlink" Target="https://www.youtube.com/watch?v=6liNeAKv9II" TargetMode="External"/><Relationship Id="rId849" Type="http://schemas.openxmlformats.org/officeDocument/2006/relationships/hyperlink" Target="https://www.youtube.com/watch?v=2bal7MXuQs4" TargetMode="External"/><Relationship Id="rId1174" Type="http://schemas.openxmlformats.org/officeDocument/2006/relationships/hyperlink" Target="https://www.youtube.com/watch?v=uPNurLI48FA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787/12xerinola.mp3" TargetMode="External"/><Relationship Id="rId404" Type="http://schemas.openxmlformats.org/officeDocument/2006/relationships/hyperlink" Target="https://www.maristes.cat/sites/default/files/content/nodes/recurs/file/9026/04-somosiglesia.mp3" TargetMode="External"/><Relationship Id="rId611" Type="http://schemas.openxmlformats.org/officeDocument/2006/relationships/hyperlink" Target="https://www.maristes.cat/sites/default/files/content/nodes/recurs/file/8765/3alabotubondad.mp3" TargetMode="External"/><Relationship Id="rId1034" Type="http://schemas.openxmlformats.org/officeDocument/2006/relationships/hyperlink" Target="https://www.youtube.com/watch?v=f3lPKj3FytI" TargetMode="External"/><Relationship Id="rId1241" Type="http://schemas.openxmlformats.org/officeDocument/2006/relationships/hyperlink" Target="https://www.mercaba.org/Musica/Cesareo%20Gabarain/Al%20Atardecer%20de%20la%20Vida/10%20-%20El%20descanso%20eterno.mp3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8759/9hermanitosdemaria.mp3" TargetMode="External"/><Relationship Id="rId695" Type="http://schemas.openxmlformats.org/officeDocument/2006/relationships/hyperlink" Target="https://www.youtube.com/watch?v=BUWYxwx2WnQ" TargetMode="External"/><Relationship Id="rId709" Type="http://schemas.openxmlformats.org/officeDocument/2006/relationships/hyperlink" Target="https://www.youtube.com/watch?v=mCkrIz-CXgQ" TargetMode="External"/><Relationship Id="rId916" Type="http://schemas.openxmlformats.org/officeDocument/2006/relationships/hyperlink" Target="https://www.youtube.com/watch?v=SQQXOKJYv4M" TargetMode="External"/><Relationship Id="rId1101" Type="http://schemas.openxmlformats.org/officeDocument/2006/relationships/hyperlink" Target="https://www.youtube.com/watch?v=3mX_KXHG654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555" Type="http://schemas.openxmlformats.org/officeDocument/2006/relationships/hyperlink" Target="https://www.maristes.cat/sites/default/files/content/nodes/recurs/file/8881/4lalibertadvivedelespiritu.mp3" TargetMode="External"/><Relationship Id="rId762" Type="http://schemas.openxmlformats.org/officeDocument/2006/relationships/hyperlink" Target="https://www.youtube.com/watch?v=qYikNLCKQhc" TargetMode="External"/><Relationship Id="rId1185" Type="http://schemas.openxmlformats.org/officeDocument/2006/relationships/hyperlink" Target="https://www.mercaba.org/Musica/Cesareo%20Gabarain/La%20Fuerza%20del%20Espiritu/02%20-%20A%20donde%20voy.mp3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2/3cartaaungeneral.mp3" TargetMode="External"/><Relationship Id="rId622" Type="http://schemas.openxmlformats.org/officeDocument/2006/relationships/hyperlink" Target="https://www.youtube.com/watch?v=BKouxXuTeME" TargetMode="External"/><Relationship Id="rId1045" Type="http://schemas.openxmlformats.org/officeDocument/2006/relationships/hyperlink" Target="https://www.youtube.com/watch?v=qvuS9PuT0fY" TargetMode="External"/><Relationship Id="rId1252" Type="http://schemas.openxmlformats.org/officeDocument/2006/relationships/hyperlink" Target="https://www.mercaba.org/Musica/Cesareo%20Gabarain/Bendito%20eres%20Se%C3%B1or/08%20-%20Levantate%20Y%20Anda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7/9arcillaentresusmanos.mp3" TargetMode="External"/><Relationship Id="rId927" Type="http://schemas.openxmlformats.org/officeDocument/2006/relationships/hyperlink" Target="https://www.youtube.com/watch?v=lMD9lqxEOdY" TargetMode="External"/><Relationship Id="rId1112" Type="http://schemas.openxmlformats.org/officeDocument/2006/relationships/hyperlink" Target="https://www.youtube.com/watch?v=owXLVlK6UbY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0/trackno06.mp3" TargetMode="External"/><Relationship Id="rId566" Type="http://schemas.openxmlformats.org/officeDocument/2006/relationships/hyperlink" Target="https://www.maristes.cat/sites/default/files/content/nodes/recurs/file/8938/3construyenoslacasa.mp3" TargetMode="External"/><Relationship Id="rId773" Type="http://schemas.openxmlformats.org/officeDocument/2006/relationships/hyperlink" Target="https://www.youtube.com/watch?v=4jdTKrvnBQY" TargetMode="External"/><Relationship Id="rId1196" Type="http://schemas.openxmlformats.org/officeDocument/2006/relationships/hyperlink" Target="https://www.mercaba.org/Musica/Cesareo%20Gabarain/La%20Misa%20es%20una%20Fiesta/14%20la%20misa%20no%20termina.mp3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6/trackno02.mp3" TargetMode="External"/><Relationship Id="rId633" Type="http://schemas.openxmlformats.org/officeDocument/2006/relationships/hyperlink" Target="https://www.youtube.com/watch?v=HXz2iuN3pDE" TargetMode="External"/><Relationship Id="rId980" Type="http://schemas.openxmlformats.org/officeDocument/2006/relationships/hyperlink" Target="https://open.spotify.com/intl-es/track/6IbstxKB9xS9RuQqDYTMks?si=823f8686723b438c" TargetMode="External"/><Relationship Id="rId1056" Type="http://schemas.openxmlformats.org/officeDocument/2006/relationships/hyperlink" Target="https://www.youtube.com/watch?v=p3KxOnwly-s" TargetMode="External"/><Relationship Id="rId1263" Type="http://schemas.openxmlformats.org/officeDocument/2006/relationships/hyperlink" Target="https://www.mercaba.org/Musica/Cesareo%20Gabarain/Cantando%20Venimos/09%20-%20Plegaria%20eucar%C3%ADstica%20II.mp3" TargetMode="External"/><Relationship Id="rId840" Type="http://schemas.openxmlformats.org/officeDocument/2006/relationships/hyperlink" Target="https://www.youtube.com/watch?v=J3uXT8NqbFg" TargetMode="External"/><Relationship Id="rId938" Type="http://schemas.openxmlformats.org/officeDocument/2006/relationships/hyperlink" Target="https://www.youtube.com/watch?v=sDh87ZVsOzA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28/03mananaquiensabra.mp3" TargetMode="External"/><Relationship Id="rId700" Type="http://schemas.openxmlformats.org/officeDocument/2006/relationships/hyperlink" Target="https://www.youtube.com/watch?v=RvZpVRLfAbc" TargetMode="External"/><Relationship Id="rId1123" Type="http://schemas.openxmlformats.org/officeDocument/2006/relationships/hyperlink" Target="https://www.youtube.com/watch?v=f0LSzwq2nY4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eHJgXYCzfG0" TargetMode="External"/><Relationship Id="rId991" Type="http://schemas.openxmlformats.org/officeDocument/2006/relationships/hyperlink" Target="https://open.spotify.com/intl-es/track/5Bbi2OqBscgsb9GLPPvIeY?si=e179971c09254637" TargetMode="External"/><Relationship Id="rId1067" Type="http://schemas.openxmlformats.org/officeDocument/2006/relationships/hyperlink" Target="https://www.youtube.com/watch?v=DmEKZL8xxHA" TargetMode="External"/><Relationship Id="rId437" Type="http://schemas.openxmlformats.org/officeDocument/2006/relationships/hyperlink" Target="https://www.maristes.cat/sites/default/files/content/nodes/recurs/file/8866/1clarahijadelaluz.mp3" TargetMode="External"/><Relationship Id="rId644" Type="http://schemas.openxmlformats.org/officeDocument/2006/relationships/hyperlink" Target="https://www.youtube.com/watch?v=eOBu5UoUIjk" TargetMode="External"/><Relationship Id="rId851" Type="http://schemas.openxmlformats.org/officeDocument/2006/relationships/hyperlink" Target="https://www.youtube.com/watch?v=TEt70DEsH_Y" TargetMode="External"/><Relationship Id="rId1274" Type="http://schemas.openxmlformats.org/officeDocument/2006/relationships/hyperlink" Target="https://www.mercaba.org/Musica/Cesareo%20Gabarain/Catequesis%20y%20Cancion/11%20se%20muy%20bien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1/11testamentoespiritual.mp3" TargetMode="External"/><Relationship Id="rId504" Type="http://schemas.openxmlformats.org/officeDocument/2006/relationships/hyperlink" Target="https://www.maristes.cat/sites/default/files/content/nodes/recurs/file/8902/2latinoamerica.mp3" TargetMode="External"/><Relationship Id="rId711" Type="http://schemas.openxmlformats.org/officeDocument/2006/relationships/hyperlink" Target="https://www.youtube.com/watch?v=YhJY2Yk3dp0" TargetMode="External"/><Relationship Id="rId949" Type="http://schemas.openxmlformats.org/officeDocument/2006/relationships/hyperlink" Target="https://www.youtube.com/watch?v=B4yUBi6qlPE" TargetMode="External"/><Relationship Id="rId1134" Type="http://schemas.openxmlformats.org/officeDocument/2006/relationships/hyperlink" Target="https://www.youtube.com/watch?v=aVlNChN4pFI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GXgDkfu0eCM" TargetMode="External"/><Relationship Id="rId588" Type="http://schemas.openxmlformats.org/officeDocument/2006/relationships/hyperlink" Target="https://www.maristes.cat/sites/default/files/content/nodes/recurs/file/8805/3enlacruznosdaslavida.mp3" TargetMode="External"/><Relationship Id="rId795" Type="http://schemas.openxmlformats.org/officeDocument/2006/relationships/hyperlink" Target="https://www.youtube.com/watch?v=xfmynEaYmU8" TargetMode="External"/><Relationship Id="rId809" Type="http://schemas.openxmlformats.org/officeDocument/2006/relationships/hyperlink" Target="https://www.youtube.com/watch?v=r2qPCFvjB7w" TargetMode="External"/><Relationship Id="rId1201" Type="http://schemas.openxmlformats.org/officeDocument/2006/relationships/hyperlink" Target="https://www.youtube.com/watch?v=KZ6ZjyyZNLE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88/1jesusesverdad.mp3" TargetMode="External"/><Relationship Id="rId655" Type="http://schemas.openxmlformats.org/officeDocument/2006/relationships/hyperlink" Target="https://www.youtube.com/watch?v=HBQkgtySUQM" TargetMode="External"/><Relationship Id="rId862" Type="http://schemas.openxmlformats.org/officeDocument/2006/relationships/hyperlink" Target="https://www.youtube.com/watch?v=PM7fWcQsnUw" TargetMode="External"/><Relationship Id="rId1078" Type="http://schemas.openxmlformats.org/officeDocument/2006/relationships/hyperlink" Target="https://www.youtube.com/watch?v=Fcug9JfTMnw" TargetMode="External"/><Relationship Id="rId1285" Type="http://schemas.openxmlformats.org/officeDocument/2006/relationships/hyperlink" Target="https://www.mercaba.org/Musica/Cesareo%20Gabarain/Dios%20Hombre%20Mundo/01%20-%20Por%20el%20aire%20vuela%20el%20p%C3%A1jaro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13/13depuraraza.mp3" TargetMode="External"/><Relationship Id="rId722" Type="http://schemas.openxmlformats.org/officeDocument/2006/relationships/hyperlink" Target="https://www.youtube.com/watch?v=tbsRAE0DLVM" TargetMode="External"/><Relationship Id="rId1145" Type="http://schemas.openxmlformats.org/officeDocument/2006/relationships/hyperlink" Target="https://www.youtube.com/watch?v=hGT1-iaMO3I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2/trackno08.mp3" TargetMode="External"/><Relationship Id="rId599" Type="http://schemas.openxmlformats.org/officeDocument/2006/relationships/hyperlink" Target="https://www.maristes.cat/sites/default/files/content/nodes/recurs/file/8954/1seguiramando.mp3" TargetMode="External"/><Relationship Id="rId1005" Type="http://schemas.openxmlformats.org/officeDocument/2006/relationships/hyperlink" Target="https://open.spotify.com/intl-es/track/3qyzsR8y6ZqP1iRwxP5vpB?si=f88ceaba5dc447e9" TargetMode="External"/><Relationship Id="rId1212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459" Type="http://schemas.openxmlformats.org/officeDocument/2006/relationships/hyperlink" Target="https://www.maristes.cat/sites/default/files/content/nodes/recurs/file/8855/6senoryonosoydigno.mp3" TargetMode="External"/><Relationship Id="rId666" Type="http://schemas.openxmlformats.org/officeDocument/2006/relationships/hyperlink" Target="https://www.youtube.com/watch?v=V2DwSllqWZw" TargetMode="External"/><Relationship Id="rId873" Type="http://schemas.openxmlformats.org/officeDocument/2006/relationships/hyperlink" Target="https://www.youtube.com/watch?v=qIXB0br_ctc" TargetMode="External"/><Relationship Id="rId1089" Type="http://schemas.openxmlformats.org/officeDocument/2006/relationships/hyperlink" Target="https://www.youtube.com/watch?v=z9cOGxgU5wk" TargetMode="External"/><Relationship Id="rId1296" Type="http://schemas.openxmlformats.org/officeDocument/2006/relationships/hyperlink" Target="https://www.youtube.com/watch?v=PH2HbPv8xkY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2/11alastresdelatarde.mp3" TargetMode="External"/><Relationship Id="rId1156" Type="http://schemas.openxmlformats.org/officeDocument/2006/relationships/hyperlink" Target="https://www.youtube.com/watch?v=9dWgy79NBHc" TargetMode="External"/><Relationship Id="rId733" Type="http://schemas.openxmlformats.org/officeDocument/2006/relationships/hyperlink" Target="https://www.youtube.com/watch?v=9RWGkSz_dX4" TargetMode="External"/><Relationship Id="rId940" Type="http://schemas.openxmlformats.org/officeDocument/2006/relationships/hyperlink" Target="https://www.youtube.com/watch?v=ecuHob18VYY" TargetMode="External"/><Relationship Id="rId1016" Type="http://schemas.openxmlformats.org/officeDocument/2006/relationships/hyperlink" Target="https://www.youtube.com/watch?v=7CuAQHo-k-k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7/5marialamadrebuena.mp3" TargetMode="External"/><Relationship Id="rId677" Type="http://schemas.openxmlformats.org/officeDocument/2006/relationships/hyperlink" Target="https://www.youtube.com/watch?v=2B9x8InUa5w" TargetMode="External"/><Relationship Id="rId800" Type="http://schemas.openxmlformats.org/officeDocument/2006/relationships/hyperlink" Target="https://www.youtube.com/watch?v=ba9NpRJCfiQ" TargetMode="External"/><Relationship Id="rId1223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4LfFg_kLHq4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3/kairoi-profetadelafamilia-08-tumirada.mp3" TargetMode="External"/><Relationship Id="rId744" Type="http://schemas.openxmlformats.org/officeDocument/2006/relationships/hyperlink" Target="https://www.youtube.com/watch?v=m1-TkJA8K7c" TargetMode="External"/><Relationship Id="rId951" Type="http://schemas.openxmlformats.org/officeDocument/2006/relationships/hyperlink" Target="https://www.youtube.com/watch?v=YVY4vSPc1C0" TargetMode="External"/><Relationship Id="rId1167" Type="http://schemas.openxmlformats.org/officeDocument/2006/relationships/hyperlink" Target="https://www.youtube.com/watch?v=otD_GSHLHgk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79/5eldinosaurio.mp3" TargetMode="External"/><Relationship Id="rId590" Type="http://schemas.openxmlformats.org/officeDocument/2006/relationships/hyperlink" Target="https://www.maristes.cat/sites/default/files/content/nodes/recurs/file/8807/5mariamadredeldolor.mp3" TargetMode="External"/><Relationship Id="rId604" Type="http://schemas.openxmlformats.org/officeDocument/2006/relationships/hyperlink" Target="https://www.maristes.cat/sites/default/files/content/nodes/recurs/file/8960/6alfonsahermanayamiga.mp3" TargetMode="External"/><Relationship Id="rId811" Type="http://schemas.openxmlformats.org/officeDocument/2006/relationships/hyperlink" Target="https://www.youtube.com/watch?v=PXaO49H64rs" TargetMode="External"/><Relationship Id="rId1027" Type="http://schemas.openxmlformats.org/officeDocument/2006/relationships/hyperlink" Target="https://www.youtube.com/watch?v=3YeyAI09Elg" TargetMode="External"/><Relationship Id="rId1234" Type="http://schemas.openxmlformats.org/officeDocument/2006/relationships/hyperlink" Target="https://www.mercaba.org/Musica/Cesareo%20Gabarain/Al%20Atardecer%20de%20la%20Vida/03%20-%20Que%20los%20%C3%A1ngeles%20te%20lleven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1/4nino.mp3" TargetMode="External"/><Relationship Id="rId688" Type="http://schemas.openxmlformats.org/officeDocument/2006/relationships/hyperlink" Target="https://www.youtube.com/watch?v=8ke4CsNDfN0" TargetMode="External"/><Relationship Id="rId895" Type="http://schemas.openxmlformats.org/officeDocument/2006/relationships/hyperlink" Target="https://www.youtube.com/watch?v=dWbjPRB7O1w" TargetMode="External"/><Relationship Id="rId909" Type="http://schemas.openxmlformats.org/officeDocument/2006/relationships/hyperlink" Target="https://www.youtube.com/watch?v=UqyH3j-nhmU" TargetMode="External"/><Relationship Id="rId1080" Type="http://schemas.openxmlformats.org/officeDocument/2006/relationships/hyperlink" Target="https://www.youtube.com/watch?v=CBEhUL5vyc8" TargetMode="External"/><Relationship Id="rId1301" Type="http://schemas.openxmlformats.org/officeDocument/2006/relationships/hyperlink" Target="https://www.youtube.com/watch?v=mB7qXih-1e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5/9tusonrisanolavi.mp3" TargetMode="External"/><Relationship Id="rId755" Type="http://schemas.openxmlformats.org/officeDocument/2006/relationships/hyperlink" Target="https://www.youtube.com/watch?v=qzqdu9SzdUA" TargetMode="External"/><Relationship Id="rId962" Type="http://schemas.openxmlformats.org/officeDocument/2006/relationships/hyperlink" Target="https://www.youtube.com/watch?v=dbdoPhG1LKw" TargetMode="External"/><Relationship Id="rId1178" Type="http://schemas.openxmlformats.org/officeDocument/2006/relationships/hyperlink" Target="https://www.youtube.com/watch?v=BMZInnJ40pE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7/4consencillocorazon.mp3" TargetMode="External"/><Relationship Id="rId408" Type="http://schemas.openxmlformats.org/officeDocument/2006/relationships/hyperlink" Target="https://www.maristes.cat/sites/default/files/content/nodes/recurs/file/9030/08-padredelhombre.mp3" TargetMode="External"/><Relationship Id="rId615" Type="http://schemas.openxmlformats.org/officeDocument/2006/relationships/hyperlink" Target="https://www.maristes.cat/sites/default/files/content/nodes/recurs/file/8769/7tusenor.mp3" TargetMode="External"/><Relationship Id="rId822" Type="http://schemas.openxmlformats.org/officeDocument/2006/relationships/hyperlink" Target="https://www.youtube.com/watch?v=y124lUn49WQ" TargetMode="External"/><Relationship Id="rId1038" Type="http://schemas.openxmlformats.org/officeDocument/2006/relationships/hyperlink" Target="https://www.youtube.com/watch?v=Yncstu1OEk4" TargetMode="External"/><Relationship Id="rId1245" Type="http://schemas.openxmlformats.org/officeDocument/2006/relationships/hyperlink" Target="https://www.mercaba.org/Musica/Cesareo%20Gabarain/Bendito%20eres%20Se%C3%B1or/01%20-%20La%20Alegria%20En%20El%20Perd%C3%B3n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TpsyCkKu26c" TargetMode="External"/><Relationship Id="rId1091" Type="http://schemas.openxmlformats.org/officeDocument/2006/relationships/hyperlink" Target="https://www.youtube.com/watch?v=7wBtBjYhVeI" TargetMode="External"/><Relationship Id="rId1105" Type="http://schemas.openxmlformats.org/officeDocument/2006/relationships/hyperlink" Target="https://www.youtube.com/watch?v=TlP4FNMFlrU" TargetMode="External"/><Relationship Id="rId1312" Type="http://schemas.openxmlformats.org/officeDocument/2006/relationships/hyperlink" Target="https://www.youtube.com/watch?v=J6tEJUJRGY0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1/8senormetienesanteti.mp3" TargetMode="External"/><Relationship Id="rId559" Type="http://schemas.openxmlformats.org/officeDocument/2006/relationships/hyperlink" Target="https://www.maristes.cat/sites/default/files/content/nodes/recurs/file/8885/8esmejorhablarcondios.mp3" TargetMode="External"/><Relationship Id="rId766" Type="http://schemas.openxmlformats.org/officeDocument/2006/relationships/hyperlink" Target="https://www.youtube.com/watch?v=POFPSgWaMbY" TargetMode="External"/><Relationship Id="rId1189" Type="http://schemas.openxmlformats.org/officeDocument/2006/relationships/hyperlink" Target="https://www.mercaba.org/Musica/Cesareo%20Gabarain/Liturgia%20y%20Cancion/15%20el%20ni%C3%B1o%20dios.mp3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7/8enquemundovives.mp3" TargetMode="External"/><Relationship Id="rId626" Type="http://schemas.openxmlformats.org/officeDocument/2006/relationships/hyperlink" Target="https://www.youtube.com/watch?v=ZYLTEIGMYjw" TargetMode="External"/><Relationship Id="rId973" Type="http://schemas.openxmlformats.org/officeDocument/2006/relationships/hyperlink" Target="https://www.youtube.com/watch?v=vlZ3Nc9Ubf0" TargetMode="External"/><Relationship Id="rId1049" Type="http://schemas.openxmlformats.org/officeDocument/2006/relationships/hyperlink" Target="https://www.youtube.com/watch?v=RII6STqpNG0" TargetMode="External"/><Relationship Id="rId1256" Type="http://schemas.openxmlformats.org/officeDocument/2006/relationships/hyperlink" Target="https://www.mercaba.org/Musica/Cesareo%20Gabarain/Cantando%20Venimos/02%20-%20Gloria%20a%20Dios.mp3" TargetMode="External"/><Relationship Id="rId833" Type="http://schemas.openxmlformats.org/officeDocument/2006/relationships/hyperlink" Target="https://www.youtube.com/watch?v=u9AN17vglfE" TargetMode="External"/><Relationship Id="rId1116" Type="http://schemas.openxmlformats.org/officeDocument/2006/relationships/hyperlink" Target="https://www.youtube.com/watch?v=vILPEFlhGtM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0/7vensenorjesus.mp3" TargetMode="External"/><Relationship Id="rId900" Type="http://schemas.openxmlformats.org/officeDocument/2006/relationships/hyperlink" Target="https://www.youtube.com/watch?v=cpsPNa8mB14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UwEar1JhMYI" TargetMode="External"/><Relationship Id="rId984" Type="http://schemas.openxmlformats.org/officeDocument/2006/relationships/hyperlink" Target="https://open.spotify.com/intl-es/track/5qspUpcBqHzdozbLPrCSFZ?si=7849e67df0ac418f" TargetMode="External"/><Relationship Id="rId637" Type="http://schemas.openxmlformats.org/officeDocument/2006/relationships/hyperlink" Target="https://www.youtube.com/watch?v=06KdbYF8Q6Y" TargetMode="External"/><Relationship Id="rId844" Type="http://schemas.openxmlformats.org/officeDocument/2006/relationships/hyperlink" Target="https://www.youtube.com/watch?v=TcVPy1H66A8" TargetMode="External"/><Relationship Id="rId1267" Type="http://schemas.openxmlformats.org/officeDocument/2006/relationships/hyperlink" Target="https://www.mercaba.org/Musica/Cesareo%20Gabarain/Catequesis%20y%20Cancion/04%20creo%20en%20ti%20se%C3%B1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1/1unhimnosurgira.mp3" TargetMode="External"/><Relationship Id="rId690" Type="http://schemas.openxmlformats.org/officeDocument/2006/relationships/hyperlink" Target="https://www.youtube.com/watch?v=sJyIpYxlvqs" TargetMode="External"/><Relationship Id="rId704" Type="http://schemas.openxmlformats.org/officeDocument/2006/relationships/hyperlink" Target="https://www.youtube.com/watch?v=7bxo4YH1jpg" TargetMode="External"/><Relationship Id="rId911" Type="http://schemas.openxmlformats.org/officeDocument/2006/relationships/hyperlink" Target="https://www.youtube.com/watch?v=wtsXEFvqpNo" TargetMode="External"/><Relationship Id="rId1127" Type="http://schemas.openxmlformats.org/officeDocument/2006/relationships/hyperlink" Target="https://www.youtube.com/watch?v=8O9zFr7y77A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9-3PBwLcCQo" TargetMode="External"/><Relationship Id="rId550" Type="http://schemas.openxmlformats.org/officeDocument/2006/relationships/hyperlink" Target="https://www.maristes.cat/sites/default/files/content/nodes/recurs/file/8847/11memuerodehambre.mp3" TargetMode="External"/><Relationship Id="rId788" Type="http://schemas.openxmlformats.org/officeDocument/2006/relationships/hyperlink" Target="https://www.youtube.com/watch?v=a4M8Pd7q7Xg" TargetMode="External"/><Relationship Id="rId995" Type="http://schemas.openxmlformats.org/officeDocument/2006/relationships/hyperlink" Target="https://open.spotify.com/intl-es/track/7eC1exbRtDsvs1yHSPl1tM?si=088ffd5a6fb1499f" TargetMode="External"/><Relationship Id="rId1180" Type="http://schemas.openxmlformats.org/officeDocument/2006/relationships/hyperlink" Target="https://www.youtube.com/watch?v=X45U3_mdzyU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rUsxwIHWjk0" TargetMode="External"/><Relationship Id="rId855" Type="http://schemas.openxmlformats.org/officeDocument/2006/relationships/hyperlink" Target="https://www.youtube.com/watch?v=TzEunLam4xo" TargetMode="External"/><Relationship Id="rId1040" Type="http://schemas.openxmlformats.org/officeDocument/2006/relationships/hyperlink" Target="https://www.youtube.com/watch?v=if3U2fFvnQI" TargetMode="External"/><Relationship Id="rId1278" Type="http://schemas.openxmlformats.org/officeDocument/2006/relationships/hyperlink" Target="https://www.mercaba.org/Musica/Cesareo%20Gabarain/Catequesis%20y%20Cancion/15%20cancion%20de%20juventud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2/10-sientotudolor.mp3" TargetMode="External"/><Relationship Id="rId494" Type="http://schemas.openxmlformats.org/officeDocument/2006/relationships/hyperlink" Target="https://www.maristes.cat/sites/default/files/content/nodes/recurs/file/8741/3madredeloshijospobres.mp3" TargetMode="External"/><Relationship Id="rId508" Type="http://schemas.openxmlformats.org/officeDocument/2006/relationships/hyperlink" Target="https://www.maristes.cat/sites/default/files/content/nodes/recurs/file/8906/6lamula.mp3" TargetMode="External"/><Relationship Id="rId715" Type="http://schemas.openxmlformats.org/officeDocument/2006/relationships/hyperlink" Target="https://www.youtube.com/watch?v=pi-j7Ume4KU" TargetMode="External"/><Relationship Id="rId922" Type="http://schemas.openxmlformats.org/officeDocument/2006/relationships/hyperlink" Target="https://www.youtube.com/watch?v=JQ0DxtLXOek" TargetMode="External"/><Relationship Id="rId1138" Type="http://schemas.openxmlformats.org/officeDocument/2006/relationships/hyperlink" Target="https://www.youtube.com/watch?v=WtNo-RjmcBM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5/trackno01.mp3" TargetMode="External"/><Relationship Id="rId799" Type="http://schemas.openxmlformats.org/officeDocument/2006/relationships/hyperlink" Target="https://www.youtube.com/watch?v=6dKNkU_vNKs" TargetMode="External"/><Relationship Id="rId1191" Type="http://schemas.openxmlformats.org/officeDocument/2006/relationships/hyperlink" Target="https://www.mercaba.org/Musica/Cesareo%20Gabarain/La%20Fuerza%20del%20Espiritu/04%20-%20Dichoso%20el%20que%20ama.mp3" TargetMode="External"/><Relationship Id="rId1205" Type="http://schemas.openxmlformats.org/officeDocument/2006/relationships/hyperlink" Target="https://www.mercaba.org/Musica/Cesareo%20Gabarain/Liturgia%20y%20Cancion/07%20una%20espiga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7/10sontestigos.mp3" TargetMode="External"/><Relationship Id="rId659" Type="http://schemas.openxmlformats.org/officeDocument/2006/relationships/hyperlink" Target="https://www.youtube.com/watch?v=ceNH003raFI" TargetMode="External"/><Relationship Id="rId866" Type="http://schemas.openxmlformats.org/officeDocument/2006/relationships/hyperlink" Target="https://www.youtube.com/watch?v=3kh9igqJvIQ" TargetMode="External"/><Relationship Id="rId1289" Type="http://schemas.openxmlformats.org/officeDocument/2006/relationships/hyperlink" Target="https://www.mercaba.org/Musica/Cesareo%20Gabarain/Dios%20Hombre%20Mundo/05%20-%20L%C3%A1mpara%20de%20barro.mp3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19/10undiosquehuele.mp3" TargetMode="External"/><Relationship Id="rId519" Type="http://schemas.openxmlformats.org/officeDocument/2006/relationships/hyperlink" Target="https://www.maristes.cat/sites/default/files/content/nodes/recurs/file/8975/4danostuespiritu.mp3" TargetMode="External"/><Relationship Id="rId1051" Type="http://schemas.openxmlformats.org/officeDocument/2006/relationships/hyperlink" Target="https://www.youtube.com/watch?v=9n_qgN58_Pk" TargetMode="External"/><Relationship Id="rId1149" Type="http://schemas.openxmlformats.org/officeDocument/2006/relationships/hyperlink" Target="https://www.youtube.com/watch?v=uL_-6eG4Gts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FJGbSahSwjw" TargetMode="External"/><Relationship Id="rId933" Type="http://schemas.openxmlformats.org/officeDocument/2006/relationships/hyperlink" Target="https://www.youtube.com/watch?v=C9dNLZ8XhTw" TargetMode="External"/><Relationship Id="rId1009" Type="http://schemas.openxmlformats.org/officeDocument/2006/relationships/hyperlink" Target="https://www.youtube.com/watch?v=k3Bi49pML-w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6/trackno12.mp3" TargetMode="External"/><Relationship Id="rId572" Type="http://schemas.openxmlformats.org/officeDocument/2006/relationships/hyperlink" Target="https://www.maristes.cat/sites/default/files/content/nodes/recurs/file/8947/12acuerdatemaria.mp3" TargetMode="External"/><Relationship Id="rId1216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1/trackno07.mp3" TargetMode="External"/><Relationship Id="rId877" Type="http://schemas.openxmlformats.org/officeDocument/2006/relationships/hyperlink" Target="https://www.youtube.com/watch?v=h02A4Rcp3RM" TargetMode="External"/><Relationship Id="rId1062" Type="http://schemas.openxmlformats.org/officeDocument/2006/relationships/hyperlink" Target="https://www.youtube.com/watch?v=sr5WqYk4GxM" TargetMode="External"/><Relationship Id="rId737" Type="http://schemas.openxmlformats.org/officeDocument/2006/relationships/hyperlink" Target="https://www.youtube.com/watch?v=vGEwtfIkMV8" TargetMode="External"/><Relationship Id="rId944" Type="http://schemas.openxmlformats.org/officeDocument/2006/relationships/hyperlink" Target="https://www.youtube.com/watch?v=JDduda_l7QM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2/10cantodemaria.mp3" TargetMode="External"/><Relationship Id="rId583" Type="http://schemas.openxmlformats.org/officeDocument/2006/relationships/hyperlink" Target="https://www.maristes.cat/sites/default/files/content/nodes/recurs/file/8735/09notengoanadie.mp3" TargetMode="External"/><Relationship Id="rId790" Type="http://schemas.openxmlformats.org/officeDocument/2006/relationships/hyperlink" Target="https://www.youtube.com/watch?v=zUed26NaIz0" TargetMode="External"/><Relationship Id="rId804" Type="http://schemas.openxmlformats.org/officeDocument/2006/relationships/hyperlink" Target="https://www.youtube.com/watch?v=2Es8vuYZvhg" TargetMode="External"/><Relationship Id="rId1227" Type="http://schemas.openxmlformats.org/officeDocument/2006/relationships/hyperlink" Target="https://www.mercaba.org/Musica/Cesareo%20Gabarain/aclamaciones%20para%20la%20celebracion,%20gabarain%20(m)/17%20aclamacion%20adviento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2/7oracionasanfrancisco.mp3" TargetMode="External"/><Relationship Id="rId650" Type="http://schemas.openxmlformats.org/officeDocument/2006/relationships/hyperlink" Target="https://www.youtube.com/watch?v=HP0E62Vb1tI" TargetMode="External"/><Relationship Id="rId888" Type="http://schemas.openxmlformats.org/officeDocument/2006/relationships/hyperlink" Target="https://www.youtube.com/watch?v=44YVarFD5A8" TargetMode="External"/><Relationship Id="rId1073" Type="http://schemas.openxmlformats.org/officeDocument/2006/relationships/hyperlink" Target="https://www.youtube.com/watch?v=tr3XrswwoNk" TargetMode="External"/><Relationship Id="rId1280" Type="http://schemas.openxmlformats.org/officeDocument/2006/relationships/hyperlink" Target="https://www.mercaba.org/Musica/Cesareo%20Gabarain/Dios%20con%20Nosotros/03%20-%20Bendito%20seas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yTtfvJTUZtg" TargetMode="External"/><Relationship Id="rId955" Type="http://schemas.openxmlformats.org/officeDocument/2006/relationships/hyperlink" Target="https://www.youtube.com/watch?v=cYVMWpDDlqY" TargetMode="External"/><Relationship Id="rId1140" Type="http://schemas.openxmlformats.org/officeDocument/2006/relationships/hyperlink" Target="https://www.youtube.com/watch?v=wsPIcCKJFDA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4/9alnacerelnuevodia.mp3" TargetMode="External"/><Relationship Id="rId510" Type="http://schemas.openxmlformats.org/officeDocument/2006/relationships/hyperlink" Target="https://www.maristes.cat/sites/default/files/content/nodes/recurs/file/8908/8elbrujomugandino.mp3" TargetMode="External"/><Relationship Id="rId594" Type="http://schemas.openxmlformats.org/officeDocument/2006/relationships/hyperlink" Target="https://www.maristes.cat/sites/default/files/content/nodes/recurs/file/8810/8vengatureino.mp3" TargetMode="External"/><Relationship Id="rId608" Type="http://schemas.openxmlformats.org/officeDocument/2006/relationships/hyperlink" Target="https://www.maristes.cat/sites/default/files/content/nodes/recurs/file/8966/10suena.mp3" TargetMode="External"/><Relationship Id="rId815" Type="http://schemas.openxmlformats.org/officeDocument/2006/relationships/hyperlink" Target="https://www.youtube.com/watch?v=wVgFMm2OtTU" TargetMode="External"/><Relationship Id="rId1238" Type="http://schemas.openxmlformats.org/officeDocument/2006/relationships/hyperlink" Target="https://www.mercaba.org/Musica/Cesareo%20Gabarain/Al%20Atardecer%20de%20la%20Vida/07%20-%20Yo%20soy%20el%20pan%20de%20la%20vid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yJdvAzVPNJQ" TargetMode="External"/><Relationship Id="rId1000" Type="http://schemas.openxmlformats.org/officeDocument/2006/relationships/hyperlink" Target="https://open.spotify.com/intl-es/track/4OoVaD7BKohRJsia101fQ1?si=fb4a693f9fdb4f65" TargetMode="External"/><Relationship Id="rId1084" Type="http://schemas.openxmlformats.org/officeDocument/2006/relationships/hyperlink" Target="https://www.youtube.com/watch?v=faAcS5uS_6I" TargetMode="External"/><Relationship Id="rId1305" Type="http://schemas.openxmlformats.org/officeDocument/2006/relationships/hyperlink" Target="https://www.youtube.com/watch?v=0XMbYZwSFmI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0/1ereselfuegoelamor.mp3" TargetMode="External"/><Relationship Id="rId661" Type="http://schemas.openxmlformats.org/officeDocument/2006/relationships/hyperlink" Target="https://www.youtube.com/watch?v=p2U_BQdrb6w" TargetMode="External"/><Relationship Id="rId759" Type="http://schemas.openxmlformats.org/officeDocument/2006/relationships/hyperlink" Target="https://www.youtube.com/watch?v=3QK_-Pw-5KE" TargetMode="External"/><Relationship Id="rId966" Type="http://schemas.openxmlformats.org/officeDocument/2006/relationships/hyperlink" Target="https://www.youtube.com/watch?v=9rqToBR9OL0" TargetMode="External"/><Relationship Id="rId1291" Type="http://schemas.openxmlformats.org/officeDocument/2006/relationships/hyperlink" Target="https://www.mercaba.org/Musica/Cesareo%20Gabarain/Dios%20Hombre%20Mundo/10%20-%20Padre%20bueno,%20Dios%20alegre.mp3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1/8mantasdecarton.mp3" TargetMode="External"/><Relationship Id="rId521" Type="http://schemas.openxmlformats.org/officeDocument/2006/relationships/hyperlink" Target="https://www.maristes.cat/sites/default/files/content/nodes/recurs/file/8977/6gloria.mp3" TargetMode="External"/><Relationship Id="rId619" Type="http://schemas.openxmlformats.org/officeDocument/2006/relationships/hyperlink" Target="https://www.maristes.cat/sites/default/files/content/nodes/recurs/file/8773/11amaos.mp3" TargetMode="External"/><Relationship Id="rId1151" Type="http://schemas.openxmlformats.org/officeDocument/2006/relationships/hyperlink" Target="https://www.youtube.com/watch?v=B7RjgdWWhAA" TargetMode="External"/><Relationship Id="rId1249" Type="http://schemas.openxmlformats.org/officeDocument/2006/relationships/hyperlink" Target="https://www.mercaba.org/Musica/Cesareo%20Gabarain/Bendito%20eres%20Se%C3%B1or/05%20-%20Cantando%20De%20Alegria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sSiMvxoqYZE" TargetMode="External"/><Relationship Id="rId1011" Type="http://schemas.openxmlformats.org/officeDocument/2006/relationships/hyperlink" Target="https://www.youtube.com/watch?v=rL6gg12eE98" TargetMode="External"/><Relationship Id="rId1109" Type="http://schemas.openxmlformats.org/officeDocument/2006/relationships/hyperlink" Target="https://www.youtube.com/watch?v=2m3sI-6SyMg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865/12nacidosdelacruz.mp3" TargetMode="External"/><Relationship Id="rId672" Type="http://schemas.openxmlformats.org/officeDocument/2006/relationships/hyperlink" Target="https://www.youtube.com/watch?v=TxrkTH4keL4" TargetMode="External"/><Relationship Id="rId1095" Type="http://schemas.openxmlformats.org/officeDocument/2006/relationships/hyperlink" Target="https://www.youtube.com/watch?v=R3fAEFB---w" TargetMode="External"/><Relationship Id="rId1316" Type="http://schemas.openxmlformats.org/officeDocument/2006/relationships/hyperlink" Target="https://www.youtube.com/watch?v=DLRnhn_xSDY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8/kairoi-profetadelafamilia-03-comotu.mp3" TargetMode="External"/><Relationship Id="rId977" Type="http://schemas.openxmlformats.org/officeDocument/2006/relationships/hyperlink" Target="https://www.youtube.com/watch?v=wCMsCF8HMuA" TargetMode="External"/><Relationship Id="rId1162" Type="http://schemas.openxmlformats.org/officeDocument/2006/relationships/hyperlink" Target="https://www.youtube.com/watch?v=ytapsgp6tEY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ZEGAQNARgbc" TargetMode="External"/><Relationship Id="rId1022" Type="http://schemas.openxmlformats.org/officeDocument/2006/relationships/hyperlink" Target="https://www.youtube.com/watch?v=ycxrKgHVqiE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4/11elaguadelsenor.mp3" TargetMode="External"/><Relationship Id="rId683" Type="http://schemas.openxmlformats.org/officeDocument/2006/relationships/hyperlink" Target="https://www.youtube.com/watch?v=hPdMCyBmA-g" TargetMode="External"/><Relationship Id="rId890" Type="http://schemas.openxmlformats.org/officeDocument/2006/relationships/hyperlink" Target="https://www.youtube.com/watch?v=QK9GoNofqAE" TargetMode="External"/><Relationship Id="rId904" Type="http://schemas.openxmlformats.org/officeDocument/2006/relationships/hyperlink" Target="https://www.youtube.com/watch?v=LmUtuHsHGlU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VYFvhpdbaxg" TargetMode="External"/><Relationship Id="rId543" Type="http://schemas.openxmlformats.org/officeDocument/2006/relationships/hyperlink" Target="https://www.maristes.cat/sites/default/files/content/nodes/recurs/file/8840/4alliestastu.mp3" TargetMode="External"/><Relationship Id="rId988" Type="http://schemas.openxmlformats.org/officeDocument/2006/relationships/hyperlink" Target="https://open.spotify.com/intl-es/track/52o5a93tqtQVT8H1mVa3rs?si=237aaccb37f94b68" TargetMode="External"/><Relationship Id="rId1173" Type="http://schemas.openxmlformats.org/officeDocument/2006/relationships/hyperlink" Target="https://www.youtube.com/watch?v=vlVkqSIh1Dc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5/03-plegaria.mp3" TargetMode="External"/><Relationship Id="rId750" Type="http://schemas.openxmlformats.org/officeDocument/2006/relationships/hyperlink" Target="https://www.youtube.com/watch?v=UbCl2vh-VyU" TargetMode="External"/><Relationship Id="rId848" Type="http://schemas.openxmlformats.org/officeDocument/2006/relationships/hyperlink" Target="https://www.youtube.com/watch?v=xAmrzAu2szY" TargetMode="External"/><Relationship Id="rId1033" Type="http://schemas.openxmlformats.org/officeDocument/2006/relationships/hyperlink" Target="https://www.youtube.com/watch?v=4UrsQiB2h-8" TargetMode="External"/><Relationship Id="rId487" Type="http://schemas.openxmlformats.org/officeDocument/2006/relationships/hyperlink" Target="https://www.maristes.cat/sites/default/files/content/nodes/recurs/file/8758/8confiadrecurrid.mp3" TargetMode="External"/><Relationship Id="rId610" Type="http://schemas.openxmlformats.org/officeDocument/2006/relationships/hyperlink" Target="https://www.maristes.cat/sites/default/files/content/nodes/recurs/file/8764/2meestasllamando.mp3" TargetMode="External"/><Relationship Id="rId694" Type="http://schemas.openxmlformats.org/officeDocument/2006/relationships/hyperlink" Target="https://www.youtube.com/watch?v=JepPDaMU6EE" TargetMode="External"/><Relationship Id="rId708" Type="http://schemas.openxmlformats.org/officeDocument/2006/relationships/hyperlink" Target="https://www.youtube.com/watch?v=exDZF93_lww" TargetMode="External"/><Relationship Id="rId915" Type="http://schemas.openxmlformats.org/officeDocument/2006/relationships/hyperlink" Target="https://www.youtube.com/watch?v=2_ZD_hlt9aE" TargetMode="External"/><Relationship Id="rId1240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347" Type="http://schemas.openxmlformats.org/officeDocument/2006/relationships/hyperlink" Target="https://www.youtube.com/watch?v=4t3qx24ub9Y" TargetMode="External"/><Relationship Id="rId999" Type="http://schemas.openxmlformats.org/officeDocument/2006/relationships/hyperlink" Target="https://open.spotify.com/intl-es/track/62lc6MaGErWI1amP96JSlh?si=b505d0203a37492e" TargetMode="External"/><Relationship Id="rId1100" Type="http://schemas.openxmlformats.org/officeDocument/2006/relationships/hyperlink" Target="https://www.youtube.com/watch?v=yt5vcTT-p-c" TargetMode="External"/><Relationship Id="rId1184" Type="http://schemas.openxmlformats.org/officeDocument/2006/relationships/hyperlink" Target="https://www.mercaba.org/Musica/Cesareo%20Gabarain/Dios%20con%20Nosotros/07%20-%20Si%20vienes%20conmigo.mp3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0/3notemais.mp3" TargetMode="External"/><Relationship Id="rId761" Type="http://schemas.openxmlformats.org/officeDocument/2006/relationships/hyperlink" Target="https://www.youtube.com/watch?v=CTqZhoWmD-I" TargetMode="External"/><Relationship Id="rId859" Type="http://schemas.openxmlformats.org/officeDocument/2006/relationships/hyperlink" Target="https://www.youtube.com/watch?v=CiFC6AIKPjA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1/2traselcristal.mp3" TargetMode="External"/><Relationship Id="rId498" Type="http://schemas.openxmlformats.org/officeDocument/2006/relationships/hyperlink" Target="https://www.maristes.cat/sites/default/files/content/nodes/recurs/file/8745/7mariamusicadedios.mp3" TargetMode="External"/><Relationship Id="rId621" Type="http://schemas.openxmlformats.org/officeDocument/2006/relationships/hyperlink" Target="https://www.youtube.com/watch?v=CE5cp6VPFA4" TargetMode="External"/><Relationship Id="rId1044" Type="http://schemas.openxmlformats.org/officeDocument/2006/relationships/hyperlink" Target="https://www.youtube.com/watch?v=CqWvZ_X5kqk" TargetMode="External"/><Relationship Id="rId1251" Type="http://schemas.openxmlformats.org/officeDocument/2006/relationships/hyperlink" Target="https://www.mercaba.org/Musica/Cesareo%20Gabarain/Bendito%20eres%20Se%C3%B1or/07%20-%20Tu%20Que%20Caminas%20Sobre%20La%20Mar.mp3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G-wFc9gQJ_8" TargetMode="External"/><Relationship Id="rId926" Type="http://schemas.openxmlformats.org/officeDocument/2006/relationships/hyperlink" Target="https://www.youtube.com/watch?v=8y4mHMa_GaM" TargetMode="External"/><Relationship Id="rId1111" Type="http://schemas.openxmlformats.org/officeDocument/2006/relationships/hyperlink" Target="https://www.youtube.com/watch?v=bULIGsnw4mM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59/trackno05.mp3" TargetMode="External"/><Relationship Id="rId565" Type="http://schemas.openxmlformats.org/officeDocument/2006/relationships/hyperlink" Target="https://www.maristes.cat/sites/default/files/content/nodes/recurs/file/8937/2buenamadre.mp3" TargetMode="External"/><Relationship Id="rId772" Type="http://schemas.openxmlformats.org/officeDocument/2006/relationships/hyperlink" Target="https://www.youtube.com/watch?v=-PZPYbkClzw" TargetMode="External"/><Relationship Id="rId1195" Type="http://schemas.openxmlformats.org/officeDocument/2006/relationships/hyperlink" Target="https://www.mercaba.org/Musica/Cesareo%20Gabarain/La%20Misa%20es%20una%20Fiesta/01%20la%20misa%20es%20una%20fiesta.mp3" TargetMode="External"/><Relationship Id="rId1209" Type="http://schemas.openxmlformats.org/officeDocument/2006/relationships/hyperlink" Target="https://www.mercaba.org/Musica/Cesareo%20Gabarain/Dios%20Hombre%20Mundo/08%20-%20Canci%C3%B3n%20del%20astronauta.mp3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5/trackno01.mp3" TargetMode="External"/><Relationship Id="rId632" Type="http://schemas.openxmlformats.org/officeDocument/2006/relationships/hyperlink" Target="https://www.youtube.com/watch?v=Utg7wtSDJOU" TargetMode="External"/><Relationship Id="rId1055" Type="http://schemas.openxmlformats.org/officeDocument/2006/relationships/hyperlink" Target="https://www.youtube.com/watch?v=F-J8uey3OQs" TargetMode="External"/><Relationship Id="rId1262" Type="http://schemas.openxmlformats.org/officeDocument/2006/relationships/hyperlink" Target="https://www.mercaba.org/Musica/Cesareo%20Gabarain/Cantando%20Venimos/08%20-%20Plegaria%20eucar%C3%ADstica%20I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2JHrwn8Zegs" TargetMode="External"/><Relationship Id="rId1122" Type="http://schemas.openxmlformats.org/officeDocument/2006/relationships/hyperlink" Target="https://www.youtube.com/watch?v=zZOhUSdKCDA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4/2gloriaadios.mp3" TargetMode="External"/><Relationship Id="rId576" Type="http://schemas.openxmlformats.org/officeDocument/2006/relationships/hyperlink" Target="https://www.maristes.cat/sites/default/files/content/nodes/recurs/file/8727/02miciudad.mp3" TargetMode="External"/><Relationship Id="rId783" Type="http://schemas.openxmlformats.org/officeDocument/2006/relationships/hyperlink" Target="https://www.youtube.com/watch?v=c10O88qSKBM" TargetMode="External"/><Relationship Id="rId990" Type="http://schemas.openxmlformats.org/officeDocument/2006/relationships/hyperlink" Target="https://open.spotify.com/intl-es/track/4804HkPmQkwCH2kF3kwhg6?si=eb80aaa66dfa442b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924/escuchamaria.mp3" TargetMode="External"/><Relationship Id="rId643" Type="http://schemas.openxmlformats.org/officeDocument/2006/relationships/hyperlink" Target="https://www.youtube.com/watch?v=N_SouvyZ5v8" TargetMode="External"/><Relationship Id="rId1066" Type="http://schemas.openxmlformats.org/officeDocument/2006/relationships/hyperlink" Target="https://www.youtube.com/watch?v=jsVOS_fEQns" TargetMode="External"/><Relationship Id="rId1273" Type="http://schemas.openxmlformats.org/officeDocument/2006/relationships/hyperlink" Target="https://www.mercaba.org/Musica/Cesareo%20Gabarain/Catequesis%20y%20Cancion/10%20ven%20conmigo.mp3" TargetMode="External"/><Relationship Id="rId850" Type="http://schemas.openxmlformats.org/officeDocument/2006/relationships/hyperlink" Target="https://www.youtube.com/watch?v=vltzGzkiyXs" TargetMode="External"/><Relationship Id="rId948" Type="http://schemas.openxmlformats.org/officeDocument/2006/relationships/hyperlink" Target="https://www.youtube.com/watch?v=SaFivgV85OU" TargetMode="External"/><Relationship Id="rId1133" Type="http://schemas.openxmlformats.org/officeDocument/2006/relationships/hyperlink" Target="https://www.youtube.com/watch?v=gbgN4ZrzV2U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1/1pregonpascual.mp3" TargetMode="External"/><Relationship Id="rId587" Type="http://schemas.openxmlformats.org/officeDocument/2006/relationships/hyperlink" Target="https://www.maristes.cat/sites/default/files/content/nodes/recurs/file/8804/2entucruzsigueshoy.mp3" TargetMode="External"/><Relationship Id="rId710" Type="http://schemas.openxmlformats.org/officeDocument/2006/relationships/hyperlink" Target="https://www.youtube.com/watch?v=MYfyoRi3t8I" TargetMode="External"/><Relationship Id="rId808" Type="http://schemas.openxmlformats.org/officeDocument/2006/relationships/hyperlink" Target="https://www.youtube.com/watch?v=DbYsg8g2bVw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876/11eldondelafraternidad.mp3" TargetMode="External"/><Relationship Id="rId794" Type="http://schemas.openxmlformats.org/officeDocument/2006/relationships/hyperlink" Target="https://www.youtube.com/watch?v=fIHNsAvNBt4" TargetMode="External"/><Relationship Id="rId1077" Type="http://schemas.openxmlformats.org/officeDocument/2006/relationships/hyperlink" Target="https://www.youtube.com/watch?v=0a3RrZJOsqY" TargetMode="External"/><Relationship Id="rId1200" Type="http://schemas.openxmlformats.org/officeDocument/2006/relationships/hyperlink" Target="https://www.mercaba.org/Musica/Cesareo%20Gabarain/Al%20Atardecer%20de%20la%20Vida/14%20-%20La%20Bienaventuranzas.mp3" TargetMode="External"/><Relationship Id="rId654" Type="http://schemas.openxmlformats.org/officeDocument/2006/relationships/hyperlink" Target="https://www.youtube.com/watch?v=gfl7-8zFXyU" TargetMode="External"/><Relationship Id="rId861" Type="http://schemas.openxmlformats.org/officeDocument/2006/relationships/hyperlink" Target="https://www.youtube.com/watch?v=bif1x_Xcv24" TargetMode="External"/><Relationship Id="rId959" Type="http://schemas.openxmlformats.org/officeDocument/2006/relationships/hyperlink" Target="https://www.youtube.com/watch?v=ZLsxKjmTWvU" TargetMode="External"/><Relationship Id="rId1284" Type="http://schemas.openxmlformats.org/officeDocument/2006/relationships/hyperlink" Target="https://www.mercaba.org/Musica/Cesareo%20Gabarain/Dios%20con%20Nosotros/10%20-%20Yo%20vi%20re%C3%ADr%20a%20Dios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2/12mimamitabuena.mp3" TargetMode="External"/><Relationship Id="rId721" Type="http://schemas.openxmlformats.org/officeDocument/2006/relationships/hyperlink" Target="https://www.youtube.com/watch?v=_tMst8n-W_4" TargetMode="External"/><Relationship Id="rId1144" Type="http://schemas.openxmlformats.org/officeDocument/2006/relationships/hyperlink" Target="https://www.youtube.com/watch?v=KrkwEZjYiE4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1/trackno07.mp3" TargetMode="External"/><Relationship Id="rId598" Type="http://schemas.openxmlformats.org/officeDocument/2006/relationships/hyperlink" Target="https://www.maristes.cat/sites/default/files/content/nodes/recurs/file/8814/12tucaminoytuverdad.mp3" TargetMode="External"/><Relationship Id="rId819" Type="http://schemas.openxmlformats.org/officeDocument/2006/relationships/hyperlink" Target="https://www.youtube.com/watch?v=Z-LOiyKAKvQ" TargetMode="External"/><Relationship Id="rId1004" Type="http://schemas.openxmlformats.org/officeDocument/2006/relationships/hyperlink" Target="https://open.spotify.com/intl-es/track/4FMooDZOIpW38Ujj1cJdQF?si=0b9493b8a0b44d1e" TargetMode="External"/><Relationship Id="rId1211" Type="http://schemas.openxmlformats.org/officeDocument/2006/relationships/hyperlink" Target="https://www.mercaba.org/Musica/Cesareo%20Gabarain/aclamaciones%20para%20la%20celebracion,%20gabarain%20(m)/01%20porque%20nos%20invitas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4/5nuestrabuenamadre.mp3" TargetMode="External"/><Relationship Id="rId665" Type="http://schemas.openxmlformats.org/officeDocument/2006/relationships/hyperlink" Target="https://www.youtube.com/watch?v=gcME5Kiuw80" TargetMode="External"/><Relationship Id="rId872" Type="http://schemas.openxmlformats.org/officeDocument/2006/relationships/hyperlink" Target="https://www.youtube.com/watch?v=Z5mSr5RAlyc" TargetMode="External"/><Relationship Id="rId1088" Type="http://schemas.openxmlformats.org/officeDocument/2006/relationships/hyperlink" Target="https://www.youtube.com/watch?v=XtUWmCv3dNs" TargetMode="External"/><Relationship Id="rId1295" Type="http://schemas.openxmlformats.org/officeDocument/2006/relationships/hyperlink" Target="https://www.youtube.com/watch?v=uP3F9yJdWO8" TargetMode="External"/><Relationship Id="rId1309" Type="http://schemas.openxmlformats.org/officeDocument/2006/relationships/hyperlink" Target="https://www.youtube.com/watch?v=QP1Olb9SHdw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1/10creoenti.mp3" TargetMode="External"/><Relationship Id="rId732" Type="http://schemas.openxmlformats.org/officeDocument/2006/relationships/hyperlink" Target="https://www.youtube.com/watch?v=hQk705tQH6U" TargetMode="External"/><Relationship Id="rId1155" Type="http://schemas.openxmlformats.org/officeDocument/2006/relationships/hyperlink" Target="https://www.youtube.com/watch?v=1PbEyr1PQAw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6/4padrevuelvoati.mp3" TargetMode="External"/><Relationship Id="rId1015" Type="http://schemas.openxmlformats.org/officeDocument/2006/relationships/hyperlink" Target="https://www.youtube.com/watch?v=1xzvehe-ahE" TargetMode="External"/><Relationship Id="rId1222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469" Type="http://schemas.openxmlformats.org/officeDocument/2006/relationships/hyperlink" Target="https://www.maristes.cat/sites/default/files/content/nodes/recurs/file/8717/4hablame.mp3" TargetMode="External"/><Relationship Id="rId676" Type="http://schemas.openxmlformats.org/officeDocument/2006/relationships/hyperlink" Target="https://www.youtube.com/watch?v=A53YevNFWVo" TargetMode="External"/><Relationship Id="rId883" Type="http://schemas.openxmlformats.org/officeDocument/2006/relationships/hyperlink" Target="https://www.youtube.com/watch?v=vtSjNBXs1h8" TargetMode="External"/><Relationship Id="rId1099" Type="http://schemas.openxmlformats.org/officeDocument/2006/relationships/hyperlink" Target="https://www.youtube.com/watch?v=Y9wRUHUQmtM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2/kairoi-profetadelafamilia-07-jesusmariayjose.mp3" TargetMode="External"/><Relationship Id="rId1166" Type="http://schemas.openxmlformats.org/officeDocument/2006/relationships/hyperlink" Target="https://www.youtube.com/watch?v=B7fdgJ_6Y7M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IjXkGDZtdpI" TargetMode="External"/><Relationship Id="rId950" Type="http://schemas.openxmlformats.org/officeDocument/2006/relationships/hyperlink" Target="https://www.youtube.com/watch?v=hYJ1eV0pxzM" TargetMode="External"/><Relationship Id="rId1026" Type="http://schemas.openxmlformats.org/officeDocument/2006/relationships/hyperlink" Target="https://www.youtube.com/watch?v=t8P6eg12GDY" TargetMode="External"/><Relationship Id="rId382" Type="http://schemas.openxmlformats.org/officeDocument/2006/relationships/hyperlink" Target="https://www.maristes.cat/sites/default/files/content/nodes/recurs/file/8778/4kuakuakua.mp3" TargetMode="External"/><Relationship Id="rId603" Type="http://schemas.openxmlformats.org/officeDocument/2006/relationships/hyperlink" Target="https://www.maristes.cat/sites/default/files/content/nodes/recurs/file/8958/5nosmarcaelcaminar.mp3" TargetMode="External"/><Relationship Id="rId687" Type="http://schemas.openxmlformats.org/officeDocument/2006/relationships/hyperlink" Target="https://www.youtube.com/watch?v=Qm-d9hg6fMg" TargetMode="External"/><Relationship Id="rId810" Type="http://schemas.openxmlformats.org/officeDocument/2006/relationships/hyperlink" Target="https://www.youtube.com/watch?v=TjzRj0bejUw" TargetMode="External"/><Relationship Id="rId908" Type="http://schemas.openxmlformats.org/officeDocument/2006/relationships/hyperlink" Target="https://www.youtube.com/watch?v=3UM4mgW5lFc" TargetMode="External"/><Relationship Id="rId1233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eV6hkAwXonA" TargetMode="External"/><Relationship Id="rId1177" Type="http://schemas.openxmlformats.org/officeDocument/2006/relationships/hyperlink" Target="https://www.youtube.com/watch?v=7iAPSmtCLRQ" TargetMode="External"/><Relationship Id="rId1300" Type="http://schemas.openxmlformats.org/officeDocument/2006/relationships/hyperlink" Target="https://www.youtube.com/watch?v=kPY1EZTtjDU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4/8gritolibertad.mp3" TargetMode="External"/><Relationship Id="rId754" Type="http://schemas.openxmlformats.org/officeDocument/2006/relationships/hyperlink" Target="https://www.youtube.com/watch?v=OIB8U3bgicc" TargetMode="External"/><Relationship Id="rId961" Type="http://schemas.openxmlformats.org/officeDocument/2006/relationships/hyperlink" Target="https://www.youtube.com/watch?v=BvRe5YpoFHA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6/3enlaesperanzamadre.mp3" TargetMode="External"/><Relationship Id="rId407" Type="http://schemas.openxmlformats.org/officeDocument/2006/relationships/hyperlink" Target="https://www.maristes.cat/sites/default/files/content/nodes/recurs/file/9029/07-perdonaquetelodiga.mp3" TargetMode="External"/><Relationship Id="rId614" Type="http://schemas.openxmlformats.org/officeDocument/2006/relationships/hyperlink" Target="https://www.maristes.cat/sites/default/files/content/nodes/recurs/file/8768/6ensenanosaorar.mp3" TargetMode="External"/><Relationship Id="rId821" Type="http://schemas.openxmlformats.org/officeDocument/2006/relationships/hyperlink" Target="https://www.youtube.com/watch?v=K4YaOuSipq0" TargetMode="External"/><Relationship Id="rId1037" Type="http://schemas.openxmlformats.org/officeDocument/2006/relationships/hyperlink" Target="https://www.youtube.com/watch?v=c8sHx3sTdqA" TargetMode="External"/><Relationship Id="rId1244" Type="http://schemas.openxmlformats.org/officeDocument/2006/relationships/hyperlink" Target="https://www.mercaba.org/Musica/Cesareo%20Gabarain/Al%20Atardecer%20de%20la%20Vida/13%20-%20En%20los%20brazos%20de%20Dios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56/7nodurmais.mp3" TargetMode="External"/><Relationship Id="rId698" Type="http://schemas.openxmlformats.org/officeDocument/2006/relationships/hyperlink" Target="https://www.youtube.com/watch?v=PVryASaVosA" TargetMode="External"/><Relationship Id="rId919" Type="http://schemas.openxmlformats.org/officeDocument/2006/relationships/hyperlink" Target="https://www.youtube.com/watch?v=vaOxPi2bIPA" TargetMode="External"/><Relationship Id="rId1090" Type="http://schemas.openxmlformats.org/officeDocument/2006/relationships/hyperlink" Target="https://www.youtube.com/watch?v=cuOU6ExQgjQ" TargetMode="External"/><Relationship Id="rId1104" Type="http://schemas.openxmlformats.org/officeDocument/2006/relationships/hyperlink" Target="https://www.youtube.com/watch?v=T4RfyEdxNBY" TargetMode="External"/><Relationship Id="rId1311" Type="http://schemas.openxmlformats.org/officeDocument/2006/relationships/hyperlink" Target="https://www.youtube.com/watch?v=DM6oIsuv_DA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4/7loabandonarontodo.mp3" TargetMode="External"/><Relationship Id="rId765" Type="http://schemas.openxmlformats.org/officeDocument/2006/relationships/hyperlink" Target="https://www.youtube.com/watch?v=CdSkvbLrcno" TargetMode="External"/><Relationship Id="rId972" Type="http://schemas.openxmlformats.org/officeDocument/2006/relationships/hyperlink" Target="https://www.youtube.com/watch?v=gLUqpxttp_M" TargetMode="External"/><Relationship Id="rId1188" Type="http://schemas.openxmlformats.org/officeDocument/2006/relationships/hyperlink" Target="https://www.mercaba.org/Musica/Cesareo%20Gabarain/Lampara%20de%20Barro/05%20dios%20es%20amor.mp3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5/6scaramouche.mp3" TargetMode="External"/><Relationship Id="rId625" Type="http://schemas.openxmlformats.org/officeDocument/2006/relationships/hyperlink" Target="https://www.youtube.com/watch?v=aWqgzEHIBvs" TargetMode="External"/><Relationship Id="rId832" Type="http://schemas.openxmlformats.org/officeDocument/2006/relationships/hyperlink" Target="https://www.youtube.com/watch?v=Jl1pNiAzL3I" TargetMode="External"/><Relationship Id="rId1048" Type="http://schemas.openxmlformats.org/officeDocument/2006/relationships/hyperlink" Target="https://www.youtube.com/watch?v=hVch5BD4ZbY" TargetMode="External"/><Relationship Id="rId1255" Type="http://schemas.openxmlformats.org/officeDocument/2006/relationships/hyperlink" Target="https://www.mercaba.org/Musica/Cesareo%20Gabarain/Cantando%20Venimos/01%20-%20Cantando%20venimos.mp3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19/6himnoadios.mp3" TargetMode="External"/><Relationship Id="rId1115" Type="http://schemas.openxmlformats.org/officeDocument/2006/relationships/hyperlink" Target="https://www.youtube.com/watch?v=PmFkVg2OF0o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3/8frasesmarcelino.mp3" TargetMode="External"/><Relationship Id="rId776" Type="http://schemas.openxmlformats.org/officeDocument/2006/relationships/hyperlink" Target="https://www.youtube.com/watch?v=tXCrm0ObU9s" TargetMode="External"/><Relationship Id="rId983" Type="http://schemas.openxmlformats.org/officeDocument/2006/relationships/hyperlink" Target="https://open.spotify.com/intl-es/track/1F0uLNlzSh6sN3COwrprqD?si=c753a1de92464054" TargetMode="External"/><Relationship Id="rId1199" Type="http://schemas.openxmlformats.org/officeDocument/2006/relationships/hyperlink" Target="https://www.youtube.com/watch?v=IqsichcD4c0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29/trackno05.mp3" TargetMode="External"/><Relationship Id="rId636" Type="http://schemas.openxmlformats.org/officeDocument/2006/relationships/hyperlink" Target="https://www.youtube.com/watch?v=E1dvSpZwsvI" TargetMode="External"/><Relationship Id="rId1059" Type="http://schemas.openxmlformats.org/officeDocument/2006/relationships/hyperlink" Target="https://www.youtube.com/watch?v=ucGpxmL4UNI" TargetMode="External"/><Relationship Id="rId1266" Type="http://schemas.openxmlformats.org/officeDocument/2006/relationships/hyperlink" Target="https://www.mercaba.org/Musica/Cesareo%20Gabarain/Catequesis%20y%20Cancion/03%20yo%20tengo%20dentro%20de%20mi.mp3" TargetMode="External"/><Relationship Id="rId843" Type="http://schemas.openxmlformats.org/officeDocument/2006/relationships/hyperlink" Target="https://www.youtube.com/watch?v=usvRwJjwrlE" TargetMode="External"/><Relationship Id="rId1126" Type="http://schemas.openxmlformats.org/officeDocument/2006/relationships/hyperlink" Target="https://www.youtube.com/watch?v=sxGnfJq8oIY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9159/09somos.wav" TargetMode="External"/><Relationship Id="rId703" Type="http://schemas.openxmlformats.org/officeDocument/2006/relationships/hyperlink" Target="https://www.youtube.com/watch?v=aAwwifOLThM" TargetMode="External"/><Relationship Id="rId910" Type="http://schemas.openxmlformats.org/officeDocument/2006/relationships/hyperlink" Target="https://www.youtube.com/watch?v=_zel1ySV9Lg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Dmxva9tDmpg" TargetMode="External"/><Relationship Id="rId787" Type="http://schemas.openxmlformats.org/officeDocument/2006/relationships/hyperlink" Target="https://www.youtube.com/watch?v=FK20qvW679Y" TargetMode="External"/><Relationship Id="rId994" Type="http://schemas.openxmlformats.org/officeDocument/2006/relationships/hyperlink" Target="https://open.spotify.com/intl-es/track/5sBvTtLJDKXUF0KadT1rKd?si=90aa0d87eb7d4492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c60A4K7c7xo" TargetMode="External"/><Relationship Id="rId854" Type="http://schemas.openxmlformats.org/officeDocument/2006/relationships/hyperlink" Target="https://www.youtube.com/watch?v=vlYClW8-1Bk" TargetMode="External"/><Relationship Id="rId1277" Type="http://schemas.openxmlformats.org/officeDocument/2006/relationships/hyperlink" Target="https://www.mercaba.org/Musica/Cesareo%20Gabarain/Catequesis%20y%20Cancion/14%20mis%20dos%20mamas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0/2tuestascerca.mp3" TargetMode="External"/><Relationship Id="rId507" Type="http://schemas.openxmlformats.org/officeDocument/2006/relationships/hyperlink" Target="https://www.maristes.cat/sites/default/files/content/nodes/recurs/file/8905/5unkiriemas.mp3" TargetMode="External"/><Relationship Id="rId714" Type="http://schemas.openxmlformats.org/officeDocument/2006/relationships/hyperlink" Target="https://www.youtube.com/watch?v=hpmGy83z4nc" TargetMode="External"/><Relationship Id="rId921" Type="http://schemas.openxmlformats.org/officeDocument/2006/relationships/hyperlink" Target="https://www.youtube.com/watch?v=R-hUB2gpn2Y" TargetMode="External"/><Relationship Id="rId1137" Type="http://schemas.openxmlformats.org/officeDocument/2006/relationships/hyperlink" Target="https://www.youtube.com/watch?v=VY95PK8f-DY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youtube.com/watch?v=4A1EN1KgTfE" TargetMode="External"/><Relationship Id="rId560" Type="http://schemas.openxmlformats.org/officeDocument/2006/relationships/hyperlink" Target="https://www.maristes.cat/sites/default/files/content/nodes/recurs/file/8886/9delodebilsacafuerzasdios.mp3" TargetMode="External"/><Relationship Id="rId798" Type="http://schemas.openxmlformats.org/officeDocument/2006/relationships/hyperlink" Target="https://www.youtube.com/watch?v=kZtCs6pBF9I" TargetMode="External"/><Relationship Id="rId1190" Type="http://schemas.openxmlformats.org/officeDocument/2006/relationships/hyperlink" Target="https://www.mercaba.org/Musica/Cesareo%20Gabarain/Eres%20Tu%20Maria/02%20-%20En%20el%20trabajo.mp3" TargetMode="External"/><Relationship Id="rId1204" Type="http://schemas.openxmlformats.org/officeDocument/2006/relationships/hyperlink" Target="https://www.mercaba.org/Musica/Cesareo%20Gabarain/La%20Misa%20es%20una%20Fiesta/08%20un%20ni%C3%B1o%20se%20te%20acerco.mp3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8/9unaiglesiadeexcluidos.mp3" TargetMode="External"/><Relationship Id="rId658" Type="http://schemas.openxmlformats.org/officeDocument/2006/relationships/hyperlink" Target="https://www.youtube.com/watch?v=pPeiwHhNOGo" TargetMode="External"/><Relationship Id="rId865" Type="http://schemas.openxmlformats.org/officeDocument/2006/relationships/hyperlink" Target="https://www.youtube.com/watch?v=oRmnNpXBFdw" TargetMode="External"/><Relationship Id="rId1050" Type="http://schemas.openxmlformats.org/officeDocument/2006/relationships/hyperlink" Target="https://www.youtube.com/watch?v=E3yopgS8Y40" TargetMode="External"/><Relationship Id="rId1288" Type="http://schemas.openxmlformats.org/officeDocument/2006/relationships/hyperlink" Target="https://www.mercaba.org/Musica/Cesareo%20Gabarain/Dios%20Hombre%20Mundo/04%20-%20Buenos%20d%C3%ADas,%20Se%C3%B1or.mp3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3/3encomunidad.mp3" TargetMode="External"/><Relationship Id="rId725" Type="http://schemas.openxmlformats.org/officeDocument/2006/relationships/hyperlink" Target="https://www.youtube.com/watch?v=V-pZp2OQm_0" TargetMode="External"/><Relationship Id="rId932" Type="http://schemas.openxmlformats.org/officeDocument/2006/relationships/hyperlink" Target="https://www.youtube.com/watch?v=lHbYTiVYUoE" TargetMode="External"/><Relationship Id="rId1148" Type="http://schemas.openxmlformats.org/officeDocument/2006/relationships/hyperlink" Target="https://www.youtube.com/watch?v=X-1cBXSuJv4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5/trackno11.mp3" TargetMode="External"/><Relationship Id="rId1008" Type="http://schemas.openxmlformats.org/officeDocument/2006/relationships/hyperlink" Target="https://www.youtube.com/watch?v=ye1JDzKI0AI" TargetMode="External"/><Relationship Id="rId1215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5/10familiamarista.mp3" TargetMode="External"/><Relationship Id="rId669" Type="http://schemas.openxmlformats.org/officeDocument/2006/relationships/hyperlink" Target="https://www.youtube.com/watch?v=IEhHCMeiSuc" TargetMode="External"/><Relationship Id="rId876" Type="http://schemas.openxmlformats.org/officeDocument/2006/relationships/hyperlink" Target="https://www.youtube.com/watch?v=ABHgC4sh2uY" TargetMode="External"/><Relationship Id="rId1299" Type="http://schemas.openxmlformats.org/officeDocument/2006/relationships/hyperlink" Target="https://www.youtube.com/watch?v=qaXDpkNKYu0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2/trackno08.mp3" TargetMode="External"/><Relationship Id="rId529" Type="http://schemas.openxmlformats.org/officeDocument/2006/relationships/hyperlink" Target="https://www.maristes.cat/sites/default/files/content/nodes/recurs/file/8985/14unsolocorazon.mp3" TargetMode="External"/><Relationship Id="rId736" Type="http://schemas.openxmlformats.org/officeDocument/2006/relationships/hyperlink" Target="https://www.youtube.com/watch?v=G7gS0D6Dsk8" TargetMode="External"/><Relationship Id="rId1061" Type="http://schemas.openxmlformats.org/officeDocument/2006/relationships/hyperlink" Target="https://www.youtube.com/watch?v=A9XrlEGNcBY" TargetMode="External"/><Relationship Id="rId1159" Type="http://schemas.openxmlformats.org/officeDocument/2006/relationships/hyperlink" Target="https://www.youtube.com/watch?v=9Nk6k0xFjiY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GzwGjB13QyQ" TargetMode="External"/><Relationship Id="rId1019" Type="http://schemas.openxmlformats.org/officeDocument/2006/relationships/hyperlink" Target="https://www.youtube.com/watch?v=ZIQNeRw6Evw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1/9atuladosenor.mp3" TargetMode="External"/><Relationship Id="rId582" Type="http://schemas.openxmlformats.org/officeDocument/2006/relationships/hyperlink" Target="https://www.maristes.cat/sites/default/files/content/nodes/recurs/file/8734/08solotrabajar.mp3" TargetMode="External"/><Relationship Id="rId803" Type="http://schemas.openxmlformats.org/officeDocument/2006/relationships/hyperlink" Target="https://www.youtube.com/watch?v=qkoRnuJV6fI" TargetMode="External"/><Relationship Id="rId1226" Type="http://schemas.openxmlformats.org/officeDocument/2006/relationships/hyperlink" Target="https://www.mercaba.org/Musica/Cesareo%20Gabarain/aclamaciones%20para%20la%20celebracion,%20gabarain%20(m)/16%20cordero%20de%20dios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1/6yanoquedatiempo.mp3" TargetMode="External"/><Relationship Id="rId887" Type="http://schemas.openxmlformats.org/officeDocument/2006/relationships/hyperlink" Target="https://www.youtube.com/watch?v=-yQfvcWxtBA" TargetMode="External"/><Relationship Id="rId1072" Type="http://schemas.openxmlformats.org/officeDocument/2006/relationships/hyperlink" Target="https://www.youtube.com/watch?v=Vn9ighQoo7A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0LG_MYoiQhs" TargetMode="External"/><Relationship Id="rId954" Type="http://schemas.openxmlformats.org/officeDocument/2006/relationships/hyperlink" Target="https://www.youtube.com/watch?v=WAPNK80PuOM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2/8keneechinekenna.mp3" TargetMode="External"/><Relationship Id="rId593" Type="http://schemas.openxmlformats.org/officeDocument/2006/relationships/hyperlink" Target="https://www.maristes.cat/sites/default/files/content/nodes/recurs/file/8809/7llamadevida.mp3" TargetMode="External"/><Relationship Id="rId607" Type="http://schemas.openxmlformats.org/officeDocument/2006/relationships/hyperlink" Target="https://www.maristes.cat/sites/default/files/content/nodes/recurs/file/8964/9diosdelavida.mp3" TargetMode="External"/><Relationship Id="rId814" Type="http://schemas.openxmlformats.org/officeDocument/2006/relationships/hyperlink" Target="https://www.youtube.com/watch?v=-SxCIMC0IqM" TargetMode="External"/><Relationship Id="rId1237" Type="http://schemas.openxmlformats.org/officeDocument/2006/relationships/hyperlink" Target="https://www.mercaba.org/Musica/Cesareo%20Gabarain/Al%20Atardecer%20de%20la%20Vida/06%20-%20No%20he%20de%20morir,vivir%C3%A9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01/11somosunafamilia.mp3" TargetMode="External"/><Relationship Id="rId660" Type="http://schemas.openxmlformats.org/officeDocument/2006/relationships/hyperlink" Target="https://www.youtube.com/watch?v=RsEHgxg9F2s" TargetMode="External"/><Relationship Id="rId898" Type="http://schemas.openxmlformats.org/officeDocument/2006/relationships/hyperlink" Target="https://www.youtube.com/watch?v=F2A3FYBB67o" TargetMode="External"/><Relationship Id="rId1083" Type="http://schemas.openxmlformats.org/officeDocument/2006/relationships/hyperlink" Target="https://www.youtube.com/watch?v=1B4xRtUj6Vg" TargetMode="External"/><Relationship Id="rId1290" Type="http://schemas.openxmlformats.org/officeDocument/2006/relationships/hyperlink" Target="https://www.mercaba.org/Musica/Cesareo%20Gabarain/Dios%20Hombre%20Mundo/06%20-%20Una%20roca%20inm%C3%B3vil.mp3" TargetMode="External"/><Relationship Id="rId1304" Type="http://schemas.openxmlformats.org/officeDocument/2006/relationships/hyperlink" Target="https://www.youtube.com/watch?v=GfQ4wEdBLAY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rHozyLHW_QI" TargetMode="External"/><Relationship Id="rId965" Type="http://schemas.openxmlformats.org/officeDocument/2006/relationships/hyperlink" Target="https://www.youtube.com/watch?v=Fr8u-vCj9JY" TargetMode="External"/><Relationship Id="rId1150" Type="http://schemas.openxmlformats.org/officeDocument/2006/relationships/hyperlink" Target="https://www.youtube.com/watch?v=sTgTt78-lRA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0/7pintadeluz.mp3" TargetMode="External"/><Relationship Id="rId520" Type="http://schemas.openxmlformats.org/officeDocument/2006/relationships/hyperlink" Target="https://www.maristes.cat/sites/default/files/content/nodes/recurs/file/8976/5adela.mp3" TargetMode="External"/><Relationship Id="rId618" Type="http://schemas.openxmlformats.org/officeDocument/2006/relationships/hyperlink" Target="https://www.maristes.cat/sites/default/files/content/nodes/recurs/file/8772/10padrenuestro.mp3" TargetMode="External"/><Relationship Id="rId825" Type="http://schemas.openxmlformats.org/officeDocument/2006/relationships/hyperlink" Target="https://www.youtube.com/watch?v=oMS0EjCl_Ek" TargetMode="External"/><Relationship Id="rId1248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4/11noesfacil.mp3" TargetMode="External"/><Relationship Id="rId1010" Type="http://schemas.openxmlformats.org/officeDocument/2006/relationships/hyperlink" Target="https://www.youtube.com/watch?v=1VO3vBJV-HU" TargetMode="External"/><Relationship Id="rId1094" Type="http://schemas.openxmlformats.org/officeDocument/2006/relationships/hyperlink" Target="https://www.youtube.com/watch?v=ZDZDhfoSjPs" TargetMode="External"/><Relationship Id="rId1108" Type="http://schemas.openxmlformats.org/officeDocument/2006/relationships/hyperlink" Target="https://www.youtube.com/watch?v=QKjhW4oaIrA" TargetMode="External"/><Relationship Id="rId1315" Type="http://schemas.openxmlformats.org/officeDocument/2006/relationships/hyperlink" Target="https://www.youtube.com/watch?v=vlLKDVtLZKM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SM42dNpjzgA" TargetMode="External"/><Relationship Id="rId769" Type="http://schemas.openxmlformats.org/officeDocument/2006/relationships/hyperlink" Target="https://www.youtube.com/watch?v=oQFIfndLnUI" TargetMode="External"/><Relationship Id="rId976" Type="http://schemas.openxmlformats.org/officeDocument/2006/relationships/hyperlink" Target="https://www.youtube.com/watch?v=PNWy5eJfkuc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7/kairoi-profetadelafamilia-02-profetadelafamilia.mp3" TargetMode="External"/><Relationship Id="rId629" Type="http://schemas.openxmlformats.org/officeDocument/2006/relationships/hyperlink" Target="https://www.youtube.com/watch?v=Lcu-M5vwOi8" TargetMode="External"/><Relationship Id="rId1161" Type="http://schemas.openxmlformats.org/officeDocument/2006/relationships/hyperlink" Target="https://www.youtube.com/watch?v=KQz1IBqrdDU" TargetMode="External"/><Relationship Id="rId1259" Type="http://schemas.openxmlformats.org/officeDocument/2006/relationships/hyperlink" Target="https://www.mercaba.org/Musica/Cesareo%20Gabarain/Cantando%20Venimos/05%20-%20Padre%20nuestro.mp3" TargetMode="External"/><Relationship Id="rId836" Type="http://schemas.openxmlformats.org/officeDocument/2006/relationships/hyperlink" Target="https://www.youtube.com/watch?v=b_POvLgDP1o" TargetMode="External"/><Relationship Id="rId1021" Type="http://schemas.openxmlformats.org/officeDocument/2006/relationships/hyperlink" Target="https://www.youtube.com/watch?v=8sutqVrdbHE" TargetMode="External"/><Relationship Id="rId1119" Type="http://schemas.openxmlformats.org/officeDocument/2006/relationships/hyperlink" Target="https://www.youtube.com/watch?v=KFnzG3tH2q0" TargetMode="External"/><Relationship Id="rId903" Type="http://schemas.openxmlformats.org/officeDocument/2006/relationships/hyperlink" Target="https://www.youtube.com/watch?v=QxdY1jl_mbo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6/6piensoenusted.mp3" TargetMode="External"/><Relationship Id="rId693" Type="http://schemas.openxmlformats.org/officeDocument/2006/relationships/hyperlink" Target="https://www.youtube.com/watch?v=EXYVDjJ8ynY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cCc4XYUHxpE" TargetMode="External"/><Relationship Id="rId553" Type="http://schemas.openxmlformats.org/officeDocument/2006/relationships/hyperlink" Target="https://www.maristes.cat/sites/default/files/content/nodes/recurs/file/8879/2cuandolamuerte.mp3" TargetMode="External"/><Relationship Id="rId760" Type="http://schemas.openxmlformats.org/officeDocument/2006/relationships/hyperlink" Target="https://www.youtube.com/watch?v=cBSxAdMItjA" TargetMode="External"/><Relationship Id="rId998" Type="http://schemas.openxmlformats.org/officeDocument/2006/relationships/hyperlink" Target="https://open.spotify.com/intl-es/track/6HqlZFyiOZN8P7oyumwmDz?si=c050e3a4f06b417d" TargetMode="External"/><Relationship Id="rId1183" Type="http://schemas.openxmlformats.org/officeDocument/2006/relationships/hyperlink" Target="https://www.mercaba.org/Musica/Cesareo%20Gabarain/Al%20Atardecer%20de%20la%20Vida/01%20-%20Al%20atardecer%20de%20la%20vida.mp3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0/1mundodeensueno.mp3" TargetMode="External"/><Relationship Id="rId858" Type="http://schemas.openxmlformats.org/officeDocument/2006/relationships/hyperlink" Target="https://www.youtube.com/watch?v=ZySnjUi2pFI" TargetMode="External"/><Relationship Id="rId1043" Type="http://schemas.openxmlformats.org/officeDocument/2006/relationships/hyperlink" Target="https://www.youtube.com/watch?v=h2km26Tghac" TargetMode="External"/><Relationship Id="rId620" Type="http://schemas.openxmlformats.org/officeDocument/2006/relationships/hyperlink" Target="https://www.maristes.cat/sites/default/files/content/nodes/recurs/file/8774/12padreperdon.mp3" TargetMode="External"/><Relationship Id="rId718" Type="http://schemas.openxmlformats.org/officeDocument/2006/relationships/hyperlink" Target="https://www.youtube.com/watch?v=5G3BZYLyg6c" TargetMode="External"/><Relationship Id="rId925" Type="http://schemas.openxmlformats.org/officeDocument/2006/relationships/hyperlink" Target="https://www.youtube.com/watch?v=KVPpDw9q_EY" TargetMode="External"/><Relationship Id="rId1250" Type="http://schemas.openxmlformats.org/officeDocument/2006/relationships/hyperlink" Target="https://www.mercaba.org/Musica/Cesareo%20Gabarain/Bendito%20eres%20Se%C3%B1or/06%20-%20Solo%20T%C3%BA.mp3" TargetMode="External"/><Relationship Id="rId1110" Type="http://schemas.openxmlformats.org/officeDocument/2006/relationships/hyperlink" Target="https://www.youtube.com/watch?v=aAvA20UfjO4" TargetMode="External"/><Relationship Id="rId1208" Type="http://schemas.openxmlformats.org/officeDocument/2006/relationships/hyperlink" Target="https://www.mercaba.org/Musica/Cesareo%20Gabarain/La%20Misa%20es%20una%20Fiesta/17%20yo%20confio%20en%20ti.mp3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3/1labondaddelsenor.mp3" TargetMode="External"/><Relationship Id="rId575" Type="http://schemas.openxmlformats.org/officeDocument/2006/relationships/hyperlink" Target="https://www.maristes.cat/sites/default/files/content/nodes/recurs/file/8726/01sintonia.mp3" TargetMode="External"/><Relationship Id="rId782" Type="http://schemas.openxmlformats.org/officeDocument/2006/relationships/hyperlink" Target="https://www.youtube.com/watch?v=ihDexwHojPk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35/trackno11.mp3" TargetMode="External"/><Relationship Id="rId642" Type="http://schemas.openxmlformats.org/officeDocument/2006/relationships/hyperlink" Target="https://www.youtube.com/watch?v=Y6HucpyMSyA" TargetMode="External"/><Relationship Id="rId1065" Type="http://schemas.openxmlformats.org/officeDocument/2006/relationships/hyperlink" Target="https://www.youtube.com/watch?v=VaUhMm4fo7U" TargetMode="External"/><Relationship Id="rId1272" Type="http://schemas.openxmlformats.org/officeDocument/2006/relationships/hyperlink" Target="https://www.mercaba.org/Musica/Cesareo%20Gabarain/Catequesis%20y%20Cancion/09%20hola%20jesus.mp3" TargetMode="External"/><Relationship Id="rId502" Type="http://schemas.openxmlformats.org/officeDocument/2006/relationships/hyperlink" Target="https://www.maristes.cat/sites/default/files/content/nodes/recurs/file/8750/12tueresmaria.mp3" TargetMode="External"/><Relationship Id="rId947" Type="http://schemas.openxmlformats.org/officeDocument/2006/relationships/hyperlink" Target="https://www.youtube.com/watch?v=tYfR4WjESh4" TargetMode="External"/><Relationship Id="rId1132" Type="http://schemas.openxmlformats.org/officeDocument/2006/relationships/hyperlink" Target="https://www.youtube.com/watch?v=bYuB0GiFeB8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5ymVMHshf0M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3/11somostestigos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3/4unavidaquebuscalibertad.mp3" TargetMode="External"/><Relationship Id="rId1087" Type="http://schemas.openxmlformats.org/officeDocument/2006/relationships/hyperlink" Target="https://www.youtube.com/watch?v=ncuAoDXMGoc" TargetMode="External"/><Relationship Id="rId1294" Type="http://schemas.openxmlformats.org/officeDocument/2006/relationships/hyperlink" Target="https://www.youtube.com/watch?v=A0xhZ_NFhlc" TargetMode="External"/><Relationship Id="rId664" Type="http://schemas.openxmlformats.org/officeDocument/2006/relationships/hyperlink" Target="https://www.youtube.com/watch?v=7R7eJUetKrQ" TargetMode="External"/><Relationship Id="rId871" Type="http://schemas.openxmlformats.org/officeDocument/2006/relationships/hyperlink" Target="https://www.youtube.com/watch?v=cR12p7MeUlA" TargetMode="External"/><Relationship Id="rId969" Type="http://schemas.openxmlformats.org/officeDocument/2006/relationships/hyperlink" Target="https://www.youtube.com/watch?v=rb24HDWkCnA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0/9credo.mp3" TargetMode="External"/><Relationship Id="rId731" Type="http://schemas.openxmlformats.org/officeDocument/2006/relationships/hyperlink" Target="https://www.youtube.com/watch?v=24kg82reMgI" TargetMode="External"/><Relationship Id="rId1154" Type="http://schemas.openxmlformats.org/officeDocument/2006/relationships/hyperlink" Target="https://www.youtube.com/watch?v=n-VtzSIlgdo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rW9EmUWG3oc" TargetMode="External"/><Relationship Id="rId1014" Type="http://schemas.openxmlformats.org/officeDocument/2006/relationships/hyperlink" Target="https://www.youtube.com/watch?v=1iS5gE68JCc" TargetMode="External"/><Relationship Id="rId1221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7/3amigos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5/05diremosquesi.wav" TargetMode="External"/><Relationship Id="rId686" Type="http://schemas.openxmlformats.org/officeDocument/2006/relationships/hyperlink" Target="https://www.youtube.com/watch?v=PYM4YOByV58" TargetMode="External"/><Relationship Id="rId893" Type="http://schemas.openxmlformats.org/officeDocument/2006/relationships/hyperlink" Target="https://www.youtube.com/watch?v=G-kG0aZxFpA" TargetMode="External"/><Relationship Id="rId339" Type="http://schemas.openxmlformats.org/officeDocument/2006/relationships/hyperlink" Target="https://www.youtube.com/watch?v=55gD-KwdjSs" TargetMode="External"/><Relationship Id="rId546" Type="http://schemas.openxmlformats.org/officeDocument/2006/relationships/hyperlink" Target="https://www.maristes.cat/sites/default/files/content/nodes/recurs/file/8843/7tieneelsida.mp3" TargetMode="External"/><Relationship Id="rId753" Type="http://schemas.openxmlformats.org/officeDocument/2006/relationships/hyperlink" Target="https://www.youtube.com/watch?v=npjgYMt2pHc" TargetMode="External"/><Relationship Id="rId1176" Type="http://schemas.openxmlformats.org/officeDocument/2006/relationships/hyperlink" Target="https://www.youtube.com/watch?v=okemNDjxZh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8/06-rebosandonombres.mp3" TargetMode="External"/><Relationship Id="rId960" Type="http://schemas.openxmlformats.org/officeDocument/2006/relationships/hyperlink" Target="https://www.youtube.com/watch?v=75pS65XwjAU" TargetMode="External"/><Relationship Id="rId1036" Type="http://schemas.openxmlformats.org/officeDocument/2006/relationships/hyperlink" Target="https://www.youtube.com/watch?v=i3OXfZ24gwY" TargetMode="External"/><Relationship Id="rId1243" Type="http://schemas.openxmlformats.org/officeDocument/2006/relationships/hyperlink" Target="https://www.mercaba.org/Musica/Cesareo%20Gabarain/Al%20Atardecer%20de%20la%20Vida/12%20-%20Vive%20con%20Cristo.mp3" TargetMode="External"/><Relationship Id="rId613" Type="http://schemas.openxmlformats.org/officeDocument/2006/relationships/hyperlink" Target="https://www.maristes.cat/sites/default/files/content/nodes/recurs/file/8767/5elamoresnuestrocanto.mp3" TargetMode="External"/><Relationship Id="rId820" Type="http://schemas.openxmlformats.org/officeDocument/2006/relationships/hyperlink" Target="https://www.youtube.com/watch?v=fKmF4zTdT_0" TargetMode="External"/><Relationship Id="rId918" Type="http://schemas.openxmlformats.org/officeDocument/2006/relationships/hyperlink" Target="https://www.youtube.com/watch?v=0kl0jwsFjQg" TargetMode="External"/><Relationship Id="rId1103" Type="http://schemas.openxmlformats.org/officeDocument/2006/relationships/hyperlink" Target="https://www.youtube.com/watch?v=4ntcNU8rYkA" TargetMode="External"/><Relationship Id="rId1310" Type="http://schemas.openxmlformats.org/officeDocument/2006/relationships/hyperlink" Target="https://www.youtube.com/watch?v=sbhAo151gOg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8/5oraciondelpobre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794/7entornoalpan.mp3" TargetMode="External"/><Relationship Id="rId775" Type="http://schemas.openxmlformats.org/officeDocument/2006/relationships/hyperlink" Target="https://www.youtube.com/watch?v=Sq7WgjUc4Z8" TargetMode="External"/><Relationship Id="rId982" Type="http://schemas.openxmlformats.org/officeDocument/2006/relationships/hyperlink" Target="https://open.spotify.com/intl-es/track/1kITt1STB7aHSkauwzNJCs?si=fb887986370844d7" TargetMode="External"/><Relationship Id="rId1198" Type="http://schemas.openxmlformats.org/officeDocument/2006/relationships/hyperlink" Target="https://www.mercaba.org/Musica/Cesareo%20Gabarain/Dios%20con%20Nosotros/01%20-%20%C3%89xodo%20y%20liberaci%C3%B3n.mp3" TargetMode="External"/><Relationship Id="rId428" Type="http://schemas.openxmlformats.org/officeDocument/2006/relationships/hyperlink" Target="https://www.maristes.cat/sites/default/files/content/nodes/recurs/file/8928/trackno04.mp3" TargetMode="External"/><Relationship Id="rId635" Type="http://schemas.openxmlformats.org/officeDocument/2006/relationships/hyperlink" Target="https://www.youtube.com/watch?v=NX8Qj5zB_b4" TargetMode="External"/><Relationship Id="rId842" Type="http://schemas.openxmlformats.org/officeDocument/2006/relationships/hyperlink" Target="https://www.youtube.com/watch?v=2DhAlA34aMs" TargetMode="External"/><Relationship Id="rId1058" Type="http://schemas.openxmlformats.org/officeDocument/2006/relationships/hyperlink" Target="https://www.youtube.com/watch?v=Pa5iR9BwNko" TargetMode="External"/><Relationship Id="rId1265" Type="http://schemas.openxmlformats.org/officeDocument/2006/relationships/hyperlink" Target="https://www.mercaba.org/Musica/Cesareo%20Gabarain/Catequesis%20y%20Cancion/02%20dios%20hizo%20todas%20las%20cosas.mp3" TargetMode="External"/><Relationship Id="rId702" Type="http://schemas.openxmlformats.org/officeDocument/2006/relationships/hyperlink" Target="https://www.youtube.com/watch?v=kxO47mE_tJ4" TargetMode="External"/><Relationship Id="rId1125" Type="http://schemas.openxmlformats.org/officeDocument/2006/relationships/hyperlink" Target="https://www.youtube.com/watch?v=wd4Ymh-lE6E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39/1avemaria.mp3" TargetMode="External"/><Relationship Id="rId797" Type="http://schemas.openxmlformats.org/officeDocument/2006/relationships/hyperlink" Target="https://www.youtube.com/watch?v=hNE9e1fglXs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Dgljc0WVuuc" TargetMode="External"/><Relationship Id="rId1287" Type="http://schemas.openxmlformats.org/officeDocument/2006/relationships/hyperlink" Target="https://www.mercaba.org/Musica/Cesareo%20Gabarain/Dios%20Hombre%20Mundo/03%20-%20Dios%20es%20alegre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y2S6ljsbEEE" TargetMode="External"/><Relationship Id="rId864" Type="http://schemas.openxmlformats.org/officeDocument/2006/relationships/hyperlink" Target="https://www.youtube.com/watch?v=kLnc_0SRQ-I" TargetMode="External"/><Relationship Id="rId517" Type="http://schemas.openxmlformats.org/officeDocument/2006/relationships/hyperlink" Target="https://www.maristes.cat/sites/default/files/content/nodes/recurs/file/8971/2hacedloqueelosdiga.mp3" TargetMode="External"/><Relationship Id="rId724" Type="http://schemas.openxmlformats.org/officeDocument/2006/relationships/hyperlink" Target="https://www.youtube.com/watch?v=VQipBQFKO4w" TargetMode="External"/><Relationship Id="rId931" Type="http://schemas.openxmlformats.org/officeDocument/2006/relationships/hyperlink" Target="https://www.youtube.com/watch?v=2wwfVdN_R3g" TargetMode="External"/><Relationship Id="rId1147" Type="http://schemas.openxmlformats.org/officeDocument/2006/relationships/hyperlink" Target="https://www.youtube.com/watch?v=gCqcDUT8b8k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USJ1gsqMYk" TargetMode="External"/><Relationship Id="rId1214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0/8aleluya.mp3" TargetMode="External"/><Relationship Id="rId581" Type="http://schemas.openxmlformats.org/officeDocument/2006/relationships/hyperlink" Target="https://www.maristes.cat/sites/default/files/content/nodes/recurs/file/8733/07siempremegustodecirtehola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bpt-RXAsVJ0" TargetMode="External"/><Relationship Id="rId886" Type="http://schemas.openxmlformats.org/officeDocument/2006/relationships/hyperlink" Target="https://www.youtube.com/watch?v=4tPYE84toRw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0/5canticodelascriaturas.mp3" TargetMode="External"/><Relationship Id="rId539" Type="http://schemas.openxmlformats.org/officeDocument/2006/relationships/hyperlink" Target="https://www.maristes.cat/sites/default/files/content/nodes/recurs/file/8995/kairoi-profetadelafamilia-10-elpoemadelapiedra.mp3" TargetMode="External"/><Relationship Id="rId746" Type="http://schemas.openxmlformats.org/officeDocument/2006/relationships/hyperlink" Target="https://www.youtube.com/watch?v=7d1Y5tiOnMs" TargetMode="External"/><Relationship Id="rId1071" Type="http://schemas.openxmlformats.org/officeDocument/2006/relationships/hyperlink" Target="https://www.youtube.com/watch?v=NjxWix9JXRc" TargetMode="External"/><Relationship Id="rId1169" Type="http://schemas.openxmlformats.org/officeDocument/2006/relationships/hyperlink" Target="https://www.youtube.com/watch?v=-tztpCSrBUE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6lv8LnOMFgI" TargetMode="External"/><Relationship Id="rId1029" Type="http://schemas.openxmlformats.org/officeDocument/2006/relationships/hyperlink" Target="https://www.youtube.com/watch?v=7i-woateYWY" TargetMode="External"/><Relationship Id="rId1236" Type="http://schemas.openxmlformats.org/officeDocument/2006/relationships/hyperlink" Target="https://www.mercaba.org/Musica/Cesareo%20Gabarain/Al%20Atardecer%20de%20la%20Vida/05%20-%20Abridme%20las%20puertas%20del%20triunfo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3/8entisolodescanso.mp3" TargetMode="External"/><Relationship Id="rId813" Type="http://schemas.openxmlformats.org/officeDocument/2006/relationships/hyperlink" Target="https://www.youtube.com/watch?v=LXqtItOfjyY" TargetMode="External"/><Relationship Id="rId1303" Type="http://schemas.openxmlformats.org/officeDocument/2006/relationships/hyperlink" Target="https://www.youtube.com/watch?v=haISnUGFeOU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19/6teresatoda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3/10tullamada.mp3" TargetMode="External"/><Relationship Id="rId670" Type="http://schemas.openxmlformats.org/officeDocument/2006/relationships/hyperlink" Target="https://www.youtube.com/watch?v=7DLh0xVm4eI" TargetMode="External"/><Relationship Id="rId1093" Type="http://schemas.openxmlformats.org/officeDocument/2006/relationships/hyperlink" Target="https://www.youtube.com/watch?v=w7WooBzGaWQ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6/kairoi-profetadelafamilia-01-yfuistehogar.mp3" TargetMode="External"/><Relationship Id="rId768" Type="http://schemas.openxmlformats.org/officeDocument/2006/relationships/hyperlink" Target="https://www.youtube.com/watch?v=pI7PZ0Wvr5M" TargetMode="External"/><Relationship Id="rId975" Type="http://schemas.openxmlformats.org/officeDocument/2006/relationships/hyperlink" Target="https://www.youtube.com/watch?v=9LVPExAdQtM" TargetMode="External"/><Relationship Id="rId1160" Type="http://schemas.openxmlformats.org/officeDocument/2006/relationships/hyperlink" Target="https://www.youtube.com/watch?v=fikgAIg5M2U" TargetMode="External"/><Relationship Id="rId628" Type="http://schemas.openxmlformats.org/officeDocument/2006/relationships/hyperlink" Target="https://www.youtube.com/watch?v=bDCL8xRyN4A" TargetMode="External"/><Relationship Id="rId835" Type="http://schemas.openxmlformats.org/officeDocument/2006/relationships/hyperlink" Target="https://www.youtube.com/watch?v=L42TNcU4KU8" TargetMode="External"/><Relationship Id="rId1258" Type="http://schemas.openxmlformats.org/officeDocument/2006/relationships/hyperlink" Target="https://www.mercaba.org/Musica/Cesareo%20Gabarain/Cantando%20Venimos/04%20-%20Gracias%20por%20tu%20palabra.mp3" TargetMode="External"/><Relationship Id="rId1020" Type="http://schemas.openxmlformats.org/officeDocument/2006/relationships/hyperlink" Target="https://www.youtube.com/watch?v=nQjn4RpTiEo" TargetMode="External"/><Relationship Id="rId1118" Type="http://schemas.openxmlformats.org/officeDocument/2006/relationships/hyperlink" Target="https://www.youtube.com/watch?v=gFiTLiFIC_g" TargetMode="External"/><Relationship Id="rId902" Type="http://schemas.openxmlformats.org/officeDocument/2006/relationships/hyperlink" Target="https://www.youtube.com/watch?v=MFOUEI5wN3w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5/5dondehayaunnino.mp3" TargetMode="External"/><Relationship Id="rId692" Type="http://schemas.openxmlformats.org/officeDocument/2006/relationships/hyperlink" Target="https://www.youtube.com/watch?v=hcGQoRe0IiQ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552" Type="http://schemas.openxmlformats.org/officeDocument/2006/relationships/hyperlink" Target="https://www.maristes.cat/sites/default/files/content/nodes/recurs/file/8878/1sijesus.mp3" TargetMode="External"/><Relationship Id="rId997" Type="http://schemas.openxmlformats.org/officeDocument/2006/relationships/hyperlink" Target="https://open.spotify.com/intl-es/track/3xbEsRidrWC5c3pMViSFJa?si=58e2fda79a4f43ef" TargetMode="External"/><Relationship Id="rId1182" Type="http://schemas.openxmlformats.org/officeDocument/2006/relationships/hyperlink" Target="https://www.mercaba.org/Musica/Cesareo%20Gabarain/La%20Fuerza%20del%20Espiritu/07%20-%20Creo%20en%20Dios%20Amor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34/12-nopasana.mp3" TargetMode="External"/><Relationship Id="rId857" Type="http://schemas.openxmlformats.org/officeDocument/2006/relationships/hyperlink" Target="https://www.youtube.com/watch?v=8-WurxcHaSE" TargetMode="External"/><Relationship Id="rId1042" Type="http://schemas.openxmlformats.org/officeDocument/2006/relationships/hyperlink" Target="https://www.youtube.com/watch?v=Z7up0Vku2Ys" TargetMode="External"/><Relationship Id="rId717" Type="http://schemas.openxmlformats.org/officeDocument/2006/relationships/hyperlink" Target="https://www.youtube.com/watch?v=PEW4y8pprpk" TargetMode="External"/><Relationship Id="rId924" Type="http://schemas.openxmlformats.org/officeDocument/2006/relationships/hyperlink" Target="https://www.youtube.com/watch?v=0bXFCYOhLRw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2%20-%20Vienen%20con%20alegr%C3%ADa.mp3" TargetMode="External"/><Relationship Id="rId367" Type="http://schemas.openxmlformats.org/officeDocument/2006/relationships/hyperlink" Target="https://www.maristes.cat/sites/default/files/content/nodes/recurs/file/9468/trackno14.mp3" TargetMode="External"/><Relationship Id="rId574" Type="http://schemas.openxmlformats.org/officeDocument/2006/relationships/hyperlink" Target="https://www.maristes.cat/sites/default/files/content/nodes/recurs/file/8949/14tuserashoychampagnat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GMJdR_DyBmI" TargetMode="External"/><Relationship Id="rId879" Type="http://schemas.openxmlformats.org/officeDocument/2006/relationships/hyperlink" Target="https://www.youtube.com/watch?v=e0tLbdOmtm4" TargetMode="External"/><Relationship Id="rId434" Type="http://schemas.openxmlformats.org/officeDocument/2006/relationships/hyperlink" Target="https://www.maristes.cat/sites/default/files/content/nodes/recurs/file/8933/trackno09.mp3" TargetMode="External"/><Relationship Id="rId641" Type="http://schemas.openxmlformats.org/officeDocument/2006/relationships/hyperlink" Target="https://www.youtube.com/watch?v=zu0Jh4W-SRI" TargetMode="External"/><Relationship Id="rId739" Type="http://schemas.openxmlformats.org/officeDocument/2006/relationships/hyperlink" Target="https://www.youtube.com/watch?v=z_34X0UEVQo" TargetMode="External"/><Relationship Id="rId1064" Type="http://schemas.openxmlformats.org/officeDocument/2006/relationships/hyperlink" Target="https://www.youtube.com/watch?v=GB2dK8cphAc" TargetMode="External"/><Relationship Id="rId1271" Type="http://schemas.openxmlformats.org/officeDocument/2006/relationships/hyperlink" Target="https://www.mercaba.org/Musica/Cesareo%20Gabarain/Catequesis%20y%20Cancion/08%20dios%20esta%20muy%20cerca%20de%20mi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173"/>
  <sheetViews>
    <sheetView tabSelected="1" topLeftCell="A168" zoomScale="85" zoomScaleNormal="85" workbookViewId="0">
      <selection activeCell="J172" sqref="J172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4795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4399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4400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4401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4402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4403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4404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4405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4406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4407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4408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4409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4410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4411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4412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4413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3463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3464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3465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3466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3467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3468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3469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3470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3471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3472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3473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3474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3475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3476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3477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3478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3479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3480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3481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3482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3483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3484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3485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3486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3487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3488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3489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3490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3491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3492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3493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3494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3495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3496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3497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3498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3499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3500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3501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3502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3503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3504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3505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3506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3507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3508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3509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3510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3511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3512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3513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3514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3515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3516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3517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3518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3519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3520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3521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3522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3523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3524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3525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3526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3527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3528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3529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3530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3531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3532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3533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3534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3535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3536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3537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3538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3539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3540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3541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3542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3543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3544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3545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3546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3547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3548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3549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3550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3551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3552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3553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3554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4414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4415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4416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4417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4418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4419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4420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4421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4422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4423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4424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4425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4426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3556</v>
      </c>
      <c r="C122" s="1"/>
      <c r="J122" s="1"/>
      <c r="M122" s="15" t="s">
        <v>500</v>
      </c>
      <c r="N122" s="1" t="s">
        <v>3555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3571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3557</v>
      </c>
      <c r="C123" s="1"/>
      <c r="J123" s="1"/>
      <c r="M123" s="15" t="s">
        <v>500</v>
      </c>
      <c r="N123" s="1" t="s">
        <v>3555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3572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3558</v>
      </c>
      <c r="C124" s="1"/>
      <c r="J124" s="1"/>
      <c r="M124" s="15" t="s">
        <v>500</v>
      </c>
      <c r="N124" s="1" t="s">
        <v>3555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3559</v>
      </c>
      <c r="C125" s="1"/>
      <c r="J125" s="1"/>
      <c r="M125" s="15" t="s">
        <v>500</v>
      </c>
      <c r="N125" s="1" t="s">
        <v>3555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3560</v>
      </c>
      <c r="C126" s="1"/>
      <c r="J126" s="1"/>
      <c r="M126" s="15" t="s">
        <v>500</v>
      </c>
      <c r="N126" s="1" t="s">
        <v>3555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3561</v>
      </c>
      <c r="C127" s="1"/>
      <c r="J127" s="1"/>
      <c r="M127" s="15" t="s">
        <v>500</v>
      </c>
      <c r="N127" s="1" t="s">
        <v>3555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3562</v>
      </c>
      <c r="C128" s="1"/>
      <c r="J128" s="1"/>
      <c r="M128" s="15" t="s">
        <v>500</v>
      </c>
      <c r="N128" s="1" t="s">
        <v>3555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3563</v>
      </c>
      <c r="C129" s="1"/>
      <c r="J129" s="1"/>
      <c r="M129" s="15" t="s">
        <v>500</v>
      </c>
      <c r="N129" s="1" t="s">
        <v>3555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3555</v>
      </c>
      <c r="C130" s="1"/>
      <c r="J130" s="1"/>
      <c r="M130" s="15" t="s">
        <v>500</v>
      </c>
      <c r="N130" s="1" t="s">
        <v>3555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3564</v>
      </c>
      <c r="C131" s="1"/>
      <c r="J131" s="1"/>
      <c r="M131" s="15" t="s">
        <v>500</v>
      </c>
      <c r="N131" s="1" t="s">
        <v>3555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canciones/ain_karem/fieles_y_unidas.html</v>
      </c>
      <c r="T131" s="1"/>
      <c r="U131" s="1"/>
      <c r="V131" s="32" t="s">
        <v>3580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href="canciones/ain_karem/fieles_y_unidas.html"&gt;Fieles y unidas&lt;/a&gt;&lt;/li&gt;</v>
      </c>
      <c r="X131" s="15" t="str">
        <f>_xlfn.TEXTBEFORE(_xlfn.TEXTAFTER(CantoralDB[[#This Row],[index.html]],"&gt;"),"&gt;")&amp;"&gt;"</f>
        <v>&lt;a href="canciones/ain_karem/fieles_y_unidas.html"&gt;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3565</v>
      </c>
      <c r="C132" s="1"/>
      <c r="J132" s="1"/>
      <c r="M132" s="15" t="s">
        <v>500</v>
      </c>
      <c r="N132" s="1" t="s">
        <v>3555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3581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3566</v>
      </c>
      <c r="C133" s="1"/>
      <c r="J133" s="1"/>
      <c r="M133" s="15" t="s">
        <v>500</v>
      </c>
      <c r="N133" s="1" t="s">
        <v>3555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3582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3567</v>
      </c>
      <c r="C134" s="1"/>
      <c r="J134" s="1"/>
      <c r="M134" s="15" t="s">
        <v>500</v>
      </c>
      <c r="N134" s="1" t="s">
        <v>3555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3568</v>
      </c>
      <c r="C135" s="1"/>
      <c r="J135" s="1"/>
      <c r="M135" s="15" t="s">
        <v>500</v>
      </c>
      <c r="N135" s="1" t="s">
        <v>3555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3569</v>
      </c>
      <c r="C136" s="1"/>
      <c r="J136" s="1"/>
      <c r="M136" s="15" t="s">
        <v>500</v>
      </c>
      <c r="N136" s="1" t="s">
        <v>3555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3570</v>
      </c>
      <c r="C137" s="1"/>
      <c r="J137" s="1"/>
      <c r="M137" s="15" t="s">
        <v>500</v>
      </c>
      <c r="N137" s="1" t="s">
        <v>3555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2683</v>
      </c>
      <c r="C138" s="1" t="s">
        <v>190</v>
      </c>
      <c r="D138" s="1" t="s">
        <v>1363</v>
      </c>
      <c r="E138" s="1">
        <v>401</v>
      </c>
      <c r="F138" s="1">
        <v>365</v>
      </c>
      <c r="G138" s="1" t="s">
        <v>208</v>
      </c>
      <c r="H138" s="1" t="s">
        <v>1029</v>
      </c>
      <c r="J138" s="1" t="s">
        <v>607</v>
      </c>
      <c r="M138" s="15" t="s">
        <v>589</v>
      </c>
      <c r="O138" s="15"/>
      <c r="P138" s="15"/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8" s="1" t="s">
        <v>798</v>
      </c>
      <c r="U138" s="1"/>
      <c r="V138" s="32" t="s">
        <v>4430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X138" s="15" t="str">
        <f>_xlfn.TEXTBEFORE(_xlfn.TEXTAFTER(CantoralDB[[#This Row],[index.html]],"&gt;"),"&gt;")&amp;"&gt;"</f>
        <v>&lt;a href="canciones/alejandro_ruiz/abba_padre.html"&gt;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2830</v>
      </c>
      <c r="C139" s="1"/>
      <c r="F139" s="1">
        <v>438</v>
      </c>
      <c r="J139" s="1"/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39" s="1"/>
      <c r="U139" s="1"/>
      <c r="V139" s="15"/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X139" s="15" t="str">
        <f>_xlfn.TEXTBEFORE(_xlfn.TEXTAFTER(CantoralDB[[#This Row],[index.html]],"&gt;"),"&gt;")&amp;"&gt;"</f>
        <v>&lt;a href="canciones/alejandro_ruiz/alabad_al_señor_todas_las_naciones.html"&gt;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2702</v>
      </c>
      <c r="C140" s="1"/>
      <c r="F140" s="1">
        <v>332</v>
      </c>
      <c r="H140" s="1" t="s">
        <v>1029</v>
      </c>
      <c r="J140" s="1" t="s">
        <v>607</v>
      </c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X140" s="15" t="str">
        <f>_xlfn.TEXTBEFORE(_xlfn.TEXTAFTER(CantoralDB[[#This Row],[index.html]],"&gt;"),"&gt;")&amp;"&gt;"</f>
        <v>&lt;a href="canciones/alejandro_ruiz/arranca_de_mi_pecho.html"&gt;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2791</v>
      </c>
      <c r="C141" s="1"/>
      <c r="F141" s="1">
        <v>407</v>
      </c>
      <c r="J141" s="1"/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1" s="1"/>
      <c r="U141" s="1"/>
      <c r="V141" s="32" t="s">
        <v>4463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X141" s="15" t="str">
        <f>_xlfn.TEXTBEFORE(_xlfn.TEXTAFTER(CantoralDB[[#This Row],[index.html]],"&gt;"),"&gt;")&amp;"&gt;"</f>
        <v>&lt;a href="canciones/alejandro_ruiz/confiad.html"&gt;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2822</v>
      </c>
      <c r="C142" s="1"/>
      <c r="F142" s="1">
        <v>432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2" s="1"/>
      <c r="U142" s="1"/>
      <c r="V142" s="32" t="s">
        <v>4489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X142" s="15" t="str">
        <f>_xlfn.TEXTBEFORE(_xlfn.TEXTAFTER(CantoralDB[[#This Row],[index.html]],"&gt;"),"&gt;")&amp;"&gt;"</f>
        <v>&lt;a href="canciones/alejandro_ruiz/demos_gloria.html"&gt;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2837</v>
      </c>
      <c r="C143" s="1"/>
      <c r="F143" s="1">
        <v>446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3" s="1"/>
      <c r="U143" s="1"/>
      <c r="V143" s="32" t="s">
        <v>4553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X143" s="15" t="str">
        <f>_xlfn.TEXTBEFORE(_xlfn.TEXTAFTER(CantoralDB[[#This Row],[index.html]],"&gt;"),"&gt;")&amp;"&gt;"</f>
        <v>&lt;a href="canciones/alejandro_ruiz/el_alfa_y_la_omega.html"&gt;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2799</v>
      </c>
      <c r="C144" s="1"/>
      <c r="F144" s="1">
        <v>412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4" s="1"/>
      <c r="U144" s="1"/>
      <c r="V144" s="15"/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X144" s="15" t="str">
        <f>_xlfn.TEXTBEFORE(_xlfn.TEXTAFTER(CantoralDB[[#This Row],[index.html]],"&gt;"),"&gt;")&amp;"&gt;"</f>
        <v>&lt;a href="canciones/alejandro_ruiz/hijo_de_david.html"&gt;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2832</v>
      </c>
      <c r="C145" s="1"/>
      <c r="F145" s="1">
        <v>440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5" s="1"/>
      <c r="U145" s="1"/>
      <c r="V145" s="32" t="s">
        <v>4601</v>
      </c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X145" s="15" t="str">
        <f>_xlfn.TEXTBEFORE(_xlfn.TEXTAFTER(CantoralDB[[#This Row],[index.html]],"&gt;"),"&gt;")&amp;"&gt;"</f>
        <v>&lt;a href="canciones/alejandro_ruiz/la_victoria_es_de_nuestro_dios.html"&gt;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2686</v>
      </c>
      <c r="C146" s="1"/>
      <c r="F146" s="1">
        <v>312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6" s="1"/>
      <c r="U146" s="1"/>
      <c r="V146" s="32" t="s">
        <v>4488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X146" s="15" t="str">
        <f>_xlfn.TEXTBEFORE(_xlfn.TEXTAFTER(CantoralDB[[#This Row],[index.html]],"&gt;"),"&gt;")&amp;"&gt;"</f>
        <v>&lt;a href="canciones/alejandro_ruiz/no_hay_nadie_como_tu.html"&gt;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2805</v>
      </c>
      <c r="C147" s="1"/>
      <c r="F147" s="1">
        <v>417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7" s="1"/>
      <c r="U147" s="1"/>
      <c r="V147" s="32" t="s">
        <v>4473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X147" s="15" t="str">
        <f>_xlfn.TEXTBEFORE(_xlfn.TEXTAFTER(CantoralDB[[#This Row],[index.html]],"&gt;"),"&gt;")&amp;"&gt;"</f>
        <v>&lt;a href="canciones/alejandro_ruiz/que_tendras_tu.html"&gt;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2834</v>
      </c>
      <c r="C148" s="1"/>
      <c r="F148" s="1">
        <v>442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8" s="1"/>
      <c r="U148" s="1"/>
      <c r="V148" s="32" t="s">
        <v>4594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X148" s="15" t="str">
        <f>_xlfn.TEXTBEFORE(_xlfn.TEXTAFTER(CantoralDB[[#This Row],[index.html]],"&gt;"),"&gt;")&amp;"&gt;"</f>
        <v>&lt;a href="canciones/alejandro_ruiz/tu_me_has_vestido.html"&gt;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2380</v>
      </c>
      <c r="C149" s="1"/>
      <c r="F149" s="1">
        <v>2</v>
      </c>
      <c r="H149" s="1" t="s">
        <v>1027</v>
      </c>
      <c r="J149" s="1" t="s">
        <v>607</v>
      </c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49" s="1"/>
      <c r="U149" s="1"/>
      <c r="V149" s="32" t="s">
        <v>4458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X149" s="15" t="str">
        <f>_xlfn.TEXTBEFORE(_xlfn.TEXTAFTER(CantoralDB[[#This Row],[index.html]],"&gt;"),"&gt;")&amp;"&gt;"</f>
        <v>&lt;a href="canciones/alejandro_ruiz/tu_rompes_cadenas.html"&gt;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2654</v>
      </c>
      <c r="C150" s="1"/>
      <c r="F150" s="1">
        <v>277</v>
      </c>
      <c r="J150" s="1"/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0" s="1"/>
      <c r="U150" s="1"/>
      <c r="V150" s="15"/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X150" s="15" t="str">
        <f>_xlfn.TEXTBEFORE(_xlfn.TEXTAFTER(CantoralDB[[#This Row],[index.html]],"&gt;"),"&gt;")&amp;"&gt;"</f>
        <v>&lt;a href="canciones/alejandro_ruiz/tuya_es_la_victoria.html"&gt;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1748</v>
      </c>
      <c r="C151" s="1"/>
      <c r="F151" s="1">
        <v>175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1" s="1"/>
      <c r="U151" s="1"/>
      <c r="V151" s="15"/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X151" s="15" t="str">
        <f>_xlfn.TEXTBEFORE(_xlfn.TEXTAFTER(CantoralDB[[#This Row],[index.html]],"&gt;"),"&gt;")&amp;"&gt;"</f>
        <v>&lt;a href="canciones/alejandro_ruiz/ven_espiritu.html"&gt;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2812</v>
      </c>
      <c r="C152" s="1"/>
      <c r="F152" s="1">
        <v>424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2" s="1"/>
      <c r="U152" s="1"/>
      <c r="V152" s="32" t="s">
        <v>4450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X152" s="15" t="str">
        <f>_xlfn.TEXTBEFORE(_xlfn.TEXTAFTER(CantoralDB[[#This Row],[index.html]],"&gt;"),"&gt;")&amp;"&gt;"</f>
        <v>&lt;a href="canciones/alejandro_ruiz/ven_espiritu_santo_de_dios.html"&gt;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1184</v>
      </c>
      <c r="C153" s="1"/>
      <c r="E153" s="1">
        <v>56</v>
      </c>
      <c r="H153" s="1" t="s">
        <v>530</v>
      </c>
      <c r="J153" s="1" t="s">
        <v>607</v>
      </c>
      <c r="M153" s="15" t="s">
        <v>487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3" s="1"/>
      <c r="U153" s="1"/>
      <c r="V153" s="15"/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3" s="15" t="str">
        <f>_xlfn.TEXTBEFORE(_xlfn.TEXTAFTER(CantoralDB[[#This Row],[index.html]],"&gt;"),"&gt;")&amp;"&gt;"</f>
        <v>&lt;a href="canciones/al-haraca/como_jonas.html"&gt;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1248</v>
      </c>
      <c r="C154" s="1"/>
      <c r="E154" s="1">
        <v>114</v>
      </c>
      <c r="J154" s="1"/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4" s="1"/>
      <c r="U154" s="1"/>
      <c r="V154" s="15"/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4" s="15" t="str">
        <f>_xlfn.TEXTBEFORE(_xlfn.TEXTAFTER(CantoralDB[[#This Row],[index.html]],"&gt;"),"&gt;")&amp;"&gt;"</f>
        <v>&lt;a href="canciones/al-haraca/en_esto_conoceran.html"&gt;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2897</v>
      </c>
      <c r="C155" s="1"/>
      <c r="E155" s="1">
        <v>197</v>
      </c>
      <c r="H155" s="1" t="s">
        <v>1029</v>
      </c>
      <c r="J155" s="1" t="s">
        <v>607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5" s="15" t="str">
        <f>_xlfn.TEXTBEFORE(_xlfn.TEXTAFTER(CantoralDB[[#This Row],[index.html]],"&gt;"),"&gt;")&amp;"&gt;"</f>
        <v>&lt;a href="canciones/al-haraca/padre_me_pongo_en_tu_regazo.html"&gt;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185</v>
      </c>
      <c r="C156" s="1" t="s">
        <v>197</v>
      </c>
      <c r="D156" s="1" t="s">
        <v>1453</v>
      </c>
      <c r="E156" s="1">
        <v>209</v>
      </c>
      <c r="G156" s="1" t="s">
        <v>208</v>
      </c>
      <c r="H156" s="1" t="s">
        <v>530</v>
      </c>
      <c r="I156" s="1" t="s">
        <v>2952</v>
      </c>
      <c r="J156" s="1" t="s">
        <v>607</v>
      </c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6" s="1"/>
      <c r="U156" s="1"/>
      <c r="V156" s="15"/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6" s="15" t="str">
        <f>_xlfn.TEXTBEFORE(_xlfn.TEXTAFTER(CantoralDB[[#This Row],[index.html]],"&gt;"),"&gt;")&amp;"&gt;"</f>
        <v>&lt;a href="canciones/al-haraca/por_la_paz_no_callare.html"&gt;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2898</v>
      </c>
      <c r="C157" s="1"/>
      <c r="E157" s="1">
        <v>213</v>
      </c>
      <c r="H157" s="1" t="s">
        <v>530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7" s="1"/>
      <c r="U157" s="1"/>
      <c r="V157" s="15"/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7" s="15" t="str">
        <f>_xlfn.TEXTBEFORE(_xlfn.TEXTAFTER(CantoralDB[[#This Row],[index.html]],"&gt;"),"&gt;")&amp;"&gt;"</f>
        <v>&lt;a href="canciones/al-haraca/santa_maria_servidora.html"&gt;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2548</v>
      </c>
      <c r="C158" s="1"/>
      <c r="F158" s="1">
        <v>160</v>
      </c>
      <c r="J158" s="1"/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58" s="1"/>
      <c r="U158" s="1"/>
      <c r="V158" s="15"/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X158" s="15" t="str">
        <f>_xlfn.TEXTBEFORE(_xlfn.TEXTAFTER(CantoralDB[[#This Row],[index.html]],"&gt;"),"&gt;")&amp;"&gt;"</f>
        <v>&lt;a href="canciones/al-haraca/si_con_vosotros_estoy.html"&gt;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169</v>
      </c>
      <c r="C159" s="1" t="s">
        <v>190</v>
      </c>
      <c r="D159" s="1" t="s">
        <v>763</v>
      </c>
      <c r="E159" s="1">
        <v>294</v>
      </c>
      <c r="G159" s="1" t="s">
        <v>208</v>
      </c>
      <c r="H159" s="1" t="s">
        <v>1029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59" s="1" t="s">
        <v>869</v>
      </c>
      <c r="U159" s="1"/>
      <c r="V159" s="15"/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59" s="15" t="str">
        <f>_xlfn.TEXTBEFORE(_xlfn.TEXTAFTER(CantoralDB[[#This Row],[index.html]],"&gt;"),"&gt;")&amp;"&gt;"</f>
        <v>&lt;a href="canciones/al-haraca/yo_soy_la_luz_del_mundo.html"&gt;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1181</v>
      </c>
      <c r="C160" s="1"/>
      <c r="E160" s="1" t="s">
        <v>1186</v>
      </c>
      <c r="J160" s="1"/>
      <c r="M160" s="15" t="s">
        <v>485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0" s="15" t="str">
        <f>_xlfn.TEXTBEFORE(_xlfn.TEXTAFTER(CantoralDB[[#This Row],[index.html]],"&gt;"),"&gt;")&amp;"&gt;"</f>
        <v>&lt;a href="canciones/antonio_alcalde/cielos_destilad_el_rocio.html"&gt;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1209</v>
      </c>
      <c r="C161" s="1"/>
      <c r="E161" s="1">
        <v>88</v>
      </c>
      <c r="H161" s="1" t="s">
        <v>1028</v>
      </c>
      <c r="J161" s="1" t="s">
        <v>607</v>
      </c>
      <c r="M161" s="15" t="s">
        <v>485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1" s="1"/>
      <c r="U161" s="1"/>
      <c r="V161" s="15"/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1" s="15" t="str">
        <f>_xlfn.TEXTBEFORE(_xlfn.TEXTAFTER(CantoralDB[[#This Row],[index.html]],"&gt;"),"&gt;")&amp;"&gt;"</f>
        <v>&lt;a href="canciones/antonio_alcalde/de_la_virgen_ha_nacido_el_niño.html"&gt;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1253</v>
      </c>
      <c r="C162" s="1"/>
      <c r="E162" s="1">
        <v>120</v>
      </c>
      <c r="H162" s="1" t="s">
        <v>1029</v>
      </c>
      <c r="J162" s="1" t="s">
        <v>607</v>
      </c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2" s="15" t="str">
        <f>_xlfn.TEXTBEFORE(_xlfn.TEXTAFTER(CantoralDB[[#This Row],[index.html]],"&gt;"),"&gt;")&amp;"&gt;"</f>
        <v>&lt;a href="canciones/antonio_alcalde/esta_noche_he_visto_a_dios.html"&gt;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86</v>
      </c>
      <c r="C163" s="1" t="s">
        <v>198</v>
      </c>
      <c r="D163" s="1" t="s">
        <v>1438</v>
      </c>
      <c r="E163" s="1">
        <v>152</v>
      </c>
      <c r="G163" s="1" t="s">
        <v>208</v>
      </c>
      <c r="H163" s="1" t="s">
        <v>1029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3" s="1"/>
      <c r="U163" s="1"/>
      <c r="V163" s="15"/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3" s="15" t="str">
        <f>_xlfn.TEXTBEFORE(_xlfn.TEXTAFTER(CantoralDB[[#This Row],[index.html]],"&gt;"),"&gt;")&amp;"&gt;"</f>
        <v>&lt;a href="canciones/antonio_alcalde/lo_que_hemos_visto_y_oido.html"&gt;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1290</v>
      </c>
      <c r="C164" s="1"/>
      <c r="E164" s="1">
        <v>181</v>
      </c>
      <c r="H164" s="1" t="s">
        <v>1029</v>
      </c>
      <c r="J164" s="1" t="s">
        <v>607</v>
      </c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4" s="1"/>
      <c r="U164" s="1"/>
      <c r="V164" s="32" t="s">
        <v>2963</v>
      </c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4" s="15" t="str">
        <f>_xlfn.TEXTBEFORE(_xlfn.TEXTAFTER(CantoralDB[[#This Row],[index.html]],"&gt;"),"&gt;")&amp;"&gt;"</f>
        <v>&lt;a href="canciones/antonio_alcalde/nos_has_llamado_al_desierto.html"&gt;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246</v>
      </c>
      <c r="C165" s="1" t="s">
        <v>190</v>
      </c>
      <c r="D165" s="1" t="s">
        <v>745</v>
      </c>
      <c r="E165" s="1">
        <v>208</v>
      </c>
      <c r="G165" s="1" t="s">
        <v>247</v>
      </c>
      <c r="H165" s="1" t="s">
        <v>1027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5" s="1"/>
      <c r="U165" s="1"/>
      <c r="V165" s="15"/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5" s="15" t="str">
        <f>_xlfn.TEXTBEFORE(_xlfn.TEXTAFTER(CantoralDB[[#This Row],[index.html]],"&gt;"),"&gt;")&amp;"&gt;"</f>
        <v>&lt;a href="canciones/antonio_alcalde/peregrinos_de_la_paz_y_la_alegria.html"&gt;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121</v>
      </c>
      <c r="C166" s="1" t="s">
        <v>992</v>
      </c>
      <c r="D166" s="1" t="s">
        <v>995</v>
      </c>
      <c r="E166" s="1">
        <v>217</v>
      </c>
      <c r="G166" s="1" t="s">
        <v>208</v>
      </c>
      <c r="H166" s="1" t="s">
        <v>1026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6" s="1"/>
      <c r="U166" s="1"/>
      <c r="V166" s="15"/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6" s="15" t="str">
        <f>_xlfn.TEXTBEFORE(_xlfn.TEXTAFTER(CantoralDB[[#This Row],[index.html]],"&gt;"),"&gt;")&amp;"&gt;"</f>
        <v>&lt;a href="canciones/antonio_alcalde/que_tendra_lo_pequeño.html"&gt;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1324</v>
      </c>
      <c r="C167" s="1"/>
      <c r="E167" s="1" t="s">
        <v>2097</v>
      </c>
      <c r="J167" s="1"/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7" s="1"/>
      <c r="U167" s="1"/>
      <c r="V167" s="15"/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7" s="15" t="str">
        <f>_xlfn.TEXTBEFORE(_xlfn.TEXTAFTER(CantoralDB[[#This Row],[index.html]],"&gt;"),"&gt;")&amp;"&gt;"</f>
        <v>&lt;a href="canciones/antonio_alcalde/señor_dios_nuestro_restauranos.html"&gt;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1339</v>
      </c>
      <c r="C168" s="1"/>
      <c r="E168" s="1" t="s">
        <v>2099</v>
      </c>
      <c r="J168" s="1"/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68" s="1"/>
      <c r="U168" s="1"/>
      <c r="V168" s="15"/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68" s="15" t="str">
        <f>_xlfn.TEXTBEFORE(_xlfn.TEXTAFTER(CantoralDB[[#This Row],[index.html]],"&gt;"),"&gt;")&amp;"&gt;"</f>
        <v>&lt;a href="canciones/antonio_alcalde/unenos_señor_jesus.html"&gt;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1347</v>
      </c>
      <c r="C169" s="1"/>
      <c r="E169" s="1">
        <v>291</v>
      </c>
      <c r="H169" s="1" t="s">
        <v>1029</v>
      </c>
      <c r="J169" s="1" t="s">
        <v>607</v>
      </c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69" s="1"/>
      <c r="U169" s="1"/>
      <c r="V169" s="32" t="s">
        <v>2964</v>
      </c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69" s="15" t="str">
        <f>_xlfn.TEXTBEFORE(_xlfn.TEXTAFTER(CantoralDB[[#This Row],[index.html]],"&gt;"),"&gt;")&amp;"&gt;"</f>
        <v>&lt;a href="canciones/antonio_alcalde/ven_señor_a_nuestra_vida.html"&gt;</v>
      </c>
      <c r="Y169"/>
      <c r="Z169" s="1"/>
      <c r="AA169" s="1"/>
      <c r="AB169" s="1"/>
      <c r="AC169" s="1"/>
    </row>
    <row r="170" spans="1:29" x14ac:dyDescent="0.3">
      <c r="A170" s="33">
        <f>ROW(CantoralDB[[#This Row],[Título]])-1</f>
        <v>169</v>
      </c>
      <c r="B170" s="1" t="s">
        <v>4798</v>
      </c>
      <c r="C170" s="1"/>
      <c r="D170" s="33"/>
      <c r="E170" s="33"/>
      <c r="H170" s="1" t="s">
        <v>530</v>
      </c>
      <c r="I170" s="33" t="s">
        <v>2951</v>
      </c>
      <c r="J170" s="1" t="s">
        <v>607</v>
      </c>
      <c r="M170" s="15" t="s">
        <v>498</v>
      </c>
      <c r="N170" s="1" t="s">
        <v>4798</v>
      </c>
      <c r="O170" s="15">
        <v>1</v>
      </c>
      <c r="P170" s="15"/>
      <c r="Q170" s="34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0" s="34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0" s="35"/>
      <c r="U170" s="33"/>
      <c r="V170" s="32" t="s">
        <v>4819</v>
      </c>
      <c r="W1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0" s="34" t="str">
        <f>_xlfn.TEXTBEFORE(_xlfn.TEXTAFTER(CantoralDB[[#This Row],[index.html]],"&gt;"),"&gt;")&amp;"&gt;"</f>
        <v>&lt;a href="canciones/brotes_de_olivo/como_te_podre_pagar.html"&gt;</v>
      </c>
      <c r="Y170"/>
      <c r="Z170" s="1"/>
      <c r="AA170" s="1"/>
      <c r="AB170" s="1"/>
      <c r="AC170" s="1"/>
    </row>
    <row r="171" spans="1:29" x14ac:dyDescent="0.3">
      <c r="A171" s="33">
        <f>ROW(CantoralDB[[#This Row],[Título]])-1</f>
        <v>170</v>
      </c>
      <c r="B171" s="1" t="s">
        <v>4821</v>
      </c>
      <c r="C171" s="1"/>
      <c r="D171" s="33"/>
      <c r="E171" s="33"/>
      <c r="H171" s="1" t="s">
        <v>1026</v>
      </c>
      <c r="I171" s="33"/>
      <c r="J171" s="1" t="s">
        <v>607</v>
      </c>
      <c r="M171" s="15" t="s">
        <v>498</v>
      </c>
      <c r="N171" s="1" t="s">
        <v>4798</v>
      </c>
      <c r="O171" s="15">
        <v>2</v>
      </c>
      <c r="P171" s="15"/>
      <c r="Q171" s="34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1" s="34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1" s="35"/>
      <c r="U171" s="33"/>
      <c r="V171" s="32" t="s">
        <v>4820</v>
      </c>
      <c r="W1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1" s="34" t="str">
        <f>_xlfn.TEXTBEFORE(_xlfn.TEXTAFTER(CantoralDB[[#This Row],[index.html]],"&gt;"),"&gt;")&amp;"&gt;"</f>
        <v>&lt;a href="canciones/brotes_de_olivo/ver_con_claridad.html"&gt;</v>
      </c>
      <c r="Y171"/>
      <c r="Z171" s="1"/>
      <c r="AA171" s="1"/>
      <c r="AB171" s="1"/>
      <c r="AC171" s="1"/>
    </row>
    <row r="172" spans="1:29" x14ac:dyDescent="0.3">
      <c r="A172" s="33">
        <f>ROW(CantoralDB[[#This Row],[Título]])-1</f>
        <v>171</v>
      </c>
      <c r="B172" s="1" t="s">
        <v>4799</v>
      </c>
      <c r="C172" s="1"/>
      <c r="D172" s="33"/>
      <c r="E172" s="33"/>
      <c r="I172" s="33"/>
      <c r="J172" s="1"/>
      <c r="M172" s="15" t="s">
        <v>498</v>
      </c>
      <c r="N172" s="1" t="s">
        <v>4798</v>
      </c>
      <c r="O172" s="15">
        <v>3</v>
      </c>
      <c r="P172" s="15"/>
      <c r="Q172" s="34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34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2" s="35"/>
      <c r="U172" s="33"/>
      <c r="V172" s="32" t="s">
        <v>4822</v>
      </c>
      <c r="W1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2" s="34" t="str">
        <f>_xlfn.TEXTBEFORE(_xlfn.TEXTAFTER(CantoralDB[[#This Row],[index.html]],"&gt;"),"&gt;")&amp;"&gt;"</f>
        <v>&lt;a href="canciones/brotes_de_olivo/quiero_ser.html"&gt;</v>
      </c>
      <c r="Y172"/>
      <c r="Z172" s="1"/>
      <c r="AA172" s="1"/>
      <c r="AB172" s="1"/>
      <c r="AC172" s="1"/>
    </row>
    <row r="173" spans="1:29" x14ac:dyDescent="0.3">
      <c r="A173" s="33">
        <f>ROW(CantoralDB[[#This Row],[Título]])-1</f>
        <v>172</v>
      </c>
      <c r="B173" s="1" t="s">
        <v>4800</v>
      </c>
      <c r="C173" s="1"/>
      <c r="D173" s="33"/>
      <c r="E173" s="33"/>
      <c r="I173" s="33"/>
      <c r="J173" s="1"/>
      <c r="M173" s="15" t="s">
        <v>498</v>
      </c>
      <c r="N173" s="1" t="s">
        <v>4798</v>
      </c>
      <c r="O173" s="15">
        <v>4</v>
      </c>
      <c r="P173" s="15"/>
      <c r="Q173" s="34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34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3" s="35"/>
      <c r="U173" s="33"/>
      <c r="V173" s="32" t="s">
        <v>4823</v>
      </c>
      <c r="W1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3" s="34" t="str">
        <f>_xlfn.TEXTBEFORE(_xlfn.TEXTAFTER(CantoralDB[[#This Row],[index.html]],"&gt;"),"&gt;")&amp;"&gt;"</f>
        <v>&lt;a href="canciones/brotes_de_olivo/en_el_mismo_barco.html"&gt;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642</v>
      </c>
      <c r="C174" s="1" t="s">
        <v>200</v>
      </c>
      <c r="D174" s="1" t="s">
        <v>662</v>
      </c>
      <c r="G174" s="1" t="s">
        <v>643</v>
      </c>
      <c r="H174" s="1" t="s">
        <v>530</v>
      </c>
      <c r="I174" s="1" t="s">
        <v>2951</v>
      </c>
      <c r="J174" s="1" t="s">
        <v>607</v>
      </c>
      <c r="M174" s="15" t="s">
        <v>498</v>
      </c>
      <c r="N174" s="1" t="s">
        <v>4798</v>
      </c>
      <c r="O174" s="15">
        <v>5</v>
      </c>
      <c r="P174" s="15"/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4" s="1" t="s">
        <v>844</v>
      </c>
      <c r="U174" s="1"/>
      <c r="V174" s="32" t="s">
        <v>4391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4" s="15" t="str">
        <f>_xlfn.TEXTBEFORE(_xlfn.TEXTAFTER(CantoralDB[[#This Row],[index.html]],"&gt;"),"&gt;")&amp;"&gt;"</f>
        <v>&lt;a href="canciones/brotes_de_olivo/nada_has_pensado.html"&gt;</v>
      </c>
      <c r="Y174"/>
      <c r="Z174" s="1"/>
      <c r="AA174" s="1"/>
      <c r="AB174" s="1"/>
      <c r="AC174" s="1"/>
    </row>
    <row r="175" spans="1:29" x14ac:dyDescent="0.3">
      <c r="A175" s="33">
        <f>ROW(CantoralDB[[#This Row],[Título]])-1</f>
        <v>174</v>
      </c>
      <c r="B175" s="1" t="s">
        <v>4801</v>
      </c>
      <c r="C175" s="1"/>
      <c r="D175" s="33"/>
      <c r="E175" s="33"/>
      <c r="I175" s="33"/>
      <c r="J175" s="1"/>
      <c r="M175" s="15" t="s">
        <v>498</v>
      </c>
      <c r="N175" s="1" t="s">
        <v>4798</v>
      </c>
      <c r="O175" s="15">
        <v>6</v>
      </c>
      <c r="P175" s="15"/>
      <c r="Q175" s="34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34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5" s="35"/>
      <c r="U175" s="33"/>
      <c r="V175" s="32" t="s">
        <v>4824</v>
      </c>
      <c r="W1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5" s="34" t="str">
        <f>_xlfn.TEXTBEFORE(_xlfn.TEXTAFTER(CantoralDB[[#This Row],[index.html]],"&gt;"),"&gt;")&amp;"&gt;"</f>
        <v>&lt;a href="canciones/brotes_de_olivo/sea.html"&gt;</v>
      </c>
      <c r="Y175"/>
      <c r="Z175" s="1"/>
      <c r="AA175" s="1"/>
      <c r="AB175" s="1"/>
      <c r="AC175" s="1"/>
    </row>
    <row r="176" spans="1:29" x14ac:dyDescent="0.3">
      <c r="A176" s="33">
        <f>ROW(CantoralDB[[#This Row],[Título]])-1</f>
        <v>175</v>
      </c>
      <c r="B176" s="1" t="s">
        <v>4802</v>
      </c>
      <c r="C176" s="1"/>
      <c r="D176" s="33"/>
      <c r="E176" s="33"/>
      <c r="I176" s="33"/>
      <c r="J176" s="1"/>
      <c r="M176" s="15" t="s">
        <v>498</v>
      </c>
      <c r="N176" s="1" t="s">
        <v>4798</v>
      </c>
      <c r="O176" s="15">
        <v>7</v>
      </c>
      <c r="P176" s="15"/>
      <c r="Q176" s="34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34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6" s="35"/>
      <c r="U176" s="33"/>
      <c r="V176" s="32" t="s">
        <v>4825</v>
      </c>
      <c r="W1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6" s="34" t="str">
        <f>_xlfn.TEXTBEFORE(_xlfn.TEXTAFTER(CantoralDB[[#This Row],[index.html]],"&gt;"),"&gt;")&amp;"&gt;"</f>
        <v>&lt;a href="canciones/brotes_de_olivo/causa_de_tu_providencia.html"&gt;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59</v>
      </c>
      <c r="C177" s="1" t="s">
        <v>200</v>
      </c>
      <c r="D177" s="1" t="s">
        <v>653</v>
      </c>
      <c r="E177" s="1">
        <v>423</v>
      </c>
      <c r="G177" s="1" t="s">
        <v>208</v>
      </c>
      <c r="H177" s="1" t="s">
        <v>1026</v>
      </c>
      <c r="J177" s="1" t="s">
        <v>607</v>
      </c>
      <c r="M177" s="15" t="s">
        <v>498</v>
      </c>
      <c r="N177" s="1" t="s">
        <v>4798</v>
      </c>
      <c r="O177" s="15">
        <v>8</v>
      </c>
      <c r="P177" s="15"/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7" s="1" t="s">
        <v>829</v>
      </c>
      <c r="U177" s="1"/>
      <c r="V177" s="32" t="s">
        <v>4387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7" s="15" t="str">
        <f>_xlfn.TEXTBEFORE(_xlfn.TEXTAFTER(CantoralDB[[#This Row],[index.html]],"&gt;"),"&gt;")&amp;"&gt;"</f>
        <v>&lt;a href="canciones/brotes_de_olivo/en_mi_debilidad.html"&gt;</v>
      </c>
      <c r="Y177"/>
      <c r="Z177" s="1"/>
      <c r="AA177" s="1"/>
      <c r="AB177" s="1"/>
      <c r="AC177" s="1"/>
    </row>
    <row r="178" spans="1:29" x14ac:dyDescent="0.3">
      <c r="A178" s="33">
        <f>ROW(CantoralDB[[#This Row],[Título]])-1</f>
        <v>177</v>
      </c>
      <c r="B178" s="1" t="s">
        <v>4803</v>
      </c>
      <c r="C178" s="1"/>
      <c r="D178" s="33"/>
      <c r="E178" s="33"/>
      <c r="I178" s="33"/>
      <c r="J178" s="1"/>
      <c r="M178" s="15" t="s">
        <v>498</v>
      </c>
      <c r="N178" s="1" t="s">
        <v>4798</v>
      </c>
      <c r="O178" s="15">
        <v>9</v>
      </c>
      <c r="P178" s="15"/>
      <c r="Q178" s="34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34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78" s="35"/>
      <c r="U178" s="33"/>
      <c r="V178" s="32" t="s">
        <v>4826</v>
      </c>
      <c r="W1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78" s="34" t="str">
        <f>_xlfn.TEXTBEFORE(_xlfn.TEXTAFTER(CantoralDB[[#This Row],[index.html]],"&gt;"),"&gt;")&amp;"&gt;"</f>
        <v>&lt;a href="canciones/brotes_de_olivo/no_se_hablan.html"&gt;</v>
      </c>
      <c r="Y178"/>
      <c r="Z178" s="1"/>
      <c r="AA178" s="1"/>
      <c r="AB178" s="1"/>
      <c r="AC178" s="1"/>
    </row>
    <row r="179" spans="1:29" x14ac:dyDescent="0.3">
      <c r="A179" s="33">
        <f>ROW(CantoralDB[[#This Row],[Título]])-1</f>
        <v>178</v>
      </c>
      <c r="B179" s="1" t="s">
        <v>4804</v>
      </c>
      <c r="C179" s="1"/>
      <c r="D179" s="33"/>
      <c r="E179" s="33"/>
      <c r="I179" s="33"/>
      <c r="J179" s="1"/>
      <c r="M179" s="15" t="s">
        <v>498</v>
      </c>
      <c r="N179" s="1" t="s">
        <v>4798</v>
      </c>
      <c r="O179" s="15">
        <v>10</v>
      </c>
      <c r="P179" s="15"/>
      <c r="Q179" s="34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34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79" s="35"/>
      <c r="U179" s="33"/>
      <c r="V179" s="32" t="s">
        <v>4827</v>
      </c>
      <c r="W1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79" s="34" t="str">
        <f>_xlfn.TEXTBEFORE(_xlfn.TEXTAFTER(CantoralDB[[#This Row],[index.html]],"&gt;"),"&gt;")&amp;"&gt;"</f>
        <v>&lt;a href="canciones/brotes_de_olivo/liberame.html"&gt;</v>
      </c>
      <c r="Y179"/>
      <c r="Z179" s="1"/>
      <c r="AA179" s="1"/>
      <c r="AB179" s="1"/>
      <c r="AC179" s="1"/>
    </row>
    <row r="180" spans="1:29" x14ac:dyDescent="0.3">
      <c r="A180" s="33">
        <f>ROW(CantoralDB[[#This Row],[Título]])-1</f>
        <v>179</v>
      </c>
      <c r="B180" s="1" t="s">
        <v>4805</v>
      </c>
      <c r="C180" s="1"/>
      <c r="D180" s="33"/>
      <c r="E180" s="33"/>
      <c r="I180" s="33"/>
      <c r="J180" s="1"/>
      <c r="M180" s="15" t="s">
        <v>498</v>
      </c>
      <c r="N180" s="1" t="s">
        <v>4798</v>
      </c>
      <c r="O180" s="15">
        <v>11</v>
      </c>
      <c r="P180" s="15"/>
      <c r="Q180" s="34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34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0" s="35"/>
      <c r="U180" s="33"/>
      <c r="V180" s="32" t="s">
        <v>4828</v>
      </c>
      <c r="W1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0" s="34" t="str">
        <f>_xlfn.TEXTBEFORE(_xlfn.TEXTAFTER(CantoralDB[[#This Row],[index.html]],"&gt;"),"&gt;")&amp;"&gt;"</f>
        <v>&lt;a href="canciones/brotes_de_olivo/si_no_tengo_amor.html"&gt;</v>
      </c>
      <c r="Y180"/>
      <c r="Z180" s="1"/>
      <c r="AA180" s="1"/>
      <c r="AB180" s="1"/>
      <c r="AC180" s="1"/>
    </row>
    <row r="181" spans="1:29" x14ac:dyDescent="0.3">
      <c r="A181" s="33">
        <f>ROW(CantoralDB[[#This Row],[Título]])-1</f>
        <v>180</v>
      </c>
      <c r="B181" s="1" t="s">
        <v>4806</v>
      </c>
      <c r="C181" s="1"/>
      <c r="D181" s="33"/>
      <c r="E181" s="33"/>
      <c r="I181" s="33"/>
      <c r="J181" s="1"/>
      <c r="M181" s="15" t="s">
        <v>498</v>
      </c>
      <c r="N181" s="1" t="s">
        <v>4798</v>
      </c>
      <c r="O181" s="15">
        <v>12</v>
      </c>
      <c r="P181" s="15"/>
      <c r="Q181" s="34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34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1" s="35"/>
      <c r="U181" s="33"/>
      <c r="V181" s="32" t="s">
        <v>4829</v>
      </c>
      <c r="W1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1" s="34" t="str">
        <f>_xlfn.TEXTBEFORE(_xlfn.TEXTAFTER(CantoralDB[[#This Row],[index.html]],"&gt;"),"&gt;")&amp;"&gt;"</f>
        <v>&lt;a href="canciones/brotes_de_olivo/vejados_y_abatidos.html"&gt;</v>
      </c>
      <c r="Y181"/>
      <c r="Z181" s="1"/>
      <c r="AA181" s="1"/>
      <c r="AB181" s="1"/>
      <c r="AC181" s="1"/>
    </row>
    <row r="182" spans="1:29" x14ac:dyDescent="0.3">
      <c r="A182" s="33">
        <f>ROW(CantoralDB[[#This Row],[Título]])-1</f>
        <v>181</v>
      </c>
      <c r="B182" s="1" t="s">
        <v>4807</v>
      </c>
      <c r="C182" s="1"/>
      <c r="D182" s="33"/>
      <c r="E182" s="33"/>
      <c r="I182" s="33"/>
      <c r="J182" s="1"/>
      <c r="M182" s="15" t="s">
        <v>498</v>
      </c>
      <c r="N182" s="1" t="s">
        <v>4798</v>
      </c>
      <c r="O182" s="15">
        <v>13</v>
      </c>
      <c r="P182" s="15"/>
      <c r="Q182" s="34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34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2" s="35"/>
      <c r="U182" s="33"/>
      <c r="V182" s="32" t="s">
        <v>4830</v>
      </c>
      <c r="W1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2" s="34" t="str">
        <f>_xlfn.TEXTBEFORE(_xlfn.TEXTAFTER(CantoralDB[[#This Row],[index.html]],"&gt;"),"&gt;")&amp;"&gt;"</f>
        <v>&lt;a href="canciones/brotes_de_olivo/cuanto_dura_el_amor.html"&gt;</v>
      </c>
      <c r="Y182"/>
      <c r="Z182" s="1"/>
      <c r="AA182" s="1"/>
      <c r="AB182" s="1"/>
      <c r="AC182" s="1"/>
    </row>
    <row r="183" spans="1:29" x14ac:dyDescent="0.3">
      <c r="A183" s="33">
        <f>ROW(CantoralDB[[#This Row],[Título]])-1</f>
        <v>182</v>
      </c>
      <c r="B183" s="1" t="s">
        <v>4808</v>
      </c>
      <c r="C183" s="1"/>
      <c r="D183" s="33"/>
      <c r="E183" s="33"/>
      <c r="I183" s="33"/>
      <c r="J183" s="1"/>
      <c r="M183" s="15" t="s">
        <v>498</v>
      </c>
      <c r="N183" s="1" t="s">
        <v>4798</v>
      </c>
      <c r="O183" s="15">
        <v>14</v>
      </c>
      <c r="P183" s="15"/>
      <c r="Q183" s="34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34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3" s="35"/>
      <c r="U183" s="33"/>
      <c r="V183" s="32" t="s">
        <v>4831</v>
      </c>
      <c r="W1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3" s="34" t="str">
        <f>_xlfn.TEXTBEFORE(_xlfn.TEXTAFTER(CantoralDB[[#This Row],[index.html]],"&gt;"),"&gt;")&amp;"&gt;"</f>
        <v>&lt;a href="canciones/brotes_de_olivo/tu_mi_pilar.html"&gt;</v>
      </c>
      <c r="Y183"/>
      <c r="Z183" s="1"/>
      <c r="AA183" s="1"/>
      <c r="AB183" s="1"/>
      <c r="AC183" s="1"/>
    </row>
    <row r="184" spans="1:29" x14ac:dyDescent="0.3">
      <c r="A184" s="33">
        <f>ROW(CantoralDB[[#This Row],[Título]])-1</f>
        <v>183</v>
      </c>
      <c r="B184" s="1" t="s">
        <v>4809</v>
      </c>
      <c r="C184" s="1"/>
      <c r="D184" s="33"/>
      <c r="E184" s="33"/>
      <c r="I184" s="33"/>
      <c r="J184" s="1"/>
      <c r="M184" s="15" t="s">
        <v>498</v>
      </c>
      <c r="N184" s="1" t="s">
        <v>4798</v>
      </c>
      <c r="O184" s="15">
        <v>15</v>
      </c>
      <c r="P184" s="15"/>
      <c r="Q184" s="34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34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4" s="35"/>
      <c r="U184" s="33"/>
      <c r="V184" s="32" t="s">
        <v>4832</v>
      </c>
      <c r="W1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4" s="34" t="str">
        <f>_xlfn.TEXTBEFORE(_xlfn.TEXTAFTER(CantoralDB[[#This Row],[index.html]],"&gt;"),"&gt;")&amp;"&gt;"</f>
        <v>&lt;a href="canciones/brotes_de_olivo/que_mas_quieres.html"&gt;</v>
      </c>
      <c r="Y184"/>
      <c r="Z184" s="1"/>
      <c r="AA184" s="1"/>
      <c r="AB184" s="1"/>
      <c r="AC184" s="1"/>
    </row>
    <row r="185" spans="1:29" x14ac:dyDescent="0.3">
      <c r="A185" s="33">
        <f>ROW(CantoralDB[[#This Row],[Título]])-1</f>
        <v>184</v>
      </c>
      <c r="B185" s="1" t="s">
        <v>4810</v>
      </c>
      <c r="C185" s="1"/>
      <c r="D185" s="33"/>
      <c r="E185" s="33"/>
      <c r="I185" s="33"/>
      <c r="J185" s="1"/>
      <c r="M185" s="15" t="s">
        <v>498</v>
      </c>
      <c r="N185" s="1" t="s">
        <v>4798</v>
      </c>
      <c r="O185" s="15">
        <v>16</v>
      </c>
      <c r="P185" s="15"/>
      <c r="Q185" s="34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34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5" s="35"/>
      <c r="U185" s="33"/>
      <c r="V185" s="32" t="s">
        <v>4833</v>
      </c>
      <c r="W1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5" s="34" t="str">
        <f>_xlfn.TEXTBEFORE(_xlfn.TEXTAFTER(CantoralDB[[#This Row],[index.html]],"&gt;"),"&gt;")&amp;"&gt;"</f>
        <v>&lt;a href="canciones/brotes_de_olivo/cincuenta.html"&gt;</v>
      </c>
      <c r="Y185"/>
      <c r="Z185" s="1"/>
      <c r="AA185" s="1"/>
      <c r="AB185" s="1"/>
      <c r="AC185" s="1"/>
    </row>
    <row r="186" spans="1:29" x14ac:dyDescent="0.3">
      <c r="A186" s="33">
        <f>ROW(CantoralDB[[#This Row],[Título]])-1</f>
        <v>185</v>
      </c>
      <c r="B186" s="1" t="s">
        <v>4811</v>
      </c>
      <c r="C186" s="1"/>
      <c r="D186" s="33"/>
      <c r="E186" s="33"/>
      <c r="I186" s="33"/>
      <c r="J186" s="1"/>
      <c r="M186" s="15" t="s">
        <v>498</v>
      </c>
      <c r="N186" s="1" t="s">
        <v>4798</v>
      </c>
      <c r="O186" s="15">
        <v>17</v>
      </c>
      <c r="P186" s="15"/>
      <c r="Q186" s="34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34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6" s="35"/>
      <c r="U186" s="33"/>
      <c r="V186" s="32" t="s">
        <v>4834</v>
      </c>
      <c r="W1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6" s="34" t="str">
        <f>_xlfn.TEXTBEFORE(_xlfn.TEXTAFTER(CantoralDB[[#This Row],[index.html]],"&gt;"),"&gt;")&amp;"&gt;"</f>
        <v>&lt;a href="canciones/brotes_de_olivo/padre_y_madre.html"&gt;</v>
      </c>
      <c r="Y186"/>
      <c r="Z186" s="1"/>
      <c r="AA186" s="1"/>
      <c r="AB186" s="1"/>
      <c r="AC186" s="1"/>
    </row>
    <row r="187" spans="1:29" x14ac:dyDescent="0.3">
      <c r="A187" s="33">
        <f>ROW(CantoralDB[[#This Row],[Título]])-1</f>
        <v>186</v>
      </c>
      <c r="B187" s="1" t="s">
        <v>4812</v>
      </c>
      <c r="C187" s="1"/>
      <c r="D187" s="33"/>
      <c r="E187" s="33"/>
      <c r="I187" s="33"/>
      <c r="J187" s="1"/>
      <c r="M187" s="15" t="s">
        <v>498</v>
      </c>
      <c r="N187" s="1" t="s">
        <v>4798</v>
      </c>
      <c r="O187" s="15">
        <v>18</v>
      </c>
      <c r="P187" s="15"/>
      <c r="Q187" s="34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34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7" s="35"/>
      <c r="U187" s="33"/>
      <c r="V187" s="32" t="s">
        <v>4835</v>
      </c>
      <c r="W1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7" s="34" t="str">
        <f>_xlfn.TEXTBEFORE(_xlfn.TEXTAFTER(CantoralDB[[#This Row],[index.html]],"&gt;"),"&gt;")&amp;"&gt;"</f>
        <v>&lt;a href="canciones/brotes_de_olivo/se_fiel.html"&gt;</v>
      </c>
      <c r="Y187"/>
      <c r="Z187" s="1"/>
      <c r="AA187" s="1"/>
      <c r="AB187" s="1"/>
      <c r="AC187" s="1"/>
    </row>
    <row r="188" spans="1:29" x14ac:dyDescent="0.3">
      <c r="A188" s="33">
        <f>ROW(CantoralDB[[#This Row],[Título]])-1</f>
        <v>187</v>
      </c>
      <c r="B188" s="1" t="s">
        <v>4813</v>
      </c>
      <c r="C188" s="1"/>
      <c r="D188" s="33"/>
      <c r="E188" s="33"/>
      <c r="I188" s="33"/>
      <c r="J188" s="1"/>
      <c r="M188" s="15" t="s">
        <v>498</v>
      </c>
      <c r="N188" s="1" t="s">
        <v>4798</v>
      </c>
      <c r="O188" s="15">
        <v>19</v>
      </c>
      <c r="P188" s="15"/>
      <c r="Q188" s="34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34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88" s="35"/>
      <c r="U188" s="33"/>
      <c r="V188" s="32" t="s">
        <v>4836</v>
      </c>
      <c r="W1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88" s="34" t="str">
        <f>_xlfn.TEXTBEFORE(_xlfn.TEXTAFTER(CantoralDB[[#This Row],[index.html]],"&gt;"),"&gt;")&amp;"&gt;"</f>
        <v>&lt;a href="canciones/brotes_de_olivo/donde_tu_quieras.html"&gt;</v>
      </c>
      <c r="Y188"/>
      <c r="Z188" s="1"/>
      <c r="AA188" s="1"/>
      <c r="AB188" s="1"/>
      <c r="AC188" s="1"/>
    </row>
    <row r="189" spans="1:29" x14ac:dyDescent="0.3">
      <c r="A189" s="33">
        <f>ROW(CantoralDB[[#This Row],[Título]])-1</f>
        <v>188</v>
      </c>
      <c r="B189" s="1" t="s">
        <v>4814</v>
      </c>
      <c r="C189" s="1"/>
      <c r="D189" s="33"/>
      <c r="E189" s="33"/>
      <c r="I189" s="33"/>
      <c r="J189" s="1"/>
      <c r="M189" s="15" t="s">
        <v>498</v>
      </c>
      <c r="N189" s="1" t="s">
        <v>4798</v>
      </c>
      <c r="O189" s="15">
        <v>20</v>
      </c>
      <c r="P189" s="15"/>
      <c r="Q189" s="34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34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89" s="35"/>
      <c r="U189" s="33"/>
      <c r="V189" s="32" t="s">
        <v>4837</v>
      </c>
      <c r="W1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89" s="34" t="str">
        <f>_xlfn.TEXTBEFORE(_xlfn.TEXTAFTER(CantoralDB[[#This Row],[index.html]],"&gt;"),"&gt;")&amp;"&gt;"</f>
        <v>&lt;a href="canciones/brotes_de_olivo/renacer_en_libertad.html"&gt;</v>
      </c>
      <c r="Y189"/>
      <c r="Z189" s="1"/>
      <c r="AA189" s="1"/>
      <c r="AB189" s="1"/>
      <c r="AC189" s="1"/>
    </row>
    <row r="190" spans="1:29" x14ac:dyDescent="0.3">
      <c r="A190" s="33">
        <f>ROW(CantoralDB[[#This Row],[Título]])-1</f>
        <v>189</v>
      </c>
      <c r="B190" s="1" t="s">
        <v>4815</v>
      </c>
      <c r="C190" s="1"/>
      <c r="D190" s="33"/>
      <c r="E190" s="33"/>
      <c r="I190" s="33"/>
      <c r="J190" s="1"/>
      <c r="M190" s="15" t="s">
        <v>498</v>
      </c>
      <c r="N190" s="1" t="s">
        <v>4798</v>
      </c>
      <c r="O190" s="15">
        <v>21</v>
      </c>
      <c r="P190" s="15"/>
      <c r="Q190" s="34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34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0" s="35"/>
      <c r="U190" s="33"/>
      <c r="V190" s="32" t="s">
        <v>4838</v>
      </c>
      <c r="W1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0" s="34" t="str">
        <f>_xlfn.TEXTBEFORE(_xlfn.TEXTAFTER(CantoralDB[[#This Row],[index.html]],"&gt;"),"&gt;")&amp;"&gt;"</f>
        <v>&lt;a href="canciones/brotes_de_olivo/quien_puede_amar.html"&gt;</v>
      </c>
      <c r="Y190"/>
      <c r="Z190" s="1"/>
      <c r="AA190" s="1"/>
      <c r="AB190" s="1"/>
      <c r="AC190" s="1"/>
    </row>
    <row r="191" spans="1:29" x14ac:dyDescent="0.3">
      <c r="A191" s="33">
        <f>ROW(CantoralDB[[#This Row],[Título]])-1</f>
        <v>190</v>
      </c>
      <c r="B191" s="1" t="s">
        <v>4816</v>
      </c>
      <c r="C191" s="1"/>
      <c r="D191" s="33"/>
      <c r="E191" s="33"/>
      <c r="I191" s="33"/>
      <c r="J191" s="1"/>
      <c r="M191" s="15" t="s">
        <v>498</v>
      </c>
      <c r="N191" s="1" t="s">
        <v>4798</v>
      </c>
      <c r="O191" s="15">
        <v>22</v>
      </c>
      <c r="P191" s="15"/>
      <c r="Q191" s="34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34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1" s="35"/>
      <c r="U191" s="33"/>
      <c r="V191" s="32" t="s">
        <v>4839</v>
      </c>
      <c r="W1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1" s="34" t="str">
        <f>_xlfn.TEXTBEFORE(_xlfn.TEXTAFTER(CantoralDB[[#This Row],[index.html]],"&gt;"),"&gt;")&amp;"&gt;"</f>
        <v>&lt;a href="canciones/brotes_de_olivo/y_alli_estas_tu.html"&gt;</v>
      </c>
      <c r="Y191"/>
      <c r="Z191" s="1"/>
      <c r="AA191" s="1"/>
      <c r="AB191" s="1"/>
      <c r="AC191" s="1"/>
    </row>
    <row r="192" spans="1:29" x14ac:dyDescent="0.3">
      <c r="A192" s="33">
        <f>ROW(CantoralDB[[#This Row],[Título]])-1</f>
        <v>191</v>
      </c>
      <c r="B192" s="1" t="s">
        <v>4817</v>
      </c>
      <c r="C192" s="1"/>
      <c r="D192" s="33"/>
      <c r="E192" s="33"/>
      <c r="I192" s="33"/>
      <c r="J192" s="1"/>
      <c r="M192" s="15" t="s">
        <v>498</v>
      </c>
      <c r="N192" s="1" t="s">
        <v>4798</v>
      </c>
      <c r="O192" s="15">
        <v>23</v>
      </c>
      <c r="P192" s="15"/>
      <c r="Q192" s="34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34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2" s="35"/>
      <c r="U192" s="33"/>
      <c r="V192" s="32" t="s">
        <v>4840</v>
      </c>
      <c r="W1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2" s="34" t="str">
        <f>_xlfn.TEXTBEFORE(_xlfn.TEXTAFTER(CantoralDB[[#This Row],[index.html]],"&gt;"),"&gt;")&amp;"&gt;"</f>
        <v>&lt;a href="canciones/brotes_de_olivo/fuente_viva.html"&gt;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213</v>
      </c>
      <c r="C193" s="1" t="s">
        <v>992</v>
      </c>
      <c r="D193" s="1" t="s">
        <v>703</v>
      </c>
      <c r="G193" s="1" t="s">
        <v>212</v>
      </c>
      <c r="H193" s="1" t="s">
        <v>1026</v>
      </c>
      <c r="J193" s="1" t="s">
        <v>607</v>
      </c>
      <c r="M193" s="15" t="s">
        <v>498</v>
      </c>
      <c r="N193" s="1" t="s">
        <v>4798</v>
      </c>
      <c r="O193" s="15">
        <v>24</v>
      </c>
      <c r="P193" s="15"/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3" s="1"/>
      <c r="U193" s="1"/>
      <c r="V193" s="32" t="s">
        <v>4388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3" s="15" t="str">
        <f>_xlfn.TEXTBEFORE(_xlfn.TEXTAFTER(CantoralDB[[#This Row],[index.html]],"&gt;"),"&gt;")&amp;"&gt;"</f>
        <v>&lt;a href="canciones/brotes_de_olivo/enviame.html"&gt;</v>
      </c>
      <c r="Y193"/>
      <c r="Z193" s="1"/>
      <c r="AA193" s="1"/>
      <c r="AB193" s="1"/>
      <c r="AC193" s="1"/>
    </row>
    <row r="194" spans="1:29" x14ac:dyDescent="0.3">
      <c r="A194" s="33">
        <f>ROW(CantoralDB[[#This Row],[Título]])-1</f>
        <v>193</v>
      </c>
      <c r="B194" s="1" t="s">
        <v>4818</v>
      </c>
      <c r="C194" s="1"/>
      <c r="D194" s="33"/>
      <c r="E194" s="33"/>
      <c r="I194" s="33"/>
      <c r="J194" s="1"/>
      <c r="M194" s="15" t="s">
        <v>498</v>
      </c>
      <c r="N194" s="1" t="s">
        <v>4798</v>
      </c>
      <c r="O194" s="15">
        <v>25</v>
      </c>
      <c r="P194" s="15"/>
      <c r="Q194" s="34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34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4" s="35"/>
      <c r="U194" s="33"/>
      <c r="V194" s="32" t="s">
        <v>4841</v>
      </c>
      <c r="W1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4" s="34" t="str">
        <f>_xlfn.TEXTBEFORE(_xlfn.TEXTAFTER(CantoralDB[[#This Row],[index.html]],"&gt;"),"&gt;")&amp;"&gt;"</f>
        <v>&lt;a href="canciones/brotes_de_olivo/uno_en_el_amor.html"&gt;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226</v>
      </c>
      <c r="C195" s="1" t="s">
        <v>191</v>
      </c>
      <c r="D195" s="1" t="s">
        <v>1366</v>
      </c>
      <c r="F195" s="1">
        <v>431</v>
      </c>
      <c r="G195" s="1" t="s">
        <v>215</v>
      </c>
      <c r="H195" s="1" t="s">
        <v>530</v>
      </c>
      <c r="J195" s="1" t="s">
        <v>607</v>
      </c>
      <c r="M195" s="15" t="s">
        <v>498</v>
      </c>
      <c r="N195" s="1" t="s">
        <v>2685</v>
      </c>
      <c r="O195" s="15">
        <v>6</v>
      </c>
      <c r="P195" s="15">
        <v>1990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5" s="1"/>
      <c r="U195" s="1"/>
      <c r="V195" s="32" t="s">
        <v>4382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X195" s="15" t="str">
        <f>_xlfn.TEXTBEFORE(_xlfn.TEXTAFTER(CantoralDB[[#This Row],[index.html]],"&gt;"),"&gt;")&amp;"&gt;"</f>
        <v>&lt;a href="canciones/brotes_de_olivo/agua_lavame.html"&gt;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2391</v>
      </c>
      <c r="C196" s="1"/>
      <c r="F196" s="1">
        <v>13</v>
      </c>
      <c r="H196" s="1" t="s">
        <v>1026</v>
      </c>
      <c r="J196" s="1" t="s">
        <v>607</v>
      </c>
      <c r="M196" s="15" t="s">
        <v>498</v>
      </c>
      <c r="N196" s="1" t="s">
        <v>2685</v>
      </c>
      <c r="O196" s="15">
        <v>18</v>
      </c>
      <c r="P196" s="15">
        <v>1990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6" s="1"/>
      <c r="U196" s="1"/>
      <c r="V196" s="32" t="s">
        <v>3014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X196" s="15" t="str">
        <f>_xlfn.TEXTBEFORE(_xlfn.TEXTAFTER(CantoralDB[[#This Row],[index.html]],"&gt;"),"&gt;")&amp;"&gt;"</f>
        <v>&lt;a href="canciones/brotes_de_olivo/se_que_voy_contigo.html"&gt;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2841</v>
      </c>
      <c r="C197" s="1"/>
      <c r="H197" s="1" t="s">
        <v>530</v>
      </c>
      <c r="I197" s="1" t="s">
        <v>2950</v>
      </c>
      <c r="J197" s="1" t="s">
        <v>607</v>
      </c>
      <c r="M197" s="15" t="s">
        <v>498</v>
      </c>
      <c r="N197" s="1" t="s">
        <v>2840</v>
      </c>
      <c r="O197" s="15">
        <v>1</v>
      </c>
      <c r="P197" s="15">
        <v>1974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197" s="1"/>
      <c r="U197" s="1"/>
      <c r="V197" s="32" t="s">
        <v>4343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197" s="15" t="str">
        <f>_xlfn.TEXTBEFORE(_xlfn.TEXTAFTER(CantoralDB[[#This Row],[index.html]],"&gt;"),"&gt;")&amp;"&gt;"</f>
        <v>&lt;a href="canciones/brotes_de_olivo/señor_mirame.html"&gt;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1581</v>
      </c>
      <c r="C198" s="1"/>
      <c r="H198" s="1" t="s">
        <v>530</v>
      </c>
      <c r="J198" s="1" t="s">
        <v>607</v>
      </c>
      <c r="M198" s="15" t="s">
        <v>498</v>
      </c>
      <c r="N198" s="1" t="s">
        <v>2840</v>
      </c>
      <c r="O198" s="15">
        <v>2</v>
      </c>
      <c r="P198" s="15">
        <v>1974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198" s="1"/>
      <c r="U198" s="1"/>
      <c r="V198" s="32" t="s">
        <v>4344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198" s="15" t="str">
        <f>_xlfn.TEXTBEFORE(_xlfn.TEXTAFTER(CantoralDB[[#This Row],[index.html]],"&gt;"),"&gt;")&amp;"&gt;"</f>
        <v>&lt;a href="canciones/brotes_de_olivo/ten_piedad.html"&gt;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2842</v>
      </c>
      <c r="C199" s="1"/>
      <c r="H199" s="1" t="s">
        <v>530</v>
      </c>
      <c r="J199" s="1" t="s">
        <v>607</v>
      </c>
      <c r="M199" s="15" t="s">
        <v>498</v>
      </c>
      <c r="N199" s="1" t="s">
        <v>2840</v>
      </c>
      <c r="O199" s="15">
        <v>3</v>
      </c>
      <c r="P199" s="15">
        <v>1974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199" s="1"/>
      <c r="U199" s="1"/>
      <c r="V199" s="32" t="s">
        <v>4345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199" s="15" t="str">
        <f>_xlfn.TEXTBEFORE(_xlfn.TEXTAFTER(CantoralDB[[#This Row],[index.html]],"&gt;"),"&gt;")&amp;"&gt;"</f>
        <v>&lt;a href="canciones/brotes_de_olivo/he_oido_tu_voz.html"&gt;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2843</v>
      </c>
      <c r="C200" s="1"/>
      <c r="H200" s="1" t="s">
        <v>1026</v>
      </c>
      <c r="J200" s="1" t="s">
        <v>607</v>
      </c>
      <c r="M200" s="15" t="s">
        <v>498</v>
      </c>
      <c r="N200" s="1" t="s">
        <v>2840</v>
      </c>
      <c r="O200" s="15">
        <v>4</v>
      </c>
      <c r="P200" s="15">
        <v>1974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0" s="1"/>
      <c r="U200" s="1"/>
      <c r="V200" s="32" t="s">
        <v>4346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0" s="15" t="str">
        <f>_xlfn.TEXTBEFORE(_xlfn.TEXTAFTER(CantoralDB[[#This Row],[index.html]],"&gt;"),"&gt;")&amp;"&gt;"</f>
        <v>&lt;a href="canciones/brotes_de_olivo/pan_y_vino_de_amor.html"&gt;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195</v>
      </c>
      <c r="C201" s="1"/>
      <c r="H201" s="1" t="s">
        <v>530</v>
      </c>
      <c r="I201" s="1" t="s">
        <v>2952</v>
      </c>
      <c r="J201" s="1" t="s">
        <v>607</v>
      </c>
      <c r="M201" s="15" t="s">
        <v>498</v>
      </c>
      <c r="N201" s="1" t="s">
        <v>2840</v>
      </c>
      <c r="O201" s="15">
        <v>5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1" s="1"/>
      <c r="U201" s="1"/>
      <c r="V201" s="32" t="s">
        <v>4347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1" s="15" t="str">
        <f>_xlfn.TEXTBEFORE(_xlfn.TEXTAFTER(CantoralDB[[#This Row],[index.html]],"&gt;"),"&gt;")&amp;"&gt;"</f>
        <v>&lt;a href="canciones/brotes_de_olivo/santo.html"&gt;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1555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6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2" s="1"/>
      <c r="U202" s="1"/>
      <c r="V202" s="32" t="s">
        <v>4348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2" s="15" t="str">
        <f>_xlfn.TEXTBEFORE(_xlfn.TEXTAFTER(CantoralDB[[#This Row],[index.html]],"&gt;"),"&gt;")&amp;"&gt;"</f>
        <v>&lt;a href="canciones/brotes_de_olivo/padre_nuestro.html"&gt;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2844</v>
      </c>
      <c r="C203" s="1"/>
      <c r="H203" s="1" t="s">
        <v>472</v>
      </c>
      <c r="I203" s="1" t="s">
        <v>2950</v>
      </c>
      <c r="J203" s="1" t="s">
        <v>607</v>
      </c>
      <c r="M203" s="15" t="s">
        <v>498</v>
      </c>
      <c r="N203" s="1" t="s">
        <v>2840</v>
      </c>
      <c r="O203" s="15">
        <v>7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3" s="1"/>
      <c r="U203" s="1"/>
      <c r="V203" s="32" t="s">
        <v>4349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3" s="15" t="str">
        <f>_xlfn.TEXTBEFORE(_xlfn.TEXTAFTER(CantoralDB[[#This Row],[index.html]],"&gt;"),"&gt;")&amp;"&gt;"</f>
        <v>&lt;a href="canciones/brotes_de_olivo/ven_junto_a_mi.html"&gt;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2845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8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4" s="1"/>
      <c r="U204" s="1"/>
      <c r="V204" s="32" t="s">
        <v>4350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4" s="15" t="str">
        <f>_xlfn.TEXTBEFORE(_xlfn.TEXTAFTER(CantoralDB[[#This Row],[index.html]],"&gt;"),"&gt;")&amp;"&gt;"</f>
        <v>&lt;a href="canciones/brotes_de_olivo/nadie_contesto.html"&gt;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2846</v>
      </c>
      <c r="C205" s="1"/>
      <c r="H205" s="1" t="s">
        <v>530</v>
      </c>
      <c r="I205" s="1" t="s">
        <v>2950</v>
      </c>
      <c r="J205" s="1" t="s">
        <v>607</v>
      </c>
      <c r="M205" s="15" t="s">
        <v>498</v>
      </c>
      <c r="N205" s="1" t="s">
        <v>2840</v>
      </c>
      <c r="O205" s="15">
        <v>9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5" s="1"/>
      <c r="U205" s="1"/>
      <c r="V205" s="32" t="s">
        <v>4351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5" s="15" t="str">
        <f>_xlfn.TEXTBEFORE(_xlfn.TEXTAFTER(CantoralDB[[#This Row],[index.html]],"&gt;"),"&gt;")&amp;"&gt;"</f>
        <v>&lt;a href="canciones/brotes_de_olivo/tras_las_huellas_del_padre.html"&gt;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2847</v>
      </c>
      <c r="C206" s="1"/>
      <c r="H206" s="1" t="s">
        <v>530</v>
      </c>
      <c r="I206" s="1" t="s">
        <v>2950</v>
      </c>
      <c r="J206" s="1" t="s">
        <v>607</v>
      </c>
      <c r="M206" s="15" t="s">
        <v>498</v>
      </c>
      <c r="N206" s="1" t="s">
        <v>2840</v>
      </c>
      <c r="O206" s="15">
        <v>10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06" s="1"/>
      <c r="U206" s="1"/>
      <c r="V206" s="32" t="s">
        <v>4352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06" s="15" t="str">
        <f>_xlfn.TEXTBEFORE(_xlfn.TEXTAFTER(CantoralDB[[#This Row],[index.html]],"&gt;"),"&gt;")&amp;"&gt;"</f>
        <v>&lt;a href="canciones/brotes_de_olivo/tierra.html"&gt;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2848</v>
      </c>
      <c r="C207" s="1"/>
      <c r="J207" s="1"/>
      <c r="M207" s="15" t="s">
        <v>498</v>
      </c>
      <c r="N207" s="1" t="s">
        <v>2840</v>
      </c>
      <c r="O207" s="15">
        <v>11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07" s="1"/>
      <c r="U207" s="1"/>
      <c r="V207" s="32" t="s">
        <v>4353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07" s="15" t="str">
        <f>_xlfn.TEXTBEFORE(_xlfn.TEXTAFTER(CantoralDB[[#This Row],[index.html]],"&gt;"),"&gt;")&amp;"&gt;"</f>
        <v>&lt;a href="canciones/brotes_de_olivo/sinfonia_de_las_vocales.html"&gt;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2849</v>
      </c>
      <c r="C208" s="1"/>
      <c r="H208" s="1" t="s">
        <v>530</v>
      </c>
      <c r="J208" s="1" t="s">
        <v>607</v>
      </c>
      <c r="M208" s="15" t="s">
        <v>498</v>
      </c>
      <c r="N208" s="1" t="s">
        <v>2840</v>
      </c>
      <c r="O208" s="15">
        <v>12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08" s="1"/>
      <c r="U208" s="1"/>
      <c r="V208" s="32" t="s">
        <v>4354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08" s="15" t="str">
        <f>_xlfn.TEXTBEFORE(_xlfn.TEXTAFTER(CantoralDB[[#This Row],[index.html]],"&gt;"),"&gt;")&amp;"&gt;"</f>
        <v>&lt;a href="canciones/brotes_de_olivo/todos_juntos.html"&gt;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2850</v>
      </c>
      <c r="C209" s="1"/>
      <c r="J209" s="1"/>
      <c r="M209" s="15" t="s">
        <v>498</v>
      </c>
      <c r="N209" s="1" t="s">
        <v>2840</v>
      </c>
      <c r="O209" s="15">
        <v>13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09" s="1"/>
      <c r="U209" s="1"/>
      <c r="V209" s="32" t="s">
        <v>4355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09" s="15" t="str">
        <f>_xlfn.TEXTBEFORE(_xlfn.TEXTAFTER(CantoralDB[[#This Row],[index.html]],"&gt;"),"&gt;")&amp;"&gt;"</f>
        <v>&lt;a href="canciones/brotes_de_olivo/y_el_septimo_descanso.html"&gt;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2363</v>
      </c>
      <c r="C210" s="1"/>
      <c r="H210" s="1" t="s">
        <v>530</v>
      </c>
      <c r="J210" s="1" t="s">
        <v>607</v>
      </c>
      <c r="M210" s="15" t="s">
        <v>498</v>
      </c>
      <c r="N210" s="1" t="s">
        <v>2362</v>
      </c>
      <c r="O210" s="15">
        <v>1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0" s="1"/>
      <c r="U210" s="1"/>
      <c r="V210" s="32" t="s">
        <v>4356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0" s="15" t="str">
        <f>_xlfn.TEXTBEFORE(_xlfn.TEXTAFTER(CantoralDB[[#This Row],[index.html]],"&gt;"),"&gt;")&amp;"&gt;"</f>
        <v>&lt;a href="canciones/brotes_de_olivo/allanad_los_caminos.html"&gt;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2364</v>
      </c>
      <c r="C211" s="1"/>
      <c r="H211" s="1" t="s">
        <v>1026</v>
      </c>
      <c r="I211" s="1" t="s">
        <v>2951</v>
      </c>
      <c r="J211" s="1" t="s">
        <v>607</v>
      </c>
      <c r="M211" s="15" t="s">
        <v>498</v>
      </c>
      <c r="N211" s="1" t="s">
        <v>2362</v>
      </c>
      <c r="O211" s="15">
        <v>2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1" s="1"/>
      <c r="U211" s="1"/>
      <c r="V211" s="32" t="s">
        <v>4357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1" s="15" t="str">
        <f>_xlfn.TEXTBEFORE(_xlfn.TEXTAFTER(CantoralDB[[#This Row],[index.html]],"&gt;"),"&gt;")&amp;"&gt;"</f>
        <v>&lt;a href="canciones/brotes_de_olivo/las_bodas_de_cana.html"&gt;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2365</v>
      </c>
      <c r="C212" s="1"/>
      <c r="H212" s="1" t="s">
        <v>530</v>
      </c>
      <c r="J212" s="1" t="s">
        <v>607</v>
      </c>
      <c r="M212" s="15" t="s">
        <v>498</v>
      </c>
      <c r="N212" s="1" t="s">
        <v>2362</v>
      </c>
      <c r="O212" s="15">
        <v>3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2" s="1"/>
      <c r="U212" s="1"/>
      <c r="V212" s="32" t="s">
        <v>4358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2" s="15" t="str">
        <f>_xlfn.TEXTBEFORE(_xlfn.TEXTAFTER(CantoralDB[[#This Row],[index.html]],"&gt;"),"&gt;")&amp;"&gt;"</f>
        <v>&lt;a href="canciones/brotes_de_olivo/el_soplo_de_dios.html"&gt;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2366</v>
      </c>
      <c r="C213" s="1"/>
      <c r="H213" s="1" t="s">
        <v>530</v>
      </c>
      <c r="I213" s="1" t="s">
        <v>2951</v>
      </c>
      <c r="J213" s="1" t="s">
        <v>607</v>
      </c>
      <c r="M213" s="15" t="s">
        <v>498</v>
      </c>
      <c r="N213" s="1" t="s">
        <v>2362</v>
      </c>
      <c r="O213" s="15">
        <v>4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3" s="1"/>
      <c r="U213" s="1"/>
      <c r="V213" s="32" t="s">
        <v>4359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3" s="15" t="str">
        <f>_xlfn.TEXTBEFORE(_xlfn.TEXTAFTER(CantoralDB[[#This Row],[index.html]],"&gt;"),"&gt;")&amp;"&gt;"</f>
        <v>&lt;a href="canciones/brotes_de_olivo/el_agua_viva.html"&gt;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2367</v>
      </c>
      <c r="C214" s="1"/>
      <c r="J214" s="1"/>
      <c r="M214" s="15" t="s">
        <v>498</v>
      </c>
      <c r="N214" s="1" t="s">
        <v>2362</v>
      </c>
      <c r="O214" s="15">
        <v>5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4" s="1"/>
      <c r="U214" s="1"/>
      <c r="V214" s="32" t="s">
        <v>4360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4" s="15" t="str">
        <f>_xlfn.TEXTBEFORE(_xlfn.TEXTAFTER(CantoralDB[[#This Row],[index.html]],"&gt;"),"&gt;")&amp;"&gt;"</f>
        <v>&lt;a href="canciones/brotes_de_olivo/la_piscina_probatica.html"&gt;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2368</v>
      </c>
      <c r="C215" s="1"/>
      <c r="H215" s="1" t="s">
        <v>1026</v>
      </c>
      <c r="I215" s="1" t="s">
        <v>2952</v>
      </c>
      <c r="J215" s="1" t="s">
        <v>607</v>
      </c>
      <c r="M215" s="15" t="s">
        <v>498</v>
      </c>
      <c r="N215" s="1" t="s">
        <v>2362</v>
      </c>
      <c r="O215" s="15">
        <v>6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5" s="1"/>
      <c r="U215" s="1"/>
      <c r="V215" s="32" t="s">
        <v>4361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5" s="15" t="str">
        <f>_xlfn.TEXTBEFORE(_xlfn.TEXTAFTER(CantoralDB[[#This Row],[index.html]],"&gt;"),"&gt;")&amp;"&gt;"</f>
        <v>&lt;a href="canciones/brotes_de_olivo/el_pan_de_vida.html"&gt;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2369</v>
      </c>
      <c r="C216" s="1"/>
      <c r="H216" s="1" t="s">
        <v>472</v>
      </c>
      <c r="I216" s="1" t="s">
        <v>2950</v>
      </c>
      <c r="J216" s="1" t="s">
        <v>607</v>
      </c>
      <c r="M216" s="15" t="s">
        <v>498</v>
      </c>
      <c r="N216" s="1" t="s">
        <v>2362</v>
      </c>
      <c r="O216" s="15">
        <v>7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16" s="1"/>
      <c r="U216" s="1"/>
      <c r="V216" s="32" t="s">
        <v>4362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16" s="15" t="str">
        <f>_xlfn.TEXTBEFORE(_xlfn.TEXTAFTER(CantoralDB[[#This Row],[index.html]],"&gt;"),"&gt;")&amp;"&gt;"</f>
        <v>&lt;a href="canciones/brotes_de_olivo/quien_tirara_la_primera_piedra.html"&gt;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2370</v>
      </c>
      <c r="C217" s="1"/>
      <c r="H217" s="1" t="s">
        <v>530</v>
      </c>
      <c r="I217" s="1" t="s">
        <v>2952</v>
      </c>
      <c r="J217" s="1" t="s">
        <v>607</v>
      </c>
      <c r="M217" s="15" t="s">
        <v>498</v>
      </c>
      <c r="N217" s="1" t="s">
        <v>2362</v>
      </c>
      <c r="O217" s="15">
        <v>8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17" s="1"/>
      <c r="U217" s="1"/>
      <c r="V217" s="32" t="s">
        <v>4363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17" s="15" t="str">
        <f>_xlfn.TEXTBEFORE(_xlfn.TEXTAFTER(CantoralDB[[#This Row],[index.html]],"&gt;"),"&gt;")&amp;"&gt;"</f>
        <v>&lt;a href="canciones/brotes_de_olivo/el_buen_pastor.html"&gt;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2371</v>
      </c>
      <c r="C218" s="1"/>
      <c r="H218" s="1" t="s">
        <v>530</v>
      </c>
      <c r="I218" s="1" t="s">
        <v>2953</v>
      </c>
      <c r="J218" s="1" t="s">
        <v>607</v>
      </c>
      <c r="M218" s="15" t="s">
        <v>498</v>
      </c>
      <c r="N218" s="1" t="s">
        <v>2362</v>
      </c>
      <c r="O218" s="15">
        <v>9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18" s="1"/>
      <c r="U218" s="1"/>
      <c r="V218" s="32" t="s">
        <v>4364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18" s="15" t="str">
        <f>_xlfn.TEXTBEFORE(_xlfn.TEXTAFTER(CantoralDB[[#This Row],[index.html]],"&gt;"),"&gt;")&amp;"&gt;"</f>
        <v>&lt;a href="canciones/brotes_de_olivo/vivir_en_el_señor.html"&gt;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2372</v>
      </c>
      <c r="C219" s="1"/>
      <c r="H219" s="1" t="s">
        <v>1026</v>
      </c>
      <c r="J219" s="1" t="s">
        <v>607</v>
      </c>
      <c r="M219" s="15" t="s">
        <v>498</v>
      </c>
      <c r="N219" s="1" t="s">
        <v>2362</v>
      </c>
      <c r="O219" s="15">
        <v>10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19" s="1"/>
      <c r="U219" s="1"/>
      <c r="V219" s="32" t="s">
        <v>4365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19" s="15" t="str">
        <f>_xlfn.TEXTBEFORE(_xlfn.TEXTAFTER(CantoralDB[[#This Row],[index.html]],"&gt;"),"&gt;")&amp;"&gt;"</f>
        <v>&lt;a href="canciones/brotes_de_olivo/amaos_unos_a_otros.html"&gt;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2373</v>
      </c>
      <c r="C220" s="1"/>
      <c r="H220" s="1" t="s">
        <v>1029</v>
      </c>
      <c r="I220" s="1" t="s">
        <v>2951</v>
      </c>
      <c r="J220" s="1" t="s">
        <v>607</v>
      </c>
      <c r="M220" s="15" t="s">
        <v>498</v>
      </c>
      <c r="N220" s="1" t="s">
        <v>2362</v>
      </c>
      <c r="O220" s="15">
        <v>11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0" s="1"/>
      <c r="U220" s="1"/>
      <c r="V220" s="32" t="s">
        <v>4366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0" s="15" t="str">
        <f>_xlfn.TEXTBEFORE(_xlfn.TEXTAFTER(CantoralDB[[#This Row],[index.html]],"&gt;"),"&gt;")&amp;"&gt;"</f>
        <v>&lt;a href="canciones/brotes_de_olivo/yo_soy_el_que_sirve.html"&gt;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2374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12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1" s="1"/>
      <c r="U221" s="1"/>
      <c r="V221" s="32" t="s">
        <v>4367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1" s="15" t="str">
        <f>_xlfn.TEXTBEFORE(_xlfn.TEXTAFTER(CantoralDB[[#This Row],[index.html]],"&gt;"),"&gt;")&amp;"&gt;"</f>
        <v>&lt;a href="canciones/brotes_de_olivo/la_vid_y_los_sarmientos.html"&gt;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2375</v>
      </c>
      <c r="C222" s="1"/>
      <c r="H222" s="1" t="s">
        <v>1029</v>
      </c>
      <c r="I222" s="1" t="s">
        <v>2950</v>
      </c>
      <c r="J222" s="1" t="s">
        <v>607</v>
      </c>
      <c r="M222" s="15" t="s">
        <v>498</v>
      </c>
      <c r="N222" s="1" t="s">
        <v>2362</v>
      </c>
      <c r="O222" s="15">
        <v>13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2" s="1"/>
      <c r="U222" s="1"/>
      <c r="V222" s="32" t="s">
        <v>4368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2" s="15" t="str">
        <f>_xlfn.TEXTBEFORE(_xlfn.TEXTAFTER(CantoralDB[[#This Row],[index.html]],"&gt;"),"&gt;")&amp;"&gt;"</f>
        <v>&lt;a href="canciones/brotes_de_olivo/siempre_estare_con_vosotros.html"&gt;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2376</v>
      </c>
      <c r="C223" s="1"/>
      <c r="H223" s="1" t="s">
        <v>530</v>
      </c>
      <c r="I223" s="1" t="s">
        <v>2951</v>
      </c>
      <c r="J223" s="1" t="s">
        <v>607</v>
      </c>
      <c r="M223" s="15" t="s">
        <v>498</v>
      </c>
      <c r="N223" s="1" t="s">
        <v>2362</v>
      </c>
      <c r="O223" s="15">
        <v>14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3" s="1"/>
      <c r="U223" s="1"/>
      <c r="V223" s="32" t="s">
        <v>4369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3" s="15" t="str">
        <f>_xlfn.TEXTBEFORE(_xlfn.TEXTAFTER(CantoralDB[[#This Row],[index.html]],"&gt;"),"&gt;")&amp;"&gt;"</f>
        <v>&lt;a href="canciones/brotes_de_olivo/el_juicio_de_cristo.html"&gt;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2377</v>
      </c>
      <c r="C224" s="1"/>
      <c r="H224" s="1" t="s">
        <v>472</v>
      </c>
      <c r="J224" s="1" t="s">
        <v>607</v>
      </c>
      <c r="M224" s="15" t="s">
        <v>498</v>
      </c>
      <c r="N224" s="1" t="s">
        <v>2362</v>
      </c>
      <c r="O224" s="15">
        <v>15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4" s="1"/>
      <c r="U224" s="1"/>
      <c r="V224" s="32" t="s">
        <v>4370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4" s="15" t="str">
        <f>_xlfn.TEXTBEFORE(_xlfn.TEXTAFTER(CantoralDB[[#This Row],[index.html]],"&gt;"),"&gt;")&amp;"&gt;"</f>
        <v>&lt;a href="canciones/brotes_de_olivo/aleluya_el_señor_resucito.html"&gt;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3096</v>
      </c>
      <c r="C225" s="1"/>
      <c r="H225" s="1" t="s">
        <v>530</v>
      </c>
      <c r="I225" s="1" t="s">
        <v>2951</v>
      </c>
      <c r="J225" s="1" t="s">
        <v>607</v>
      </c>
      <c r="M225" s="15" t="s">
        <v>498</v>
      </c>
      <c r="N225" s="1" t="s">
        <v>3095</v>
      </c>
      <c r="O225" s="15">
        <v>1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25" s="1"/>
      <c r="U225" s="1"/>
      <c r="V225" s="32" t="s">
        <v>3107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25" s="15" t="str">
        <f>_xlfn.TEXTBEFORE(_xlfn.TEXTAFTER(CantoralDB[[#This Row],[index.html]],"&gt;"),"&gt;")&amp;"&gt;"</f>
        <v>&lt;a href="canciones/brotes_de_olivo/señor_envianos_a_tu_hijo.html"&gt;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3097</v>
      </c>
      <c r="C226" s="1"/>
      <c r="H226" s="1" t="s">
        <v>1029</v>
      </c>
      <c r="J226" s="1" t="s">
        <v>607</v>
      </c>
      <c r="M226" s="15" t="s">
        <v>498</v>
      </c>
      <c r="N226" s="1" t="s">
        <v>3095</v>
      </c>
      <c r="O226" s="15">
        <v>2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26" s="1"/>
      <c r="U226" s="1"/>
      <c r="V226" s="32" t="s">
        <v>4371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26" s="15" t="str">
        <f>_xlfn.TEXTBEFORE(_xlfn.TEXTAFTER(CantoralDB[[#This Row],[index.html]],"&gt;"),"&gt;")&amp;"&gt;"</f>
        <v>&lt;a href="canciones/brotes_de_olivo/monologo_de_zacarias.html"&gt;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1543</v>
      </c>
      <c r="C227" s="1"/>
      <c r="H227" s="1" t="s">
        <v>1029</v>
      </c>
      <c r="I227" s="1" t="s">
        <v>2949</v>
      </c>
      <c r="J227" s="1" t="s">
        <v>607</v>
      </c>
      <c r="M227" s="15" t="s">
        <v>498</v>
      </c>
      <c r="N227" s="1" t="s">
        <v>3095</v>
      </c>
      <c r="O227" s="15">
        <v>3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27" s="1"/>
      <c r="U227" s="1"/>
      <c r="V227" s="32" t="s">
        <v>3108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27" s="15" t="str">
        <f>_xlfn.TEXTBEFORE(_xlfn.TEXTAFTER(CantoralDB[[#This Row],[index.html]],"&gt;"),"&gt;")&amp;"&gt;"</f>
        <v>&lt;a href="canciones/brotes_de_olivo/magnificat.html"&gt;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3098</v>
      </c>
      <c r="C228" s="1"/>
      <c r="H228" s="1" t="s">
        <v>530</v>
      </c>
      <c r="J228" s="1" t="s">
        <v>607</v>
      </c>
      <c r="M228" s="15" t="s">
        <v>498</v>
      </c>
      <c r="N228" s="1" t="s">
        <v>3095</v>
      </c>
      <c r="O228" s="15">
        <v>4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28" s="1"/>
      <c r="U228" s="1"/>
      <c r="V228" s="32" t="s">
        <v>4372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28" s="15" t="str">
        <f>_xlfn.TEXTBEFORE(_xlfn.TEXTAFTER(CantoralDB[[#This Row],[index.html]],"&gt;"),"&gt;")&amp;"&gt;"</f>
        <v>&lt;a href="canciones/brotes_de_olivo/buscando_posada.html"&gt;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3099</v>
      </c>
      <c r="C229" s="1"/>
      <c r="H229" s="1" t="s">
        <v>1029</v>
      </c>
      <c r="J229" s="1" t="s">
        <v>607</v>
      </c>
      <c r="M229" s="15" t="s">
        <v>498</v>
      </c>
      <c r="N229" s="1" t="s">
        <v>3095</v>
      </c>
      <c r="O229" s="15">
        <v>5</v>
      </c>
      <c r="P229" s="15">
        <v>1974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29" s="1"/>
      <c r="U229" s="1"/>
      <c r="V229" s="32" t="s">
        <v>4373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29" s="15" t="str">
        <f>_xlfn.TEXTBEFORE(_xlfn.TEXTAFTER(CantoralDB[[#This Row],[index.html]],"&gt;"),"&gt;")&amp;"&gt;"</f>
        <v>&lt;a href="canciones/brotes_de_olivo/madre_de_dios.html"&gt;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4797</v>
      </c>
      <c r="C230" s="1"/>
      <c r="H230" s="1" t="s">
        <v>1028</v>
      </c>
      <c r="I230" s="1" t="s">
        <v>2949</v>
      </c>
      <c r="J230" s="1" t="s">
        <v>607</v>
      </c>
      <c r="M230" s="15" t="s">
        <v>498</v>
      </c>
      <c r="N230" s="1" t="s">
        <v>3095</v>
      </c>
      <c r="O230" s="15">
        <v>6</v>
      </c>
      <c r="P230" s="15">
        <v>1974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30" s="1"/>
      <c r="U230" s="1"/>
      <c r="V230" s="32" t="s">
        <v>4374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30" s="15" t="str">
        <f>_xlfn.TEXTBEFORE(_xlfn.TEXTAFTER(CantoralDB[[#This Row],[index.html]],"&gt;"),"&gt;")&amp;"&gt;"</f>
        <v>&lt;a href="canciones/brotes_de_olivo/gloria_a_dios_en_los_cielos.html"&gt;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3100</v>
      </c>
      <c r="C231" s="1"/>
      <c r="H231" s="1" t="s">
        <v>1028</v>
      </c>
      <c r="I231" s="1" t="s">
        <v>2949</v>
      </c>
      <c r="J231" s="1" t="s">
        <v>607</v>
      </c>
      <c r="M231" s="15" t="s">
        <v>498</v>
      </c>
      <c r="N231" s="1" t="s">
        <v>3095</v>
      </c>
      <c r="O231" s="15">
        <v>7</v>
      </c>
      <c r="P231" s="15">
        <v>1974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31" s="1"/>
      <c r="U231" s="1"/>
      <c r="V231" s="32" t="s">
        <v>4375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31" s="15" t="str">
        <f>_xlfn.TEXTBEFORE(_xlfn.TEXTAFTER(CantoralDB[[#This Row],[index.html]],"&gt;"),"&gt;")&amp;"&gt;"</f>
        <v>&lt;a href="canciones/brotes_de_olivo/navidad_en_el_corazon.html"&gt;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3101</v>
      </c>
      <c r="C232" s="1"/>
      <c r="H232" s="1" t="s">
        <v>1026</v>
      </c>
      <c r="J232" s="1" t="s">
        <v>607</v>
      </c>
      <c r="M232" s="15" t="s">
        <v>498</v>
      </c>
      <c r="N232" s="1" t="s">
        <v>3095</v>
      </c>
      <c r="O232" s="15">
        <v>8</v>
      </c>
      <c r="P232" s="15">
        <v>1974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32" s="1"/>
      <c r="U232" s="1"/>
      <c r="V232" s="32" t="s">
        <v>4376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32" s="15" t="str">
        <f>_xlfn.TEXTBEFORE(_xlfn.TEXTAFTER(CantoralDB[[#This Row],[index.html]],"&gt;"),"&gt;")&amp;"&gt;"</f>
        <v>&lt;a href="canciones/brotes_de_olivo/bien_nacido.html"&gt;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3102</v>
      </c>
      <c r="C233" s="1"/>
      <c r="H233" s="1" t="s">
        <v>530</v>
      </c>
      <c r="J233" s="1" t="s">
        <v>607</v>
      </c>
      <c r="M233" s="15" t="s">
        <v>498</v>
      </c>
      <c r="N233" s="1" t="s">
        <v>3095</v>
      </c>
      <c r="O233" s="15">
        <v>9</v>
      </c>
      <c r="P233" s="15">
        <v>1974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33" s="1"/>
      <c r="U233" s="1"/>
      <c r="V233" s="32" t="s">
        <v>4377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33" s="15" t="str">
        <f>_xlfn.TEXTBEFORE(_xlfn.TEXTAFTER(CantoralDB[[#This Row],[index.html]],"&gt;"),"&gt;")&amp;"&gt;"</f>
        <v>&lt;a href="canciones/brotes_de_olivo/las_ropas_de_dios.html"&gt;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3103</v>
      </c>
      <c r="C234" s="1"/>
      <c r="H234" s="1" t="s">
        <v>530</v>
      </c>
      <c r="J234" s="1" t="s">
        <v>607</v>
      </c>
      <c r="M234" s="15" t="s">
        <v>498</v>
      </c>
      <c r="N234" s="1" t="s">
        <v>3095</v>
      </c>
      <c r="O234" s="15">
        <v>10</v>
      </c>
      <c r="P234" s="15">
        <v>1974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34" s="1"/>
      <c r="U234" s="1"/>
      <c r="V234" s="32" t="s">
        <v>4378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34" s="15" t="str">
        <f>_xlfn.TEXTBEFORE(_xlfn.TEXTAFTER(CantoralDB[[#This Row],[index.html]],"&gt;"),"&gt;")&amp;"&gt;"</f>
        <v>&lt;a href="canciones/brotes_de_olivo/los_pajaros_pastores.html"&gt;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3104</v>
      </c>
      <c r="C235" s="1"/>
      <c r="H235" s="1" t="s">
        <v>1028</v>
      </c>
      <c r="J235" s="1" t="s">
        <v>607</v>
      </c>
      <c r="M235" s="15" t="s">
        <v>498</v>
      </c>
      <c r="N235" s="1" t="s">
        <v>3095</v>
      </c>
      <c r="O235" s="15">
        <v>11</v>
      </c>
      <c r="P235" s="15">
        <v>1974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35" s="1"/>
      <c r="U235" s="1"/>
      <c r="V235" s="32" t="s">
        <v>4379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35" s="15" t="str">
        <f>_xlfn.TEXTBEFORE(_xlfn.TEXTAFTER(CantoralDB[[#This Row],[index.html]],"&gt;"),"&gt;")&amp;"&gt;"</f>
        <v>&lt;a href="canciones/brotes_de_olivo/la_serranilla.html"&gt;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3105</v>
      </c>
      <c r="C236" s="1"/>
      <c r="H236" s="1" t="s">
        <v>530</v>
      </c>
      <c r="J236" s="1"/>
      <c r="M236" s="15" t="s">
        <v>498</v>
      </c>
      <c r="N236" s="1" t="s">
        <v>3095</v>
      </c>
      <c r="O236" s="15">
        <v>12</v>
      </c>
      <c r="P236" s="15">
        <v>1974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36" s="1"/>
      <c r="U236" s="1"/>
      <c r="V236" s="32" t="s">
        <v>4380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36" s="15" t="str">
        <f>_xlfn.TEXTBEFORE(_xlfn.TEXTAFTER(CantoralDB[[#This Row],[index.html]],"&gt;"),"&gt;")&amp;"&gt;"</f>
        <v>&lt;a href="canciones/brotes_de_olivo/el_golfillo.html"&gt;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3106</v>
      </c>
      <c r="C237" s="1"/>
      <c r="H237" s="1" t="s">
        <v>1028</v>
      </c>
      <c r="J237" s="1" t="s">
        <v>607</v>
      </c>
      <c r="M237" s="15" t="s">
        <v>498</v>
      </c>
      <c r="N237" s="1" t="s">
        <v>3095</v>
      </c>
      <c r="O237" s="15">
        <v>13</v>
      </c>
      <c r="P237" s="15">
        <v>1974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37" s="1"/>
      <c r="U237" s="1"/>
      <c r="V237" s="32" t="s">
        <v>4381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37" s="15" t="str">
        <f>_xlfn.TEXTBEFORE(_xlfn.TEXTAFTER(CantoralDB[[#This Row],[index.html]],"&gt;"),"&gt;")&amp;"&gt;"</f>
        <v>&lt;a href="canciones/brotes_de_olivo/sueños_de_riqueza.html"&gt;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15</v>
      </c>
      <c r="C238" s="1" t="s">
        <v>193</v>
      </c>
      <c r="D238" s="1" t="s">
        <v>1373</v>
      </c>
      <c r="E238" s="1">
        <v>405</v>
      </c>
      <c r="G238" s="1" t="s">
        <v>208</v>
      </c>
      <c r="H238" s="1" t="s">
        <v>1029</v>
      </c>
      <c r="J238" s="1" t="s">
        <v>607</v>
      </c>
      <c r="M238" s="15" t="s">
        <v>498</v>
      </c>
      <c r="O238" s="15"/>
      <c r="P238" s="15"/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38" s="1"/>
      <c r="U238" s="1"/>
      <c r="V238" s="32" t="s">
        <v>4383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38" s="15" t="str">
        <f>_xlfn.TEXTBEFORE(_xlfn.TEXTAFTER(CantoralDB[[#This Row],[index.html]],"&gt;"),"&gt;")&amp;"&gt;"</f>
        <v>&lt;a href="canciones/brotes_de_olivo/aleluya_cantara.html"&gt;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2574</v>
      </c>
      <c r="C239" s="1"/>
      <c r="F239" s="1">
        <v>185</v>
      </c>
      <c r="J239" s="1"/>
      <c r="M239" s="15" t="s">
        <v>498</v>
      </c>
      <c r="O239" s="15"/>
      <c r="P239" s="15"/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T239" s="1"/>
      <c r="U239" s="1"/>
      <c r="V239" s="32" t="s">
        <v>4384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X239" s="15" t="str">
        <f>_xlfn.TEXTBEFORE(_xlfn.TEXTAFTER(CantoralDB[[#This Row],[index.html]],"&gt;"),"&gt;")&amp;"&gt;"</f>
        <v>&lt;a href="canciones/brotes_de_olivo/bendita_la_nacion.html"&gt;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2685</v>
      </c>
      <c r="C240" s="1"/>
      <c r="F240" s="1">
        <v>311</v>
      </c>
      <c r="J240" s="1"/>
      <c r="M240" s="15" t="s">
        <v>498</v>
      </c>
      <c r="O240" s="15"/>
      <c r="P240" s="15"/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240" s="1"/>
      <c r="U240" s="1"/>
      <c r="V240" s="32" t="s">
        <v>4385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X240" s="15" t="str">
        <f>_xlfn.TEXTBEFORE(_xlfn.TEXTAFTER(CantoralDB[[#This Row],[index.html]],"&gt;"),"&gt;")&amp;"&gt;"</f>
        <v>&lt;a href="canciones/brotes_de_olivo/dame_vida.html"&gt;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49</v>
      </c>
      <c r="C241" s="1" t="s">
        <v>992</v>
      </c>
      <c r="D241" s="1" t="s">
        <v>697</v>
      </c>
      <c r="E241" s="1">
        <v>419</v>
      </c>
      <c r="G241" s="1" t="s">
        <v>208</v>
      </c>
      <c r="H241" s="1" t="s">
        <v>1026</v>
      </c>
      <c r="J241" s="1" t="s">
        <v>607</v>
      </c>
      <c r="M241" s="15" t="s">
        <v>498</v>
      </c>
      <c r="O241" s="15"/>
      <c r="P241" s="15"/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41" s="1"/>
      <c r="U241" s="1"/>
      <c r="V241" s="32" t="s">
        <v>4386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41" s="15" t="str">
        <f>_xlfn.TEXTBEFORE(_xlfn.TEXTAFTER(CantoralDB[[#This Row],[index.html]],"&gt;"),"&gt;")&amp;"&gt;"</f>
        <v>&lt;a href="canciones/brotes_de_olivo/el_calor_de_tu_palabra.html"&gt;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235</v>
      </c>
      <c r="C242" s="1" t="s">
        <v>992</v>
      </c>
      <c r="D242" s="1" t="s">
        <v>709</v>
      </c>
      <c r="F242" s="1">
        <v>339</v>
      </c>
      <c r="G242" s="1" t="s">
        <v>215</v>
      </c>
      <c r="H242" s="1" t="s">
        <v>530</v>
      </c>
      <c r="J242" s="1" t="s">
        <v>607</v>
      </c>
      <c r="M242" s="15" t="s">
        <v>498</v>
      </c>
      <c r="O242" s="15"/>
      <c r="P242" s="15"/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42" s="1"/>
      <c r="U242" s="1"/>
      <c r="V242" s="32" t="s">
        <v>4389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X242" s="15" t="str">
        <f>_xlfn.TEXTBEFORE(_xlfn.TEXTAFTER(CantoralDB[[#This Row],[index.html]],"&gt;"),"&gt;")&amp;"&gt;"</f>
        <v>&lt;a href="canciones/brotes_de_olivo/hoy_señor_te_dare.html"&gt;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227</v>
      </c>
      <c r="C243" s="1" t="s">
        <v>200</v>
      </c>
      <c r="D243" s="1" t="s">
        <v>660</v>
      </c>
      <c r="G243" s="1" t="s">
        <v>215</v>
      </c>
      <c r="H243" s="1" t="s">
        <v>530</v>
      </c>
      <c r="J243" s="1" t="s">
        <v>607</v>
      </c>
      <c r="M243" s="15" t="s">
        <v>498</v>
      </c>
      <c r="O243" s="15"/>
      <c r="P243" s="15"/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43" s="1" t="s">
        <v>842</v>
      </c>
      <c r="U243" s="1"/>
      <c r="V243" s="32" t="s">
        <v>4390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43" s="15" t="str">
        <f>_xlfn.TEXTBEFORE(_xlfn.TEXTAFTER(CantoralDB[[#This Row],[index.html]],"&gt;"),"&gt;")&amp;"&gt;"</f>
        <v>&lt;a href="canciones/brotes_de_olivo/me_levantare.html"&gt;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95</v>
      </c>
      <c r="C244" s="1" t="s">
        <v>200</v>
      </c>
      <c r="D244" s="1" t="s">
        <v>663</v>
      </c>
      <c r="E244" s="1">
        <v>438</v>
      </c>
      <c r="F244" s="1">
        <v>317</v>
      </c>
      <c r="G244" s="1" t="s">
        <v>208</v>
      </c>
      <c r="H244" s="1" t="s">
        <v>530</v>
      </c>
      <c r="J244" s="1" t="s">
        <v>607</v>
      </c>
      <c r="M244" s="15" t="s">
        <v>498</v>
      </c>
      <c r="O244" s="15"/>
      <c r="P244" s="15"/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44" s="1"/>
      <c r="U244" s="1"/>
      <c r="V244" s="32" t="s">
        <v>4392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X244" s="15" t="str">
        <f>_xlfn.TEXTBEFORE(_xlfn.TEXTAFTER(CantoralDB[[#This Row],[index.html]],"&gt;"),"&gt;")&amp;"&gt;"</f>
        <v>&lt;a href="canciones/brotes_de_olivo/nada_nos_separara.html"&gt;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264</v>
      </c>
      <c r="C245" s="1" t="s">
        <v>198</v>
      </c>
      <c r="D245" s="1" t="s">
        <v>1456</v>
      </c>
      <c r="G245" s="1" t="s">
        <v>265</v>
      </c>
      <c r="H245" s="1" t="s">
        <v>530</v>
      </c>
      <c r="J245" s="1" t="s">
        <v>607</v>
      </c>
      <c r="M245" s="15" t="s">
        <v>498</v>
      </c>
      <c r="O245" s="15"/>
      <c r="P245" s="15"/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45" s="1" t="s">
        <v>814</v>
      </c>
      <c r="U245" s="1"/>
      <c r="V245" s="32" t="s">
        <v>4393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45" s="15" t="str">
        <f>_xlfn.TEXTBEFORE(_xlfn.TEXTAFTER(CantoralDB[[#This Row],[index.html]],"&gt;"),"&gt;")&amp;"&gt;"</f>
        <v>&lt;a href="canciones/brotes_de_olivo/que_sea_mi_vida_la_sal.html"&gt;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562</v>
      </c>
      <c r="C246" s="1" t="s">
        <v>200</v>
      </c>
      <c r="D246" s="1" t="s">
        <v>677</v>
      </c>
      <c r="G246" s="1" t="s">
        <v>552</v>
      </c>
      <c r="H246" s="1" t="s">
        <v>472</v>
      </c>
      <c r="J246" s="1" t="s">
        <v>607</v>
      </c>
      <c r="M246" s="15" t="s">
        <v>498</v>
      </c>
      <c r="O246" s="15"/>
      <c r="P246" s="15"/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46" s="1"/>
      <c r="U246" s="1"/>
      <c r="V246" s="32" t="s">
        <v>4394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46" s="15" t="str">
        <f>_xlfn.TEXTBEFORE(_xlfn.TEXTAFTER(CantoralDB[[#This Row],[index.html]],"&gt;"),"&gt;")&amp;"&gt;"</f>
        <v>&lt;a href="canciones/brotes_de_olivo/ven_no_apartes_de_mi_los_ojos.html"&gt;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6</v>
      </c>
      <c r="C247" s="1" t="s">
        <v>190</v>
      </c>
      <c r="D247" s="1" t="s">
        <v>1364</v>
      </c>
      <c r="E247" s="1">
        <v>8</v>
      </c>
      <c r="G247" s="1" t="s">
        <v>208</v>
      </c>
      <c r="H247" s="1" t="s">
        <v>1026</v>
      </c>
      <c r="I247" s="1" t="s">
        <v>2952</v>
      </c>
      <c r="J247" s="1" t="s">
        <v>607</v>
      </c>
      <c r="M247" s="15" t="s">
        <v>478</v>
      </c>
      <c r="O247" s="15"/>
      <c r="P247" s="15"/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47" s="1"/>
      <c r="U247" s="1"/>
      <c r="V247" s="15"/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47" s="15" t="str">
        <f>_xlfn.TEXTBEFORE(_xlfn.TEXTAFTER(CantoralDB[[#This Row],[index.html]],"&gt;"),"&gt;")&amp;"&gt;"</f>
        <v>&lt;a href="canciones/carmelo_erdozain/abre_tu_tienda_al_señor.html"&gt;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19</v>
      </c>
      <c r="C248" s="1" t="s">
        <v>193</v>
      </c>
      <c r="D248" s="1" t="s">
        <v>1378</v>
      </c>
      <c r="E248" s="1">
        <v>13</v>
      </c>
      <c r="G248" s="1" t="s">
        <v>208</v>
      </c>
      <c r="H248" s="1" t="s">
        <v>1026</v>
      </c>
      <c r="I248" s="1" t="s">
        <v>2952</v>
      </c>
      <c r="J248" s="1" t="s">
        <v>607</v>
      </c>
      <c r="M248" s="15" t="s">
        <v>478</v>
      </c>
      <c r="O248" s="15"/>
      <c r="P248" s="15"/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48" s="1"/>
      <c r="U248" s="1"/>
      <c r="V248" s="15"/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48" s="15" t="str">
        <f>_xlfn.TEXTBEFORE(_xlfn.TEXTAFTER(CantoralDB[[#This Row],[index.html]],"&gt;"),"&gt;")&amp;"&gt;"</f>
        <v>&lt;a href="canciones/carmelo_erdozain/aleluya_es_la_fiesta_del_señor.html"&gt;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1164</v>
      </c>
      <c r="C249" s="1" t="s">
        <v>194</v>
      </c>
      <c r="D249" s="1" t="s">
        <v>1383</v>
      </c>
      <c r="E249" s="1">
        <v>24</v>
      </c>
      <c r="G249" s="1" t="s">
        <v>208</v>
      </c>
      <c r="H249" s="1" t="s">
        <v>530</v>
      </c>
      <c r="I249" s="1" t="s">
        <v>2952</v>
      </c>
      <c r="J249" s="1" t="s">
        <v>607</v>
      </c>
      <c r="M249" s="15" t="s">
        <v>478</v>
      </c>
      <c r="O249" s="15"/>
      <c r="P249" s="15"/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49" s="1"/>
      <c r="U249" s="1"/>
      <c r="V249" s="15"/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49" s="15" t="str">
        <f>_xlfn.TEXTBEFORE(_xlfn.TEXTAFTER(CantoralDB[[#This Row],[index.html]],"&gt;"),"&gt;")&amp;"&gt;"</f>
        <v>&lt;a href="canciones/carmelo_erdozain/ante_ti_señor.html"&gt;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2901</v>
      </c>
      <c r="C250" s="1"/>
      <c r="E250" s="1">
        <v>261</v>
      </c>
      <c r="H250" s="1" t="s">
        <v>1026</v>
      </c>
      <c r="J250" s="1" t="s">
        <v>607</v>
      </c>
      <c r="M250" s="15" t="s">
        <v>478</v>
      </c>
      <c r="O250" s="15"/>
      <c r="P250" s="15"/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50" s="1"/>
      <c r="U250" s="1"/>
      <c r="V250" s="15"/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50" s="15" t="str">
        <f>_xlfn.TEXTBEFORE(_xlfn.TEXTAFTER(CantoralDB[[#This Row],[index.html]],"&gt;"),"&gt;")&amp;"&gt;"</f>
        <v>&lt;a href="canciones/carmelo_erdozain/arriesgate.html"&gt;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33</v>
      </c>
      <c r="C251" s="1" t="s">
        <v>992</v>
      </c>
      <c r="D251" s="1" t="s">
        <v>687</v>
      </c>
      <c r="E251" s="1">
        <v>52</v>
      </c>
      <c r="G251" s="1" t="s">
        <v>208</v>
      </c>
      <c r="H251" s="1" t="s">
        <v>472</v>
      </c>
      <c r="I251" s="1" t="s">
        <v>2951</v>
      </c>
      <c r="J251" s="1" t="s">
        <v>607</v>
      </c>
      <c r="M251" s="15" t="s">
        <v>478</v>
      </c>
      <c r="O251" s="15"/>
      <c r="P251" s="15"/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51" s="1" t="s">
        <v>813</v>
      </c>
      <c r="U251" s="1"/>
      <c r="V251" s="15"/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51" s="15" t="str">
        <f>_xlfn.TEXTBEFORE(_xlfn.TEXTAFTER(CantoralDB[[#This Row],[index.html]],"&gt;"),"&gt;")&amp;"&gt;"</f>
        <v>&lt;a href="canciones/carmelo_erdozain/cerca_esta_el_señor.html"&gt;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35</v>
      </c>
      <c r="C252" s="1" t="s">
        <v>200</v>
      </c>
      <c r="D252" s="1" t="s">
        <v>647</v>
      </c>
      <c r="E252" s="1">
        <v>51</v>
      </c>
      <c r="G252" s="1" t="s">
        <v>208</v>
      </c>
      <c r="H252" s="1" t="s">
        <v>530</v>
      </c>
      <c r="I252" s="1" t="s">
        <v>2951</v>
      </c>
      <c r="J252" s="1" t="s">
        <v>607</v>
      </c>
      <c r="M252" s="15" t="s">
        <v>478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52" s="1"/>
      <c r="U252" s="1"/>
      <c r="V252" s="15"/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52" s="15" t="str">
        <f>_xlfn.TEXTBEFORE(_xlfn.TEXTAFTER(CantoralDB[[#This Row],[index.html]],"&gt;"),"&gt;")&amp;"&gt;"</f>
        <v>&lt;a href="canciones/carmelo_erdozain/compartir_junto_al_señor.html"&gt;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1175</v>
      </c>
      <c r="C253" s="1"/>
      <c r="E253" s="1">
        <v>44</v>
      </c>
      <c r="H253" s="1" t="s">
        <v>530</v>
      </c>
      <c r="J253" s="1" t="s">
        <v>607</v>
      </c>
      <c r="M253" s="15" t="s">
        <v>478</v>
      </c>
      <c r="O253" s="15"/>
      <c r="P253" s="15"/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53" s="1"/>
      <c r="U253" s="1"/>
      <c r="V253" s="15"/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53" s="15" t="str">
        <f>_xlfn.TEXTBEFORE(_xlfn.TEXTAFTER(CantoralDB[[#This Row],[index.html]],"&gt;"),"&gt;")&amp;"&gt;"</f>
        <v>&lt;a href="canciones/carmelo_erdozain/con_nosotros_esta_el_señor.html"&gt;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1222</v>
      </c>
      <c r="C254" s="1"/>
      <c r="E254" s="1">
        <v>301</v>
      </c>
      <c r="H254" s="1" t="s">
        <v>1027</v>
      </c>
      <c r="J254" s="1" t="s">
        <v>607</v>
      </c>
      <c r="M254" s="15" t="s">
        <v>478</v>
      </c>
      <c r="O254" s="15"/>
      <c r="P254" s="15"/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54" s="1"/>
      <c r="U254" s="1"/>
      <c r="V254" s="15"/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54" s="15" t="str">
        <f>_xlfn.TEXTBEFORE(_xlfn.TEXTAFTER(CantoralDB[[#This Row],[index.html]],"&gt;"),"&gt;")&amp;"&gt;"</f>
        <v>&lt;a href="canciones/carmelo_erdozain/creo_en_jesus.html"&gt;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1187</v>
      </c>
      <c r="C255" s="1"/>
      <c r="E255" s="1">
        <v>58</v>
      </c>
      <c r="H255" s="1" t="s">
        <v>1027</v>
      </c>
      <c r="J255" s="1" t="s">
        <v>607</v>
      </c>
      <c r="M255" s="15" t="s">
        <v>478</v>
      </c>
      <c r="O255" s="15"/>
      <c r="P255" s="15"/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55" s="1"/>
      <c r="U255" s="1"/>
      <c r="V255" s="15"/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55" s="15" t="str">
        <f>_xlfn.TEXTBEFORE(_xlfn.TEXTAFTER(CantoralDB[[#This Row],[index.html]],"&gt;"),"&gt;")&amp;"&gt;"</f>
        <v>&lt;a href="canciones/carmelo_erdozain/cristo_es_la_imagen_de_dios.html"&gt;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1183</v>
      </c>
      <c r="C256" s="1"/>
      <c r="E256" s="1">
        <v>55</v>
      </c>
      <c r="H256" s="1" t="s">
        <v>1027</v>
      </c>
      <c r="J256" s="1" t="s">
        <v>607</v>
      </c>
      <c r="M256" s="15" t="s">
        <v>478</v>
      </c>
      <c r="O256" s="15"/>
      <c r="P256" s="15"/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56" s="1"/>
      <c r="U256" s="1"/>
      <c r="V256" s="15"/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56" s="15" t="str">
        <f>_xlfn.TEXTBEFORE(_xlfn.TEXTAFTER(CantoralDB[[#This Row],[index.html]],"&gt;"),"&gt;")&amp;"&gt;"</f>
        <v>&lt;a href="canciones/carmelo_erdozain/cristo_fue_sincero.html"&gt;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40</v>
      </c>
      <c r="C257" s="1" t="s">
        <v>992</v>
      </c>
      <c r="D257" s="1" t="s">
        <v>691</v>
      </c>
      <c r="E257" s="1">
        <v>63</v>
      </c>
      <c r="G257" s="1" t="s">
        <v>208</v>
      </c>
      <c r="H257" s="1" t="s">
        <v>530</v>
      </c>
      <c r="J257" s="1" t="s">
        <v>607</v>
      </c>
      <c r="M257" s="15" t="s">
        <v>478</v>
      </c>
      <c r="O257" s="15"/>
      <c r="P257" s="15"/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57" s="1"/>
      <c r="U257" s="1"/>
      <c r="V257" s="15"/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57" s="15" t="str">
        <f>_xlfn.TEXTBEFORE(_xlfn.TEXTAFTER(CantoralDB[[#This Row],[index.html]],"&gt;"),"&gt;")&amp;"&gt;"</f>
        <v>&lt;a href="canciones/carmelo_erdozain/cristo_nos_da_la_libertad.html"&gt;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41</v>
      </c>
      <c r="C258" s="1" t="s">
        <v>200</v>
      </c>
      <c r="D258" s="1" t="s">
        <v>648</v>
      </c>
      <c r="E258" s="1">
        <v>59</v>
      </c>
      <c r="G258" s="1" t="s">
        <v>208</v>
      </c>
      <c r="H258" s="1" t="s">
        <v>472</v>
      </c>
      <c r="I258" s="1" t="s">
        <v>2949</v>
      </c>
      <c r="J258" s="1" t="s">
        <v>607</v>
      </c>
      <c r="M258" s="15" t="s">
        <v>478</v>
      </c>
      <c r="O258" s="15"/>
      <c r="P258" s="15"/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58" s="1" t="s">
        <v>817</v>
      </c>
      <c r="U258" s="1"/>
      <c r="V258" s="15"/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58" s="15" t="str">
        <f>_xlfn.TEXTBEFORE(_xlfn.TEXTAFTER(CantoralDB[[#This Row],[index.html]],"&gt;"),"&gt;")&amp;"&gt;"</f>
        <v>&lt;a href="canciones/carmelo_erdozain/cristo_por_nosotros.html"&gt;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1185</v>
      </c>
      <c r="C259" s="1"/>
      <c r="E259" s="1">
        <v>57</v>
      </c>
      <c r="H259" s="1" t="s">
        <v>1028</v>
      </c>
      <c r="J259" s="1" t="s">
        <v>607</v>
      </c>
      <c r="M259" s="15" t="s">
        <v>478</v>
      </c>
      <c r="O259" s="15"/>
      <c r="P259" s="15"/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59" s="1"/>
      <c r="U259" s="1"/>
      <c r="V259" s="15"/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59" s="15" t="str">
        <f>_xlfn.TEXTBEFORE(_xlfn.TEXTAFTER(CantoralDB[[#This Row],[index.html]],"&gt;"),"&gt;")&amp;"&gt;"</f>
        <v>&lt;a href="canciones/carmelo_erdozain/cristo_se_entrego_por_nosotros.html"&gt;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1193</v>
      </c>
      <c r="C260" s="1"/>
      <c r="E260" s="1">
        <v>68</v>
      </c>
      <c r="H260" s="1" t="s">
        <v>1029</v>
      </c>
      <c r="J260" s="1" t="s">
        <v>607</v>
      </c>
      <c r="M260" s="15" t="s">
        <v>478</v>
      </c>
      <c r="O260" s="15"/>
      <c r="P260" s="15"/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60" s="1"/>
      <c r="U260" s="1"/>
      <c r="V260" s="15"/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60" s="15" t="str">
        <f>_xlfn.TEXTBEFORE(_xlfn.TEXTAFTER(CantoralDB[[#This Row],[index.html]],"&gt;"),"&gt;")&amp;"&gt;"</f>
        <v>&lt;a href="canciones/carmelo_erdozain/cuantos_años_han_de_pasar.html"&gt;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221</v>
      </c>
      <c r="C261" s="1" t="s">
        <v>190</v>
      </c>
      <c r="D261" s="1" t="s">
        <v>733</v>
      </c>
      <c r="G261" s="1" t="s">
        <v>215</v>
      </c>
      <c r="H261" s="1" t="s">
        <v>530</v>
      </c>
      <c r="J261" s="1" t="s">
        <v>607</v>
      </c>
      <c r="M261" s="15" t="s">
        <v>478</v>
      </c>
      <c r="O261" s="15"/>
      <c r="P261" s="15"/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61" s="1"/>
      <c r="U261" s="1"/>
      <c r="V261" s="15"/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61" s="15" t="str">
        <f>_xlfn.TEXTBEFORE(_xlfn.TEXTAFTER(CantoralDB[[#This Row],[index.html]],"&gt;"),"&gt;")&amp;"&gt;"</f>
        <v>&lt;a href="canciones/carmelo_erdozain/dios_nos_convoca.html"&gt;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1206</v>
      </c>
      <c r="C262" s="1"/>
      <c r="E262" s="1">
        <v>82</v>
      </c>
      <c r="H262" s="1" t="s">
        <v>1029</v>
      </c>
      <c r="J262" s="1" t="s">
        <v>607</v>
      </c>
      <c r="M262" s="15" t="s">
        <v>478</v>
      </c>
      <c r="O262" s="15"/>
      <c r="P262" s="15"/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62" s="1"/>
      <c r="U262" s="1"/>
      <c r="V262" s="15"/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62" s="15" t="str">
        <f>_xlfn.TEXTBEFORE(_xlfn.TEXTAFTER(CantoralDB[[#This Row],[index.html]],"&gt;"),"&gt;")&amp;"&gt;"</f>
        <v>&lt;a href="canciones/carmelo_erdozain/dios_te_salve_maria.html"&gt;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1208</v>
      </c>
      <c r="C263" s="1"/>
      <c r="E263" s="1">
        <v>87</v>
      </c>
      <c r="H263" s="1" t="s">
        <v>1029</v>
      </c>
      <c r="J263" s="1" t="s">
        <v>607</v>
      </c>
      <c r="M263" s="15" t="s">
        <v>478</v>
      </c>
      <c r="O263" s="15"/>
      <c r="P263" s="15"/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63" s="1"/>
      <c r="U263" s="1"/>
      <c r="V263" s="15"/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63" s="15" t="str">
        <f>_xlfn.TEXTBEFORE(_xlfn.TEXTAFTER(CantoralDB[[#This Row],[index.html]],"&gt;"),"&gt;")&amp;"&gt;"</f>
        <v>&lt;a href="canciones/carmelo_erdozain/dios_te_salve_maria_llena_eres_de_gracia.html"&gt;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2881</v>
      </c>
      <c r="C264" s="1" t="s">
        <v>200</v>
      </c>
      <c r="D264" s="1" t="s">
        <v>654</v>
      </c>
      <c r="E264" s="1">
        <v>116</v>
      </c>
      <c r="G264" s="1" t="s">
        <v>208</v>
      </c>
      <c r="H264" s="1" t="s">
        <v>1026</v>
      </c>
      <c r="J264" s="1" t="s">
        <v>607</v>
      </c>
      <c r="M264" s="15" t="s">
        <v>478</v>
      </c>
      <c r="O264" s="15"/>
      <c r="P264" s="15"/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64" s="1"/>
      <c r="U264" s="1"/>
      <c r="V264" s="15"/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64" s="15" t="str">
        <f>_xlfn.TEXTBEFORE(_xlfn.TEXTAFTER(CantoralDB[[#This Row],[index.html]],"&gt;"),"&gt;")&amp;"&gt;"</f>
        <v>&lt;a href="canciones/carmelo_erdozain/escucha_tu_la_palabra_de_dios.html"&gt;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2147</v>
      </c>
      <c r="C265" s="1"/>
      <c r="H265" s="1" t="s">
        <v>1026</v>
      </c>
      <c r="J265" s="1" t="s">
        <v>607</v>
      </c>
      <c r="M265" s="15" t="s">
        <v>478</v>
      </c>
      <c r="O265" s="15"/>
      <c r="P265" s="15"/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65" s="1"/>
      <c r="U265" s="1"/>
      <c r="V265" s="32" t="s">
        <v>2965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65" s="15" t="str">
        <f>_xlfn.TEXTBEFORE(_xlfn.TEXTAFTER(CantoralDB[[#This Row],[index.html]],"&gt;"),"&gt;")&amp;"&gt;"</f>
        <v>&lt;a href="canciones/carmelo_erdozain/este_pan_y_vino.html"&gt;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1256</v>
      </c>
      <c r="C266" s="1"/>
      <c r="E266" s="1">
        <v>126</v>
      </c>
      <c r="H266" s="1" t="s">
        <v>1027</v>
      </c>
      <c r="J266" s="1" t="s">
        <v>607</v>
      </c>
      <c r="M266" s="15" t="s">
        <v>478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66" s="1"/>
      <c r="U266" s="1"/>
      <c r="V266" s="15"/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66" s="15" t="str">
        <f>_xlfn.TEXTBEFORE(_xlfn.TEXTAFTER(CantoralDB[[#This Row],[index.html]],"&gt;"),"&gt;")&amp;"&gt;"</f>
        <v>&lt;a href="canciones/carmelo_erdozain/gracias_señor_por_tu_palabra.html"&gt;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75</v>
      </c>
      <c r="C267" s="1" t="s">
        <v>210</v>
      </c>
      <c r="D267" s="1" t="s">
        <v>1429</v>
      </c>
      <c r="E267" s="1">
        <v>136</v>
      </c>
      <c r="G267" s="1" t="s">
        <v>208</v>
      </c>
      <c r="H267" s="1" t="s">
        <v>1026</v>
      </c>
      <c r="I267" s="1" t="s">
        <v>2949</v>
      </c>
      <c r="J267" s="1" t="s">
        <v>607</v>
      </c>
      <c r="M267" s="15" t="s">
        <v>478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67" s="1" t="s">
        <v>837</v>
      </c>
      <c r="U267" s="1"/>
      <c r="V267" s="15"/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67" s="15" t="str">
        <f>_xlfn.TEXTBEFORE(_xlfn.TEXTAFTER(CantoralDB[[#This Row],[index.html]],"&gt;"),"&gt;")&amp;"&gt;"</f>
        <v>&lt;a href="canciones/carmelo_erdozain/hosanna_hosanna_hosanna.html"&gt;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1264</v>
      </c>
      <c r="C268" s="1"/>
      <c r="E268" s="1">
        <v>137</v>
      </c>
      <c r="H268" s="1" t="s">
        <v>530</v>
      </c>
      <c r="J268" s="1" t="s">
        <v>607</v>
      </c>
      <c r="M268" s="15" t="s">
        <v>478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68" s="1"/>
      <c r="U268" s="1"/>
      <c r="V268" s="15"/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68" s="15" t="str">
        <f>_xlfn.TEXTBEFORE(_xlfn.TEXTAFTER(CantoralDB[[#This Row],[index.html]],"&gt;"),"&gt;")&amp;"&gt;"</f>
        <v>&lt;a href="canciones/carmelo_erdozain/hoy_me_siento_peregrino.html"&gt;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77</v>
      </c>
      <c r="C269" s="1" t="s">
        <v>992</v>
      </c>
      <c r="D269" s="1" t="s">
        <v>710</v>
      </c>
      <c r="E269" s="1">
        <v>138</v>
      </c>
      <c r="G269" s="1" t="s">
        <v>208</v>
      </c>
      <c r="H269" s="1" t="s">
        <v>530</v>
      </c>
      <c r="I269" s="1" t="s">
        <v>2951</v>
      </c>
      <c r="J269" s="1" t="s">
        <v>607</v>
      </c>
      <c r="M269" s="15" t="s">
        <v>478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69" s="1" t="s">
        <v>838</v>
      </c>
      <c r="U269" s="1"/>
      <c r="V269" s="15"/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69" s="15" t="str">
        <f>_xlfn.TEXTBEFORE(_xlfn.TEXTAFTER(CantoralDB[[#This Row],[index.html]],"&gt;"),"&gt;")&amp;"&gt;"</f>
        <v>&lt;a href="canciones/carmelo_erdozain/hoy_vuelvo_de_lejos.html"&gt;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1272</v>
      </c>
      <c r="C270" s="1"/>
      <c r="E270" s="1">
        <v>154</v>
      </c>
      <c r="H270" s="1" t="s">
        <v>1026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70" s="15" t="str">
        <f>_xlfn.TEXTBEFORE(_xlfn.TEXTAFTER(CantoralDB[[#This Row],[index.html]],"&gt;"),"&gt;")&amp;"&gt;"</f>
        <v>&lt;a href="canciones/carmelo_erdozain/las_puertas_de_la_nueva_ciudad.html"&gt;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1274</v>
      </c>
      <c r="C271" s="1"/>
      <c r="E271" s="1">
        <v>156</v>
      </c>
      <c r="H271" s="1" t="s">
        <v>1029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71" s="15" t="str">
        <f>_xlfn.TEXTBEFORE(_xlfn.TEXTAFTER(CantoralDB[[#This Row],[index.html]],"&gt;"),"&gt;")&amp;"&gt;"</f>
        <v>&lt;a href="canciones/carmelo_erdozain/levantate_pueblo_mio.html"&gt;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1275</v>
      </c>
      <c r="C272" s="1"/>
      <c r="E272" s="1">
        <v>159</v>
      </c>
      <c r="H272" s="1" t="s">
        <v>530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72" s="15" t="str">
        <f>_xlfn.TEXTBEFORE(_xlfn.TEXTAFTER(CantoralDB[[#This Row],[index.html]],"&gt;"),"&gt;")&amp;"&gt;"</f>
        <v>&lt;a href="canciones/carmelo_erdozain/llego_la_noche.html"&gt;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1279</v>
      </c>
      <c r="C273" s="1"/>
      <c r="E273" s="1">
        <v>167</v>
      </c>
      <c r="J273" s="1"/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73" s="15" t="str">
        <f>_xlfn.TEXTBEFORE(_xlfn.TEXTAFTER(CantoralDB[[#This Row],[index.html]],"&gt;"),"&gt;")&amp;"&gt;"</f>
        <v>&lt;a href="canciones/carmelo_erdozain/mas_alla_las_redes_mas_alla.html"&gt;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1288</v>
      </c>
      <c r="C274" s="1"/>
      <c r="E274" s="1">
        <v>179</v>
      </c>
      <c r="H274" s="1" t="s">
        <v>1027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74" s="1"/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74" s="15" t="str">
        <f>_xlfn.TEXTBEFORE(_xlfn.TEXTAFTER(CantoralDB[[#This Row],[index.html]],"&gt;"),"&gt;")&amp;"&gt;"</f>
        <v>&lt;a href="canciones/carmelo_erdozain/nochebuena_nochebuena.html"&gt;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100</v>
      </c>
      <c r="C275" s="1" t="s">
        <v>200</v>
      </c>
      <c r="D275" s="1" t="s">
        <v>667</v>
      </c>
      <c r="E275" s="1">
        <v>189</v>
      </c>
      <c r="G275" s="1" t="s">
        <v>208</v>
      </c>
      <c r="H275" s="1" t="s">
        <v>1027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75" s="1" t="s">
        <v>849</v>
      </c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75" s="15" t="str">
        <f>_xlfn.TEXTBEFORE(_xlfn.TEXTAFTER(CantoralDB[[#This Row],[index.html]],"&gt;"),"&gt;")&amp;"&gt;"</f>
        <v>&lt;a href="canciones/carmelo_erdozain/oh_mi_dios_crea_en_mi.html"&gt;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2116</v>
      </c>
      <c r="C276" s="1"/>
      <c r="E276" s="1">
        <v>184</v>
      </c>
      <c r="H276" s="1" t="s">
        <v>1029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76" s="1"/>
      <c r="U276" s="1"/>
      <c r="V276" s="32" t="s">
        <v>2966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76" s="15" t="str">
        <f>_xlfn.TEXTBEFORE(_xlfn.TEXTAFTER(CantoralDB[[#This Row],[index.html]],"&gt;"),"&gt;")&amp;"&gt;"</f>
        <v>&lt;a href="canciones/carmelo_erdozain/oi_tu_voz.html"&gt;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617</v>
      </c>
      <c r="C277" s="1" t="s">
        <v>196</v>
      </c>
      <c r="D277" s="1" t="s">
        <v>1443</v>
      </c>
      <c r="G277" s="1" t="s">
        <v>247</v>
      </c>
      <c r="H277" s="1" t="s">
        <v>530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277" s="15" t="str">
        <f>_xlfn.TEXTBEFORE(_xlfn.TEXTAFTER(CantoralDB[[#This Row],[index.html]],"&gt;"),"&gt;")&amp;"&gt;"</f>
        <v>&lt;a href="canciones/carmelo_erdozain/padre_nuestro_(erdozain).html"&gt;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</v>
      </c>
      <c r="C278" s="1" t="s">
        <v>992</v>
      </c>
      <c r="D278" s="1" t="s">
        <v>994</v>
      </c>
      <c r="E278" s="1">
        <v>211</v>
      </c>
      <c r="G278" s="1" t="s">
        <v>208</v>
      </c>
      <c r="H278" s="1" t="s">
        <v>1029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278" s="15" t="str">
        <f>_xlfn.TEXTBEFORE(_xlfn.TEXTAFTER(CantoralDB[[#This Row],[index.html]],"&gt;"),"&gt;")&amp;"&gt;"</f>
        <v>&lt;a href="canciones/carmelo_erdozain/purificame_señor.html"&gt;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1322</v>
      </c>
      <c r="C279" s="1"/>
      <c r="E279" s="1">
        <v>244</v>
      </c>
      <c r="H279" s="1" t="s">
        <v>1029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279" s="1"/>
      <c r="U279" s="1"/>
      <c r="V279" s="32" t="s">
        <v>2967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279" s="15" t="str">
        <f>_xlfn.TEXTBEFORE(_xlfn.TEXTAFTER(CantoralDB[[#This Row],[index.html]],"&gt;"),"&gt;")&amp;"&gt;"</f>
        <v>&lt;a href="canciones/carmelo_erdozain/se_acerca_el_reino_de_dios.html"&gt;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2896</v>
      </c>
      <c r="C280" s="1"/>
      <c r="E280" s="1" t="s">
        <v>1205</v>
      </c>
      <c r="H280" s="1" t="s">
        <v>1027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280" s="1"/>
      <c r="U280" s="1"/>
      <c r="V280" s="32" t="s">
        <v>2103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280" s="15" t="str">
        <f>_xlfn.TEXTBEFORE(_xlfn.TEXTAFTER(CantoralDB[[#This Row],[index.html]],"&gt;"),"&gt;")&amp;"&gt;"</f>
        <v>&lt;a href="canciones/carmelo_erdozain/tened_encendida_la_lampara.html"&gt;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156</v>
      </c>
      <c r="C281" s="1" t="s">
        <v>190</v>
      </c>
      <c r="D281" s="1" t="s">
        <v>755</v>
      </c>
      <c r="E281" s="1">
        <v>284</v>
      </c>
      <c r="G281" s="1" t="s">
        <v>208</v>
      </c>
      <c r="H281" s="1" t="s">
        <v>530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281" s="1"/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281" s="15" t="str">
        <f>_xlfn.TEXTBEFORE(_xlfn.TEXTAFTER(CantoralDB[[#This Row],[index.html]],"&gt;"),"&gt;")&amp;"&gt;"</f>
        <v>&lt;a href="canciones/carmelo_erdozain/vamos_a_preparar.html"&gt;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1346</v>
      </c>
      <c r="C282" s="1"/>
      <c r="E282" s="1">
        <v>290</v>
      </c>
      <c r="H282" s="1" t="s">
        <v>1026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282" s="1"/>
      <c r="U282" s="1"/>
      <c r="V282" s="32" t="s">
        <v>2968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282" s="15" t="str">
        <f>_xlfn.TEXTBEFORE(_xlfn.TEXTAFTER(CantoralDB[[#This Row],[index.html]],"&gt;"),"&gt;")&amp;"&gt;"</f>
        <v>&lt;a href="canciones/carmelo_erdozain/ven_espiritu_santo.html"&gt;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160</v>
      </c>
      <c r="C283" s="1" t="s">
        <v>190</v>
      </c>
      <c r="D283" s="1" t="s">
        <v>760</v>
      </c>
      <c r="E283" s="1">
        <v>283</v>
      </c>
      <c r="G283" s="1" t="s">
        <v>208</v>
      </c>
      <c r="H283" s="1" t="s">
        <v>1028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283" s="15" t="str">
        <f>_xlfn.TEXTBEFORE(_xlfn.TEXTAFTER(CantoralDB[[#This Row],[index.html]],"&gt;"),"&gt;")&amp;"&gt;"</f>
        <v>&lt;a href="canciones/carmelo_erdozain/ven_salvador.html"&gt;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1350</v>
      </c>
      <c r="C284" s="1"/>
      <c r="E284" s="1">
        <v>296</v>
      </c>
      <c r="H284" s="1" t="s">
        <v>1026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284" s="1"/>
      <c r="U284" s="1"/>
      <c r="V284" s="32" t="s">
        <v>2969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284" s="15" t="str">
        <f>_xlfn.TEXTBEFORE(_xlfn.TEXTAFTER(CantoralDB[[#This Row],[index.html]],"&gt;"),"&gt;")&amp;"&gt;"</f>
        <v>&lt;a href="canciones/carmelo_erdozain/yo_estare_con_vosotros.html"&gt;</v>
      </c>
      <c r="Y284"/>
      <c r="Z284" s="1"/>
      <c r="AA284" s="1"/>
      <c r="AB284" s="1"/>
      <c r="AC284" s="1"/>
    </row>
    <row r="285" spans="1:29" x14ac:dyDescent="0.3">
      <c r="A285" s="33">
        <f>ROW(CantoralDB[[#This Row],[Título]])-1</f>
        <v>284</v>
      </c>
      <c r="B285" s="1" t="s">
        <v>4669</v>
      </c>
      <c r="C285" s="1"/>
      <c r="D285" s="33"/>
      <c r="E285" s="33"/>
      <c r="H285" s="1" t="s">
        <v>1026</v>
      </c>
      <c r="I285" s="33"/>
      <c r="J285" s="1" t="s">
        <v>607</v>
      </c>
      <c r="M285" s="15" t="s">
        <v>482</v>
      </c>
      <c r="N285" s="1" t="s">
        <v>4668</v>
      </c>
      <c r="O285" s="15">
        <v>1</v>
      </c>
      <c r="P285" s="15">
        <v>1988</v>
      </c>
      <c r="Q285" s="34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5" s="34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285" s="35"/>
      <c r="U285" s="33"/>
      <c r="V285" s="32" t="s">
        <v>4648</v>
      </c>
      <c r="W2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285" s="34" t="str">
        <f>_xlfn.TEXTBEFORE(_xlfn.TEXTAFTER(CantoralDB[[#This Row],[index.html]],"&gt;"),"&gt;")&amp;"&gt;"</f>
        <v>&lt;a href="canciones/cesareo_gabarain/porque_nos_invitas.html"&gt;</v>
      </c>
      <c r="Y285"/>
      <c r="Z285" s="1"/>
      <c r="AA285" s="1"/>
      <c r="AB285" s="1"/>
      <c r="AC285" s="1"/>
    </row>
    <row r="286" spans="1:29" x14ac:dyDescent="0.3">
      <c r="A286" s="33">
        <f>ROW(CantoralDB[[#This Row],[Título]])-1</f>
        <v>285</v>
      </c>
      <c r="B286" s="1" t="s">
        <v>133</v>
      </c>
      <c r="C286" s="1"/>
      <c r="D286" s="33"/>
      <c r="E286" s="33"/>
      <c r="H286" s="1" t="s">
        <v>1029</v>
      </c>
      <c r="I286" s="33"/>
      <c r="J286" s="1" t="s">
        <v>607</v>
      </c>
      <c r="M286" s="15" t="s">
        <v>482</v>
      </c>
      <c r="N286" s="1" t="s">
        <v>4668</v>
      </c>
      <c r="O286" s="15">
        <v>2</v>
      </c>
      <c r="P286" s="15">
        <v>1988</v>
      </c>
      <c r="Q286" s="34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6" s="34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286" s="35"/>
      <c r="U286" s="33"/>
      <c r="V286" s="32" t="s">
        <v>4635</v>
      </c>
      <c r="W2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286" s="34" t="str">
        <f>_xlfn.TEXTBEFORE(_xlfn.TEXTAFTER(CantoralDB[[#This Row],[index.html]],"&gt;"),"&gt;")&amp;"&gt;"</f>
        <v>&lt;a href="canciones/cesareo_gabarain/señor_ten_piedad.html"&gt;</v>
      </c>
      <c r="Y286"/>
      <c r="Z286" s="1"/>
      <c r="AA286" s="1"/>
      <c r="AB286" s="1"/>
      <c r="AC286" s="1"/>
    </row>
    <row r="287" spans="1:29" x14ac:dyDescent="0.3">
      <c r="A287" s="33">
        <f>ROW(CantoralDB[[#This Row],[Título]])-1</f>
        <v>286</v>
      </c>
      <c r="B287" s="1" t="s">
        <v>192</v>
      </c>
      <c r="C287" s="1"/>
      <c r="D287" s="33"/>
      <c r="E287" s="33"/>
      <c r="H287" s="1" t="s">
        <v>530</v>
      </c>
      <c r="I287" s="33"/>
      <c r="J287" s="1" t="s">
        <v>607</v>
      </c>
      <c r="M287" s="15" t="s">
        <v>482</v>
      </c>
      <c r="N287" s="1" t="s">
        <v>4668</v>
      </c>
      <c r="O287" s="15">
        <v>3</v>
      </c>
      <c r="P287" s="15">
        <v>1988</v>
      </c>
      <c r="Q287" s="34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7" s="34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287" s="35"/>
      <c r="U287" s="33"/>
      <c r="V287" s="32" t="s">
        <v>4649</v>
      </c>
      <c r="W2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287" s="34" t="str">
        <f>_xlfn.TEXTBEFORE(_xlfn.TEXTAFTER(CantoralDB[[#This Row],[index.html]],"&gt;"),"&gt;")&amp;"&gt;"</f>
        <v>&lt;a href="canciones/cesareo_gabarain/gloria.html"&gt;</v>
      </c>
      <c r="Y287"/>
      <c r="Z287" s="1"/>
      <c r="AA287" s="1"/>
      <c r="AB287" s="1"/>
      <c r="AC287" s="1"/>
    </row>
    <row r="288" spans="1:29" x14ac:dyDescent="0.3">
      <c r="A288" s="33">
        <f>ROW(CantoralDB[[#This Row],[Título]])-1</f>
        <v>287</v>
      </c>
      <c r="B288" s="1" t="s">
        <v>4792</v>
      </c>
      <c r="C288" s="1"/>
      <c r="D288" s="33"/>
      <c r="E288" s="33"/>
      <c r="H288" s="1" t="s">
        <v>1026</v>
      </c>
      <c r="I288" s="33"/>
      <c r="J288" s="1" t="s">
        <v>607</v>
      </c>
      <c r="M288" s="15" t="s">
        <v>482</v>
      </c>
      <c r="N288" s="1" t="s">
        <v>4668</v>
      </c>
      <c r="O288" s="15">
        <v>4</v>
      </c>
      <c r="P288" s="15">
        <v>1988</v>
      </c>
      <c r="Q288" s="34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8" s="34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288" s="35"/>
      <c r="U288" s="33"/>
      <c r="V288" s="32" t="s">
        <v>4650</v>
      </c>
      <c r="W2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288" s="34" t="str">
        <f>_xlfn.TEXTBEFORE(_xlfn.TEXTAFTER(CantoralDB[[#This Row],[index.html]],"&gt;"),"&gt;")&amp;"&gt;"</f>
        <v>&lt;a href="canciones/cesareo_gabarain/se_acerca_el_señor.html"&gt;</v>
      </c>
      <c r="Y288"/>
      <c r="Z288" s="1"/>
      <c r="AA288" s="1"/>
      <c r="AB288" s="1"/>
      <c r="AC288" s="1"/>
    </row>
    <row r="289" spans="1:29" x14ac:dyDescent="0.3">
      <c r="A289" s="33">
        <f>ROW(CantoralDB[[#This Row],[Título]])-1</f>
        <v>288</v>
      </c>
      <c r="B289" s="1" t="s">
        <v>1218</v>
      </c>
      <c r="C289" s="1"/>
      <c r="D289" s="33"/>
      <c r="E289" s="33"/>
      <c r="H289" s="1" t="s">
        <v>530</v>
      </c>
      <c r="I289" s="33" t="s">
        <v>2951</v>
      </c>
      <c r="J289" s="1" t="s">
        <v>607</v>
      </c>
      <c r="M289" s="15" t="s">
        <v>482</v>
      </c>
      <c r="N289" s="1" t="s">
        <v>4668</v>
      </c>
      <c r="O289" s="15">
        <v>5</v>
      </c>
      <c r="P289" s="15">
        <v>1988</v>
      </c>
      <c r="Q289" s="34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9" s="34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289" s="35"/>
      <c r="U289" s="33"/>
      <c r="V289" s="32" t="s">
        <v>4651</v>
      </c>
      <c r="W2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289" s="34" t="str">
        <f>_xlfn.TEXTBEFORE(_xlfn.TEXTAFTER(CantoralDB[[#This Row],[index.html]],"&gt;"),"&gt;")&amp;"&gt;"</f>
        <v>&lt;a href="canciones/cesareo_gabarain/el_señor_es_bueno.html"&gt;</v>
      </c>
      <c r="Y289"/>
      <c r="Z289" s="1"/>
      <c r="AA289" s="1"/>
      <c r="AB289" s="1"/>
      <c r="AC289" s="1"/>
    </row>
    <row r="290" spans="1:29" x14ac:dyDescent="0.3">
      <c r="A290" s="33">
        <f>ROW(CantoralDB[[#This Row],[Título]])-1</f>
        <v>289</v>
      </c>
      <c r="B290" s="1" t="s">
        <v>4793</v>
      </c>
      <c r="C290" s="1"/>
      <c r="D290" s="33"/>
      <c r="E290" s="33"/>
      <c r="H290" s="1" t="s">
        <v>530</v>
      </c>
      <c r="I290" s="33"/>
      <c r="J290" s="1" t="s">
        <v>607</v>
      </c>
      <c r="M290" s="15" t="s">
        <v>482</v>
      </c>
      <c r="N290" s="1" t="s">
        <v>4668</v>
      </c>
      <c r="O290" s="15">
        <v>6</v>
      </c>
      <c r="P290" s="15">
        <v>1988</v>
      </c>
      <c r="Q290" s="34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0" s="34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290" s="35"/>
      <c r="U290" s="33"/>
      <c r="V290" s="32" t="s">
        <v>4652</v>
      </c>
      <c r="W2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290" s="34" t="str">
        <f>_xlfn.TEXTBEFORE(_xlfn.TEXTAFTER(CantoralDB[[#This Row],[index.html]],"&gt;"),"&gt;")&amp;"&gt;"</f>
        <v>&lt;a href="canciones/cesareo_gabarain/aclama_al_señor_tierra_entera.html"&gt;</v>
      </c>
      <c r="Y290"/>
      <c r="Z290" s="1"/>
      <c r="AA290" s="1"/>
      <c r="AB290" s="1"/>
      <c r="AC290" s="1"/>
    </row>
    <row r="291" spans="1:29" x14ac:dyDescent="0.3">
      <c r="A291" s="33">
        <f>ROW(CantoralDB[[#This Row],[Título]])-1</f>
        <v>290</v>
      </c>
      <c r="B291" s="36" t="s">
        <v>1245</v>
      </c>
      <c r="C291" s="1"/>
      <c r="D291" s="33"/>
      <c r="E291" s="33"/>
      <c r="H291" s="1" t="s">
        <v>530</v>
      </c>
      <c r="I291" s="33"/>
      <c r="J291" s="1" t="s">
        <v>607</v>
      </c>
      <c r="M291" s="15" t="s">
        <v>482</v>
      </c>
      <c r="N291" s="1" t="s">
        <v>4668</v>
      </c>
      <c r="O291" s="15">
        <v>7</v>
      </c>
      <c r="P291" s="15">
        <v>1988</v>
      </c>
      <c r="Q291" s="34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1" s="34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291" s="35"/>
      <c r="U291" s="33"/>
      <c r="V291" s="32" t="s">
        <v>4653</v>
      </c>
      <c r="W2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291" s="34" t="str">
        <f>_xlfn.TEXTBEFORE(_xlfn.TEXTAFTER(CantoralDB[[#This Row],[index.html]],"&gt;"),"&gt;")&amp;"&gt;"</f>
        <v>&lt;a href="canciones/cesareo_gabarain/envia_tu_espiritu_señor.html"&gt;</v>
      </c>
      <c r="Y291"/>
      <c r="Z291" s="1"/>
      <c r="AA291" s="1"/>
      <c r="AB291" s="1"/>
      <c r="AC291" s="1"/>
    </row>
    <row r="292" spans="1:29" x14ac:dyDescent="0.3">
      <c r="A292" s="33">
        <f>ROW(CantoralDB[[#This Row],[Título]])-1</f>
        <v>291</v>
      </c>
      <c r="B292" s="1" t="s">
        <v>193</v>
      </c>
      <c r="C292" s="1"/>
      <c r="D292" s="33"/>
      <c r="E292" s="33"/>
      <c r="H292" s="1" t="s">
        <v>1028</v>
      </c>
      <c r="I292" s="33"/>
      <c r="J292" s="1" t="s">
        <v>607</v>
      </c>
      <c r="M292" s="15" t="s">
        <v>482</v>
      </c>
      <c r="N292" s="1" t="s">
        <v>4668</v>
      </c>
      <c r="O292" s="15">
        <v>8</v>
      </c>
      <c r="P292" s="15">
        <v>1988</v>
      </c>
      <c r="Q292" s="34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2" s="34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canciones/cesareo_gabarain/aleluya.html</v>
      </c>
      <c r="T292" s="35"/>
      <c r="U292" s="33"/>
      <c r="V292" s="32" t="s">
        <v>4654</v>
      </c>
      <c r="W2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href="canciones/cesareo_gabarain/aleluya.html"&gt;Aleluya&lt;/a&gt;&lt;/li&gt;</v>
      </c>
      <c r="X292" s="34" t="str">
        <f>_xlfn.TEXTBEFORE(_xlfn.TEXTAFTER(CantoralDB[[#This Row],[index.html]],"&gt;"),"&gt;")&amp;"&gt;"</f>
        <v>&lt;a href="canciones/cesareo_gabarain/aleluya.html"&gt;</v>
      </c>
      <c r="Y292"/>
      <c r="Z292" s="1"/>
      <c r="AA292" s="1"/>
      <c r="AB292" s="1"/>
      <c r="AC292" s="1"/>
    </row>
    <row r="293" spans="1:29" x14ac:dyDescent="0.3">
      <c r="A293" s="33">
        <f>ROW(CantoralDB[[#This Row],[Título]])-1</f>
        <v>292</v>
      </c>
      <c r="B293" s="1" t="s">
        <v>4794</v>
      </c>
      <c r="C293" s="1"/>
      <c r="D293" s="33"/>
      <c r="E293" s="33"/>
      <c r="H293" s="1" t="s">
        <v>1026</v>
      </c>
      <c r="I293" s="33"/>
      <c r="J293" s="1" t="s">
        <v>607</v>
      </c>
      <c r="M293" s="15" t="s">
        <v>482</v>
      </c>
      <c r="N293" s="1" t="s">
        <v>4668</v>
      </c>
      <c r="O293" s="15">
        <v>9</v>
      </c>
      <c r="P293" s="15">
        <v>1988</v>
      </c>
      <c r="Q293" s="34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3" s="34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293" s="35"/>
      <c r="U293" s="33"/>
      <c r="V293" s="32" t="s">
        <v>4655</v>
      </c>
      <c r="W2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293" s="34" t="str">
        <f>_xlfn.TEXTBEFORE(_xlfn.TEXTAFTER(CantoralDB[[#This Row],[index.html]],"&gt;"),"&gt;")&amp;"&gt;"</f>
        <v>&lt;a href="canciones/cesareo_gabarain/habla_señor_que_tu_siervo_escucha.html"&gt;</v>
      </c>
      <c r="Y293"/>
      <c r="Z293" s="1"/>
      <c r="AA293" s="1"/>
      <c r="AB293" s="1"/>
      <c r="AC293" s="1"/>
    </row>
    <row r="294" spans="1:29" x14ac:dyDescent="0.3">
      <c r="A294" s="33">
        <f>ROW(CantoralDB[[#This Row],[Título]])-1</f>
        <v>293</v>
      </c>
      <c r="C294" s="1"/>
      <c r="D294" s="33"/>
      <c r="E294" s="33"/>
      <c r="I294" s="33"/>
      <c r="J294" s="1"/>
      <c r="M294" s="15" t="s">
        <v>482</v>
      </c>
      <c r="N294" s="1" t="s">
        <v>4668</v>
      </c>
      <c r="O294" s="15">
        <v>10</v>
      </c>
      <c r="P294" s="15">
        <v>1988</v>
      </c>
      <c r="Q294" s="34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4" s="34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94" s="35"/>
      <c r="U294" s="33"/>
      <c r="V294" s="32" t="s">
        <v>4656</v>
      </c>
      <c r="W2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94" s="34" t="str">
        <f>_xlfn.TEXTBEFORE(_xlfn.TEXTAFTER(CantoralDB[[#This Row],[index.html]],"&gt;"),"&gt;")&amp;"&gt;"</f>
        <v>&lt;a href="canciones/cesareo_gabarain/.html"&gt;</v>
      </c>
      <c r="Y294"/>
      <c r="Z294" s="1"/>
      <c r="AA294" s="1"/>
      <c r="AB294" s="1"/>
      <c r="AC294" s="1"/>
    </row>
    <row r="295" spans="1:29" x14ac:dyDescent="0.3">
      <c r="A295" s="33">
        <f>ROW(CantoralDB[[#This Row],[Título]])-1</f>
        <v>294</v>
      </c>
      <c r="C295" s="1"/>
      <c r="D295" s="33"/>
      <c r="E295" s="33"/>
      <c r="I295" s="33"/>
      <c r="J295" s="1"/>
      <c r="M295" s="15" t="s">
        <v>482</v>
      </c>
      <c r="N295" s="1" t="s">
        <v>4668</v>
      </c>
      <c r="O295" s="15">
        <v>11</v>
      </c>
      <c r="P295" s="15">
        <v>1988</v>
      </c>
      <c r="Q295" s="34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5" s="34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95" s="35"/>
      <c r="U295" s="33"/>
      <c r="V295" s="32" t="s">
        <v>4657</v>
      </c>
      <c r="W2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95" s="34" t="str">
        <f>_xlfn.TEXTBEFORE(_xlfn.TEXTAFTER(CantoralDB[[#This Row],[index.html]],"&gt;"),"&gt;")&amp;"&gt;"</f>
        <v>&lt;a href="canciones/cesareo_gabarain/.html"&gt;</v>
      </c>
      <c r="Y295"/>
      <c r="Z295" s="1"/>
      <c r="AA295" s="1"/>
      <c r="AB295" s="1"/>
      <c r="AC295" s="1"/>
    </row>
    <row r="296" spans="1:29" x14ac:dyDescent="0.3">
      <c r="A296" s="33">
        <f>ROW(CantoralDB[[#This Row],[Título]])-1</f>
        <v>295</v>
      </c>
      <c r="C296" s="1"/>
      <c r="D296" s="33"/>
      <c r="E296" s="33"/>
      <c r="I296" s="33"/>
      <c r="J296" s="1"/>
      <c r="M296" s="15" t="s">
        <v>482</v>
      </c>
      <c r="N296" s="1" t="s">
        <v>4668</v>
      </c>
      <c r="O296" s="15">
        <v>12</v>
      </c>
      <c r="P296" s="15">
        <v>1988</v>
      </c>
      <c r="Q296" s="34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6" s="34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96" s="35"/>
      <c r="U296" s="33"/>
      <c r="V296" s="32" t="s">
        <v>4658</v>
      </c>
      <c r="W2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96" s="34" t="str">
        <f>_xlfn.TEXTBEFORE(_xlfn.TEXTAFTER(CantoralDB[[#This Row],[index.html]],"&gt;"),"&gt;")&amp;"&gt;"</f>
        <v>&lt;a href="canciones/cesareo_gabarain/.html"&gt;</v>
      </c>
      <c r="Y296"/>
      <c r="Z296" s="1"/>
      <c r="AA296" s="1"/>
      <c r="AB296" s="1"/>
      <c r="AC296" s="1"/>
    </row>
    <row r="297" spans="1:29" x14ac:dyDescent="0.3">
      <c r="A297" s="33">
        <f>ROW(CantoralDB[[#This Row],[Título]])-1</f>
        <v>296</v>
      </c>
      <c r="C297" s="1"/>
      <c r="D297" s="33"/>
      <c r="E297" s="33"/>
      <c r="I297" s="33"/>
      <c r="J297" s="1"/>
      <c r="M297" s="15" t="s">
        <v>482</v>
      </c>
      <c r="N297" s="1" t="s">
        <v>4668</v>
      </c>
      <c r="O297" s="15">
        <v>13</v>
      </c>
      <c r="P297" s="15">
        <v>1988</v>
      </c>
      <c r="Q297" s="34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7" s="34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97" s="35"/>
      <c r="U297" s="33"/>
      <c r="V297" s="32" t="s">
        <v>4659</v>
      </c>
      <c r="W2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97" s="34" t="str">
        <f>_xlfn.TEXTBEFORE(_xlfn.TEXTAFTER(CantoralDB[[#This Row],[index.html]],"&gt;"),"&gt;")&amp;"&gt;"</f>
        <v>&lt;a href="canciones/cesareo_gabarain/.html"&gt;</v>
      </c>
      <c r="Y297"/>
      <c r="Z297" s="1"/>
      <c r="AA297" s="1"/>
      <c r="AB297" s="1"/>
      <c r="AC297" s="1"/>
    </row>
    <row r="298" spans="1:29" x14ac:dyDescent="0.3">
      <c r="A298" s="33">
        <f>ROW(CantoralDB[[#This Row],[Título]])-1</f>
        <v>297</v>
      </c>
      <c r="C298" s="1"/>
      <c r="D298" s="33"/>
      <c r="E298" s="33"/>
      <c r="I298" s="33"/>
      <c r="J298" s="1"/>
      <c r="M298" s="15" t="s">
        <v>482</v>
      </c>
      <c r="N298" s="1" t="s">
        <v>4668</v>
      </c>
      <c r="O298" s="15">
        <v>14</v>
      </c>
      <c r="P298" s="15">
        <v>1988</v>
      </c>
      <c r="Q298" s="34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8" s="34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98" s="35"/>
      <c r="U298" s="33"/>
      <c r="V298" s="32" t="s">
        <v>4660</v>
      </c>
      <c r="W2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98" s="34" t="str">
        <f>_xlfn.TEXTBEFORE(_xlfn.TEXTAFTER(CantoralDB[[#This Row],[index.html]],"&gt;"),"&gt;")&amp;"&gt;"</f>
        <v>&lt;a href="canciones/cesareo_gabarain/.html"&gt;</v>
      </c>
      <c r="Y298"/>
      <c r="Z298" s="1"/>
      <c r="AA298" s="1"/>
      <c r="AB298" s="1"/>
      <c r="AC298" s="1"/>
    </row>
    <row r="299" spans="1:29" x14ac:dyDescent="0.3">
      <c r="A299" s="33">
        <f>ROW(CantoralDB[[#This Row],[Título]])-1</f>
        <v>298</v>
      </c>
      <c r="C299" s="1"/>
      <c r="D299" s="33"/>
      <c r="E299" s="33"/>
      <c r="I299" s="33"/>
      <c r="J299" s="1"/>
      <c r="M299" s="15" t="s">
        <v>482</v>
      </c>
      <c r="N299" s="1" t="s">
        <v>4668</v>
      </c>
      <c r="O299" s="15">
        <v>15</v>
      </c>
      <c r="P299" s="15">
        <v>1988</v>
      </c>
      <c r="Q299" s="34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9" s="34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99" s="35"/>
      <c r="U299" s="33"/>
      <c r="V299" s="32" t="s">
        <v>4661</v>
      </c>
      <c r="W2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99" s="34" t="str">
        <f>_xlfn.TEXTBEFORE(_xlfn.TEXTAFTER(CantoralDB[[#This Row],[index.html]],"&gt;"),"&gt;")&amp;"&gt;"</f>
        <v>&lt;a href="canciones/cesareo_gabarain/.html"&gt;</v>
      </c>
      <c r="Y299"/>
      <c r="Z299" s="1"/>
      <c r="AA299" s="1"/>
      <c r="AB299" s="1"/>
      <c r="AC299" s="1"/>
    </row>
    <row r="300" spans="1:29" x14ac:dyDescent="0.3">
      <c r="A300" s="33">
        <f>ROW(CantoralDB[[#This Row],[Título]])-1</f>
        <v>299</v>
      </c>
      <c r="C300" s="1"/>
      <c r="D300" s="33"/>
      <c r="E300" s="33"/>
      <c r="I300" s="33"/>
      <c r="J300" s="1"/>
      <c r="M300" s="15" t="s">
        <v>482</v>
      </c>
      <c r="N300" s="1" t="s">
        <v>4668</v>
      </c>
      <c r="O300" s="15">
        <v>16</v>
      </c>
      <c r="P300" s="15">
        <v>1988</v>
      </c>
      <c r="Q300" s="34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0" s="34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00" s="35"/>
      <c r="U300" s="33"/>
      <c r="V300" s="32" t="s">
        <v>4662</v>
      </c>
      <c r="W3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00" s="34" t="str">
        <f>_xlfn.TEXTBEFORE(_xlfn.TEXTAFTER(CantoralDB[[#This Row],[index.html]],"&gt;"),"&gt;")&amp;"&gt;"</f>
        <v>&lt;a href="canciones/cesareo_gabarain/.html"&gt;</v>
      </c>
      <c r="Y300"/>
      <c r="Z300" s="1"/>
      <c r="AA300" s="1"/>
      <c r="AB300" s="1"/>
      <c r="AC300" s="1"/>
    </row>
    <row r="301" spans="1:29" x14ac:dyDescent="0.3">
      <c r="A301" s="33">
        <f>ROW(CantoralDB[[#This Row],[Título]])-1</f>
        <v>300</v>
      </c>
      <c r="C301" s="1"/>
      <c r="D301" s="33"/>
      <c r="E301" s="33"/>
      <c r="I301" s="33"/>
      <c r="J301" s="1"/>
      <c r="M301" s="15" t="s">
        <v>482</v>
      </c>
      <c r="N301" s="1" t="s">
        <v>4668</v>
      </c>
      <c r="O301" s="15">
        <v>17</v>
      </c>
      <c r="P301" s="15">
        <v>1988</v>
      </c>
      <c r="Q301" s="34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1" s="34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01" s="35"/>
      <c r="U301" s="33"/>
      <c r="V301" s="32" t="s">
        <v>4663</v>
      </c>
      <c r="W3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01" s="34" t="str">
        <f>_xlfn.TEXTBEFORE(_xlfn.TEXTAFTER(CantoralDB[[#This Row],[index.html]],"&gt;"),"&gt;")&amp;"&gt;"</f>
        <v>&lt;a href="canciones/cesareo_gabarain/.html"&gt;</v>
      </c>
      <c r="Y301"/>
      <c r="Z301" s="1"/>
      <c r="AA301" s="1"/>
      <c r="AB301" s="1"/>
      <c r="AC301" s="1"/>
    </row>
    <row r="302" spans="1:29" x14ac:dyDescent="0.3">
      <c r="A302" s="33">
        <f>ROW(CantoralDB[[#This Row],[Título]])-1</f>
        <v>301</v>
      </c>
      <c r="C302" s="1"/>
      <c r="D302" s="33"/>
      <c r="E302" s="33"/>
      <c r="I302" s="33"/>
      <c r="J302" s="1"/>
      <c r="M302" s="15" t="s">
        <v>482</v>
      </c>
      <c r="N302" s="1" t="s">
        <v>4668</v>
      </c>
      <c r="O302" s="15">
        <v>18</v>
      </c>
      <c r="P302" s="15">
        <v>1988</v>
      </c>
      <c r="Q302" s="34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2" s="34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02" s="35"/>
      <c r="U302" s="33"/>
      <c r="V302" s="32" t="s">
        <v>4664</v>
      </c>
      <c r="W3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02" s="34" t="str">
        <f>_xlfn.TEXTBEFORE(_xlfn.TEXTAFTER(CantoralDB[[#This Row],[index.html]],"&gt;"),"&gt;")&amp;"&gt;"</f>
        <v>&lt;a href="canciones/cesareo_gabarain/.html"&gt;</v>
      </c>
      <c r="Y302"/>
      <c r="Z302" s="1"/>
      <c r="AA302" s="1"/>
      <c r="AB302" s="1"/>
      <c r="AC302" s="1"/>
    </row>
    <row r="303" spans="1:29" x14ac:dyDescent="0.3">
      <c r="A303" s="33">
        <f>ROW(CantoralDB[[#This Row],[Título]])-1</f>
        <v>302</v>
      </c>
      <c r="C303" s="1"/>
      <c r="D303" s="33"/>
      <c r="E303" s="33"/>
      <c r="I303" s="33"/>
      <c r="J303" s="1"/>
      <c r="M303" s="15" t="s">
        <v>482</v>
      </c>
      <c r="N303" s="1" t="s">
        <v>4668</v>
      </c>
      <c r="O303" s="15">
        <v>19</v>
      </c>
      <c r="P303" s="15">
        <v>1988</v>
      </c>
      <c r="Q303" s="34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3" s="34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03" s="35"/>
      <c r="U303" s="33"/>
      <c r="V303" s="32" t="s">
        <v>4665</v>
      </c>
      <c r="W3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03" s="34" t="str">
        <f>_xlfn.TEXTBEFORE(_xlfn.TEXTAFTER(CantoralDB[[#This Row],[index.html]],"&gt;"),"&gt;")&amp;"&gt;"</f>
        <v>&lt;a href="canciones/cesareo_gabarain/.html"&gt;</v>
      </c>
      <c r="Y303"/>
      <c r="Z303" s="1"/>
      <c r="AA303" s="1"/>
      <c r="AB303" s="1"/>
      <c r="AC303" s="1"/>
    </row>
    <row r="304" spans="1:29" x14ac:dyDescent="0.3">
      <c r="A304" s="33">
        <f>ROW(CantoralDB[[#This Row],[Título]])-1</f>
        <v>303</v>
      </c>
      <c r="C304" s="1"/>
      <c r="D304" s="33"/>
      <c r="E304" s="33"/>
      <c r="I304" s="33"/>
      <c r="J304" s="1"/>
      <c r="M304" s="15" t="s">
        <v>482</v>
      </c>
      <c r="N304" s="1" t="s">
        <v>4668</v>
      </c>
      <c r="O304" s="15">
        <v>20</v>
      </c>
      <c r="P304" s="15">
        <v>1988</v>
      </c>
      <c r="Q304" s="34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4" s="34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04" s="35"/>
      <c r="U304" s="33"/>
      <c r="V304" s="32" t="s">
        <v>4666</v>
      </c>
      <c r="W3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04" s="34" t="str">
        <f>_xlfn.TEXTBEFORE(_xlfn.TEXTAFTER(CantoralDB[[#This Row],[index.html]],"&gt;"),"&gt;")&amp;"&gt;"</f>
        <v>&lt;a href="canciones/cesareo_gabarain/.html"&gt;</v>
      </c>
      <c r="Y304"/>
      <c r="Z304" s="1"/>
      <c r="AA304" s="1"/>
      <c r="AB304" s="1"/>
      <c r="AC304" s="1"/>
    </row>
    <row r="305" spans="1:29" x14ac:dyDescent="0.3">
      <c r="A305" s="33">
        <f>ROW(CantoralDB[[#This Row],[Título]])-1</f>
        <v>304</v>
      </c>
      <c r="C305" s="1"/>
      <c r="D305" s="33"/>
      <c r="E305" s="33"/>
      <c r="I305" s="33"/>
      <c r="J305" s="1"/>
      <c r="M305" s="15" t="s">
        <v>482</v>
      </c>
      <c r="N305" s="1" t="s">
        <v>4668</v>
      </c>
      <c r="O305" s="15">
        <v>21</v>
      </c>
      <c r="P305" s="15">
        <v>1988</v>
      </c>
      <c r="Q305" s="34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5" s="34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05" s="35"/>
      <c r="U305" s="33"/>
      <c r="V305" s="32" t="s">
        <v>4667</v>
      </c>
      <c r="W3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05" s="34" t="str">
        <f>_xlfn.TEXTBEFORE(_xlfn.TEXTAFTER(CantoralDB[[#This Row],[index.html]],"&gt;"),"&gt;")&amp;"&gt;"</f>
        <v>&lt;a href="canciones/cesareo_gabarain/.html"&gt;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9</v>
      </c>
      <c r="C306" s="1" t="s">
        <v>992</v>
      </c>
      <c r="D306" s="1" t="s">
        <v>1034</v>
      </c>
      <c r="E306" s="1">
        <v>19</v>
      </c>
      <c r="G306" s="1" t="s">
        <v>208</v>
      </c>
      <c r="H306" s="1" t="s">
        <v>530</v>
      </c>
      <c r="I306" s="1" t="s">
        <v>2952</v>
      </c>
      <c r="J306" s="1" t="s">
        <v>607</v>
      </c>
      <c r="M306" s="15" t="s">
        <v>482</v>
      </c>
      <c r="N306" s="1" t="s">
        <v>9</v>
      </c>
      <c r="O306" s="15">
        <v>1</v>
      </c>
      <c r="P306" s="15">
        <v>1991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06" s="1" t="s">
        <v>797</v>
      </c>
      <c r="U306" s="1"/>
      <c r="V306" s="32" t="s">
        <v>4610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06" s="15" t="str">
        <f>_xlfn.TEXTBEFORE(_xlfn.TEXTAFTER(CantoralDB[[#This Row],[index.html]],"&gt;"),"&gt;")&amp;"&gt;"</f>
        <v>&lt;a href="canciones/cesareo_gabarain/al_atardecer_de_la_vida.html"&gt;</v>
      </c>
      <c r="Y306"/>
      <c r="Z306" s="1"/>
      <c r="AA306" s="1"/>
      <c r="AB306" s="1"/>
      <c r="AC306" s="1"/>
    </row>
    <row r="307" spans="1:29" x14ac:dyDescent="0.3">
      <c r="A307" s="33">
        <f>ROW(CantoralDB[[#This Row],[Título]])-1</f>
        <v>306</v>
      </c>
      <c r="B307" s="1" t="s">
        <v>4672</v>
      </c>
      <c r="C307" s="1"/>
      <c r="D307" s="33"/>
      <c r="E307" s="33"/>
      <c r="I307" s="33"/>
      <c r="J307" s="1"/>
      <c r="M307" s="15" t="s">
        <v>482</v>
      </c>
      <c r="N307" s="1" t="s">
        <v>9</v>
      </c>
      <c r="O307" s="15">
        <v>2</v>
      </c>
      <c r="P307" s="15">
        <v>1991</v>
      </c>
      <c r="Q307" s="34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7" s="34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07" s="35"/>
      <c r="U307" s="33"/>
      <c r="V307" s="32" t="s">
        <v>4683</v>
      </c>
      <c r="W3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07" s="34" t="str">
        <f>_xlfn.TEXTBEFORE(_xlfn.TEXTAFTER(CantoralDB[[#This Row],[index.html]],"&gt;"),"&gt;")&amp;"&gt;"</f>
        <v>&lt;a href="canciones/cesareo_gabarain/concedele_señor_el_descanso_eterno.html"&gt;</v>
      </c>
      <c r="Y307"/>
      <c r="Z307" s="1"/>
      <c r="AA307" s="1"/>
      <c r="AB307" s="1"/>
      <c r="AC307" s="1"/>
    </row>
    <row r="308" spans="1:29" x14ac:dyDescent="0.3">
      <c r="A308" s="33">
        <f>ROW(CantoralDB[[#This Row],[Título]])-1</f>
        <v>307</v>
      </c>
      <c r="B308" s="1" t="s">
        <v>4673</v>
      </c>
      <c r="C308" s="1"/>
      <c r="D308" s="33"/>
      <c r="E308" s="33"/>
      <c r="I308" s="33"/>
      <c r="J308" s="1"/>
      <c r="M308" s="15" t="s">
        <v>482</v>
      </c>
      <c r="N308" s="1" t="s">
        <v>9</v>
      </c>
      <c r="O308" s="15">
        <v>3</v>
      </c>
      <c r="P308" s="15">
        <v>1991</v>
      </c>
      <c r="Q308" s="34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34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08" s="35"/>
      <c r="U308" s="33"/>
      <c r="V308" s="32" t="s">
        <v>4684</v>
      </c>
      <c r="W3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08" s="34" t="str">
        <f>_xlfn.TEXTBEFORE(_xlfn.TEXTAFTER(CantoralDB[[#This Row],[index.html]],"&gt;"),"&gt;")&amp;"&gt;"</f>
        <v>&lt;a href="canciones/cesareo_gabarain/que_los_angeles_te_lleven.html"&gt;</v>
      </c>
      <c r="Y308"/>
      <c r="Z308" s="1"/>
      <c r="AA308" s="1"/>
      <c r="AB308" s="1"/>
      <c r="AC308" s="1"/>
    </row>
    <row r="309" spans="1:29" x14ac:dyDescent="0.3">
      <c r="A309" s="33">
        <f>ROW(CantoralDB[[#This Row],[Título]])-1</f>
        <v>308</v>
      </c>
      <c r="B309" s="1" t="s">
        <v>4674</v>
      </c>
      <c r="C309" s="1"/>
      <c r="D309" s="33"/>
      <c r="E309" s="33"/>
      <c r="I309" s="33"/>
      <c r="J309" s="1"/>
      <c r="M309" s="15" t="s">
        <v>482</v>
      </c>
      <c r="N309" s="1" t="s">
        <v>9</v>
      </c>
      <c r="O309" s="15">
        <v>4</v>
      </c>
      <c r="P309" s="15">
        <v>1991</v>
      </c>
      <c r="Q309" s="34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34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09" s="35"/>
      <c r="U309" s="33"/>
      <c r="V309" s="32" t="s">
        <v>4685</v>
      </c>
      <c r="W3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09" s="34" t="str">
        <f>_xlfn.TEXTBEFORE(_xlfn.TEXTAFTER(CantoralDB[[#This Row],[index.html]],"&gt;"),"&gt;")&amp;"&gt;"</f>
        <v>&lt;a href="canciones/cesareo_gabarain/morimos_para_vivir.html"&gt;</v>
      </c>
      <c r="Y309"/>
      <c r="Z309" s="1"/>
      <c r="AA309" s="1"/>
      <c r="AB309" s="1"/>
      <c r="AC309" s="1"/>
    </row>
    <row r="310" spans="1:29" x14ac:dyDescent="0.3">
      <c r="A310" s="33">
        <f>ROW(CantoralDB[[#This Row],[Título]])-1</f>
        <v>309</v>
      </c>
      <c r="B310" s="1" t="s">
        <v>4675</v>
      </c>
      <c r="C310" s="1"/>
      <c r="D310" s="33"/>
      <c r="E310" s="33"/>
      <c r="I310" s="33"/>
      <c r="J310" s="1"/>
      <c r="M310" s="15" t="s">
        <v>482</v>
      </c>
      <c r="N310" s="1" t="s">
        <v>9</v>
      </c>
      <c r="O310" s="15">
        <v>5</v>
      </c>
      <c r="P310" s="15">
        <v>1991</v>
      </c>
      <c r="Q310" s="34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34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10" s="35"/>
      <c r="U310" s="33"/>
      <c r="V310" s="32" t="s">
        <v>4686</v>
      </c>
      <c r="W3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10" s="34" t="str">
        <f>_xlfn.TEXTBEFORE(_xlfn.TEXTAFTER(CantoralDB[[#This Row],[index.html]],"&gt;"),"&gt;")&amp;"&gt;"</f>
        <v>&lt;a href="canciones/cesareo_gabarain/abridme_las_puertas_del_triunfo.html"&gt;</v>
      </c>
      <c r="Y310"/>
      <c r="Z310" s="1"/>
      <c r="AA310" s="1"/>
      <c r="AB310" s="1"/>
      <c r="AC310" s="1"/>
    </row>
    <row r="311" spans="1:29" x14ac:dyDescent="0.3">
      <c r="A311" s="33">
        <f>ROW(CantoralDB[[#This Row],[Título]])-1</f>
        <v>310</v>
      </c>
      <c r="B311" s="1" t="s">
        <v>4676</v>
      </c>
      <c r="C311" s="1"/>
      <c r="D311" s="33"/>
      <c r="E311" s="33"/>
      <c r="I311" s="33"/>
      <c r="J311" s="1"/>
      <c r="M311" s="15" t="s">
        <v>482</v>
      </c>
      <c r="N311" s="1" t="s">
        <v>9</v>
      </c>
      <c r="O311" s="15">
        <v>6</v>
      </c>
      <c r="P311" s="15">
        <v>1991</v>
      </c>
      <c r="Q311" s="34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34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11" s="35"/>
      <c r="U311" s="33"/>
      <c r="V311" s="32" t="s">
        <v>4687</v>
      </c>
      <c r="W3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11" s="34" t="str">
        <f>_xlfn.TEXTBEFORE(_xlfn.TEXTAFTER(CantoralDB[[#This Row],[index.html]],"&gt;"),"&gt;")&amp;"&gt;"</f>
        <v>&lt;a href="canciones/cesareo_gabarain/no_he_de_morir_vivire.html"&gt;</v>
      </c>
      <c r="Y311"/>
      <c r="Z311" s="1"/>
      <c r="AA311" s="1"/>
      <c r="AB311" s="1"/>
      <c r="AC311" s="1"/>
    </row>
    <row r="312" spans="1:29" x14ac:dyDescent="0.3">
      <c r="A312" s="33">
        <f>ROW(CantoralDB[[#This Row],[Título]])-1</f>
        <v>311</v>
      </c>
      <c r="B312" s="1" t="s">
        <v>4677</v>
      </c>
      <c r="C312" s="1"/>
      <c r="D312" s="33"/>
      <c r="E312" s="33"/>
      <c r="I312" s="33"/>
      <c r="J312" s="1"/>
      <c r="M312" s="15" t="s">
        <v>482</v>
      </c>
      <c r="N312" s="1" t="s">
        <v>9</v>
      </c>
      <c r="O312" s="15">
        <v>7</v>
      </c>
      <c r="P312" s="15">
        <v>1991</v>
      </c>
      <c r="Q312" s="34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34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12" s="35"/>
      <c r="U312" s="33"/>
      <c r="V312" s="32" t="s">
        <v>4688</v>
      </c>
      <c r="W3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12" s="34" t="str">
        <f>_xlfn.TEXTBEFORE(_xlfn.TEXTAFTER(CantoralDB[[#This Row],[index.html]],"&gt;"),"&gt;")&amp;"&gt;"</f>
        <v>&lt;a href="canciones/cesareo_gabarain/yo_soy_el_pan_de_la_vida.html"&gt;</v>
      </c>
      <c r="Y312"/>
      <c r="Z312" s="1"/>
      <c r="AA312" s="1"/>
      <c r="AB312" s="1"/>
      <c r="AC312" s="1"/>
    </row>
    <row r="313" spans="1:29" x14ac:dyDescent="0.3">
      <c r="A313" s="33">
        <f>ROW(CantoralDB[[#This Row],[Título]])-1</f>
        <v>312</v>
      </c>
      <c r="B313" s="1" t="s">
        <v>4678</v>
      </c>
      <c r="C313" s="1"/>
      <c r="D313" s="33"/>
      <c r="E313" s="33"/>
      <c r="I313" s="33"/>
      <c r="J313" s="1"/>
      <c r="M313" s="15" t="s">
        <v>482</v>
      </c>
      <c r="N313" s="1" t="s">
        <v>9</v>
      </c>
      <c r="O313" s="15">
        <v>8</v>
      </c>
      <c r="P313" s="15">
        <v>1991</v>
      </c>
      <c r="Q313" s="34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34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13" s="35"/>
      <c r="U313" s="33"/>
      <c r="V313" s="32" t="s">
        <v>4689</v>
      </c>
      <c r="W3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13" s="34" t="str">
        <f>_xlfn.TEXTBEFORE(_xlfn.TEXTAFTER(CantoralDB[[#This Row],[index.html]],"&gt;"),"&gt;")&amp;"&gt;"</f>
        <v>&lt;a href="canciones/cesareo_gabarain/yo_soy_la_resurreccion_y_la_vida.html"&gt;</v>
      </c>
      <c r="Y313"/>
      <c r="Z313" s="1"/>
      <c r="AA313" s="1"/>
      <c r="AB313" s="1"/>
      <c r="AC313" s="1"/>
    </row>
    <row r="314" spans="1:29" x14ac:dyDescent="0.3">
      <c r="A314" s="33">
        <f>ROW(CantoralDB[[#This Row],[Título]])-1</f>
        <v>313</v>
      </c>
      <c r="B314" s="1" t="s">
        <v>2035</v>
      </c>
      <c r="C314" s="1"/>
      <c r="D314" s="33"/>
      <c r="E314" s="33"/>
      <c r="I314" s="33"/>
      <c r="J314" s="1"/>
      <c r="M314" s="15" t="s">
        <v>482</v>
      </c>
      <c r="N314" s="1" t="s">
        <v>9</v>
      </c>
      <c r="O314" s="15">
        <v>9</v>
      </c>
      <c r="P314" s="15">
        <v>1991</v>
      </c>
      <c r="Q314" s="34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34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14" s="35"/>
      <c r="U314" s="33"/>
      <c r="V314" s="32" t="s">
        <v>4690</v>
      </c>
      <c r="W3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14" s="34" t="str">
        <f>_xlfn.TEXTBEFORE(_xlfn.TEXTAFTER(CantoralDB[[#This Row],[index.html]],"&gt;"),"&gt;")&amp;"&gt;"</f>
        <v>&lt;a href="canciones/cesareo_gabarain/dichosos_los_que_mueren_en_el_señor.html"&gt;</v>
      </c>
      <c r="Y314"/>
      <c r="Z314" s="1"/>
      <c r="AA314" s="1"/>
      <c r="AB314" s="1"/>
      <c r="AC314" s="1"/>
    </row>
    <row r="315" spans="1:29" x14ac:dyDescent="0.3">
      <c r="A315" s="33">
        <f>ROW(CantoralDB[[#This Row],[Título]])-1</f>
        <v>314</v>
      </c>
      <c r="B315" s="1" t="s">
        <v>4679</v>
      </c>
      <c r="C315" s="1"/>
      <c r="D315" s="33"/>
      <c r="E315" s="33"/>
      <c r="I315" s="33"/>
      <c r="J315" s="1"/>
      <c r="M315" s="15" t="s">
        <v>482</v>
      </c>
      <c r="N315" s="1" t="s">
        <v>9</v>
      </c>
      <c r="O315" s="15">
        <v>10</v>
      </c>
      <c r="P315" s="15">
        <v>1991</v>
      </c>
      <c r="Q315" s="34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34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15" s="35"/>
      <c r="U315" s="33"/>
      <c r="V315" s="32" t="s">
        <v>4691</v>
      </c>
      <c r="W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15" s="34" t="str">
        <f>_xlfn.TEXTBEFORE(_xlfn.TEXTAFTER(CantoralDB[[#This Row],[index.html]],"&gt;"),"&gt;")&amp;"&gt;"</f>
        <v>&lt;a href="canciones/cesareo_gabarain/el_descanso_eterno.html"&gt;</v>
      </c>
      <c r="Y315"/>
      <c r="Z315" s="1"/>
      <c r="AA315" s="1"/>
      <c r="AB315" s="1"/>
      <c r="AC315" s="1"/>
    </row>
    <row r="316" spans="1:29" x14ac:dyDescent="0.3">
      <c r="A316" s="33">
        <f>ROW(CantoralDB[[#This Row],[Título]])-1</f>
        <v>315</v>
      </c>
      <c r="B316" s="1" t="s">
        <v>4680</v>
      </c>
      <c r="C316" s="1"/>
      <c r="D316" s="33"/>
      <c r="E316" s="33"/>
      <c r="I316" s="33"/>
      <c r="J316" s="1"/>
      <c r="M316" s="15" t="s">
        <v>482</v>
      </c>
      <c r="N316" s="1" t="s">
        <v>9</v>
      </c>
      <c r="O316" s="15">
        <v>11</v>
      </c>
      <c r="P316" s="15">
        <v>1991</v>
      </c>
      <c r="Q316" s="34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34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316" s="35"/>
      <c r="U316" s="33"/>
      <c r="V316" s="32" t="s">
        <v>4692</v>
      </c>
      <c r="W3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316" s="34" t="str">
        <f>_xlfn.TEXTBEFORE(_xlfn.TEXTAFTER(CantoralDB[[#This Row],[index.html]],"&gt;"),"&gt;")&amp;"&gt;"</f>
        <v>&lt;a href="canciones/cesareo_gabarain/letania_por_el_difunto.html"&gt;</v>
      </c>
      <c r="Y316"/>
      <c r="Z316" s="1"/>
      <c r="AA316" s="1"/>
      <c r="AB316" s="1"/>
      <c r="AC316" s="1"/>
    </row>
    <row r="317" spans="1:29" x14ac:dyDescent="0.3">
      <c r="A317" s="33">
        <f>ROW(CantoralDB[[#This Row],[Título]])-1</f>
        <v>316</v>
      </c>
      <c r="B317" s="1" t="s">
        <v>4681</v>
      </c>
      <c r="C317" s="1"/>
      <c r="D317" s="33"/>
      <c r="E317" s="33"/>
      <c r="I317" s="33"/>
      <c r="J317" s="1"/>
      <c r="M317" s="15" t="s">
        <v>482</v>
      </c>
      <c r="N317" s="1" t="s">
        <v>9</v>
      </c>
      <c r="O317" s="15">
        <v>12</v>
      </c>
      <c r="P317" s="15">
        <v>1991</v>
      </c>
      <c r="Q317" s="34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34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17" s="35"/>
      <c r="U317" s="33"/>
      <c r="V317" s="32" t="s">
        <v>4693</v>
      </c>
      <c r="W3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17" s="34" t="str">
        <f>_xlfn.TEXTBEFORE(_xlfn.TEXTAFTER(CantoralDB[[#This Row],[index.html]],"&gt;"),"&gt;")&amp;"&gt;"</f>
        <v>&lt;a href="canciones/cesareo_gabarain/vive_con_cristo.html"&gt;</v>
      </c>
      <c r="Y317"/>
      <c r="Z317" s="1"/>
      <c r="AA317" s="1"/>
      <c r="AB317" s="1"/>
      <c r="AC317" s="1"/>
    </row>
    <row r="318" spans="1:29" x14ac:dyDescent="0.3">
      <c r="A318" s="33">
        <f>ROW(CantoralDB[[#This Row],[Título]])-1</f>
        <v>317</v>
      </c>
      <c r="B318" s="1" t="s">
        <v>4682</v>
      </c>
      <c r="C318" s="1"/>
      <c r="D318" s="33"/>
      <c r="E318" s="33"/>
      <c r="I318" s="33"/>
      <c r="J318" s="1"/>
      <c r="M318" s="15" t="s">
        <v>482</v>
      </c>
      <c r="N318" s="1" t="s">
        <v>9</v>
      </c>
      <c r="O318" s="15">
        <v>13</v>
      </c>
      <c r="P318" s="15">
        <v>1991</v>
      </c>
      <c r="Q318" s="34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34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18" s="35"/>
      <c r="U318" s="33"/>
      <c r="V318" s="32" t="s">
        <v>4694</v>
      </c>
      <c r="W3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18" s="34" t="str">
        <f>_xlfn.TEXTBEFORE(_xlfn.TEXTAFTER(CantoralDB[[#This Row],[index.html]],"&gt;"),"&gt;")&amp;"&gt;"</f>
        <v>&lt;a href="canciones/cesareo_gabarain/en_los_brazos_de_dios.html"&gt;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1276</v>
      </c>
      <c r="C319" s="1"/>
      <c r="E319" s="1">
        <v>160</v>
      </c>
      <c r="J319" s="1"/>
      <c r="M319" s="15" t="s">
        <v>482</v>
      </c>
      <c r="N319" s="1" t="s">
        <v>9</v>
      </c>
      <c r="O319" s="15">
        <v>14</v>
      </c>
      <c r="P319" s="15">
        <v>1991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19" s="1"/>
      <c r="U319" s="1"/>
      <c r="V319" s="32" t="s">
        <v>4632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19" s="15" t="str">
        <f>_xlfn.TEXTBEFORE(_xlfn.TEXTAFTER(CantoralDB[[#This Row],[index.html]],"&gt;"),"&gt;")&amp;"&gt;"</f>
        <v>&lt;a href="canciones/cesareo_gabarain/los_que_a_la_pobreza.html"&gt;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596</v>
      </c>
      <c r="C320" s="1" t="s">
        <v>992</v>
      </c>
      <c r="D320" s="1" t="s">
        <v>1014</v>
      </c>
      <c r="E320" s="1">
        <v>251</v>
      </c>
      <c r="G320" s="1" t="s">
        <v>208</v>
      </c>
      <c r="H320" s="1" t="s">
        <v>1029</v>
      </c>
      <c r="J320" s="1" t="s">
        <v>607</v>
      </c>
      <c r="M320" s="15" t="s">
        <v>482</v>
      </c>
      <c r="N320" s="1" t="s">
        <v>9</v>
      </c>
      <c r="O320" s="15">
        <v>15</v>
      </c>
      <c r="P320" s="15">
        <v>1991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20" s="1"/>
      <c r="U320" s="1"/>
      <c r="V320" s="32" t="s">
        <v>4633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20" s="15" t="str">
        <f>_xlfn.TEXTBEFORE(_xlfn.TEXTAFTER(CantoralDB[[#This Row],[index.html]],"&gt;"),"&gt;")&amp;"&gt;"</f>
        <v>&lt;a href="canciones/cesareo_gabarain/tu_nos_dijiste_que_la_muerte.html"&gt;</v>
      </c>
      <c r="Y320"/>
      <c r="Z320" s="1"/>
      <c r="AA320" s="1"/>
      <c r="AB320" s="1"/>
      <c r="AC320" s="1"/>
    </row>
    <row r="321" spans="1:29" x14ac:dyDescent="0.3">
      <c r="A321" s="33">
        <f>ROW(CantoralDB[[#This Row],[Título]])-1</f>
        <v>320</v>
      </c>
      <c r="B321" s="1" t="s">
        <v>4696</v>
      </c>
      <c r="C321" s="1"/>
      <c r="D321" s="33"/>
      <c r="E321" s="33"/>
      <c r="I321" s="33"/>
      <c r="J321" s="1"/>
      <c r="M321" s="15" t="s">
        <v>482</v>
      </c>
      <c r="N321" s="1" t="s">
        <v>4695</v>
      </c>
      <c r="O321" s="15">
        <v>1</v>
      </c>
      <c r="P321" s="15">
        <v>1982</v>
      </c>
      <c r="Q321" s="34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34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21" s="35"/>
      <c r="U321" s="33"/>
      <c r="V321" s="32" t="s">
        <v>4705</v>
      </c>
      <c r="W3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21" s="34" t="str">
        <f>_xlfn.TEXTBEFORE(_xlfn.TEXTAFTER(CantoralDB[[#This Row],[index.html]],"&gt;"),"&gt;")&amp;"&gt;"</f>
        <v>&lt;a href="canciones/cesareo_gabarain/la_alegria_en_el_perdon.html"&gt;</v>
      </c>
      <c r="Y321"/>
      <c r="Z321" s="1"/>
      <c r="AA321" s="1"/>
      <c r="AB321" s="1"/>
      <c r="AC321" s="1"/>
    </row>
    <row r="322" spans="1:29" x14ac:dyDescent="0.3">
      <c r="A322" s="33">
        <f>ROW(CantoralDB[[#This Row],[Título]])-1</f>
        <v>321</v>
      </c>
      <c r="B322" s="1" t="s">
        <v>4697</v>
      </c>
      <c r="C322" s="1"/>
      <c r="D322" s="33"/>
      <c r="E322" s="33"/>
      <c r="I322" s="33"/>
      <c r="J322" s="1"/>
      <c r="M322" s="15" t="s">
        <v>482</v>
      </c>
      <c r="N322" s="1" t="s">
        <v>4695</v>
      </c>
      <c r="O322" s="15">
        <v>2</v>
      </c>
      <c r="P322" s="15">
        <v>1982</v>
      </c>
      <c r="Q322" s="34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34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22" s="35"/>
      <c r="U322" s="33"/>
      <c r="V322" s="32" t="s">
        <v>4706</v>
      </c>
      <c r="W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22" s="34" t="str">
        <f>_xlfn.TEXTBEFORE(_xlfn.TEXTAFTER(CantoralDB[[#This Row],[index.html]],"&gt;"),"&gt;")&amp;"&gt;"</f>
        <v>&lt;a href="canciones/cesareo_gabarain/el_joven_rico.html"&gt;</v>
      </c>
      <c r="Y322"/>
      <c r="Z322" s="1"/>
      <c r="AA322" s="1"/>
      <c r="AB322" s="1"/>
      <c r="AC322" s="1"/>
    </row>
    <row r="323" spans="1:29" x14ac:dyDescent="0.3">
      <c r="A323" s="33">
        <f>ROW(CantoralDB[[#This Row],[Título]])-1</f>
        <v>322</v>
      </c>
      <c r="B323" s="1" t="s">
        <v>4698</v>
      </c>
      <c r="C323" s="1"/>
      <c r="D323" s="33"/>
      <c r="E323" s="33"/>
      <c r="I323" s="33"/>
      <c r="J323" s="1"/>
      <c r="M323" s="15" t="s">
        <v>482</v>
      </c>
      <c r="N323" s="1" t="s">
        <v>4695</v>
      </c>
      <c r="O323" s="15">
        <v>3</v>
      </c>
      <c r="P323" s="15">
        <v>1982</v>
      </c>
      <c r="Q323" s="34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34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23" s="35"/>
      <c r="U323" s="33"/>
      <c r="V323" s="32" t="s">
        <v>4707</v>
      </c>
      <c r="W3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23" s="34" t="str">
        <f>_xlfn.TEXTBEFORE(_xlfn.TEXTAFTER(CantoralDB[[#This Row],[index.html]],"&gt;"),"&gt;")&amp;"&gt;"</f>
        <v>&lt;a href="canciones/cesareo_gabarain/tuve_hambre_y_me_diste_de_comer.html"&gt;</v>
      </c>
      <c r="Y323"/>
      <c r="Z323" s="1"/>
      <c r="AA323" s="1"/>
      <c r="AB323" s="1"/>
      <c r="AC323" s="1"/>
    </row>
    <row r="324" spans="1:29" x14ac:dyDescent="0.3">
      <c r="A324" s="33">
        <f>ROW(CantoralDB[[#This Row],[Título]])-1</f>
        <v>323</v>
      </c>
      <c r="B324" s="1" t="s">
        <v>4699</v>
      </c>
      <c r="C324" s="1"/>
      <c r="D324" s="33"/>
      <c r="E324" s="33"/>
      <c r="I324" s="33"/>
      <c r="J324" s="1"/>
      <c r="M324" s="15" t="s">
        <v>482</v>
      </c>
      <c r="N324" s="1" t="s">
        <v>4695</v>
      </c>
      <c r="O324" s="15">
        <v>4</v>
      </c>
      <c r="P324" s="15">
        <v>1982</v>
      </c>
      <c r="Q324" s="34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34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24" s="35"/>
      <c r="U324" s="33"/>
      <c r="V324" s="32" t="s">
        <v>4708</v>
      </c>
      <c r="W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24" s="34" t="str">
        <f>_xlfn.TEXTBEFORE(_xlfn.TEXTAFTER(CantoralDB[[#This Row],[index.html]],"&gt;"),"&gt;")&amp;"&gt;"</f>
        <v>&lt;a href="canciones/cesareo_gabarain/señor_tu_tienes_palabras_de_vida_eterna.html"&gt;</v>
      </c>
      <c r="Y324"/>
      <c r="Z324" s="1"/>
      <c r="AA324" s="1"/>
      <c r="AB324" s="1"/>
      <c r="AC324" s="1"/>
    </row>
    <row r="325" spans="1:29" x14ac:dyDescent="0.3">
      <c r="A325" s="33">
        <f>ROW(CantoralDB[[#This Row],[Título]])-1</f>
        <v>324</v>
      </c>
      <c r="B325" s="1" t="s">
        <v>4700</v>
      </c>
      <c r="C325" s="1"/>
      <c r="D325" s="33"/>
      <c r="E325" s="33"/>
      <c r="I325" s="33"/>
      <c r="J325" s="1"/>
      <c r="M325" s="15" t="s">
        <v>482</v>
      </c>
      <c r="N325" s="1" t="s">
        <v>4695</v>
      </c>
      <c r="O325" s="15">
        <v>5</v>
      </c>
      <c r="P325" s="15">
        <v>1982</v>
      </c>
      <c r="Q325" s="34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34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25" s="35"/>
      <c r="U325" s="33"/>
      <c r="V325" s="32" t="s">
        <v>4709</v>
      </c>
      <c r="W3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25" s="34" t="str">
        <f>_xlfn.TEXTBEFORE(_xlfn.TEXTAFTER(CantoralDB[[#This Row],[index.html]],"&gt;"),"&gt;")&amp;"&gt;"</f>
        <v>&lt;a href="canciones/cesareo_gabarain/cantando_de_alegria.html"&gt;</v>
      </c>
      <c r="Y325"/>
      <c r="Z325" s="1"/>
      <c r="AA325" s="1"/>
      <c r="AB325" s="1"/>
      <c r="AC325" s="1"/>
    </row>
    <row r="326" spans="1:29" x14ac:dyDescent="0.3">
      <c r="A326" s="33">
        <f>ROW(CantoralDB[[#This Row],[Título]])-1</f>
        <v>325</v>
      </c>
      <c r="B326" s="1" t="s">
        <v>4701</v>
      </c>
      <c r="C326" s="1"/>
      <c r="D326" s="33"/>
      <c r="E326" s="33"/>
      <c r="I326" s="33"/>
      <c r="J326" s="1"/>
      <c r="M326" s="15" t="s">
        <v>482</v>
      </c>
      <c r="N326" s="1" t="s">
        <v>4695</v>
      </c>
      <c r="O326" s="15">
        <v>6</v>
      </c>
      <c r="P326" s="15">
        <v>1982</v>
      </c>
      <c r="Q326" s="34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34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26" s="35"/>
      <c r="U326" s="33"/>
      <c r="V326" s="32" t="s">
        <v>4710</v>
      </c>
      <c r="W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26" s="34" t="str">
        <f>_xlfn.TEXTBEFORE(_xlfn.TEXTAFTER(CantoralDB[[#This Row],[index.html]],"&gt;"),"&gt;")&amp;"&gt;"</f>
        <v>&lt;a href="canciones/cesareo_gabarain/solo_tu.html"&gt;</v>
      </c>
      <c r="Y326"/>
      <c r="Z326" s="1"/>
      <c r="AA326" s="1"/>
      <c r="AB326" s="1"/>
      <c r="AC326" s="1"/>
    </row>
    <row r="327" spans="1:29" x14ac:dyDescent="0.3">
      <c r="A327" s="33">
        <f>ROW(CantoralDB[[#This Row],[Título]])-1</f>
        <v>326</v>
      </c>
      <c r="B327" s="1" t="s">
        <v>4702</v>
      </c>
      <c r="C327" s="1"/>
      <c r="D327" s="33"/>
      <c r="E327" s="33"/>
      <c r="I327" s="33"/>
      <c r="J327" s="1"/>
      <c r="M327" s="15" t="s">
        <v>482</v>
      </c>
      <c r="N327" s="1" t="s">
        <v>4695</v>
      </c>
      <c r="O327" s="15">
        <v>7</v>
      </c>
      <c r="P327" s="15">
        <v>1982</v>
      </c>
      <c r="Q327" s="34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34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27" s="35"/>
      <c r="U327" s="33"/>
      <c r="V327" s="32" t="s">
        <v>4711</v>
      </c>
      <c r="W3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27" s="34" t="str">
        <f>_xlfn.TEXTBEFORE(_xlfn.TEXTAFTER(CantoralDB[[#This Row],[index.html]],"&gt;"),"&gt;")&amp;"&gt;"</f>
        <v>&lt;a href="canciones/cesareo_gabarain/tu_que_caminas_sobre_la_mar.html"&gt;</v>
      </c>
      <c r="Y327"/>
      <c r="Z327" s="1"/>
      <c r="AA327" s="1"/>
      <c r="AB327" s="1"/>
      <c r="AC327" s="1"/>
    </row>
    <row r="328" spans="1:29" x14ac:dyDescent="0.3">
      <c r="A328" s="33">
        <f>ROW(CantoralDB[[#This Row],[Título]])-1</f>
        <v>327</v>
      </c>
      <c r="B328" s="1" t="s">
        <v>4703</v>
      </c>
      <c r="C328" s="1"/>
      <c r="D328" s="33"/>
      <c r="E328" s="33"/>
      <c r="I328" s="33"/>
      <c r="J328" s="1"/>
      <c r="M328" s="15" t="s">
        <v>482</v>
      </c>
      <c r="N328" s="1" t="s">
        <v>4695</v>
      </c>
      <c r="O328" s="15">
        <v>8</v>
      </c>
      <c r="P328" s="15">
        <v>1982</v>
      </c>
      <c r="Q328" s="34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34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28" s="35"/>
      <c r="U328" s="33"/>
      <c r="V328" s="32" t="s">
        <v>4712</v>
      </c>
      <c r="W3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28" s="34" t="str">
        <f>_xlfn.TEXTBEFORE(_xlfn.TEXTAFTER(CantoralDB[[#This Row],[index.html]],"&gt;"),"&gt;")&amp;"&gt;"</f>
        <v>&lt;a href="canciones/cesareo_gabarain/levantate_y_anda.html"&gt;</v>
      </c>
      <c r="Y328"/>
      <c r="Z328" s="1"/>
      <c r="AA328" s="1"/>
      <c r="AB328" s="1"/>
      <c r="AC328" s="1"/>
    </row>
    <row r="329" spans="1:29" x14ac:dyDescent="0.3">
      <c r="A329" s="33">
        <f>ROW(CantoralDB[[#This Row],[Título]])-1</f>
        <v>328</v>
      </c>
      <c r="B329" s="1" t="s">
        <v>4695</v>
      </c>
      <c r="C329" s="1"/>
      <c r="D329" s="33"/>
      <c r="E329" s="33"/>
      <c r="I329" s="33"/>
      <c r="J329" s="1"/>
      <c r="M329" s="15" t="s">
        <v>482</v>
      </c>
      <c r="N329" s="1" t="s">
        <v>4695</v>
      </c>
      <c r="O329" s="15">
        <v>9</v>
      </c>
      <c r="P329" s="15">
        <v>1982</v>
      </c>
      <c r="Q329" s="34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34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29" s="35"/>
      <c r="U329" s="33"/>
      <c r="V329" s="32" t="s">
        <v>4713</v>
      </c>
      <c r="W3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29" s="34" t="str">
        <f>_xlfn.TEXTBEFORE(_xlfn.TEXTAFTER(CantoralDB[[#This Row],[index.html]],"&gt;"),"&gt;")&amp;"&gt;"</f>
        <v>&lt;a href="canciones/cesareo_gabarain/bendito_eres_señor.html"&gt;</v>
      </c>
      <c r="Y329"/>
      <c r="Z329" s="1"/>
      <c r="AA329" s="1"/>
      <c r="AB329" s="1"/>
      <c r="AC329" s="1"/>
    </row>
    <row r="330" spans="1:29" x14ac:dyDescent="0.3">
      <c r="A330" s="33">
        <f>ROW(CantoralDB[[#This Row],[Título]])-1</f>
        <v>329</v>
      </c>
      <c r="B330" s="1" t="s">
        <v>4704</v>
      </c>
      <c r="C330" s="1"/>
      <c r="D330" s="33"/>
      <c r="E330" s="33"/>
      <c r="I330" s="33"/>
      <c r="J330" s="1"/>
      <c r="M330" s="15" t="s">
        <v>482</v>
      </c>
      <c r="N330" s="1" t="s">
        <v>4695</v>
      </c>
      <c r="O330" s="15">
        <v>10</v>
      </c>
      <c r="P330" s="15">
        <v>1982</v>
      </c>
      <c r="Q330" s="34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34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30" s="35"/>
      <c r="U330" s="33"/>
      <c r="V330" s="32" t="s">
        <v>4714</v>
      </c>
      <c r="W3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30" s="34" t="str">
        <f>_xlfn.TEXTBEFORE(_xlfn.TEXTAFTER(CantoralDB[[#This Row],[index.html]],"&gt;"),"&gt;")&amp;"&gt;"</f>
        <v>&lt;a href="canciones/cesareo_gabarain/camino_de_emaus.html"&gt;</v>
      </c>
      <c r="Y330"/>
      <c r="Z330" s="1"/>
      <c r="AA330" s="1"/>
      <c r="AB330" s="1"/>
      <c r="AC330" s="1"/>
    </row>
    <row r="331" spans="1:29" x14ac:dyDescent="0.3">
      <c r="A331" s="33">
        <f>ROW(CantoralDB[[#This Row],[Título]])-1</f>
        <v>330</v>
      </c>
      <c r="B331" s="1" t="s">
        <v>4715</v>
      </c>
      <c r="C331" s="1"/>
      <c r="D331" s="33"/>
      <c r="E331" s="33"/>
      <c r="I331" s="33"/>
      <c r="J331" s="1"/>
      <c r="M331" s="15" t="s">
        <v>482</v>
      </c>
      <c r="N331" s="1" t="s">
        <v>4715</v>
      </c>
      <c r="O331" s="15">
        <v>1</v>
      </c>
      <c r="P331" s="15">
        <v>1990</v>
      </c>
      <c r="Q331" s="34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34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31" s="35"/>
      <c r="U331" s="33"/>
      <c r="V331" s="32" t="s">
        <v>4723</v>
      </c>
      <c r="W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31" s="34" t="str">
        <f>_xlfn.TEXTBEFORE(_xlfn.TEXTAFTER(CantoralDB[[#This Row],[index.html]],"&gt;"),"&gt;")&amp;"&gt;"</f>
        <v>&lt;a href="canciones/cesareo_gabarain/cantando_venimos.html"&gt;</v>
      </c>
      <c r="Y331"/>
      <c r="Z331" s="1"/>
      <c r="AA331" s="1"/>
      <c r="AB331" s="1"/>
      <c r="AC331" s="1"/>
    </row>
    <row r="332" spans="1:29" x14ac:dyDescent="0.3">
      <c r="A332" s="33">
        <f>ROW(CantoralDB[[#This Row],[Título]])-1</f>
        <v>331</v>
      </c>
      <c r="B332" s="1" t="s">
        <v>4716</v>
      </c>
      <c r="C332" s="1"/>
      <c r="D332" s="33"/>
      <c r="E332" s="33"/>
      <c r="I332" s="33"/>
      <c r="J332" s="1"/>
      <c r="M332" s="15" t="s">
        <v>482</v>
      </c>
      <c r="N332" s="1" t="s">
        <v>4715</v>
      </c>
      <c r="O332" s="15">
        <v>2</v>
      </c>
      <c r="P332" s="15">
        <v>1990</v>
      </c>
      <c r="Q332" s="34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34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32" s="35"/>
      <c r="U332" s="33"/>
      <c r="V332" s="32" t="s">
        <v>4724</v>
      </c>
      <c r="W3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32" s="34" t="str">
        <f>_xlfn.TEXTBEFORE(_xlfn.TEXTAFTER(CantoralDB[[#This Row],[index.html]],"&gt;"),"&gt;")&amp;"&gt;"</f>
        <v>&lt;a href="canciones/cesareo_gabarain/gloria_a_dios.html"&gt;</v>
      </c>
      <c r="Y332"/>
      <c r="Z332" s="1"/>
      <c r="AA332" s="1"/>
      <c r="AB332" s="1"/>
      <c r="AC332" s="1"/>
    </row>
    <row r="333" spans="1:29" x14ac:dyDescent="0.3">
      <c r="A333" s="33">
        <f>ROW(CantoralDB[[#This Row],[Título]])-1</f>
        <v>332</v>
      </c>
      <c r="B333" s="1" t="s">
        <v>4717</v>
      </c>
      <c r="C333" s="1"/>
      <c r="D333" s="33"/>
      <c r="E333" s="33"/>
      <c r="I333" s="33"/>
      <c r="J333" s="1"/>
      <c r="M333" s="15" t="s">
        <v>482</v>
      </c>
      <c r="N333" s="1" t="s">
        <v>4715</v>
      </c>
      <c r="O333" s="15">
        <v>3</v>
      </c>
      <c r="P333" s="15">
        <v>1990</v>
      </c>
      <c r="Q333" s="34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34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33" s="35"/>
      <c r="U333" s="33"/>
      <c r="V333" s="32" t="s">
        <v>4725</v>
      </c>
      <c r="W3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33" s="34" t="str">
        <f>_xlfn.TEXTBEFORE(_xlfn.TEXTAFTER(CantoralDB[[#This Row],[index.html]],"&gt;"),"&gt;")&amp;"&gt;"</f>
        <v>&lt;a href="canciones/cesareo_gabarain/yo_quisiera_escuchar.html"&gt;</v>
      </c>
      <c r="Y333"/>
      <c r="Z333" s="1"/>
      <c r="AA333" s="1"/>
      <c r="AB333" s="1"/>
      <c r="AC333" s="1"/>
    </row>
    <row r="334" spans="1:29" x14ac:dyDescent="0.3">
      <c r="A334" s="33">
        <f>ROW(CantoralDB[[#This Row],[Título]])-1</f>
        <v>333</v>
      </c>
      <c r="B334" s="1" t="s">
        <v>4718</v>
      </c>
      <c r="C334" s="1"/>
      <c r="D334" s="33"/>
      <c r="E334" s="33"/>
      <c r="I334" s="33"/>
      <c r="J334" s="1"/>
      <c r="M334" s="15" t="s">
        <v>482</v>
      </c>
      <c r="N334" s="1" t="s">
        <v>4715</v>
      </c>
      <c r="O334" s="15">
        <v>4</v>
      </c>
      <c r="P334" s="15">
        <v>1990</v>
      </c>
      <c r="Q334" s="34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34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34" s="35"/>
      <c r="U334" s="33"/>
      <c r="V334" s="32" t="s">
        <v>4726</v>
      </c>
      <c r="W3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34" s="34" t="str">
        <f>_xlfn.TEXTBEFORE(_xlfn.TEXTAFTER(CantoralDB[[#This Row],[index.html]],"&gt;"),"&gt;")&amp;"&gt;"</f>
        <v>&lt;a href="canciones/cesareo_gabarain/gracias_por_tu_palabra.html"&gt;</v>
      </c>
      <c r="Y334"/>
      <c r="Z334" s="1"/>
      <c r="AA334" s="1"/>
      <c r="AB334" s="1"/>
      <c r="AC334" s="1"/>
    </row>
    <row r="335" spans="1:29" x14ac:dyDescent="0.3">
      <c r="A335" s="33">
        <f>ROW(CantoralDB[[#This Row],[Título]])-1</f>
        <v>334</v>
      </c>
      <c r="B335" s="1" t="s">
        <v>1555</v>
      </c>
      <c r="C335" s="1"/>
      <c r="D335" s="33"/>
      <c r="E335" s="33"/>
      <c r="I335" s="33"/>
      <c r="J335" s="1"/>
      <c r="M335" s="15" t="s">
        <v>482</v>
      </c>
      <c r="N335" s="1" t="s">
        <v>4715</v>
      </c>
      <c r="O335" s="15">
        <v>5</v>
      </c>
      <c r="P335" s="15">
        <v>1990</v>
      </c>
      <c r="Q335" s="34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34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canciones/cesareo_gabarain/padre_nuestro.html</v>
      </c>
      <c r="T335" s="35"/>
      <c r="U335" s="33"/>
      <c r="V335" s="32" t="s">
        <v>4727</v>
      </c>
      <c r="W3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href="canciones/cesareo_gabarain/padre_nuestro.html"&gt;Padre nuestro&lt;/a&gt;&lt;/li&gt;</v>
      </c>
      <c r="X335" s="34" t="str">
        <f>_xlfn.TEXTBEFORE(_xlfn.TEXTAFTER(CantoralDB[[#This Row],[index.html]],"&gt;"),"&gt;")&amp;"&gt;"</f>
        <v>&lt;a href="canciones/cesareo_gabarain/padre_nuestro.html"&gt;</v>
      </c>
      <c r="Y335"/>
      <c r="Z335" s="1"/>
      <c r="AA335" s="1"/>
      <c r="AB335" s="1"/>
      <c r="AC335" s="1"/>
    </row>
    <row r="336" spans="1:29" x14ac:dyDescent="0.3">
      <c r="A336" s="33">
        <f>ROW(CantoralDB[[#This Row],[Título]])-1</f>
        <v>335</v>
      </c>
      <c r="B336" s="1" t="s">
        <v>4719</v>
      </c>
      <c r="C336" s="1"/>
      <c r="D336" s="33"/>
      <c r="E336" s="33"/>
      <c r="I336" s="33"/>
      <c r="J336" s="1"/>
      <c r="M336" s="15" t="s">
        <v>482</v>
      </c>
      <c r="N336" s="1" t="s">
        <v>4715</v>
      </c>
      <c r="O336" s="15">
        <v>6</v>
      </c>
      <c r="P336" s="15">
        <v>1990</v>
      </c>
      <c r="Q336" s="34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34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36" s="35"/>
      <c r="U336" s="33"/>
      <c r="V336" s="32" t="s">
        <v>4728</v>
      </c>
      <c r="W3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36" s="34" t="str">
        <f>_xlfn.TEXTBEFORE(_xlfn.TEXTAFTER(CantoralDB[[#This Row],[index.html]],"&gt;"),"&gt;")&amp;"&gt;"</f>
        <v>&lt;a href="canciones/cesareo_gabarain/como_cantan_los_pajaros.html"&gt;</v>
      </c>
      <c r="Y336"/>
      <c r="Z336" s="1"/>
      <c r="AA336" s="1"/>
      <c r="AB336" s="1"/>
      <c r="AC336" s="1"/>
    </row>
    <row r="337" spans="1:29" x14ac:dyDescent="0.3">
      <c r="A337" s="33">
        <f>ROW(CantoralDB[[#This Row],[Título]])-1</f>
        <v>336</v>
      </c>
      <c r="B337" s="1" t="s">
        <v>4720</v>
      </c>
      <c r="C337" s="1"/>
      <c r="D337" s="33"/>
      <c r="E337" s="33"/>
      <c r="I337" s="33"/>
      <c r="J337" s="1"/>
      <c r="M337" s="15" t="s">
        <v>482</v>
      </c>
      <c r="N337" s="1" t="s">
        <v>4715</v>
      </c>
      <c r="O337" s="15">
        <v>7</v>
      </c>
      <c r="P337" s="15">
        <v>1990</v>
      </c>
      <c r="Q337" s="34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34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37" s="35"/>
      <c r="U337" s="33"/>
      <c r="V337" s="32" t="s">
        <v>4729</v>
      </c>
      <c r="W3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37" s="34" t="str">
        <f>_xlfn.TEXTBEFORE(_xlfn.TEXTAFTER(CantoralDB[[#This Row],[index.html]],"&gt;"),"&gt;")&amp;"&gt;"</f>
        <v>&lt;a href="canciones/cesareo_gabarain/somos_un_pueblo_nacido.html"&gt;</v>
      </c>
      <c r="Y337"/>
      <c r="Z337" s="1"/>
      <c r="AA337" s="1"/>
      <c r="AB337" s="1"/>
      <c r="AC337" s="1"/>
    </row>
    <row r="338" spans="1:29" x14ac:dyDescent="0.3">
      <c r="A338" s="33">
        <f>ROW(CantoralDB[[#This Row],[Título]])-1</f>
        <v>337</v>
      </c>
      <c r="B338" s="1" t="s">
        <v>4721</v>
      </c>
      <c r="C338" s="1"/>
      <c r="D338" s="33"/>
      <c r="E338" s="33"/>
      <c r="I338" s="33"/>
      <c r="J338" s="1"/>
      <c r="M338" s="15" t="s">
        <v>482</v>
      </c>
      <c r="N338" s="1" t="s">
        <v>4715</v>
      </c>
      <c r="O338" s="15">
        <v>8</v>
      </c>
      <c r="P338" s="15">
        <v>1990</v>
      </c>
      <c r="Q338" s="34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34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canciones/cesareo_gabarain/plegaria_eucaristica_i.html</v>
      </c>
      <c r="T338" s="35"/>
      <c r="U338" s="33"/>
      <c r="V338" s="32" t="s">
        <v>4730</v>
      </c>
      <c r="W3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href="canciones/cesareo_gabarain/plegaria_eucaristica_i.html"&gt;Plegaria eucarística I&lt;/a&gt;&lt;/li&gt;</v>
      </c>
      <c r="X338" s="34" t="str">
        <f>_xlfn.TEXTBEFORE(_xlfn.TEXTAFTER(CantoralDB[[#This Row],[index.html]],"&gt;"),"&gt;")&amp;"&gt;"</f>
        <v>&lt;a href="canciones/cesareo_gabarain/plegaria_eucaristica_i.html"&gt;</v>
      </c>
      <c r="Y338"/>
      <c r="Z338" s="1"/>
      <c r="AA338" s="1"/>
      <c r="AB338" s="1"/>
      <c r="AC338" s="1"/>
    </row>
    <row r="339" spans="1:29" x14ac:dyDescent="0.3">
      <c r="A339" s="33">
        <f>ROW(CantoralDB[[#This Row],[Título]])-1</f>
        <v>338</v>
      </c>
      <c r="B339" s="1" t="s">
        <v>4722</v>
      </c>
      <c r="C339" s="1"/>
      <c r="D339" s="33"/>
      <c r="E339" s="33"/>
      <c r="I339" s="33"/>
      <c r="J339" s="1"/>
      <c r="M339" s="15" t="s">
        <v>482</v>
      </c>
      <c r="N339" s="1" t="s">
        <v>4715</v>
      </c>
      <c r="O339" s="15">
        <v>9</v>
      </c>
      <c r="P339" s="15">
        <v>1990</v>
      </c>
      <c r="Q339" s="34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34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canciones/cesareo_gabarain/plegaria_eucaristica_ii.html</v>
      </c>
      <c r="T339" s="35"/>
      <c r="U339" s="33"/>
      <c r="V339" s="32" t="s">
        <v>4731</v>
      </c>
      <c r="W3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href="canciones/cesareo_gabarain/plegaria_eucaristica_ii.html"&gt;Plegaria eucarística II&lt;/a&gt;&lt;/li&gt;</v>
      </c>
      <c r="X339" s="34" t="str">
        <f>_xlfn.TEXTBEFORE(_xlfn.TEXTAFTER(CantoralDB[[#This Row],[index.html]],"&gt;"),"&gt;")&amp;"&gt;"</f>
        <v>&lt;a href="canciones/cesareo_gabarain/plegaria_eucaristica_ii.html"&gt;</v>
      </c>
      <c r="Y339"/>
      <c r="Z339" s="1"/>
      <c r="AA339" s="1"/>
      <c r="AB339" s="1"/>
      <c r="AC339" s="1"/>
    </row>
    <row r="340" spans="1:29" x14ac:dyDescent="0.3">
      <c r="A340" s="33">
        <f>ROW(CantoralDB[[#This Row],[Título]])-1</f>
        <v>339</v>
      </c>
      <c r="C340" s="1"/>
      <c r="D340" s="33"/>
      <c r="E340" s="33"/>
      <c r="I340" s="33"/>
      <c r="J340" s="1"/>
      <c r="M340" s="15" t="s">
        <v>482</v>
      </c>
      <c r="N340" s="1" t="s">
        <v>4732</v>
      </c>
      <c r="O340" s="15"/>
      <c r="P340" s="15">
        <v>1988</v>
      </c>
      <c r="Q340" s="34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34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40" s="35"/>
      <c r="U340" s="33"/>
      <c r="V340" s="32"/>
      <c r="W3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40" s="34" t="str">
        <f>_xlfn.TEXTBEFORE(_xlfn.TEXTAFTER(CantoralDB[[#This Row],[index.html]],"&gt;"),"&gt;")&amp;"&gt;"</f>
        <v>&lt;a href="canciones/cesareo_gabarain/.html"&gt;</v>
      </c>
      <c r="Y340"/>
      <c r="Z340" s="1"/>
      <c r="AA340" s="1"/>
      <c r="AB340" s="1"/>
      <c r="AC340" s="1"/>
    </row>
    <row r="341" spans="1:29" x14ac:dyDescent="0.3">
      <c r="A341" s="33">
        <f>ROW(CantoralDB[[#This Row],[Título]])-1</f>
        <v>340</v>
      </c>
      <c r="B341" s="1" t="s">
        <v>4733</v>
      </c>
      <c r="C341" s="1"/>
      <c r="D341" s="33"/>
      <c r="E341" s="33"/>
      <c r="I341" s="33"/>
      <c r="J341" s="1"/>
      <c r="M341" s="15" t="s">
        <v>482</v>
      </c>
      <c r="N341" s="1" t="s">
        <v>4748</v>
      </c>
      <c r="O341" s="15">
        <v>1</v>
      </c>
      <c r="P341" s="15">
        <v>1974</v>
      </c>
      <c r="Q341" s="34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34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41" s="35"/>
      <c r="U341" s="33"/>
      <c r="V341" s="32" t="s">
        <v>4755</v>
      </c>
      <c r="W3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41" s="34" t="str">
        <f>_xlfn.TEXTBEFORE(_xlfn.TEXTAFTER(CantoralDB[[#This Row],[index.html]],"&gt;"),"&gt;")&amp;"&gt;"</f>
        <v>&lt;a href="canciones/cesareo_gabarain/dios_no_es_una_imagen_de_madera.html"&gt;</v>
      </c>
      <c r="Y341"/>
      <c r="Z341" s="1"/>
      <c r="AA341" s="1"/>
      <c r="AB341" s="1"/>
      <c r="AC341" s="1"/>
    </row>
    <row r="342" spans="1:29" x14ac:dyDescent="0.3">
      <c r="A342" s="33">
        <f>ROW(CantoralDB[[#This Row],[Título]])-1</f>
        <v>341</v>
      </c>
      <c r="B342" s="1" t="s">
        <v>4734</v>
      </c>
      <c r="C342" s="1"/>
      <c r="D342" s="33"/>
      <c r="E342" s="33"/>
      <c r="I342" s="33"/>
      <c r="J342" s="1"/>
      <c r="M342" s="15" t="s">
        <v>482</v>
      </c>
      <c r="N342" s="1" t="s">
        <v>4748</v>
      </c>
      <c r="O342" s="15">
        <v>2</v>
      </c>
      <c r="P342" s="15">
        <v>1974</v>
      </c>
      <c r="Q342" s="34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34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42" s="35"/>
      <c r="U342" s="33"/>
      <c r="V342" s="32" t="s">
        <v>4756</v>
      </c>
      <c r="W3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42" s="34" t="str">
        <f>_xlfn.TEXTBEFORE(_xlfn.TEXTAFTER(CantoralDB[[#This Row],[index.html]],"&gt;"),"&gt;")&amp;"&gt;"</f>
        <v>&lt;a href="canciones/cesareo_gabarain/dios_hizo_todas_las_cosas.html"&gt;</v>
      </c>
      <c r="Y342"/>
      <c r="Z342" s="1"/>
      <c r="AA342" s="1"/>
      <c r="AB342" s="1"/>
      <c r="AC342" s="1"/>
    </row>
    <row r="343" spans="1:29" x14ac:dyDescent="0.3">
      <c r="A343" s="33">
        <f>ROW(CantoralDB[[#This Row],[Título]])-1</f>
        <v>342</v>
      </c>
      <c r="B343" s="1" t="s">
        <v>4735</v>
      </c>
      <c r="C343" s="1"/>
      <c r="D343" s="33"/>
      <c r="E343" s="33"/>
      <c r="I343" s="33"/>
      <c r="J343" s="1"/>
      <c r="M343" s="15" t="s">
        <v>482</v>
      </c>
      <c r="N343" s="1" t="s">
        <v>4748</v>
      </c>
      <c r="O343" s="15">
        <v>3</v>
      </c>
      <c r="P343" s="15">
        <v>1974</v>
      </c>
      <c r="Q343" s="34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34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43" s="35"/>
      <c r="U343" s="33"/>
      <c r="V343" s="32" t="s">
        <v>4757</v>
      </c>
      <c r="W3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43" s="34" t="str">
        <f>_xlfn.TEXTBEFORE(_xlfn.TEXTAFTER(CantoralDB[[#This Row],[index.html]],"&gt;"),"&gt;")&amp;"&gt;"</f>
        <v>&lt;a href="canciones/cesareo_gabarain/yo_tengo_dentro_de_mi.html"&gt;</v>
      </c>
      <c r="Y343"/>
      <c r="Z343" s="1"/>
      <c r="AA343" s="1"/>
      <c r="AB343" s="1"/>
      <c r="AC343" s="1"/>
    </row>
    <row r="344" spans="1:29" x14ac:dyDescent="0.3">
      <c r="A344" s="33">
        <f>ROW(CantoralDB[[#This Row],[Título]])-1</f>
        <v>343</v>
      </c>
      <c r="B344" s="1" t="s">
        <v>4736</v>
      </c>
      <c r="C344" s="1"/>
      <c r="D344" s="33"/>
      <c r="E344" s="33"/>
      <c r="I344" s="33"/>
      <c r="J344" s="1"/>
      <c r="M344" s="15" t="s">
        <v>482</v>
      </c>
      <c r="N344" s="1" t="s">
        <v>4748</v>
      </c>
      <c r="O344" s="15">
        <v>4</v>
      </c>
      <c r="P344" s="15">
        <v>1974</v>
      </c>
      <c r="Q344" s="34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34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44" s="35"/>
      <c r="U344" s="33"/>
      <c r="V344" s="32" t="s">
        <v>4758</v>
      </c>
      <c r="W3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44" s="34" t="str">
        <f>_xlfn.TEXTBEFORE(_xlfn.TEXTAFTER(CantoralDB[[#This Row],[index.html]],"&gt;"),"&gt;")&amp;"&gt;"</f>
        <v>&lt;a href="canciones/cesareo_gabarain/creo_en_ti_señor.html"&gt;</v>
      </c>
      <c r="Y344"/>
      <c r="Z344" s="1"/>
      <c r="AA344" s="1"/>
      <c r="AB344" s="1"/>
      <c r="AC344" s="1"/>
    </row>
    <row r="345" spans="1:29" x14ac:dyDescent="0.3">
      <c r="A345" s="33">
        <f>ROW(CantoralDB[[#This Row],[Título]])-1</f>
        <v>344</v>
      </c>
      <c r="B345" s="1" t="s">
        <v>4737</v>
      </c>
      <c r="C345" s="1"/>
      <c r="D345" s="33"/>
      <c r="E345" s="33"/>
      <c r="I345" s="33"/>
      <c r="J345" s="1"/>
      <c r="M345" s="15" t="s">
        <v>482</v>
      </c>
      <c r="N345" s="1" t="s">
        <v>4748</v>
      </c>
      <c r="O345" s="15">
        <v>5</v>
      </c>
      <c r="P345" s="15">
        <v>1974</v>
      </c>
      <c r="Q345" s="34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34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45" s="35"/>
      <c r="U345" s="33"/>
      <c r="V345" s="32" t="s">
        <v>4759</v>
      </c>
      <c r="W3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45" s="34" t="str">
        <f>_xlfn.TEXTBEFORE(_xlfn.TEXTAFTER(CantoralDB[[#This Row],[index.html]],"&gt;"),"&gt;")&amp;"&gt;"</f>
        <v>&lt;a href="canciones/cesareo_gabarain/dios_nos_ha_hecho_hermanos.html"&gt;</v>
      </c>
      <c r="Y345"/>
      <c r="Z345" s="1"/>
      <c r="AA345" s="1"/>
      <c r="AB345" s="1"/>
      <c r="AC345" s="1"/>
    </row>
    <row r="346" spans="1:29" x14ac:dyDescent="0.3">
      <c r="A346" s="33">
        <f>ROW(CantoralDB[[#This Row],[Título]])-1</f>
        <v>345</v>
      </c>
      <c r="B346" s="1" t="s">
        <v>4738</v>
      </c>
      <c r="C346" s="1"/>
      <c r="D346" s="33"/>
      <c r="E346" s="33"/>
      <c r="I346" s="33"/>
      <c r="J346" s="1"/>
      <c r="M346" s="15" t="s">
        <v>482</v>
      </c>
      <c r="N346" s="1" t="s">
        <v>4748</v>
      </c>
      <c r="O346" s="15">
        <v>6</v>
      </c>
      <c r="P346" s="15">
        <v>1974</v>
      </c>
      <c r="Q346" s="34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34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46" s="35"/>
      <c r="U346" s="33"/>
      <c r="V346" s="32" t="s">
        <v>4760</v>
      </c>
      <c r="W3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46" s="34" t="str">
        <f>_xlfn.TEXTBEFORE(_xlfn.TEXTAFTER(CantoralDB[[#This Row],[index.html]],"&gt;"),"&gt;")&amp;"&gt;"</f>
        <v>&lt;a href="canciones/cesareo_gabarain/solo_dios_es_grande.html"&gt;</v>
      </c>
      <c r="Y346"/>
      <c r="Z346" s="1"/>
      <c r="AA346" s="1"/>
      <c r="AB346" s="1"/>
      <c r="AC346" s="1"/>
    </row>
    <row r="347" spans="1:29" x14ac:dyDescent="0.3">
      <c r="A347" s="33">
        <f>ROW(CantoralDB[[#This Row],[Título]])-1</f>
        <v>346</v>
      </c>
      <c r="B347" s="1" t="s">
        <v>4739</v>
      </c>
      <c r="C347" s="1"/>
      <c r="D347" s="33"/>
      <c r="E347" s="33"/>
      <c r="I347" s="33"/>
      <c r="J347" s="1"/>
      <c r="M347" s="15" t="s">
        <v>482</v>
      </c>
      <c r="N347" s="1" t="s">
        <v>4748</v>
      </c>
      <c r="O347" s="15">
        <v>7</v>
      </c>
      <c r="P347" s="15">
        <v>1974</v>
      </c>
      <c r="Q347" s="34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34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47" s="35"/>
      <c r="U347" s="33"/>
      <c r="V347" s="32" t="s">
        <v>4761</v>
      </c>
      <c r="W3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47" s="34" t="str">
        <f>_xlfn.TEXTBEFORE(_xlfn.TEXTAFTER(CantoralDB[[#This Row],[index.html]],"&gt;"),"&gt;")&amp;"&gt;"</f>
        <v>&lt;a href="canciones/cesareo_gabarain/una_vida_singular.html"&gt;</v>
      </c>
      <c r="Y347"/>
      <c r="Z347" s="1"/>
      <c r="AA347" s="1"/>
      <c r="AB347" s="1"/>
      <c r="AC347" s="1"/>
    </row>
    <row r="348" spans="1:29" x14ac:dyDescent="0.3">
      <c r="A348" s="33">
        <f>ROW(CantoralDB[[#This Row],[Título]])-1</f>
        <v>347</v>
      </c>
      <c r="B348" s="1" t="s">
        <v>4740</v>
      </c>
      <c r="C348" s="1"/>
      <c r="D348" s="33"/>
      <c r="E348" s="33"/>
      <c r="I348" s="33"/>
      <c r="J348" s="1"/>
      <c r="M348" s="15" t="s">
        <v>482</v>
      </c>
      <c r="N348" s="1" t="s">
        <v>4748</v>
      </c>
      <c r="O348" s="15">
        <v>8</v>
      </c>
      <c r="P348" s="15">
        <v>1974</v>
      </c>
      <c r="Q348" s="34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34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48" s="35"/>
      <c r="U348" s="33"/>
      <c r="V348" s="32" t="s">
        <v>4762</v>
      </c>
      <c r="W3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48" s="34" t="str">
        <f>_xlfn.TEXTBEFORE(_xlfn.TEXTAFTER(CantoralDB[[#This Row],[index.html]],"&gt;"),"&gt;")&amp;"&gt;"</f>
        <v>&lt;a href="canciones/cesareo_gabarain/dios_esta_muy_cerca_de_mi.html"&gt;</v>
      </c>
      <c r="Y348"/>
      <c r="Z348" s="1"/>
      <c r="AA348" s="1"/>
      <c r="AB348" s="1"/>
      <c r="AC348" s="1"/>
    </row>
    <row r="349" spans="1:29" x14ac:dyDescent="0.3">
      <c r="A349" s="33">
        <f>ROW(CantoralDB[[#This Row],[Título]])-1</f>
        <v>348</v>
      </c>
      <c r="B349" s="1" t="s">
        <v>4741</v>
      </c>
      <c r="C349" s="1"/>
      <c r="D349" s="33"/>
      <c r="E349" s="33"/>
      <c r="I349" s="33"/>
      <c r="J349" s="1"/>
      <c r="M349" s="15" t="s">
        <v>482</v>
      </c>
      <c r="N349" s="1" t="s">
        <v>4748</v>
      </c>
      <c r="O349" s="15">
        <v>9</v>
      </c>
      <c r="P349" s="15">
        <v>1974</v>
      </c>
      <c r="Q349" s="34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34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49" s="35"/>
      <c r="U349" s="33"/>
      <c r="V349" s="32" t="s">
        <v>4763</v>
      </c>
      <c r="W3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49" s="34" t="str">
        <f>_xlfn.TEXTBEFORE(_xlfn.TEXTAFTER(CantoralDB[[#This Row],[index.html]],"&gt;"),"&gt;")&amp;"&gt;"</f>
        <v>&lt;a href="canciones/cesareo_gabarain/hola_jesus.html"&gt;</v>
      </c>
      <c r="Y349"/>
      <c r="Z349" s="1"/>
      <c r="AA349" s="1"/>
      <c r="AB349" s="1"/>
      <c r="AC349" s="1"/>
    </row>
    <row r="350" spans="1:29" x14ac:dyDescent="0.3">
      <c r="A350" s="33">
        <f>ROW(CantoralDB[[#This Row],[Título]])-1</f>
        <v>349</v>
      </c>
      <c r="B350" s="1" t="s">
        <v>4742</v>
      </c>
      <c r="C350" s="1"/>
      <c r="D350" s="33"/>
      <c r="E350" s="33"/>
      <c r="I350" s="33"/>
      <c r="J350" s="1"/>
      <c r="M350" s="15" t="s">
        <v>482</v>
      </c>
      <c r="N350" s="1" t="s">
        <v>4748</v>
      </c>
      <c r="O350" s="15">
        <v>10</v>
      </c>
      <c r="P350" s="15">
        <v>1974</v>
      </c>
      <c r="Q350" s="34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34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50" s="35"/>
      <c r="U350" s="33"/>
      <c r="V350" s="32" t="s">
        <v>4764</v>
      </c>
      <c r="W3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50" s="34" t="str">
        <f>_xlfn.TEXTBEFORE(_xlfn.TEXTAFTER(CantoralDB[[#This Row],[index.html]],"&gt;"),"&gt;")&amp;"&gt;"</f>
        <v>&lt;a href="canciones/cesareo_gabarain/ven_conmigo.html"&gt;</v>
      </c>
      <c r="Y350"/>
      <c r="Z350" s="1"/>
      <c r="AA350" s="1"/>
      <c r="AB350" s="1"/>
      <c r="AC350" s="1"/>
    </row>
    <row r="351" spans="1:29" x14ac:dyDescent="0.3">
      <c r="A351" s="33">
        <f>ROW(CantoralDB[[#This Row],[Título]])-1</f>
        <v>350</v>
      </c>
      <c r="B351" s="1" t="s">
        <v>4743</v>
      </c>
      <c r="C351" s="1"/>
      <c r="D351" s="33"/>
      <c r="E351" s="33"/>
      <c r="I351" s="33"/>
      <c r="J351" s="1"/>
      <c r="M351" s="15" t="s">
        <v>482</v>
      </c>
      <c r="N351" s="1" t="s">
        <v>4748</v>
      </c>
      <c r="O351" s="15">
        <v>11</v>
      </c>
      <c r="P351" s="15">
        <v>1974</v>
      </c>
      <c r="Q351" s="34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34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51" s="35"/>
      <c r="U351" s="33"/>
      <c r="V351" s="32" t="s">
        <v>4765</v>
      </c>
      <c r="W3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51" s="34" t="str">
        <f>_xlfn.TEXTBEFORE(_xlfn.TEXTAFTER(CantoralDB[[#This Row],[index.html]],"&gt;"),"&gt;")&amp;"&gt;"</f>
        <v>&lt;a href="canciones/cesareo_gabarain/se_muy_bien.html"&gt;</v>
      </c>
      <c r="Y351"/>
      <c r="Z351" s="1"/>
      <c r="AA351" s="1"/>
      <c r="AB351" s="1"/>
      <c r="AC351" s="1"/>
    </row>
    <row r="352" spans="1:29" x14ac:dyDescent="0.3">
      <c r="A352" s="33">
        <f>ROW(CantoralDB[[#This Row],[Título]])-1</f>
        <v>351</v>
      </c>
      <c r="B352" s="1" t="s">
        <v>4744</v>
      </c>
      <c r="C352" s="1"/>
      <c r="D352" s="33"/>
      <c r="E352" s="33"/>
      <c r="I352" s="33"/>
      <c r="J352" s="1"/>
      <c r="M352" s="15" t="s">
        <v>482</v>
      </c>
      <c r="N352" s="1" t="s">
        <v>4748</v>
      </c>
      <c r="O352" s="15">
        <v>12</v>
      </c>
      <c r="P352" s="15">
        <v>1974</v>
      </c>
      <c r="Q352" s="34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34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52" s="35"/>
      <c r="U352" s="33"/>
      <c r="V352" s="32" t="s">
        <v>4766</v>
      </c>
      <c r="W3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52" s="34" t="str">
        <f>_xlfn.TEXTBEFORE(_xlfn.TEXTAFTER(CantoralDB[[#This Row],[index.html]],"&gt;"),"&gt;")&amp;"&gt;"</f>
        <v>&lt;a href="canciones/cesareo_gabarain/el_pequeño_david.html"&gt;</v>
      </c>
      <c r="Y352"/>
      <c r="Z352" s="1"/>
      <c r="AA352" s="1"/>
      <c r="AB352" s="1"/>
      <c r="AC352" s="1"/>
    </row>
    <row r="353" spans="1:29" x14ac:dyDescent="0.3">
      <c r="A353" s="33">
        <f>ROW(CantoralDB[[#This Row],[Título]])-1</f>
        <v>352</v>
      </c>
      <c r="B353" s="1" t="s">
        <v>4745</v>
      </c>
      <c r="C353" s="1"/>
      <c r="D353" s="33"/>
      <c r="E353" s="33"/>
      <c r="I353" s="33"/>
      <c r="J353" s="1"/>
      <c r="M353" s="15" t="s">
        <v>482</v>
      </c>
      <c r="N353" s="1" t="s">
        <v>4748</v>
      </c>
      <c r="O353" s="15">
        <v>13</v>
      </c>
      <c r="P353" s="15">
        <v>1974</v>
      </c>
      <c r="Q353" s="34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34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53" s="35"/>
      <c r="U353" s="33"/>
      <c r="V353" s="32" t="s">
        <v>4767</v>
      </c>
      <c r="W3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53" s="34" t="str">
        <f>_xlfn.TEXTBEFORE(_xlfn.TEXTAFTER(CantoralDB[[#This Row],[index.html]],"&gt;"),"&gt;")&amp;"&gt;"</f>
        <v>&lt;a href="canciones/cesareo_gabarain/ya_viene_el_niñito.html"&gt;</v>
      </c>
      <c r="Y353"/>
      <c r="Z353" s="1"/>
      <c r="AA353" s="1"/>
      <c r="AB353" s="1"/>
      <c r="AC353" s="1"/>
    </row>
    <row r="354" spans="1:29" x14ac:dyDescent="0.3">
      <c r="A354" s="33">
        <f>ROW(CantoralDB[[#This Row],[Título]])-1</f>
        <v>353</v>
      </c>
      <c r="B354" s="1" t="s">
        <v>4746</v>
      </c>
      <c r="C354" s="1"/>
      <c r="D354" s="33"/>
      <c r="E354" s="33"/>
      <c r="I354" s="33"/>
      <c r="J354" s="1"/>
      <c r="M354" s="15" t="s">
        <v>482</v>
      </c>
      <c r="N354" s="1" t="s">
        <v>4748</v>
      </c>
      <c r="O354" s="15">
        <v>14</v>
      </c>
      <c r="P354" s="15">
        <v>1974</v>
      </c>
      <c r="Q354" s="34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34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54" s="35"/>
      <c r="U354" s="33"/>
      <c r="V354" s="32" t="s">
        <v>4768</v>
      </c>
      <c r="W3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54" s="34" t="str">
        <f>_xlfn.TEXTBEFORE(_xlfn.TEXTAFTER(CantoralDB[[#This Row],[index.html]],"&gt;"),"&gt;")&amp;"&gt;"</f>
        <v>&lt;a href="canciones/cesareo_gabarain/mis_dos_mamas.html"&gt;</v>
      </c>
      <c r="Y354"/>
      <c r="Z354" s="1"/>
      <c r="AA354" s="1"/>
      <c r="AB354" s="1"/>
      <c r="AC354" s="1"/>
    </row>
    <row r="355" spans="1:29" x14ac:dyDescent="0.3">
      <c r="A355" s="33">
        <f>ROW(CantoralDB[[#This Row],[Título]])-1</f>
        <v>354</v>
      </c>
      <c r="B355" s="1" t="s">
        <v>4747</v>
      </c>
      <c r="C355" s="1"/>
      <c r="D355" s="33"/>
      <c r="E355" s="33"/>
      <c r="I355" s="33"/>
      <c r="J355" s="1"/>
      <c r="M355" s="15" t="s">
        <v>482</v>
      </c>
      <c r="N355" s="1" t="s">
        <v>4748</v>
      </c>
      <c r="O355" s="15">
        <v>15</v>
      </c>
      <c r="P355" s="15">
        <v>1974</v>
      </c>
      <c r="Q355" s="34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34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55" s="35"/>
      <c r="U355" s="33"/>
      <c r="V355" s="32" t="s">
        <v>4769</v>
      </c>
      <c r="W3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55" s="34" t="str">
        <f>_xlfn.TEXTBEFORE(_xlfn.TEXTAFTER(CantoralDB[[#This Row],[index.html]],"&gt;"),"&gt;")&amp;"&gt;"</f>
        <v>&lt;a href="canciones/cesareo_gabarain/cancion_de_juventud.html"&gt;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488</v>
      </c>
      <c r="C356" s="1" t="s">
        <v>190</v>
      </c>
      <c r="D356" s="1" t="s">
        <v>744</v>
      </c>
      <c r="G356" s="1" t="s">
        <v>215</v>
      </c>
      <c r="H356" s="1" t="s">
        <v>1029</v>
      </c>
      <c r="J356" s="1" t="s">
        <v>607</v>
      </c>
      <c r="M356" s="15" t="s">
        <v>482</v>
      </c>
      <c r="N356" s="1" t="s">
        <v>4606</v>
      </c>
      <c r="O356" s="15">
        <v>1</v>
      </c>
      <c r="P356" s="15">
        <v>1974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56" s="1"/>
      <c r="U356" s="1"/>
      <c r="V356" s="32" t="s">
        <v>4629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56" s="15" t="str">
        <f>_xlfn.TEXTBEFORE(_xlfn.TEXTAFTER(CantoralDB[[#This Row],[index.html]],"&gt;"),"&gt;")&amp;"&gt;"</f>
        <v>&lt;a href="canciones/cesareo_gabarain/peregrino_(exodo_y_liberacion).html"&gt;</v>
      </c>
      <c r="Y356"/>
      <c r="Z356" s="1"/>
      <c r="AA356" s="1"/>
      <c r="AB356" s="1"/>
      <c r="AC356" s="1"/>
    </row>
    <row r="357" spans="1:29" x14ac:dyDescent="0.3">
      <c r="A357" s="33">
        <f>ROW(CantoralDB[[#This Row],[Título]])-1</f>
        <v>356</v>
      </c>
      <c r="B357" s="1" t="s">
        <v>4749</v>
      </c>
      <c r="C357" s="1"/>
      <c r="D357" s="33"/>
      <c r="E357" s="33"/>
      <c r="I357" s="33"/>
      <c r="J357" s="1"/>
      <c r="M357" s="15" t="s">
        <v>482</v>
      </c>
      <c r="N357" s="1" t="s">
        <v>4606</v>
      </c>
      <c r="O357" s="15">
        <v>2</v>
      </c>
      <c r="P357" s="15">
        <v>1974</v>
      </c>
      <c r="Q357" s="34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34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57" s="35"/>
      <c r="U357" s="33"/>
      <c r="V357" s="32" t="s">
        <v>4770</v>
      </c>
      <c r="W3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57" s="34" t="str">
        <f>_xlfn.TEXTBEFORE(_xlfn.TEXTAFTER(CantoralDB[[#This Row],[index.html]],"&gt;"),"&gt;")&amp;"&gt;"</f>
        <v>&lt;a href="canciones/cesareo_gabarain/nueva_creacion.html"&gt;</v>
      </c>
      <c r="Y357"/>
      <c r="Z357" s="1"/>
      <c r="AA357" s="1"/>
      <c r="AB357" s="1"/>
      <c r="AC357" s="1"/>
    </row>
    <row r="358" spans="1:29" x14ac:dyDescent="0.3">
      <c r="A358" s="33">
        <f>ROW(CantoralDB[[#This Row],[Título]])-1</f>
        <v>357</v>
      </c>
      <c r="B358" s="1" t="s">
        <v>4750</v>
      </c>
      <c r="C358" s="1"/>
      <c r="D358" s="33"/>
      <c r="E358" s="33"/>
      <c r="I358" s="33"/>
      <c r="J358" s="1"/>
      <c r="M358" s="15" t="s">
        <v>482</v>
      </c>
      <c r="N358" s="1" t="s">
        <v>4606</v>
      </c>
      <c r="O358" s="15">
        <v>3</v>
      </c>
      <c r="P358" s="15">
        <v>1974</v>
      </c>
      <c r="Q358" s="34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34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58" s="35"/>
      <c r="U358" s="33"/>
      <c r="V358" s="32" t="s">
        <v>4771</v>
      </c>
      <c r="W3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58" s="34" t="str">
        <f>_xlfn.TEXTBEFORE(_xlfn.TEXTAFTER(CantoralDB[[#This Row],[index.html]],"&gt;"),"&gt;")&amp;"&gt;"</f>
        <v>&lt;a href="canciones/cesareo_gabarain/bendito_seas.html"&gt;</v>
      </c>
      <c r="Y358"/>
      <c r="Z358" s="1"/>
      <c r="AA358" s="1"/>
      <c r="AB358" s="1"/>
      <c r="AC358" s="1"/>
    </row>
    <row r="359" spans="1:29" x14ac:dyDescent="0.3">
      <c r="A359" s="33">
        <f>ROW(CantoralDB[[#This Row],[Título]])-1</f>
        <v>358</v>
      </c>
      <c r="B359" s="1" t="s">
        <v>4751</v>
      </c>
      <c r="C359" s="1"/>
      <c r="D359" s="33"/>
      <c r="E359" s="33"/>
      <c r="I359" s="33"/>
      <c r="J359" s="1"/>
      <c r="M359" s="15" t="s">
        <v>482</v>
      </c>
      <c r="N359" s="1" t="s">
        <v>4606</v>
      </c>
      <c r="O359" s="15">
        <v>4</v>
      </c>
      <c r="P359" s="15">
        <v>1974</v>
      </c>
      <c r="Q359" s="34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34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59" s="35"/>
      <c r="U359" s="33"/>
      <c r="V359" s="32" t="s">
        <v>4772</v>
      </c>
      <c r="W3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59" s="34" t="str">
        <f>_xlfn.TEXTBEFORE(_xlfn.TEXTAFTER(CantoralDB[[#This Row],[index.html]],"&gt;"),"&gt;")&amp;"&gt;"</f>
        <v>&lt;a href="canciones/cesareo_gabarain/cristo_nuestro_salvador.html"&gt;</v>
      </c>
      <c r="Y359"/>
      <c r="Z359" s="1"/>
      <c r="AA359" s="1"/>
      <c r="AB359" s="1"/>
      <c r="AC359" s="1"/>
    </row>
    <row r="360" spans="1:29" x14ac:dyDescent="0.3">
      <c r="A360" s="33">
        <f>ROW(CantoralDB[[#This Row],[Título]])-1</f>
        <v>359</v>
      </c>
      <c r="B360" s="1" t="s">
        <v>4752</v>
      </c>
      <c r="C360" s="1"/>
      <c r="D360" s="33"/>
      <c r="E360" s="33"/>
      <c r="I360" s="33"/>
      <c r="J360" s="1"/>
      <c r="M360" s="15" t="s">
        <v>482</v>
      </c>
      <c r="N360" s="1" t="s">
        <v>4606</v>
      </c>
      <c r="O360" s="15">
        <v>5</v>
      </c>
      <c r="P360" s="15">
        <v>1974</v>
      </c>
      <c r="Q360" s="34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34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60" s="35"/>
      <c r="U360" s="33"/>
      <c r="V360" s="32" t="s">
        <v>4773</v>
      </c>
      <c r="W3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60" s="34" t="str">
        <f>_xlfn.TEXTBEFORE(_xlfn.TEXTAFTER(CantoralDB[[#This Row],[index.html]],"&gt;"),"&gt;")&amp;"&gt;"</f>
        <v>&lt;a href="canciones/cesareo_gabarain/canto_de_esperanza.html"&gt;</v>
      </c>
      <c r="Y360"/>
      <c r="Z360" s="1"/>
      <c r="AA360" s="1"/>
      <c r="AB360" s="1"/>
      <c r="AC360" s="1"/>
    </row>
    <row r="361" spans="1:29" x14ac:dyDescent="0.3">
      <c r="A361" s="33">
        <f>ROW(CantoralDB[[#This Row],[Título]])-1</f>
        <v>360</v>
      </c>
      <c r="B361" s="1" t="s">
        <v>4753</v>
      </c>
      <c r="C361" s="1"/>
      <c r="D361" s="33"/>
      <c r="E361" s="33"/>
      <c r="I361" s="33"/>
      <c r="J361" s="1"/>
      <c r="M361" s="15" t="s">
        <v>482</v>
      </c>
      <c r="N361" s="1" t="s">
        <v>4606</v>
      </c>
      <c r="O361" s="15">
        <v>6</v>
      </c>
      <c r="P361" s="15">
        <v>1974</v>
      </c>
      <c r="Q361" s="34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34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61" s="35"/>
      <c r="U361" s="33"/>
      <c r="V361" s="32" t="s">
        <v>4774</v>
      </c>
      <c r="W3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61" s="34" t="str">
        <f>_xlfn.TEXTBEFORE(_xlfn.TEXTAFTER(CantoralDB[[#This Row],[index.html]],"&gt;"),"&gt;")&amp;"&gt;"</f>
        <v>&lt;a href="canciones/cesareo_gabarain/señor_me_has_llamado_amigo.html"&gt;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2852</v>
      </c>
      <c r="C362" s="1"/>
      <c r="H362" s="1" t="s">
        <v>472</v>
      </c>
      <c r="J362" s="1" t="s">
        <v>607</v>
      </c>
      <c r="M362" s="15" t="s">
        <v>482</v>
      </c>
      <c r="N362" s="1" t="s">
        <v>4606</v>
      </c>
      <c r="O362" s="15">
        <v>7</v>
      </c>
      <c r="P362" s="15">
        <v>1974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62" s="1"/>
      <c r="U362" s="1"/>
      <c r="V362" s="32" t="s">
        <v>4611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62" s="15" t="str">
        <f>_xlfn.TEXTBEFORE(_xlfn.TEXTAFTER(CantoralDB[[#This Row],[index.html]],"&gt;"),"&gt;")&amp;"&gt;"</f>
        <v>&lt;a href="canciones/cesareo_gabarain/a_quien_temere.html"&gt;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111</v>
      </c>
      <c r="C363" s="1" t="s">
        <v>992</v>
      </c>
      <c r="D363" s="1" t="s">
        <v>726</v>
      </c>
      <c r="E363" s="1">
        <v>313</v>
      </c>
      <c r="F363" s="1">
        <v>318</v>
      </c>
      <c r="G363" s="1" t="s">
        <v>208</v>
      </c>
      <c r="H363" s="1" t="s">
        <v>530</v>
      </c>
      <c r="I363" s="1" t="s">
        <v>2952</v>
      </c>
      <c r="J363" s="1" t="s">
        <v>607</v>
      </c>
      <c r="M363" s="15" t="s">
        <v>482</v>
      </c>
      <c r="N363" s="1" t="s">
        <v>4606</v>
      </c>
      <c r="O363" s="15">
        <v>8</v>
      </c>
      <c r="P363" s="15">
        <v>1974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63" s="1" t="s">
        <v>852</v>
      </c>
      <c r="U363" s="1"/>
      <c r="V363" s="32" t="s">
        <v>4630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X363" s="15" t="str">
        <f>_xlfn.TEXTBEFORE(_xlfn.TEXTAFTER(CantoralDB[[#This Row],[index.html]],"&gt;"),"&gt;")&amp;"&gt;"</f>
        <v>&lt;a href="canciones/cesareo_gabarain/pescador_de_hombres.html"&gt;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143</v>
      </c>
      <c r="C364" s="1" t="s">
        <v>992</v>
      </c>
      <c r="D364" s="1" t="s">
        <v>1010</v>
      </c>
      <c r="E364" s="1">
        <v>266</v>
      </c>
      <c r="G364" s="1" t="s">
        <v>208</v>
      </c>
      <c r="H364" s="1" t="s">
        <v>530</v>
      </c>
      <c r="I364" s="1" t="s">
        <v>2952</v>
      </c>
      <c r="J364" s="1" t="s">
        <v>607</v>
      </c>
      <c r="M364" s="15" t="s">
        <v>482</v>
      </c>
      <c r="N364" s="1" t="s">
        <v>4606</v>
      </c>
      <c r="O364" s="15">
        <v>9</v>
      </c>
      <c r="P364" s="15">
        <v>1974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64" s="1"/>
      <c r="U364" s="1"/>
      <c r="V364" s="32" t="s">
        <v>4634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64" s="15" t="str">
        <f>_xlfn.TEXTBEFORE(_xlfn.TEXTAFTER(CantoralDB[[#This Row],[index.html]],"&gt;"),"&gt;")&amp;"&gt;"</f>
        <v>&lt;a href="canciones/cesareo_gabarain/todos_unidos.html"&gt;</v>
      </c>
      <c r="Y364"/>
      <c r="Z364" s="1"/>
      <c r="AA364" s="1"/>
      <c r="AB364" s="1"/>
      <c r="AC364" s="1"/>
    </row>
    <row r="365" spans="1:29" x14ac:dyDescent="0.3">
      <c r="A365" s="33">
        <f>ROW(CantoralDB[[#This Row],[Título]])-1</f>
        <v>364</v>
      </c>
      <c r="B365" s="1" t="s">
        <v>4754</v>
      </c>
      <c r="C365" s="1"/>
      <c r="D365" s="33"/>
      <c r="E365" s="33"/>
      <c r="I365" s="33"/>
      <c r="J365" s="1"/>
      <c r="M365" s="15" t="s">
        <v>482</v>
      </c>
      <c r="N365" s="1" t="s">
        <v>4606</v>
      </c>
      <c r="O365" s="15">
        <v>10</v>
      </c>
      <c r="P365" s="15">
        <v>1974</v>
      </c>
      <c r="Q365" s="34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34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65" s="35"/>
      <c r="U365" s="33"/>
      <c r="V365" s="32" t="s">
        <v>4775</v>
      </c>
      <c r="W3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65" s="34" t="str">
        <f>_xlfn.TEXTBEFORE(_xlfn.TEXTAFTER(CantoralDB[[#This Row],[index.html]],"&gt;"),"&gt;")&amp;"&gt;"</f>
        <v>&lt;a href="canciones/cesareo_gabarain/yo_vi_reir_a_dios.html"&gt;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137</v>
      </c>
      <c r="C366" s="1" t="s">
        <v>992</v>
      </c>
      <c r="D366" s="1" t="s">
        <v>1004</v>
      </c>
      <c r="E366" s="1">
        <v>241</v>
      </c>
      <c r="G366" s="1" t="s">
        <v>208</v>
      </c>
      <c r="H366" s="1" t="s">
        <v>530</v>
      </c>
      <c r="J366" s="1" t="s">
        <v>607</v>
      </c>
      <c r="M366" s="15" t="s">
        <v>482</v>
      </c>
      <c r="N366" s="1" t="s">
        <v>4606</v>
      </c>
      <c r="O366" s="15">
        <v>11</v>
      </c>
      <c r="P366" s="15">
        <v>1974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66" s="1" t="s">
        <v>859</v>
      </c>
      <c r="U366" s="1"/>
      <c r="V366" s="32" t="s">
        <v>4631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66" s="15" t="str">
        <f>_xlfn.TEXTBEFORE(_xlfn.TEXTAFTER(CantoralDB[[#This Row],[index.html]],"&gt;"),"&gt;")&amp;"&gt;"</f>
        <v>&lt;a href="canciones/cesareo_gabarain/sois_la_semilla.html"&gt;</v>
      </c>
      <c r="Y366"/>
      <c r="Z366" s="1"/>
      <c r="AA366" s="1"/>
      <c r="AB366" s="1"/>
      <c r="AC366" s="1"/>
    </row>
    <row r="367" spans="1:29" x14ac:dyDescent="0.3">
      <c r="A367" s="33">
        <f>ROW(CantoralDB[[#This Row],[Título]])-1</f>
        <v>366</v>
      </c>
      <c r="B367" s="1" t="s">
        <v>4785</v>
      </c>
      <c r="C367" s="1"/>
      <c r="D367" s="33"/>
      <c r="E367" s="33"/>
      <c r="I367" s="33"/>
      <c r="J367" s="1"/>
      <c r="M367" s="15" t="s">
        <v>482</v>
      </c>
      <c r="N367" s="1" t="s">
        <v>4643</v>
      </c>
      <c r="O367" s="15">
        <v>1</v>
      </c>
      <c r="P367" s="15">
        <v>1985</v>
      </c>
      <c r="Q367" s="34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34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67" s="35"/>
      <c r="U367" s="33"/>
      <c r="V367" s="32" t="s">
        <v>4776</v>
      </c>
      <c r="W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67" s="34" t="str">
        <f>_xlfn.TEXTBEFORE(_xlfn.TEXTAFTER(CantoralDB[[#This Row],[index.html]],"&gt;"),"&gt;")&amp;"&gt;"</f>
        <v>&lt;a href="canciones/cesareo_gabarain/por_el_aire_vuela_el_pajaro.html"&gt;</v>
      </c>
      <c r="Y367"/>
      <c r="Z367" s="1"/>
      <c r="AA367" s="1"/>
      <c r="AB367" s="1"/>
      <c r="AC367" s="1"/>
    </row>
    <row r="368" spans="1:29" x14ac:dyDescent="0.3">
      <c r="A368" s="33">
        <f>ROW(CantoralDB[[#This Row],[Título]])-1</f>
        <v>367</v>
      </c>
      <c r="B368" s="1" t="s">
        <v>4786</v>
      </c>
      <c r="C368" s="1"/>
      <c r="D368" s="33"/>
      <c r="E368" s="33"/>
      <c r="I368" s="33"/>
      <c r="J368" s="1"/>
      <c r="M368" s="15" t="s">
        <v>482</v>
      </c>
      <c r="N368" s="1" t="s">
        <v>4643</v>
      </c>
      <c r="O368" s="15">
        <v>2</v>
      </c>
      <c r="P368" s="15">
        <v>1985</v>
      </c>
      <c r="Q368" s="34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34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68" s="35"/>
      <c r="U368" s="33"/>
      <c r="V368" s="32" t="s">
        <v>4777</v>
      </c>
      <c r="W3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68" s="34" t="str">
        <f>_xlfn.TEXTBEFORE(_xlfn.TEXTAFTER(CantoralDB[[#This Row],[index.html]],"&gt;"),"&gt;")&amp;"&gt;"</f>
        <v>&lt;a href="canciones/cesareo_gabarain/aleluya_mi_padre_dios_me_quiere.html"&gt;</v>
      </c>
      <c r="Y368"/>
      <c r="Z368" s="1"/>
      <c r="AA368" s="1"/>
      <c r="AB368" s="1"/>
      <c r="AC368" s="1"/>
    </row>
    <row r="369" spans="1:29" x14ac:dyDescent="0.3">
      <c r="A369" s="33">
        <f>ROW(CantoralDB[[#This Row],[Título]])-1</f>
        <v>368</v>
      </c>
      <c r="B369" s="1" t="s">
        <v>4787</v>
      </c>
      <c r="C369" s="1"/>
      <c r="D369" s="33"/>
      <c r="E369" s="33"/>
      <c r="I369" s="33"/>
      <c r="J369" s="1"/>
      <c r="M369" s="15" t="s">
        <v>482</v>
      </c>
      <c r="N369" s="1" t="s">
        <v>4643</v>
      </c>
      <c r="O369" s="15">
        <v>3</v>
      </c>
      <c r="P369" s="15">
        <v>1985</v>
      </c>
      <c r="Q369" s="34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34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369" s="35"/>
      <c r="U369" s="33"/>
      <c r="V369" s="32" t="s">
        <v>4778</v>
      </c>
      <c r="W3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369" s="34" t="str">
        <f>_xlfn.TEXTBEFORE(_xlfn.TEXTAFTER(CantoralDB[[#This Row],[index.html]],"&gt;"),"&gt;")&amp;"&gt;"</f>
        <v>&lt;a href="canciones/cesareo_gabarain/dios_es_alegre.html"&gt;</v>
      </c>
      <c r="Y369"/>
      <c r="Z369" s="1"/>
      <c r="AA369" s="1"/>
      <c r="AB369" s="1"/>
      <c r="AC369" s="1"/>
    </row>
    <row r="370" spans="1:29" x14ac:dyDescent="0.3">
      <c r="A370" s="33">
        <f>ROW(CantoralDB[[#This Row],[Título]])-1</f>
        <v>369</v>
      </c>
      <c r="B370" s="1" t="s">
        <v>4788</v>
      </c>
      <c r="C370" s="1"/>
      <c r="D370" s="33"/>
      <c r="E370" s="33"/>
      <c r="I370" s="33"/>
      <c r="J370" s="1"/>
      <c r="M370" s="15" t="s">
        <v>482</v>
      </c>
      <c r="N370" s="1" t="s">
        <v>4643</v>
      </c>
      <c r="O370" s="15">
        <v>4</v>
      </c>
      <c r="P370" s="15">
        <v>1985</v>
      </c>
      <c r="Q370" s="34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34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370" s="35"/>
      <c r="U370" s="33"/>
      <c r="V370" s="32" t="s">
        <v>4779</v>
      </c>
      <c r="W3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370" s="34" t="str">
        <f>_xlfn.TEXTBEFORE(_xlfn.TEXTAFTER(CantoralDB[[#This Row],[index.html]],"&gt;"),"&gt;")&amp;"&gt;"</f>
        <v>&lt;a href="canciones/cesareo_gabarain/buenos_dias_señor.html"&gt;</v>
      </c>
      <c r="Y370"/>
      <c r="Z370" s="1"/>
      <c r="AA370" s="1"/>
      <c r="AB370" s="1"/>
      <c r="AC370" s="1"/>
    </row>
    <row r="371" spans="1:29" x14ac:dyDescent="0.3">
      <c r="A371" s="33">
        <f>ROW(CantoralDB[[#This Row],[Título]])-1</f>
        <v>370</v>
      </c>
      <c r="B371" s="1" t="s">
        <v>4617</v>
      </c>
      <c r="C371" s="1"/>
      <c r="D371" s="33"/>
      <c r="E371" s="33"/>
      <c r="I371" s="33"/>
      <c r="J371" s="1"/>
      <c r="M371" s="15" t="s">
        <v>482</v>
      </c>
      <c r="N371" s="1" t="s">
        <v>4643</v>
      </c>
      <c r="O371" s="15">
        <v>5</v>
      </c>
      <c r="P371" s="15">
        <v>1985</v>
      </c>
      <c r="Q371" s="34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34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371" s="35"/>
      <c r="U371" s="33"/>
      <c r="V371" s="32" t="s">
        <v>4780</v>
      </c>
      <c r="W3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371" s="34" t="str">
        <f>_xlfn.TEXTBEFORE(_xlfn.TEXTAFTER(CantoralDB[[#This Row],[index.html]],"&gt;"),"&gt;")&amp;"&gt;"</f>
        <v>&lt;a href="canciones/cesareo_gabarain/lampara_de_barro.html"&gt;</v>
      </c>
      <c r="Y371"/>
      <c r="Z371" s="1"/>
      <c r="AA371" s="1"/>
      <c r="AB371" s="1"/>
      <c r="AC371" s="1"/>
    </row>
    <row r="372" spans="1:29" x14ac:dyDescent="0.3">
      <c r="A372" s="33">
        <f>ROW(CantoralDB[[#This Row],[Título]])-1</f>
        <v>371</v>
      </c>
      <c r="B372" s="1" t="s">
        <v>4789</v>
      </c>
      <c r="C372" s="1"/>
      <c r="D372" s="33"/>
      <c r="E372" s="33"/>
      <c r="I372" s="33"/>
      <c r="J372" s="1"/>
      <c r="M372" s="15" t="s">
        <v>482</v>
      </c>
      <c r="N372" s="1" t="s">
        <v>4643</v>
      </c>
      <c r="O372" s="15">
        <v>6</v>
      </c>
      <c r="P372" s="15">
        <v>1985</v>
      </c>
      <c r="Q372" s="34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34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372" s="35"/>
      <c r="U372" s="33"/>
      <c r="V372" s="32" t="s">
        <v>4781</v>
      </c>
      <c r="W3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372" s="34" t="str">
        <f>_xlfn.TEXTBEFORE(_xlfn.TEXTAFTER(CantoralDB[[#This Row],[index.html]],"&gt;"),"&gt;")&amp;"&gt;"</f>
        <v>&lt;a href="canciones/cesareo_gabarain/una_roca_inmovil.html"&gt;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1356</v>
      </c>
      <c r="C373" s="1"/>
      <c r="E373" s="1">
        <v>315</v>
      </c>
      <c r="H373" s="1" t="s">
        <v>1026</v>
      </c>
      <c r="J373" s="1" t="s">
        <v>607</v>
      </c>
      <c r="M373" s="15" t="s">
        <v>482</v>
      </c>
      <c r="N373" s="1" t="s">
        <v>4643</v>
      </c>
      <c r="O373" s="15">
        <v>8</v>
      </c>
      <c r="P373" s="15">
        <v>1985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373" s="1"/>
      <c r="U373" s="1"/>
      <c r="V373" s="32" t="s">
        <v>4642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373" s="15" t="str">
        <f>_xlfn.TEXTBEFORE(_xlfn.TEXTAFTER(CantoralDB[[#This Row],[index.html]],"&gt;"),"&gt;")&amp;"&gt;"</f>
        <v>&lt;a href="canciones/cesareo_gabarain/yo_pensaba_que_el_hombre_era_grande.html"&gt;</v>
      </c>
      <c r="Y373"/>
      <c r="Z373" s="1"/>
      <c r="AA373" s="1"/>
      <c r="AB373" s="1"/>
      <c r="AC373" s="1"/>
    </row>
    <row r="374" spans="1:29" x14ac:dyDescent="0.3">
      <c r="A374" s="33">
        <f>ROW(CantoralDB[[#This Row],[Título]])-1</f>
        <v>373</v>
      </c>
      <c r="B374" s="1" t="s">
        <v>4790</v>
      </c>
      <c r="C374" s="1"/>
      <c r="D374" s="33"/>
      <c r="E374" s="33"/>
      <c r="I374" s="33"/>
      <c r="J374" s="1"/>
      <c r="M374" s="15" t="s">
        <v>482</v>
      </c>
      <c r="N374" s="1" t="s">
        <v>4643</v>
      </c>
      <c r="O374" s="15">
        <v>10</v>
      </c>
      <c r="P374" s="15">
        <v>1985</v>
      </c>
      <c r="Q374" s="34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34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374" s="35"/>
      <c r="U374" s="33"/>
      <c r="V374" s="32" t="s">
        <v>4782</v>
      </c>
      <c r="W3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374" s="34" t="str">
        <f>_xlfn.TEXTBEFORE(_xlfn.TEXTAFTER(CantoralDB[[#This Row],[index.html]],"&gt;"),"&gt;")&amp;"&gt;"</f>
        <v>&lt;a href="canciones/cesareo_gabarain/padre_bueno_dios_alegre.html"&gt;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78</v>
      </c>
      <c r="C375" s="1" t="s">
        <v>198</v>
      </c>
      <c r="D375" s="1" t="s">
        <v>1431</v>
      </c>
      <c r="E375" s="1">
        <v>140</v>
      </c>
      <c r="G375" s="1" t="s">
        <v>208</v>
      </c>
      <c r="H375" s="1" t="s">
        <v>1028</v>
      </c>
      <c r="J375" s="1" t="s">
        <v>607</v>
      </c>
      <c r="M375" s="15" t="s">
        <v>482</v>
      </c>
      <c r="N375" s="1" t="s">
        <v>4643</v>
      </c>
      <c r="O375" s="15">
        <v>11</v>
      </c>
      <c r="P375" s="15">
        <v>1985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375" s="1"/>
      <c r="U375" s="1"/>
      <c r="V375" s="32" t="s">
        <v>4783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375" s="15" t="str">
        <f>_xlfn.TEXTBEFORE(_xlfn.TEXTAFTER(CantoralDB[[#This Row],[index.html]],"&gt;"),"&gt;")&amp;"&gt;"</f>
        <v>&lt;a href="canciones/cesareo_gabarain/hoy_señor_te_damos_gracias.html"&gt;</v>
      </c>
      <c r="Y375"/>
      <c r="Z375" s="1"/>
      <c r="AA375" s="1"/>
      <c r="AB375" s="1"/>
      <c r="AC375" s="1"/>
    </row>
    <row r="376" spans="1:29" x14ac:dyDescent="0.3">
      <c r="A376" s="33">
        <f>ROW(CantoralDB[[#This Row],[Título]])-1</f>
        <v>375</v>
      </c>
      <c r="B376" s="1" t="s">
        <v>4791</v>
      </c>
      <c r="C376" s="1"/>
      <c r="D376" s="33"/>
      <c r="E376" s="33"/>
      <c r="I376" s="33"/>
      <c r="J376" s="1"/>
      <c r="M376" s="15" t="s">
        <v>482</v>
      </c>
      <c r="N376" s="1" t="s">
        <v>4643</v>
      </c>
      <c r="O376" s="15">
        <v>12</v>
      </c>
      <c r="P376" s="15">
        <v>1985</v>
      </c>
      <c r="Q376" s="34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34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376" s="35"/>
      <c r="U376" s="33"/>
      <c r="V376" s="32" t="s">
        <v>4784</v>
      </c>
      <c r="W3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376" s="34" t="str">
        <f>_xlfn.TEXTBEFORE(_xlfn.TEXTAFTER(CantoralDB[[#This Row],[index.html]],"&gt;"),"&gt;")&amp;"&gt;"</f>
        <v>&lt;a href="canciones/cesareo_gabarain/demos_gracias_al_señor.html"&gt;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1210</v>
      </c>
      <c r="C377" s="1"/>
      <c r="E377" s="1">
        <v>89</v>
      </c>
      <c r="H377" s="1" t="s">
        <v>1027</v>
      </c>
      <c r="J377" s="1" t="s">
        <v>607</v>
      </c>
      <c r="M377" s="15" t="s">
        <v>482</v>
      </c>
      <c r="N377" s="1" t="s">
        <v>4621</v>
      </c>
      <c r="O377" s="15">
        <v>2</v>
      </c>
      <c r="P377" s="15">
        <v>1978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377" s="1"/>
      <c r="U377" s="1"/>
      <c r="V377" s="32" t="s">
        <v>4620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377" s="15" t="str">
        <f>_xlfn.TEXTBEFORE(_xlfn.TEXTAFTER(CantoralDB[[#This Row],[index.html]],"&gt;"),"&gt;")&amp;"&gt;"</f>
        <v>&lt;a href="canciones/cesareo_gabarain/en_el_trabajo_de_cada_dia.html"&gt;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163</v>
      </c>
      <c r="C378" s="1" t="s">
        <v>190</v>
      </c>
      <c r="D378" s="1" t="s">
        <v>762</v>
      </c>
      <c r="E378" s="1">
        <v>278</v>
      </c>
      <c r="G378" s="1" t="s">
        <v>208</v>
      </c>
      <c r="H378" s="1" t="s">
        <v>530</v>
      </c>
      <c r="J378" s="1" t="s">
        <v>607</v>
      </c>
      <c r="M378" s="15" t="s">
        <v>482</v>
      </c>
      <c r="N378" s="1" t="s">
        <v>4613</v>
      </c>
      <c r="O378" s="15">
        <v>2</v>
      </c>
      <c r="P378" s="15">
        <v>1975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378" s="1"/>
      <c r="U378" s="1"/>
      <c r="V378" s="32" t="s">
        <v>4640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378" s="15" t="str">
        <f>_xlfn.TEXTBEFORE(_xlfn.TEXTAFTER(CantoralDB[[#This Row],[index.html]],"&gt;"),"&gt;")&amp;"&gt;"</f>
        <v>&lt;a href="canciones/cesareo_gabarain/vienen_con_alegria.html"&gt;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1223</v>
      </c>
      <c r="C379" s="1"/>
      <c r="E379" s="1">
        <v>302</v>
      </c>
      <c r="H379" s="1" t="s">
        <v>1027</v>
      </c>
      <c r="J379" s="1" t="s">
        <v>607</v>
      </c>
      <c r="M379" s="15" t="s">
        <v>482</v>
      </c>
      <c r="N379" s="1" t="s">
        <v>4613</v>
      </c>
      <c r="O379" s="15">
        <v>3</v>
      </c>
      <c r="P379" s="15">
        <v>1975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379" s="1"/>
      <c r="U379" s="1"/>
      <c r="V379" s="32" t="s">
        <v>4614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379" s="15" t="str">
        <f>_xlfn.TEXTBEFORE(_xlfn.TEXTAFTER(CantoralDB[[#This Row],[index.html]],"&gt;"),"&gt;")&amp;"&gt;"</f>
        <v>&lt;a href="canciones/cesareo_gabarain/cristo_te_necesita_para_amar.html"&gt;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1355</v>
      </c>
      <c r="C380" s="1"/>
      <c r="E380" s="1">
        <v>311</v>
      </c>
      <c r="H380" s="1" t="s">
        <v>1026</v>
      </c>
      <c r="J380" s="1" t="s">
        <v>607</v>
      </c>
      <c r="M380" s="15" t="s">
        <v>482</v>
      </c>
      <c r="N380" s="1" t="s">
        <v>4613</v>
      </c>
      <c r="O380" s="15">
        <v>6</v>
      </c>
      <c r="P380" s="15">
        <v>1975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380" s="1"/>
      <c r="U380" s="1"/>
      <c r="V380" s="32" t="s">
        <v>4644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380" s="15" t="str">
        <f>_xlfn.TEXTBEFORE(_xlfn.TEXTAFTER(CantoralDB[[#This Row],[index.html]],"&gt;"),"&gt;")&amp;"&gt;"</f>
        <v>&lt;a href="canciones/cesareo_gabarain/yo_tengo_un_amigo_que_me_ama.html"&gt;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28</v>
      </c>
      <c r="C381" s="1" t="s">
        <v>190</v>
      </c>
      <c r="D381" s="1" t="s">
        <v>729</v>
      </c>
      <c r="E381" s="1">
        <v>38</v>
      </c>
      <c r="G381" s="1" t="s">
        <v>208</v>
      </c>
      <c r="H381" s="1" t="s">
        <v>1026</v>
      </c>
      <c r="J381" s="1" t="s">
        <v>607</v>
      </c>
      <c r="M381" s="15" t="s">
        <v>482</v>
      </c>
      <c r="N381" s="1" t="s">
        <v>4608</v>
      </c>
      <c r="O381" s="15">
        <v>2</v>
      </c>
      <c r="P381" s="15">
        <v>1980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381" s="1"/>
      <c r="U381" s="1"/>
      <c r="V381" s="32" t="s">
        <v>4612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381" s="15" t="str">
        <f>_xlfn.TEXTBEFORE(_xlfn.TEXTAFTER(CantoralDB[[#This Row],[index.html]],"&gt;"),"&gt;")&amp;"&gt;"</f>
        <v>&lt;a href="canciones/cesareo_gabarain/caminando_voy.html"&gt;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62</v>
      </c>
      <c r="C382" s="1" t="s">
        <v>992</v>
      </c>
      <c r="D382" s="1" t="s">
        <v>704</v>
      </c>
      <c r="E382" s="1">
        <v>106</v>
      </c>
      <c r="G382" s="1" t="s">
        <v>208</v>
      </c>
      <c r="H382" s="1" t="s">
        <v>472</v>
      </c>
      <c r="I382" s="1" t="s">
        <v>2952</v>
      </c>
      <c r="J382" s="1" t="s">
        <v>607</v>
      </c>
      <c r="M382" s="15" t="s">
        <v>482</v>
      </c>
      <c r="N382" s="1" t="s">
        <v>4608</v>
      </c>
      <c r="O382" s="15">
        <v>4</v>
      </c>
      <c r="P382" s="15">
        <v>1980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382" s="1" t="s">
        <v>832</v>
      </c>
      <c r="U382" s="1"/>
      <c r="V382" s="32" t="s">
        <v>4622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382" s="15" t="str">
        <f>_xlfn.TEXTBEFORE(_xlfn.TEXTAFTER(CantoralDB[[#This Row],[index.html]],"&gt;"),"&gt;")&amp;"&gt;"</f>
        <v>&lt;a href="canciones/cesareo_gabarain/eres_mi_riqueza.html"&gt;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79</v>
      </c>
      <c r="C383" s="1" t="s">
        <v>992</v>
      </c>
      <c r="D383" s="1" t="s">
        <v>712</v>
      </c>
      <c r="E383" s="1">
        <v>142</v>
      </c>
      <c r="G383" s="1" t="s">
        <v>208</v>
      </c>
      <c r="H383" s="1" t="s">
        <v>530</v>
      </c>
      <c r="I383" s="1" t="s">
        <v>2949</v>
      </c>
      <c r="J383" s="1" t="s">
        <v>607</v>
      </c>
      <c r="M383" s="15" t="s">
        <v>482</v>
      </c>
      <c r="N383" s="1" t="s">
        <v>4608</v>
      </c>
      <c r="O383" s="15">
        <v>6</v>
      </c>
      <c r="P383" s="15">
        <v>1980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383" s="1"/>
      <c r="U383" s="1"/>
      <c r="V383" s="32" t="s">
        <v>4624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383" s="15" t="str">
        <f>_xlfn.TEXTBEFORE(_xlfn.TEXTAFTER(CantoralDB[[#This Row],[index.html]],"&gt;"),"&gt;")&amp;"&gt;"</f>
        <v>&lt;a href="canciones/cesareo_gabarain/iglesia_soy.html"&gt;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17</v>
      </c>
      <c r="C384" s="1" t="s">
        <v>193</v>
      </c>
      <c r="D384" s="1" t="s">
        <v>1376</v>
      </c>
      <c r="G384" s="1" t="s">
        <v>208</v>
      </c>
      <c r="H384" s="1" t="s">
        <v>1029</v>
      </c>
      <c r="I384" s="1" t="s">
        <v>2952</v>
      </c>
      <c r="J384" s="1" t="s">
        <v>607</v>
      </c>
      <c r="M384" s="15" t="s">
        <v>482</v>
      </c>
      <c r="N384" s="1" t="s">
        <v>4608</v>
      </c>
      <c r="O384" s="15">
        <v>7</v>
      </c>
      <c r="P384" s="15">
        <v>1980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384" s="1"/>
      <c r="U384" s="1"/>
      <c r="V384" s="32" t="s">
        <v>4609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X384" s="15" t="str">
        <f>_xlfn.TEXTBEFORE(_xlfn.TEXTAFTER(CantoralDB[[#This Row],[index.html]],"&gt;"),"&gt;")&amp;"&gt;"</f>
        <v>&lt;a href="canciones/cesareo_gabarain/aleluya_creo_en_ti_señor.html"&gt;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1195</v>
      </c>
      <c r="C385" s="1"/>
      <c r="E385" s="1">
        <v>70</v>
      </c>
      <c r="H385" s="1" t="s">
        <v>1026</v>
      </c>
      <c r="J385" s="1" t="s">
        <v>607</v>
      </c>
      <c r="M385" s="15" t="s">
        <v>482</v>
      </c>
      <c r="N385" s="1" t="s">
        <v>4608</v>
      </c>
      <c r="O385" s="15">
        <v>8</v>
      </c>
      <c r="P385" s="15">
        <v>1980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385" s="1"/>
      <c r="U385" s="1"/>
      <c r="V385" s="32" t="s">
        <v>4615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385" s="15" t="str">
        <f>_xlfn.TEXTBEFORE(_xlfn.TEXTAFTER(CantoralDB[[#This Row],[index.html]],"&gt;"),"&gt;")&amp;"&gt;"</f>
        <v>&lt;a href="canciones/cesareo_gabarain/cuando_rezamos_cuando_cantamos.html"&gt;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2891</v>
      </c>
      <c r="C386" s="1"/>
      <c r="E386" s="1">
        <v>306</v>
      </c>
      <c r="H386" s="1" t="s">
        <v>1026</v>
      </c>
      <c r="J386" s="1" t="s">
        <v>607</v>
      </c>
      <c r="M386" s="15" t="s">
        <v>482</v>
      </c>
      <c r="N386" s="1" t="s">
        <v>3017</v>
      </c>
      <c r="O386" s="15">
        <v>1</v>
      </c>
      <c r="P386" s="15">
        <v>1984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386" s="1"/>
      <c r="U386" s="1"/>
      <c r="V386" s="32" t="s">
        <v>4626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386" s="15" t="str">
        <f>_xlfn.TEXTBEFORE(_xlfn.TEXTAFTER(CantoralDB[[#This Row],[index.html]],"&gt;"),"&gt;")&amp;"&gt;"</f>
        <v>&lt;a href="canciones/cesareo_gabarain/la_misa_es_una_fiesta_muy_alegre.html"&gt;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2893</v>
      </c>
      <c r="C387" s="1"/>
      <c r="E387" s="1">
        <v>312</v>
      </c>
      <c r="H387" s="1" t="s">
        <v>1026</v>
      </c>
      <c r="J387" s="1" t="s">
        <v>607</v>
      </c>
      <c r="M387" s="15" t="s">
        <v>482</v>
      </c>
      <c r="N387" s="1" t="s">
        <v>3017</v>
      </c>
      <c r="O387" s="15">
        <v>2</v>
      </c>
      <c r="P387" s="15">
        <v>1984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387" s="1"/>
      <c r="U387" s="1"/>
      <c r="V387" s="32" t="s">
        <v>4636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387" s="15" t="str">
        <f>_xlfn.TEXTBEFORE(_xlfn.TEXTAFTER(CantoralDB[[#This Row],[index.html]],"&gt;"),"&gt;")&amp;"&gt;"</f>
        <v>&lt;a href="canciones/cesareo_gabarain/tu_que_siempre_nos_perdonas.html"&gt;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1244</v>
      </c>
      <c r="C388" s="1"/>
      <c r="E388" s="1">
        <v>105</v>
      </c>
      <c r="H388" s="1" t="s">
        <v>1026</v>
      </c>
      <c r="J388" s="1" t="s">
        <v>607</v>
      </c>
      <c r="M388" s="15" t="s">
        <v>482</v>
      </c>
      <c r="N388" s="1" t="s">
        <v>3017</v>
      </c>
      <c r="O388" s="15">
        <v>4</v>
      </c>
      <c r="P388" s="15">
        <v>1984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388" s="1"/>
      <c r="U388" s="1"/>
      <c r="V388" s="32" t="s">
        <v>4645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388" s="15" t="str">
        <f>_xlfn.TEXTBEFORE(_xlfn.TEXTAFTER(CantoralDB[[#This Row],[index.html]],"&gt;"),"&gt;")&amp;"&gt;"</f>
        <v>&lt;a href="canciones/cesareo_gabarain/enseñame_señor_tus_caminos.html"&gt;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102</v>
      </c>
      <c r="C389" s="1" t="s">
        <v>200</v>
      </c>
      <c r="D389" s="1" t="s">
        <v>668</v>
      </c>
      <c r="E389" s="1">
        <v>193</v>
      </c>
      <c r="G389" s="1" t="s">
        <v>208</v>
      </c>
      <c r="H389" s="1" t="s">
        <v>1029</v>
      </c>
      <c r="J389" s="1" t="s">
        <v>607</v>
      </c>
      <c r="M389" s="15" t="s">
        <v>482</v>
      </c>
      <c r="N389" s="1" t="s">
        <v>3017</v>
      </c>
      <c r="O389" s="15">
        <v>5</v>
      </c>
      <c r="P389" s="15">
        <v>1984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389" s="1"/>
      <c r="U389" s="1"/>
      <c r="V389" s="32" t="s">
        <v>4646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389" s="15" t="str">
        <f>_xlfn.TEXTBEFORE(_xlfn.TEXTAFTER(CantoralDB[[#This Row],[index.html]],"&gt;"),"&gt;")&amp;"&gt;"</f>
        <v>&lt;a href="canciones/cesareo_gabarain/ojala_escuchemos_hoy_su_voz.html"&gt;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1261</v>
      </c>
      <c r="C390" s="1"/>
      <c r="E390" s="1">
        <v>133</v>
      </c>
      <c r="H390" s="1" t="s">
        <v>1027</v>
      </c>
      <c r="J390" s="1" t="s">
        <v>607</v>
      </c>
      <c r="M390" s="15" t="s">
        <v>482</v>
      </c>
      <c r="N390" s="1" t="s">
        <v>3017</v>
      </c>
      <c r="O390" s="15">
        <v>6</v>
      </c>
      <c r="P390" s="15">
        <v>1984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390" s="1"/>
      <c r="U390" s="1"/>
      <c r="V390" s="32" t="s">
        <v>4647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390" s="15" t="str">
        <f>_xlfn.TEXTBEFORE(_xlfn.TEXTAFTER(CantoralDB[[#This Row],[index.html]],"&gt;"),"&gt;")&amp;"&gt;"</f>
        <v>&lt;a href="canciones/cesareo_gabarain/haz_señor.html"&gt;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151</v>
      </c>
      <c r="C391" s="1" t="s">
        <v>194</v>
      </c>
      <c r="D391" s="1" t="s">
        <v>772</v>
      </c>
      <c r="E391" s="1">
        <v>468</v>
      </c>
      <c r="G391" s="1" t="s">
        <v>208</v>
      </c>
      <c r="H391" s="1" t="s">
        <v>472</v>
      </c>
      <c r="I391" s="1" t="s">
        <v>2952</v>
      </c>
      <c r="J391" s="1" t="s">
        <v>607</v>
      </c>
      <c r="M391" s="15" t="s">
        <v>482</v>
      </c>
      <c r="N391" s="1" t="s">
        <v>3017</v>
      </c>
      <c r="O391" s="15">
        <v>8</v>
      </c>
      <c r="P391" s="15">
        <v>1984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391" s="1" t="s">
        <v>865</v>
      </c>
      <c r="U391" s="1"/>
      <c r="V391" s="32" t="s">
        <v>4637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391" s="15" t="str">
        <f>_xlfn.TEXTBEFORE(_xlfn.TEXTAFTER(CantoralDB[[#This Row],[index.html]],"&gt;"),"&gt;")&amp;"&gt;"</f>
        <v>&lt;a href="canciones/cesareo_gabarain/un_niño_se_te_acerco.html"&gt;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2892</v>
      </c>
      <c r="C392" s="1"/>
      <c r="E392" s="1">
        <v>307</v>
      </c>
      <c r="H392" s="1" t="s">
        <v>1026</v>
      </c>
      <c r="J392" s="1" t="s">
        <v>607</v>
      </c>
      <c r="M392" s="15" t="s">
        <v>482</v>
      </c>
      <c r="N392" s="1" t="s">
        <v>3017</v>
      </c>
      <c r="O392" s="15">
        <v>14</v>
      </c>
      <c r="P392" s="15">
        <v>1984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392" s="1"/>
      <c r="U392" s="1"/>
      <c r="V392" s="32" t="s">
        <v>4627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392" s="15" t="str">
        <f>_xlfn.TEXTBEFORE(_xlfn.TEXTAFTER(CantoralDB[[#This Row],[index.html]],"&gt;"),"&gt;")&amp;"&gt;"</f>
        <v>&lt;a href="canciones/cesareo_gabarain/la_misa_no_termina_aqui_en_la_iglesia.html"&gt;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1348</v>
      </c>
      <c r="C393" s="1"/>
      <c r="E393" s="1">
        <v>292</v>
      </c>
      <c r="H393" s="1" t="s">
        <v>1029</v>
      </c>
      <c r="J393" s="1" t="s">
        <v>607</v>
      </c>
      <c r="M393" s="15" t="s">
        <v>482</v>
      </c>
      <c r="N393" s="1" t="s">
        <v>3017</v>
      </c>
      <c r="O393" s="15">
        <v>17</v>
      </c>
      <c r="P393" s="15">
        <v>1984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393" s="1"/>
      <c r="U393" s="1"/>
      <c r="V393" s="32" t="s">
        <v>4641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393" s="15" t="str">
        <f>_xlfn.TEXTBEFORE(_xlfn.TEXTAFTER(CantoralDB[[#This Row],[index.html]],"&gt;"),"&gt;")&amp;"&gt;"</f>
        <v>&lt;a href="canciones/cesareo_gabarain/yo_confio_en_ti_señor.html"&gt;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1353</v>
      </c>
      <c r="C394" s="1"/>
      <c r="E394" s="1">
        <v>308</v>
      </c>
      <c r="F394" s="1">
        <v>206</v>
      </c>
      <c r="H394" s="1" t="s">
        <v>1026</v>
      </c>
      <c r="J394" s="1" t="s">
        <v>607</v>
      </c>
      <c r="M394" s="15" t="s">
        <v>482</v>
      </c>
      <c r="N394" s="1" t="s">
        <v>4617</v>
      </c>
      <c r="O394" s="15">
        <v>1</v>
      </c>
      <c r="P394" s="15">
        <v>1977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394" s="1"/>
      <c r="U394" s="1"/>
      <c r="V394" s="32" t="s">
        <v>4628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X394" s="15" t="str">
        <f>_xlfn.TEXTBEFORE(_xlfn.TEXTAFTER(CantoralDB[[#This Row],[index.html]],"&gt;"),"&gt;")&amp;"&gt;"</f>
        <v>&lt;a href="canciones/cesareo_gabarain/nadie_hay_tan_grande_como_tu.html"&gt;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177</v>
      </c>
      <c r="C395" s="1" t="s">
        <v>190</v>
      </c>
      <c r="D395" s="1" t="s">
        <v>731</v>
      </c>
      <c r="G395" s="1" t="s">
        <v>208</v>
      </c>
      <c r="H395" s="1" t="s">
        <v>530</v>
      </c>
      <c r="J395" s="1" t="s">
        <v>607</v>
      </c>
      <c r="M395" s="15" t="s">
        <v>482</v>
      </c>
      <c r="N395" s="1" t="s">
        <v>4617</v>
      </c>
      <c r="O395" s="15">
        <v>5</v>
      </c>
      <c r="P395" s="15">
        <v>1977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395" s="1" t="s">
        <v>819</v>
      </c>
      <c r="U395" s="1"/>
      <c r="V395" s="32" t="s">
        <v>4616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395" s="15" t="str">
        <f>_xlfn.TEXTBEFORE(_xlfn.TEXTAFTER(CantoralDB[[#This Row],[index.html]],"&gt;"),"&gt;")&amp;"&gt;"</f>
        <v>&lt;a href="canciones/cesareo_gabarain/dios_es_amor.html"&gt;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1247</v>
      </c>
      <c r="C396" s="1"/>
      <c r="E396" s="1">
        <v>115</v>
      </c>
      <c r="H396" s="1" t="s">
        <v>530</v>
      </c>
      <c r="J396" s="1" t="s">
        <v>607</v>
      </c>
      <c r="M396" s="15" t="s">
        <v>482</v>
      </c>
      <c r="N396" s="1" t="s">
        <v>4619</v>
      </c>
      <c r="O396" s="15">
        <v>1</v>
      </c>
      <c r="P396" s="15">
        <v>1971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396" s="1"/>
      <c r="U396" s="1"/>
      <c r="V396" s="32" t="s">
        <v>4623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396" s="15" t="str">
        <f>_xlfn.TEXTBEFORE(_xlfn.TEXTAFTER(CantoralDB[[#This Row],[index.html]],"&gt;"),"&gt;")&amp;"&gt;"</f>
        <v>&lt;a href="canciones/cesareo_gabarain/esperando_esperando.html"&gt;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154</v>
      </c>
      <c r="C397" s="1" t="s">
        <v>191</v>
      </c>
      <c r="D397" s="1" t="s">
        <v>1472</v>
      </c>
      <c r="E397" s="1">
        <v>274</v>
      </c>
      <c r="G397" s="1" t="s">
        <v>208</v>
      </c>
      <c r="H397" s="1" t="s">
        <v>530</v>
      </c>
      <c r="J397" s="1" t="s">
        <v>607</v>
      </c>
      <c r="M397" s="15" t="s">
        <v>482</v>
      </c>
      <c r="N397" s="1" t="s">
        <v>4619</v>
      </c>
      <c r="O397" s="15">
        <v>6</v>
      </c>
      <c r="P397" s="15">
        <v>1971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397" s="1"/>
      <c r="U397" s="1"/>
      <c r="V397" s="32" t="s">
        <v>4639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397" s="15" t="str">
        <f>_xlfn.TEXTBEFORE(_xlfn.TEXTAFTER(CantoralDB[[#This Row],[index.html]],"&gt;"),"&gt;")&amp;"&gt;"</f>
        <v>&lt;a href="canciones/cesareo_gabarain/una_nueva_vida.html"&gt;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153</v>
      </c>
      <c r="C398" s="1" t="s">
        <v>194</v>
      </c>
      <c r="D398" s="1" t="s">
        <v>773</v>
      </c>
      <c r="E398" s="1">
        <v>271</v>
      </c>
      <c r="G398" s="1" t="s">
        <v>208</v>
      </c>
      <c r="H398" s="1" t="s">
        <v>1029</v>
      </c>
      <c r="J398" s="1" t="s">
        <v>607</v>
      </c>
      <c r="M398" s="15" t="s">
        <v>482</v>
      </c>
      <c r="N398" s="1" t="s">
        <v>4619</v>
      </c>
      <c r="O398" s="15">
        <v>7</v>
      </c>
      <c r="P398" s="15">
        <v>1971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398" s="1"/>
      <c r="U398" s="1"/>
      <c r="V398" s="32" t="s">
        <v>4638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398" s="15" t="str">
        <f>_xlfn.TEXTBEFORE(_xlfn.TEXTAFTER(CantoralDB[[#This Row],[index.html]],"&gt;"),"&gt;")&amp;"&gt;"</f>
        <v>&lt;a href="canciones/cesareo_gabarain/una_espiga_dorada.html"&gt;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179</v>
      </c>
      <c r="C399" s="1" t="s">
        <v>475</v>
      </c>
      <c r="D399" s="1" t="s">
        <v>1412</v>
      </c>
      <c r="G399" s="1" t="s">
        <v>208</v>
      </c>
      <c r="H399" s="1" t="s">
        <v>1029</v>
      </c>
      <c r="J399" s="1" t="s">
        <v>607</v>
      </c>
      <c r="M399" s="15" t="s">
        <v>482</v>
      </c>
      <c r="N399" s="1" t="s">
        <v>4619</v>
      </c>
      <c r="O399" s="15">
        <v>15</v>
      </c>
      <c r="P399" s="15">
        <v>1971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399" s="1"/>
      <c r="U399" s="1"/>
      <c r="V399" s="32" t="s">
        <v>4618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399" s="15" t="str">
        <f>_xlfn.TEXTBEFORE(_xlfn.TEXTAFTER(CantoralDB[[#This Row],[index.html]],"&gt;"),"&gt;")&amp;"&gt;"</f>
        <v>&lt;a href="canciones/cesareo_gabarain/el_niño_dios_ha_nacido_en_belen.html"&gt;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83</v>
      </c>
      <c r="C400" s="1" t="s">
        <v>190</v>
      </c>
      <c r="D400" s="1" t="s">
        <v>742</v>
      </c>
      <c r="E400" s="1">
        <v>145</v>
      </c>
      <c r="G400" s="1" t="s">
        <v>208</v>
      </c>
      <c r="H400" s="1" t="s">
        <v>530</v>
      </c>
      <c r="J400" s="1" t="s">
        <v>607</v>
      </c>
      <c r="M400" s="15" t="s">
        <v>482</v>
      </c>
      <c r="N400" s="1" t="s">
        <v>1840</v>
      </c>
      <c r="O400" s="15">
        <v>2</v>
      </c>
      <c r="P400" s="15">
        <v>1979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00" s="1"/>
      <c r="U400" s="1"/>
      <c r="V400" s="32" t="s">
        <v>4625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00" s="15" t="str">
        <f>_xlfn.TEXTBEFORE(_xlfn.TEXTAFTER(CantoralDB[[#This Row],[index.html]],"&gt;"),"&gt;")&amp;"&gt;"</f>
        <v>&lt;a href="canciones/cesareo_gabarain/juntos_como_hermanos.html"&gt;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24</v>
      </c>
      <c r="C401" s="1" t="s">
        <v>992</v>
      </c>
      <c r="D401" s="1" t="s">
        <v>1038</v>
      </c>
      <c r="E401" s="1">
        <v>410</v>
      </c>
      <c r="G401" s="1" t="s">
        <v>208</v>
      </c>
      <c r="H401" s="1" t="s">
        <v>1026</v>
      </c>
      <c r="J401" s="1" t="s">
        <v>607</v>
      </c>
      <c r="M401" s="15" t="s">
        <v>542</v>
      </c>
      <c r="O401" s="15"/>
      <c r="P401" s="15"/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01" s="1"/>
      <c r="U401" s="1"/>
      <c r="V401" s="15"/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01" s="15" t="str">
        <f>_xlfn.TEXTBEFORE(_xlfn.TEXTAFTER(CantoralDB[[#This Row],[index.html]],"&gt;"),"&gt;")&amp;"&gt;"</f>
        <v>&lt;a href="canciones/emilio_vicente_mateu/amar_es_darse.html"&gt;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27</v>
      </c>
      <c r="C402" s="1" t="s">
        <v>992</v>
      </c>
      <c r="D402" s="1" t="s">
        <v>685</v>
      </c>
      <c r="E402" s="1">
        <v>34</v>
      </c>
      <c r="G402" s="1" t="s">
        <v>208</v>
      </c>
      <c r="H402" s="1" t="s">
        <v>1029</v>
      </c>
      <c r="I402" s="1" t="s">
        <v>2951</v>
      </c>
      <c r="J402" s="1" t="s">
        <v>607</v>
      </c>
      <c r="M402" s="15" t="s">
        <v>542</v>
      </c>
      <c r="O402" s="15"/>
      <c r="P402" s="15"/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02" s="1" t="s">
        <v>808</v>
      </c>
      <c r="U402" s="1"/>
      <c r="V402" s="15"/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02" s="15" t="str">
        <f>_xlfn.TEXTBEFORE(_xlfn.TEXTAFTER(CantoralDB[[#This Row],[index.html]],"&gt;"),"&gt;")&amp;"&gt;"</f>
        <v>&lt;a href="canciones/emilio_vicente_mateu/bienaventurados_seremos_señor.html"&gt;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32</v>
      </c>
      <c r="C403" s="1" t="s">
        <v>475</v>
      </c>
      <c r="D403" s="1" t="s">
        <v>1397</v>
      </c>
      <c r="E403" s="1">
        <v>50</v>
      </c>
      <c r="G403" s="1" t="s">
        <v>208</v>
      </c>
      <c r="H403" s="1" t="s">
        <v>1026</v>
      </c>
      <c r="J403" s="1" t="s">
        <v>607</v>
      </c>
      <c r="M403" s="15" t="s">
        <v>542</v>
      </c>
      <c r="O403" s="15"/>
      <c r="P403" s="15"/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03" s="1"/>
      <c r="U403" s="1"/>
      <c r="V403" s="15"/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03" s="15" t="str">
        <f>_xlfn.TEXTBEFORE(_xlfn.TEXTAFTER(CantoralDB[[#This Row],[index.html]],"&gt;"),"&gt;")&amp;"&gt;"</f>
        <v>&lt;a href="canciones/emilio_vicente_mateu/cantemos_todos_la_navidad.html"&gt;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1207</v>
      </c>
      <c r="C404" s="1"/>
      <c r="E404" s="1">
        <v>85</v>
      </c>
      <c r="J404" s="1"/>
      <c r="M404" s="15" t="s">
        <v>542</v>
      </c>
      <c r="O404" s="15"/>
      <c r="P404" s="15"/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04" s="1"/>
      <c r="U404" s="1"/>
      <c r="V404" s="15"/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04" s="15" t="str">
        <f>_xlfn.TEXTBEFORE(_xlfn.TEXTAFTER(CantoralDB[[#This Row],[index.html]],"&gt;"),"&gt;")&amp;"&gt;"</f>
        <v>&lt;a href="canciones/emilio_vicente_mateu/dios_te_salve_mi_señora.html"&gt;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54</v>
      </c>
      <c r="C405" s="1" t="s">
        <v>475</v>
      </c>
      <c r="D405" s="1" t="s">
        <v>1413</v>
      </c>
      <c r="E405" s="1">
        <v>92</v>
      </c>
      <c r="G405" s="1" t="s">
        <v>208</v>
      </c>
      <c r="H405" s="1" t="s">
        <v>1029</v>
      </c>
      <c r="J405" s="1" t="s">
        <v>607</v>
      </c>
      <c r="M405" s="15" t="s">
        <v>542</v>
      </c>
      <c r="O405" s="15"/>
      <c r="P405" s="15"/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05" s="1"/>
      <c r="U405" s="1"/>
      <c r="V405" s="15"/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05" s="15" t="str">
        <f>_xlfn.TEXTBEFORE(_xlfn.TEXTAFTER(CantoralDB[[#This Row],[index.html]],"&gt;"),"&gt;")&amp;"&gt;"</f>
        <v>&lt;a href="canciones/emilio_vicente_mateu/el_señor_nos_ha_nacido_en_belen.html"&gt;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87</v>
      </c>
      <c r="C406" s="1" t="s">
        <v>475</v>
      </c>
      <c r="D406" s="1" t="s">
        <v>1059</v>
      </c>
      <c r="E406" s="1">
        <v>158</v>
      </c>
      <c r="G406" s="1" t="s">
        <v>208</v>
      </c>
      <c r="H406" s="1" t="s">
        <v>530</v>
      </c>
      <c r="J406" s="1" t="s">
        <v>607</v>
      </c>
      <c r="M406" s="15" t="s">
        <v>542</v>
      </c>
      <c r="O406" s="15"/>
      <c r="P406" s="15"/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06" s="1"/>
      <c r="U406" s="1"/>
      <c r="V406" s="15"/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06" s="15" t="str">
        <f>_xlfn.TEXTBEFORE(_xlfn.TEXTAFTER(CantoralDB[[#This Row],[index.html]],"&gt;"),"&gt;")&amp;"&gt;"</f>
        <v>&lt;a href="canciones/emilio_vicente_mateu/los_magos_vienen_de_oriente.html"&gt;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1318</v>
      </c>
      <c r="C407" s="1"/>
      <c r="E407" s="1">
        <v>239</v>
      </c>
      <c r="H407" s="1" t="s">
        <v>530</v>
      </c>
      <c r="J407" s="1" t="s">
        <v>607</v>
      </c>
      <c r="M407" s="15" t="s">
        <v>542</v>
      </c>
      <c r="O407" s="15"/>
      <c r="P407" s="15"/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07" s="1"/>
      <c r="U407" s="1"/>
      <c r="V407" s="15"/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07" s="15" t="str">
        <f>_xlfn.TEXTBEFORE(_xlfn.TEXTAFTER(CantoralDB[[#This Row],[index.html]],"&gt;"),"&gt;")&amp;"&gt;"</f>
        <v>&lt;a href="canciones/emilio_vicente_mateu/siempre_unidos_mano_a_mano.html"&gt;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138</v>
      </c>
      <c r="C408" s="1" t="s">
        <v>992</v>
      </c>
      <c r="D408" s="1" t="s">
        <v>1005</v>
      </c>
      <c r="E408" s="1">
        <v>237</v>
      </c>
      <c r="G408" s="1" t="s">
        <v>208</v>
      </c>
      <c r="H408" s="1" t="s">
        <v>1029</v>
      </c>
      <c r="I408" s="1" t="s">
        <v>2953</v>
      </c>
      <c r="J408" s="1" t="s">
        <v>607</v>
      </c>
      <c r="M408" s="15" t="s">
        <v>542</v>
      </c>
      <c r="O408" s="15"/>
      <c r="P408" s="15"/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08" s="1"/>
      <c r="U408" s="1"/>
      <c r="V408" s="15"/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08" s="15" t="str">
        <f>_xlfn.TEXTBEFORE(_xlfn.TEXTAFTER(CantoralDB[[#This Row],[index.html]],"&gt;"),"&gt;")&amp;"&gt;"</f>
        <v>&lt;a href="canciones/emilio_vicente_mateu/somos_un_pueblo_que_camina.html"&gt;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1323</v>
      </c>
      <c r="C409" s="1"/>
      <c r="E409" s="1">
        <v>246</v>
      </c>
      <c r="J409" s="1"/>
      <c r="M409" s="15" t="s">
        <v>542</v>
      </c>
      <c r="O409" s="15"/>
      <c r="P409" s="15"/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09" s="1"/>
      <c r="U409" s="1"/>
      <c r="V409" s="15"/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09" s="15" t="str">
        <f>_xlfn.TEXTBEFORE(_xlfn.TEXTAFTER(CantoralDB[[#This Row],[index.html]],"&gt;"),"&gt;")&amp;"&gt;"</f>
        <v>&lt;a href="canciones/emilio_vicente_mateu/somos_un_solo_cuerpo.html"&gt;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1330</v>
      </c>
      <c r="C410" s="1"/>
      <c r="E410" s="1">
        <v>256</v>
      </c>
      <c r="J410" s="1"/>
      <c r="M410" s="15" t="s">
        <v>542</v>
      </c>
      <c r="O410" s="15"/>
      <c r="P410" s="15"/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10" s="1"/>
      <c r="U410" s="1"/>
      <c r="V410" s="15"/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10" s="15" t="str">
        <f>_xlfn.TEXTBEFORE(_xlfn.TEXTAFTER(CantoralDB[[#This Row],[index.html]],"&gt;"),"&gt;")&amp;"&gt;"</f>
        <v>&lt;a href="canciones/emilio_vicente_mateu/te_buscamos_señor.html"&gt;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1332</v>
      </c>
      <c r="C411" s="1"/>
      <c r="E411" s="1">
        <v>260</v>
      </c>
      <c r="H411" s="1" t="s">
        <v>1029</v>
      </c>
      <c r="J411" s="1" t="s">
        <v>607</v>
      </c>
      <c r="M411" s="15" t="s">
        <v>542</v>
      </c>
      <c r="O411" s="15"/>
      <c r="P411" s="15"/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11" s="1"/>
      <c r="U411" s="1"/>
      <c r="V411" s="32" t="s">
        <v>2970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11" s="15" t="str">
        <f>_xlfn.TEXTBEFORE(_xlfn.TEXTAFTER(CantoralDB[[#This Row],[index.html]],"&gt;"),"&gt;")&amp;"&gt;"</f>
        <v>&lt;a href="canciones/emilio_vicente_mateu/tiempo_de_espera.html"&gt;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1240</v>
      </c>
      <c r="C412" s="1"/>
      <c r="E412" s="1">
        <v>282</v>
      </c>
      <c r="H412" s="1" t="s">
        <v>472</v>
      </c>
      <c r="J412" s="1" t="s">
        <v>607</v>
      </c>
      <c r="M412" s="15" t="s">
        <v>542</v>
      </c>
      <c r="O412" s="15"/>
      <c r="P412" s="15"/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12" s="1"/>
      <c r="U412" s="1"/>
      <c r="V412" s="15"/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12" s="15" t="str">
        <f>_xlfn.TEXTBEFORE(_xlfn.TEXTAFTER(CantoralDB[[#This Row],[index.html]],"&gt;"),"&gt;")&amp;"&gt;"</f>
        <v>&lt;a href="canciones/emilio_vicente_mateu/vendra_la_libertad.html"&gt;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2112</v>
      </c>
      <c r="C413" s="1"/>
      <c r="E413" s="1">
        <v>293</v>
      </c>
      <c r="H413" s="1" t="s">
        <v>472</v>
      </c>
      <c r="J413" s="1" t="s">
        <v>607</v>
      </c>
      <c r="M413" s="15" t="s">
        <v>2137</v>
      </c>
      <c r="O413" s="15"/>
      <c r="P413" s="15"/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13" s="1"/>
      <c r="U413" s="1"/>
      <c r="V413" s="15"/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13" s="15" t="str">
        <f>_xlfn.TEXTBEFORE(_xlfn.TEXTAFTER(CantoralDB[[#This Row],[index.html]],"&gt;"),"&gt;")&amp;"&gt;"</f>
        <v>&lt;a href="canciones/fernando_viejo/como_era_pedro.html"&gt;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1190</v>
      </c>
      <c r="C414" s="1"/>
      <c r="E414" s="1">
        <v>64</v>
      </c>
      <c r="H414" s="1" t="s">
        <v>1026</v>
      </c>
      <c r="J414" s="1" t="s">
        <v>607</v>
      </c>
      <c r="M414" s="15" t="s">
        <v>2137</v>
      </c>
      <c r="O414" s="15"/>
      <c r="P414" s="15"/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14" s="1"/>
      <c r="U414" s="1"/>
      <c r="V414" s="15"/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14" s="15" t="str">
        <f>_xlfn.TEXTBEFORE(_xlfn.TEXTAFTER(CantoralDB[[#This Row],[index.html]],"&gt;"),"&gt;")&amp;"&gt;"</f>
        <v>&lt;a href="canciones/fernando_viejo/creo_en_dios_y_en_su_palabra.html"&gt;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1260</v>
      </c>
      <c r="C415" s="1"/>
      <c r="E415" s="1">
        <v>132</v>
      </c>
      <c r="H415" s="1" t="s">
        <v>1029</v>
      </c>
      <c r="J415" s="1" t="s">
        <v>607</v>
      </c>
      <c r="M415" s="15" t="s">
        <v>2137</v>
      </c>
      <c r="O415" s="15"/>
      <c r="P415" s="15"/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15" s="1"/>
      <c r="U415" s="1"/>
      <c r="V415" s="15"/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15" s="15" t="str">
        <f>_xlfn.TEXTBEFORE(_xlfn.TEXTAFTER(CantoralDB[[#This Row],[index.html]],"&gt;"),"&gt;")&amp;"&gt;"</f>
        <v>&lt;a href="canciones/fernando_viejo/hasta_cuando_señor.html"&gt;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1299</v>
      </c>
      <c r="C416" s="1"/>
      <c r="E416" s="1">
        <v>199</v>
      </c>
      <c r="H416" s="1" t="s">
        <v>1029</v>
      </c>
      <c r="J416" s="1" t="s">
        <v>607</v>
      </c>
      <c r="M416" s="15" t="s">
        <v>2137</v>
      </c>
      <c r="O416" s="15"/>
      <c r="P416" s="15"/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16" s="1"/>
      <c r="U416" s="1"/>
      <c r="V416" s="15"/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16" s="15" t="str">
        <f>_xlfn.TEXTBEFORE(_xlfn.TEXTAFTER(CantoralDB[[#This Row],[index.html]],"&gt;"),"&gt;")&amp;"&gt;"</f>
        <v>&lt;a href="canciones/fernando_viejo/padre_nuestro_que_estas_en_la_tierra.html"&gt;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1300</v>
      </c>
      <c r="C417" s="1"/>
      <c r="E417" s="1">
        <v>204</v>
      </c>
      <c r="H417" s="1" t="s">
        <v>1028</v>
      </c>
      <c r="J417" s="1" t="s">
        <v>607</v>
      </c>
      <c r="M417" s="15" t="s">
        <v>2137</v>
      </c>
      <c r="O417" s="15"/>
      <c r="P417" s="15"/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17" s="1"/>
      <c r="U417" s="1"/>
      <c r="V417" s="15"/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17" s="15" t="str">
        <f>_xlfn.TEXTBEFORE(_xlfn.TEXTAFTER(CantoralDB[[#This Row],[index.html]],"&gt;"),"&gt;")&amp;"&gt;"</f>
        <v>&lt;a href="canciones/fernando_viejo/piedad_señor_piedad.html"&gt;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1309</v>
      </c>
      <c r="C418" s="1"/>
      <c r="E418" s="1">
        <v>223</v>
      </c>
      <c r="H418" s="1" t="s">
        <v>472</v>
      </c>
      <c r="J418" s="1" t="s">
        <v>607</v>
      </c>
      <c r="M418" s="15" t="s">
        <v>2137</v>
      </c>
      <c r="O418" s="15"/>
      <c r="P418" s="15"/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18" s="1"/>
      <c r="U418" s="1"/>
      <c r="V418" s="32" t="s">
        <v>2971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18" s="15" t="str">
        <f>_xlfn.TEXTBEFORE(_xlfn.TEXTAFTER(CantoralDB[[#This Row],[index.html]],"&gt;"),"&gt;")&amp;"&gt;"</f>
        <v>&lt;a href="canciones/fernando_viejo/que_detalle_señor.html"&gt;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21</v>
      </c>
      <c r="C419" s="1" t="s">
        <v>190</v>
      </c>
      <c r="D419" s="1" t="s">
        <v>1381</v>
      </c>
      <c r="E419" s="1">
        <v>21</v>
      </c>
      <c r="G419" s="1" t="s">
        <v>208</v>
      </c>
      <c r="H419" s="1" t="s">
        <v>1026</v>
      </c>
      <c r="I419" s="1" t="s">
        <v>2952</v>
      </c>
      <c r="J419" s="1" t="s">
        <v>607</v>
      </c>
      <c r="M419" s="15" t="s">
        <v>480</v>
      </c>
      <c r="N419" s="1" t="s">
        <v>21</v>
      </c>
      <c r="O419" s="15">
        <v>1</v>
      </c>
      <c r="P419" s="15">
        <v>1978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19" s="1"/>
      <c r="U419" s="1"/>
      <c r="V419" s="32" t="s">
        <v>3587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19" s="15" t="str">
        <f>_xlfn.TEXTBEFORE(_xlfn.TEXTAFTER(CantoralDB[[#This Row],[index.html]],"&gt;"),"&gt;")&amp;"&gt;"</f>
        <v>&lt;a href="canciones/francisco_palazon/alrededor_de_tu_mesa.html"&gt;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2191</v>
      </c>
      <c r="C420" s="1"/>
      <c r="H420" s="1" t="s">
        <v>1027</v>
      </c>
      <c r="J420" s="1" t="s">
        <v>607</v>
      </c>
      <c r="M420" s="15" t="s">
        <v>480</v>
      </c>
      <c r="N420" s="1" t="s">
        <v>21</v>
      </c>
      <c r="O420" s="15">
        <v>2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20" s="1"/>
      <c r="U420" s="1"/>
      <c r="V420" s="32" t="s">
        <v>3588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20" s="15" t="str">
        <f>_xlfn.TEXTBEFORE(_xlfn.TEXTAFTER(CantoralDB[[#This Row],[index.html]],"&gt;"),"&gt;")&amp;"&gt;"</f>
        <v>&lt;a href="canciones/francisco_palazon/señor_ten_piedad_(alrededor_de_tu_mesa).html"&gt;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67</v>
      </c>
      <c r="C421" s="1" t="s">
        <v>192</v>
      </c>
      <c r="D421" s="1" t="s">
        <v>1421</v>
      </c>
      <c r="E421" s="1">
        <v>128</v>
      </c>
      <c r="G421" s="1" t="s">
        <v>208</v>
      </c>
      <c r="H421" s="1" t="s">
        <v>530</v>
      </c>
      <c r="J421" s="1" t="s">
        <v>607</v>
      </c>
      <c r="M421" s="15" t="s">
        <v>480</v>
      </c>
      <c r="N421" s="1" t="s">
        <v>21</v>
      </c>
      <c r="O421" s="15">
        <v>3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21" s="1"/>
      <c r="U421" s="1"/>
      <c r="V421" s="32" t="s">
        <v>3589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21" s="15" t="str">
        <f>_xlfn.TEXTBEFORE(_xlfn.TEXTAFTER(CantoralDB[[#This Row],[index.html]],"&gt;"),"&gt;")&amp;"&gt;"</f>
        <v>&lt;a href="canciones/francisco_palazon/gloria_a_dios_en_el_cielo.html"&gt;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1917</v>
      </c>
      <c r="C422" s="1"/>
      <c r="H422" s="1" t="s">
        <v>1027</v>
      </c>
      <c r="J422" s="1" t="s">
        <v>607</v>
      </c>
      <c r="M422" s="15" t="s">
        <v>480</v>
      </c>
      <c r="N422" s="1" t="s">
        <v>21</v>
      </c>
      <c r="O422" s="15">
        <v>4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22" s="1"/>
      <c r="U422" s="1"/>
      <c r="V422" s="32" t="s">
        <v>3590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22" s="15" t="str">
        <f>_xlfn.TEXTBEFORE(_xlfn.TEXTAFTER(CantoralDB[[#This Row],[index.html]],"&gt;"),"&gt;")&amp;"&gt;"</f>
        <v>&lt;a href="canciones/francisco_palazon/acabamos_de_oir_tu_palabra.html"&gt;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1918</v>
      </c>
      <c r="C423" s="1"/>
      <c r="H423" s="1" t="s">
        <v>1027</v>
      </c>
      <c r="J423" s="1" t="s">
        <v>607</v>
      </c>
      <c r="M423" s="15" t="s">
        <v>480</v>
      </c>
      <c r="N423" s="1" t="s">
        <v>21</v>
      </c>
      <c r="O423" s="15">
        <v>5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23" s="1"/>
      <c r="U423" s="1"/>
      <c r="V423" s="32" t="s">
        <v>3591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23" s="15" t="str">
        <f>_xlfn.TEXTBEFORE(_xlfn.TEXTAFTER(CantoralDB[[#This Row],[index.html]],"&gt;"),"&gt;")&amp;"&gt;"</f>
        <v>&lt;a href="canciones/francisco_palazon/bendito_seas_señor.html"&gt;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1234</v>
      </c>
      <c r="C424" s="1" t="s">
        <v>195</v>
      </c>
      <c r="D424" s="1" t="s">
        <v>1463</v>
      </c>
      <c r="E424" s="1">
        <v>245</v>
      </c>
      <c r="G424" s="1" t="s">
        <v>208</v>
      </c>
      <c r="H424" s="1" t="s">
        <v>530</v>
      </c>
      <c r="I424" s="1" t="s">
        <v>2949</v>
      </c>
      <c r="J424" s="1" t="s">
        <v>607</v>
      </c>
      <c r="M424" s="15" t="s">
        <v>480</v>
      </c>
      <c r="N424" s="1" t="s">
        <v>21</v>
      </c>
      <c r="O424" s="15">
        <v>6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24" s="1"/>
      <c r="U424" s="1"/>
      <c r="V424" s="32" t="s">
        <v>3592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24" s="15" t="str">
        <f>_xlfn.TEXTBEFORE(_xlfn.TEXTAFTER(CantoralDB[[#This Row],[index.html]],"&gt;"),"&gt;")&amp;"&gt;"</f>
        <v>&lt;a href="canciones/francisco_palazon/santo_(palazon).html"&gt;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1919</v>
      </c>
      <c r="C425" s="1"/>
      <c r="H425" s="1" t="s">
        <v>1027</v>
      </c>
      <c r="J425" s="1" t="s">
        <v>607</v>
      </c>
      <c r="M425" s="15" t="s">
        <v>480</v>
      </c>
      <c r="N425" s="1" t="s">
        <v>21</v>
      </c>
      <c r="O425" s="15">
        <v>7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25" s="1"/>
      <c r="U425" s="1"/>
      <c r="V425" s="32" t="s">
        <v>3593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25" s="15" t="str">
        <f>_xlfn.TEXTBEFORE(_xlfn.TEXTAFTER(CantoralDB[[#This Row],[index.html]],"&gt;"),"&gt;")&amp;"&gt;"</f>
        <v>&lt;a href="canciones/francisco_palazon/anunciamos_tu_muerte.html"&gt;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1555</v>
      </c>
      <c r="C426" s="1"/>
      <c r="H426" s="1" t="s">
        <v>1027</v>
      </c>
      <c r="J426" s="1" t="s">
        <v>607</v>
      </c>
      <c r="M426" s="15" t="s">
        <v>480</v>
      </c>
      <c r="N426" s="1" t="s">
        <v>21</v>
      </c>
      <c r="O426" s="15">
        <v>8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26" s="1"/>
      <c r="U426" s="1"/>
      <c r="V426" s="32" t="s">
        <v>3594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26" s="15" t="str">
        <f>_xlfn.TEXTBEFORE(_xlfn.TEXTAFTER(CantoralDB[[#This Row],[index.html]],"&gt;"),"&gt;")&amp;"&gt;"</f>
        <v>&lt;a href="canciones/francisco_palazon/padre_nuestro.html"&gt;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201</v>
      </c>
      <c r="C427" s="1"/>
      <c r="H427" s="1" t="s">
        <v>1027</v>
      </c>
      <c r="J427" s="1" t="s">
        <v>607</v>
      </c>
      <c r="M427" s="15" t="s">
        <v>480</v>
      </c>
      <c r="N427" s="1" t="s">
        <v>21</v>
      </c>
      <c r="O427" s="15">
        <v>10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27" s="1"/>
      <c r="U427" s="1"/>
      <c r="V427" s="32" t="s">
        <v>3595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27" s="15" t="str">
        <f>_xlfn.TEXTBEFORE(_xlfn.TEXTAFTER(CantoralDB[[#This Row],[index.html]],"&gt;"),"&gt;")&amp;"&gt;"</f>
        <v>&lt;a href="canciones/francisco_palazon/cordero_de_dios.html"&gt;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8</v>
      </c>
      <c r="C428" s="1" t="s">
        <v>190</v>
      </c>
      <c r="D428" s="1" t="s">
        <v>1365</v>
      </c>
      <c r="E428" s="1">
        <v>9</v>
      </c>
      <c r="G428" s="1" t="s">
        <v>208</v>
      </c>
      <c r="H428" s="1" t="s">
        <v>472</v>
      </c>
      <c r="I428" s="1" t="s">
        <v>2951</v>
      </c>
      <c r="J428" s="1" t="s">
        <v>607</v>
      </c>
      <c r="M428" s="15" t="s">
        <v>480</v>
      </c>
      <c r="N428" s="1" t="s">
        <v>21</v>
      </c>
      <c r="O428" s="15">
        <v>11</v>
      </c>
      <c r="P428" s="15">
        <v>1978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28" s="1"/>
      <c r="U428" s="1"/>
      <c r="V428" s="32" t="s">
        <v>3596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28" s="15" t="str">
        <f>_xlfn.TEXTBEFORE(_xlfn.TEXTAFTER(CantoralDB[[#This Row],[index.html]],"&gt;"),"&gt;")&amp;"&gt;"</f>
        <v>&lt;a href="canciones/francisco_palazon/acerquemonos_todos_al_altar.html"&gt;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1921</v>
      </c>
      <c r="C429" s="1"/>
      <c r="H429" s="1" t="s">
        <v>1027</v>
      </c>
      <c r="J429" s="1" t="s">
        <v>607</v>
      </c>
      <c r="M429" s="15" t="s">
        <v>480</v>
      </c>
      <c r="N429" s="1" t="s">
        <v>21</v>
      </c>
      <c r="O429" s="15">
        <v>12</v>
      </c>
      <c r="P429" s="15">
        <v>1978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29" s="1"/>
      <c r="U429" s="1"/>
      <c r="V429" s="32" t="s">
        <v>3597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29" s="15" t="str">
        <f>_xlfn.TEXTBEFORE(_xlfn.TEXTAFTER(CantoralDB[[#This Row],[index.html]],"&gt;"),"&gt;")&amp;"&gt;"</f>
        <v>&lt;a href="canciones/francisco_palazon/anunciando_tu_venida.html"&gt;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2204</v>
      </c>
      <c r="C430" s="1"/>
      <c r="H430" s="1" t="s">
        <v>1027</v>
      </c>
      <c r="J430" s="1" t="s">
        <v>607</v>
      </c>
      <c r="M430" s="15" t="s">
        <v>480</v>
      </c>
      <c r="N430" s="1" t="s">
        <v>1922</v>
      </c>
      <c r="O430" s="15">
        <v>1</v>
      </c>
      <c r="P430" s="15">
        <v>1970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30" s="1" t="s">
        <v>2192</v>
      </c>
      <c r="U430" s="1"/>
      <c r="V430" s="32" t="s">
        <v>4236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30" s="15" t="str">
        <f>_xlfn.TEXTBEFORE(_xlfn.TEXTAFTER(CantoralDB[[#This Row],[index.html]],"&gt;"),"&gt;")&amp;"&gt;"</f>
        <v>&lt;a href="canciones/francisco_palazon/junto_a_los_canales_de_babilonia.html"&gt;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2205</v>
      </c>
      <c r="C431" s="1"/>
      <c r="H431" s="1" t="s">
        <v>1029</v>
      </c>
      <c r="J431" s="1" t="s">
        <v>607</v>
      </c>
      <c r="M431" s="15" t="s">
        <v>480</v>
      </c>
      <c r="N431" s="1" t="s">
        <v>1922</v>
      </c>
      <c r="O431" s="15">
        <v>2</v>
      </c>
      <c r="P431" s="15">
        <v>1970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31" s="1" t="s">
        <v>2193</v>
      </c>
      <c r="U431" s="1"/>
      <c r="V431" s="32" t="s">
        <v>4237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31" s="15" t="str">
        <f>_xlfn.TEXTBEFORE(_xlfn.TEXTAFTER(CantoralDB[[#This Row],[index.html]],"&gt;"),"&gt;")&amp;"&gt;"</f>
        <v>&lt;a href="canciones/francisco_palazon/dichoso_quien_se_acuerda_del_hermano.html"&gt;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2206</v>
      </c>
      <c r="C432" s="1"/>
      <c r="H432" s="1" t="s">
        <v>1026</v>
      </c>
      <c r="J432" s="1" t="s">
        <v>607</v>
      </c>
      <c r="M432" s="15" t="s">
        <v>480</v>
      </c>
      <c r="N432" s="1" t="s">
        <v>1922</v>
      </c>
      <c r="O432" s="15">
        <v>3</v>
      </c>
      <c r="P432" s="15">
        <v>1970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32" s="1" t="s">
        <v>2194</v>
      </c>
      <c r="U432" s="1"/>
      <c r="V432" s="32" t="s">
        <v>4238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32" s="15" t="str">
        <f>_xlfn.TEXTBEFORE(_xlfn.TEXTAFTER(CantoralDB[[#This Row],[index.html]],"&gt;"),"&gt;")&amp;"&gt;"</f>
        <v>&lt;a href="canciones/francisco_palazon/señor_escucha_mi_oracion.html"&gt;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2207</v>
      </c>
      <c r="C433" s="1"/>
      <c r="H433" s="1" t="s">
        <v>1026</v>
      </c>
      <c r="J433" s="1" t="s">
        <v>607</v>
      </c>
      <c r="M433" s="15" t="s">
        <v>480</v>
      </c>
      <c r="N433" s="1" t="s">
        <v>1922</v>
      </c>
      <c r="O433" s="15">
        <v>4</v>
      </c>
      <c r="P433" s="15">
        <v>1970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33" s="1" t="s">
        <v>2195</v>
      </c>
      <c r="U433" s="1"/>
      <c r="V433" s="32" t="s">
        <v>4239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33" s="15" t="str">
        <f>_xlfn.TEXTBEFORE(_xlfn.TEXTAFTER(CantoralDB[[#This Row],[index.html]],"&gt;"),"&gt;")&amp;"&gt;"</f>
        <v>&lt;a href="canciones/francisco_palazon/es_bueno_dar_gracias_al_señor.html"&gt;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2208</v>
      </c>
      <c r="C434" s="1"/>
      <c r="H434" s="1" t="s">
        <v>1028</v>
      </c>
      <c r="J434" s="1" t="s">
        <v>607</v>
      </c>
      <c r="M434" s="15" t="s">
        <v>480</v>
      </c>
      <c r="N434" s="1" t="s">
        <v>1922</v>
      </c>
      <c r="O434" s="15">
        <v>5</v>
      </c>
      <c r="P434" s="15">
        <v>1970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34" s="1" t="s">
        <v>2196</v>
      </c>
      <c r="U434" s="1"/>
      <c r="V434" s="32" t="s">
        <v>4240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34" s="15" t="str">
        <f>_xlfn.TEXTBEFORE(_xlfn.TEXTAFTER(CantoralDB[[#This Row],[index.html]],"&gt;"),"&gt;")&amp;"&gt;"</f>
        <v>&lt;a href="canciones/francisco_palazon/el_cielo_proclama_la_gloria_de_dios.html"&gt;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2209</v>
      </c>
      <c r="C435" s="1"/>
      <c r="E435" s="1">
        <v>71</v>
      </c>
      <c r="H435" s="1" t="s">
        <v>1026</v>
      </c>
      <c r="J435" s="1" t="s">
        <v>607</v>
      </c>
      <c r="M435" s="15" t="s">
        <v>480</v>
      </c>
      <c r="N435" s="1" t="s">
        <v>1922</v>
      </c>
      <c r="O435" s="15">
        <v>6</v>
      </c>
      <c r="P435" s="15">
        <v>1970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35" s="1" t="s">
        <v>2197</v>
      </c>
      <c r="U435" s="1"/>
      <c r="V435" s="32" t="s">
        <v>4241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35" s="15" t="str">
        <f>_xlfn.TEXTBEFORE(_xlfn.TEXTAFTER(CantoralDB[[#This Row],[index.html]],"&gt;"),"&gt;")&amp;"&gt;"</f>
        <v>&lt;a href="canciones/francisco_palazon/dad_gracias_al_señor.html"&gt;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2210</v>
      </c>
      <c r="C436" s="1"/>
      <c r="H436" s="1" t="s">
        <v>1029</v>
      </c>
      <c r="J436" s="1" t="s">
        <v>607</v>
      </c>
      <c r="M436" s="15" t="s">
        <v>480</v>
      </c>
      <c r="N436" s="1" t="s">
        <v>1922</v>
      </c>
      <c r="O436" s="15">
        <v>7</v>
      </c>
      <c r="P436" s="15">
        <v>1970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436" s="1" t="s">
        <v>2198</v>
      </c>
      <c r="U436" s="1"/>
      <c r="V436" s="32" t="s">
        <v>4242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436" s="15" t="str">
        <f>_xlfn.TEXTBEFORE(_xlfn.TEXTAFTER(CantoralDB[[#This Row],[index.html]],"&gt;"),"&gt;")&amp;"&gt;"</f>
        <v>&lt;a href="canciones/francisco_palazon/llena_esta_la_tierra_de_tus_criaturas.html"&gt;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1213</v>
      </c>
      <c r="C437" s="1"/>
      <c r="E437" s="1">
        <v>93</v>
      </c>
      <c r="H437" s="1" t="s">
        <v>1029</v>
      </c>
      <c r="J437" s="1" t="s">
        <v>607</v>
      </c>
      <c r="M437" s="15" t="s">
        <v>480</v>
      </c>
      <c r="N437" s="1" t="s">
        <v>1922</v>
      </c>
      <c r="O437" s="15">
        <v>8</v>
      </c>
      <c r="P437" s="15">
        <v>1970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437" s="1" t="s">
        <v>2199</v>
      </c>
      <c r="U437" s="1"/>
      <c r="V437" s="32" t="s">
        <v>4243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437" s="15" t="str">
        <f>_xlfn.TEXTBEFORE(_xlfn.TEXTAFTER(CantoralDB[[#This Row],[index.html]],"&gt;"),"&gt;")&amp;"&gt;"</f>
        <v>&lt;a href="canciones/francisco_palazon/el_auxilio_me_viene_del_señor.html"&gt;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2211</v>
      </c>
      <c r="C438" s="1"/>
      <c r="H438" s="1" t="s">
        <v>2958</v>
      </c>
      <c r="J438" s="1" t="s">
        <v>607</v>
      </c>
      <c r="M438" s="15" t="s">
        <v>480</v>
      </c>
      <c r="N438" s="1" t="s">
        <v>1922</v>
      </c>
      <c r="O438" s="15">
        <v>9</v>
      </c>
      <c r="P438" s="15">
        <v>1970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438" s="1" t="s">
        <v>2200</v>
      </c>
      <c r="U438" s="1"/>
      <c r="V438" s="32" t="s">
        <v>4244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438" s="15" t="str">
        <f>_xlfn.TEXTBEFORE(_xlfn.TEXTAFTER(CantoralDB[[#This Row],[index.html]],"&gt;"),"&gt;")&amp;"&gt;"</f>
        <v>&lt;a href="canciones/francisco_palazon/quien_puede_entrar_en_tu_templo.html"&gt;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2212</v>
      </c>
      <c r="C439" s="1"/>
      <c r="H439" s="1" t="s">
        <v>530</v>
      </c>
      <c r="J439" s="1" t="s">
        <v>607</v>
      </c>
      <c r="M439" s="15" t="s">
        <v>480</v>
      </c>
      <c r="N439" s="1" t="s">
        <v>1922</v>
      </c>
      <c r="O439" s="15">
        <v>10</v>
      </c>
      <c r="P439" s="15">
        <v>1970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439" s="1" t="s">
        <v>2201</v>
      </c>
      <c r="U439" s="1"/>
      <c r="V439" s="32" t="s">
        <v>4245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439" s="15" t="str">
        <f>_xlfn.TEXTBEFORE(_xlfn.TEXTAFTER(CantoralDB[[#This Row],[index.html]],"&gt;"),"&gt;")&amp;"&gt;"</f>
        <v>&lt;a href="canciones/francisco_palazon/alabad_siervos_de_dios.html"&gt;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2213</v>
      </c>
      <c r="C440" s="1"/>
      <c r="H440" s="1" t="s">
        <v>530</v>
      </c>
      <c r="J440" s="1" t="s">
        <v>607</v>
      </c>
      <c r="M440" s="15" t="s">
        <v>480</v>
      </c>
      <c r="N440" s="1" t="s">
        <v>1922</v>
      </c>
      <c r="O440" s="15">
        <v>11</v>
      </c>
      <c r="P440" s="15">
        <v>1970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440" s="1" t="s">
        <v>2202</v>
      </c>
      <c r="U440" s="1"/>
      <c r="V440" s="32" t="s">
        <v>4246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440" s="15" t="str">
        <f>_xlfn.TEXTBEFORE(_xlfn.TEXTAFTER(CantoralDB[[#This Row],[index.html]],"&gt;"),"&gt;")&amp;"&gt;"</f>
        <v>&lt;a href="canciones/francisco_palazon/que_en_nuestros_dias_reine_la_paz.html"&gt;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2203</v>
      </c>
      <c r="C441" s="1"/>
      <c r="H441" s="1" t="s">
        <v>1029</v>
      </c>
      <c r="J441" s="1" t="s">
        <v>607</v>
      </c>
      <c r="M441" s="15" t="s">
        <v>480</v>
      </c>
      <c r="N441" s="1" t="s">
        <v>1922</v>
      </c>
      <c r="O441" s="15">
        <v>12</v>
      </c>
      <c r="P441" s="15">
        <v>1970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441" s="1" t="s">
        <v>849</v>
      </c>
      <c r="U441" s="1"/>
      <c r="V441" s="32" t="s">
        <v>4247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441" s="15" t="str">
        <f>_xlfn.TEXTBEFORE(_xlfn.TEXTAFTER(CantoralDB[[#This Row],[index.html]],"&gt;"),"&gt;")&amp;"&gt;"</f>
        <v>&lt;a href="canciones/francisco_palazon/contra_ti_solo_peque.html"&gt;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2063</v>
      </c>
      <c r="C442" s="1"/>
      <c r="H442" s="1" t="s">
        <v>1027</v>
      </c>
      <c r="J442" s="1" t="s">
        <v>607</v>
      </c>
      <c r="M442" s="15" t="s">
        <v>480</v>
      </c>
      <c r="N442" s="1" t="s">
        <v>1926</v>
      </c>
      <c r="O442" s="15">
        <v>1</v>
      </c>
      <c r="P442" s="15">
        <v>1968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442" s="1"/>
      <c r="U442" s="1"/>
      <c r="V442" s="15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442" s="15" t="str">
        <f>_xlfn.TEXTBEFORE(_xlfn.TEXTAFTER(CantoralDB[[#This Row],[index.html]],"&gt;"),"&gt;")&amp;"&gt;"</f>
        <v>&lt;a href="canciones/francisco_palazon/cantare_eternamente_(ii).html"&gt;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2064</v>
      </c>
      <c r="C443" s="1"/>
      <c r="H443" s="1" t="s">
        <v>1042</v>
      </c>
      <c r="J443" s="1" t="s">
        <v>607</v>
      </c>
      <c r="M443" s="15" t="s">
        <v>480</v>
      </c>
      <c r="N443" s="1" t="s">
        <v>1926</v>
      </c>
      <c r="O443" s="15">
        <v>2</v>
      </c>
      <c r="P443" s="15">
        <v>1968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443" s="1"/>
      <c r="U443" s="1"/>
      <c r="V443" s="15"/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443" s="15" t="str">
        <f>_xlfn.TEXTBEFORE(_xlfn.TEXTAFTER(CantoralDB[[#This Row],[index.html]],"&gt;"),"&gt;")&amp;"&gt;"</f>
        <v>&lt;a href="canciones/francisco_palazon/acuerdate_señor.html"&gt;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2065</v>
      </c>
      <c r="C444" s="1"/>
      <c r="H444" s="1" t="s">
        <v>530</v>
      </c>
      <c r="J444" s="1" t="s">
        <v>607</v>
      </c>
      <c r="M444" s="15" t="s">
        <v>480</v>
      </c>
      <c r="N444" s="1" t="s">
        <v>1926</v>
      </c>
      <c r="O444" s="15">
        <v>3</v>
      </c>
      <c r="P444" s="15">
        <v>1968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444" s="1"/>
      <c r="U444" s="1"/>
      <c r="V444" s="15"/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444" s="15" t="str">
        <f>_xlfn.TEXTBEFORE(_xlfn.TEXTAFTER(CantoralDB[[#This Row],[index.html]],"&gt;"),"&gt;")&amp;"&gt;"</f>
        <v>&lt;a href="canciones/francisco_palazon/pidamos_al_señor.html"&gt;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2066</v>
      </c>
      <c r="C445" s="1"/>
      <c r="H445" s="1" t="s">
        <v>472</v>
      </c>
      <c r="J445" s="1" t="s">
        <v>607</v>
      </c>
      <c r="M445" s="15" t="s">
        <v>480</v>
      </c>
      <c r="N445" s="1" t="s">
        <v>1926</v>
      </c>
      <c r="O445" s="15">
        <v>4</v>
      </c>
      <c r="P445" s="15">
        <v>1968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445" s="1"/>
      <c r="U445" s="1"/>
      <c r="V445" s="15"/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445" s="15" t="str">
        <f>_xlfn.TEXTBEFORE(_xlfn.TEXTAFTER(CantoralDB[[#This Row],[index.html]],"&gt;"),"&gt;")&amp;"&gt;"</f>
        <v>&lt;a href="canciones/francisco_palazon/tu_palabra_señor_es_gozo.html"&gt;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2885</v>
      </c>
      <c r="C446" s="1"/>
      <c r="H446" s="1" t="s">
        <v>1027</v>
      </c>
      <c r="J446" s="1" t="s">
        <v>607</v>
      </c>
      <c r="M446" s="15" t="s">
        <v>480</v>
      </c>
      <c r="N446" s="1" t="s">
        <v>1926</v>
      </c>
      <c r="O446" s="15">
        <v>5</v>
      </c>
      <c r="P446" s="15">
        <v>1968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446" s="1"/>
      <c r="U446" s="1"/>
      <c r="V446" s="15"/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446" s="15" t="str">
        <f>_xlfn.TEXTBEFORE(_xlfn.TEXTAFTER(CantoralDB[[#This Row],[index.html]],"&gt;"),"&gt;")&amp;"&gt;"</f>
        <v>&lt;a href="canciones/francisco_palazon/vuelve_hacia_nosotros.html"&gt;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2067</v>
      </c>
      <c r="C447" s="1"/>
      <c r="H447" s="1" t="s">
        <v>1027</v>
      </c>
      <c r="J447" s="1" t="s">
        <v>607</v>
      </c>
      <c r="M447" s="15" t="s">
        <v>480</v>
      </c>
      <c r="N447" s="1" t="s">
        <v>1926</v>
      </c>
      <c r="O447" s="15">
        <v>6</v>
      </c>
      <c r="P447" s="15">
        <v>1968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447" s="1"/>
      <c r="U447" s="1"/>
      <c r="V447" s="15"/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447" s="15" t="str">
        <f>_xlfn.TEXTBEFORE(_xlfn.TEXTAFTER(CantoralDB[[#This Row],[index.html]],"&gt;"),"&gt;")&amp;"&gt;"</f>
        <v>&lt;a href="canciones/francisco_palazon/de_la_gloria_del_señor_llena_esta_la_tierra.html"&gt;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140</v>
      </c>
      <c r="C448" s="1"/>
      <c r="H448" s="1" t="s">
        <v>1029</v>
      </c>
      <c r="J448" s="1" t="s">
        <v>607</v>
      </c>
      <c r="M448" s="15" t="s">
        <v>480</v>
      </c>
      <c r="N448" s="1" t="s">
        <v>1926</v>
      </c>
      <c r="O448" s="15">
        <v>7</v>
      </c>
      <c r="P448" s="15">
        <v>1968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448" s="1"/>
      <c r="U448" s="1"/>
      <c r="V448" s="15"/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448" s="15" t="str">
        <f>_xlfn.TEXTBEFORE(_xlfn.TEXTAFTER(CantoralDB[[#This Row],[index.html]],"&gt;"),"&gt;")&amp;"&gt;"</f>
        <v>&lt;a href="canciones/francisco_palazon/te_damos_gracias_señor.html"&gt;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4429</v>
      </c>
      <c r="C449" s="1"/>
      <c r="H449" s="1" t="s">
        <v>1029</v>
      </c>
      <c r="I449" s="1" t="s">
        <v>2949</v>
      </c>
      <c r="J449" s="1" t="s">
        <v>607</v>
      </c>
      <c r="M449" s="15" t="s">
        <v>480</v>
      </c>
      <c r="N449" s="1" t="s">
        <v>1926</v>
      </c>
      <c r="O449" s="15">
        <v>8</v>
      </c>
      <c r="P449" s="15">
        <v>1968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449" s="1"/>
      <c r="U449" s="1"/>
      <c r="V449" s="15"/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449" s="15" t="str">
        <f>_xlfn.TEXTBEFORE(_xlfn.TEXTAFTER(CantoralDB[[#This Row],[index.html]],"&gt;"),"&gt;")&amp;"&gt;"</f>
        <v>&lt;a href="canciones/francisco_palazon/escucha_señor.html"&gt;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2068</v>
      </c>
      <c r="C450" s="1"/>
      <c r="H450" s="1" t="s">
        <v>1027</v>
      </c>
      <c r="J450" s="1" t="s">
        <v>607</v>
      </c>
      <c r="M450" s="15" t="s">
        <v>480</v>
      </c>
      <c r="N450" s="1" t="s">
        <v>1926</v>
      </c>
      <c r="O450" s="15">
        <v>9</v>
      </c>
      <c r="P450" s="15">
        <v>1968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450" s="1"/>
      <c r="U450" s="1"/>
      <c r="V450" s="15"/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450" s="15" t="str">
        <f>_xlfn.TEXTBEFORE(_xlfn.TEXTAFTER(CantoralDB[[#This Row],[index.html]],"&gt;"),"&gt;")&amp;"&gt;"</f>
        <v>&lt;a href="canciones/francisco_palazon/cuando_bajas_señor.html"&gt;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26</v>
      </c>
      <c r="C451" s="1"/>
      <c r="H451" s="1" t="s">
        <v>1027</v>
      </c>
      <c r="J451" s="1" t="s">
        <v>607</v>
      </c>
      <c r="M451" s="15" t="s">
        <v>480</v>
      </c>
      <c r="N451" s="1" t="s">
        <v>1926</v>
      </c>
      <c r="O451" s="15">
        <v>10</v>
      </c>
      <c r="P451" s="15">
        <v>1968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451" s="1"/>
      <c r="U451" s="1"/>
      <c r="V451" s="15"/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451" s="15" t="str">
        <f>_xlfn.TEXTBEFORE(_xlfn.TEXTAFTER(CantoralDB[[#This Row],[index.html]],"&gt;"),"&gt;")&amp;"&gt;"</f>
        <v>&lt;a href="canciones/francisco_palazon/bendigamos_al_señor.html"&gt;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2104</v>
      </c>
      <c r="C452" s="1"/>
      <c r="J452" s="1"/>
      <c r="M452" s="15" t="s">
        <v>480</v>
      </c>
      <c r="N452" s="1" t="s">
        <v>1923</v>
      </c>
      <c r="O452" s="15">
        <v>1</v>
      </c>
      <c r="P452" s="15">
        <v>1983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452" s="1"/>
      <c r="U452" s="1"/>
      <c r="V452" s="32" t="s">
        <v>3625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452" s="15" t="str">
        <f>_xlfn.TEXTBEFORE(_xlfn.TEXTAFTER(CantoralDB[[#This Row],[index.html]],"&gt;"),"&gt;")&amp;"&gt;"</f>
        <v>&lt;a href="canciones/francisco_palazon/hosanna_al_hijo_de_david.html"&gt;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2105</v>
      </c>
      <c r="C453" s="1"/>
      <c r="J453" s="1"/>
      <c r="M453" s="15" t="s">
        <v>480</v>
      </c>
      <c r="N453" s="1" t="s">
        <v>1923</v>
      </c>
      <c r="O453" s="15">
        <v>2</v>
      </c>
      <c r="P453" s="15">
        <v>1983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453" s="1"/>
      <c r="U453" s="1"/>
      <c r="V453" s="32" t="s">
        <v>3626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453" s="15" t="str">
        <f>_xlfn.TEXTBEFORE(_xlfn.TEXTAFTER(CantoralDB[[#This Row],[index.html]],"&gt;"),"&gt;")&amp;"&gt;"</f>
        <v>&lt;a href="canciones/francisco_palazon/gloria_alabanza_y_honor.html"&gt;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2106</v>
      </c>
      <c r="C454" s="1"/>
      <c r="J454" s="1"/>
      <c r="M454" s="15" t="s">
        <v>480</v>
      </c>
      <c r="N454" s="1" t="s">
        <v>1923</v>
      </c>
      <c r="O454" s="15">
        <v>3</v>
      </c>
      <c r="P454" s="15">
        <v>1983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454" s="1"/>
      <c r="U454" s="1"/>
      <c r="V454" s="32" t="s">
        <v>3627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454" s="15" t="str">
        <f>_xlfn.TEXTBEFORE(_xlfn.TEXTAFTER(CantoralDB[[#This Row],[index.html]],"&gt;"),"&gt;")&amp;"&gt;"</f>
        <v>&lt;a href="canciones/francisco_palazon/los_niños_hebreos.html"&gt;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2107</v>
      </c>
      <c r="C455" s="1"/>
      <c r="J455" s="1"/>
      <c r="M455" s="15" t="s">
        <v>480</v>
      </c>
      <c r="N455" s="1" t="s">
        <v>1923</v>
      </c>
      <c r="O455" s="15">
        <v>4</v>
      </c>
      <c r="P455" s="15">
        <v>1983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455" s="1"/>
      <c r="U455" s="1"/>
      <c r="V455" s="32" t="s">
        <v>3628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455" s="15" t="str">
        <f>_xlfn.TEXTBEFORE(_xlfn.TEXTAFTER(CantoralDB[[#This Row],[index.html]],"&gt;"),"&gt;")&amp;"&gt;"</f>
        <v>&lt;a href="canciones/francisco_palazon/nosotros_hemos_de_gloriarnos.html"&gt;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104</v>
      </c>
      <c r="C456" s="1"/>
      <c r="E456" s="1">
        <v>185</v>
      </c>
      <c r="J456" s="1"/>
      <c r="M456" s="15" t="s">
        <v>480</v>
      </c>
      <c r="N456" s="1" t="s">
        <v>1923</v>
      </c>
      <c r="O456" s="15">
        <v>5</v>
      </c>
      <c r="P456" s="15">
        <v>1983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456" s="1"/>
      <c r="U456" s="1"/>
      <c r="V456" s="32" t="s">
        <v>3629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456" s="15" t="str">
        <f>_xlfn.TEXTBEFORE(_xlfn.TEXTAFTER(CantoralDB[[#This Row],[index.html]],"&gt;"),"&gt;")&amp;"&gt;"</f>
        <v>&lt;a href="canciones/francisco_palazon/os_doy_un_mandato_nuevo.html"&gt;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2108</v>
      </c>
      <c r="C457" s="1"/>
      <c r="J457" s="1"/>
      <c r="M457" s="15" t="s">
        <v>480</v>
      </c>
      <c r="N457" s="1" t="s">
        <v>1923</v>
      </c>
      <c r="O457" s="15">
        <v>6</v>
      </c>
      <c r="P457" s="15">
        <v>1983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457" s="1"/>
      <c r="U457" s="1"/>
      <c r="V457" s="32" t="s">
        <v>3630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457" s="15" t="str">
        <f>_xlfn.TEXTBEFORE(_xlfn.TEXTAFTER(CantoralDB[[#This Row],[index.html]],"&gt;"),"&gt;")&amp;"&gt;"</f>
        <v>&lt;a href="canciones/francisco_palazon/que_la_lengua_humana.html"&gt;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117</v>
      </c>
      <c r="C458" s="1"/>
      <c r="J458" s="1"/>
      <c r="M458" s="15" t="s">
        <v>480</v>
      </c>
      <c r="N458" s="1" t="s">
        <v>1923</v>
      </c>
      <c r="O458" s="15">
        <v>7</v>
      </c>
      <c r="P458" s="15">
        <v>1983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458" s="1"/>
      <c r="U458" s="1"/>
      <c r="V458" s="32" t="s">
        <v>3631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458" s="15" t="str">
        <f>_xlfn.TEXTBEFORE(_xlfn.TEXTAFTER(CantoralDB[[#This Row],[index.html]],"&gt;"),"&gt;")&amp;"&gt;"</f>
        <v>&lt;a href="canciones/francisco_palazon/pueblo_mio.html"&gt;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41</v>
      </c>
      <c r="C459" s="1"/>
      <c r="J459" s="1"/>
      <c r="M459" s="15" t="s">
        <v>480</v>
      </c>
      <c r="N459" s="1" t="s">
        <v>1923</v>
      </c>
      <c r="O459" s="15">
        <v>8</v>
      </c>
      <c r="P459" s="15">
        <v>1983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459" s="1"/>
      <c r="U459" s="1"/>
      <c r="V459" s="32" t="s">
        <v>3632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459" s="15" t="str">
        <f>_xlfn.TEXTBEFORE(_xlfn.TEXTAFTER(CantoralDB[[#This Row],[index.html]],"&gt;"),"&gt;")&amp;"&gt;"</f>
        <v>&lt;a href="canciones/francisco_palazon/cristo_por_nosotros.html"&gt;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2109</v>
      </c>
      <c r="C460" s="1"/>
      <c r="J460" s="1"/>
      <c r="M460" s="15" t="s">
        <v>480</v>
      </c>
      <c r="N460" s="1" t="s">
        <v>1923</v>
      </c>
      <c r="O460" s="15">
        <v>9</v>
      </c>
      <c r="P460" s="15">
        <v>1983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460" s="1"/>
      <c r="U460" s="1"/>
      <c r="V460" s="32" t="s">
        <v>3633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460" s="15" t="str">
        <f>_xlfn.TEXTBEFORE(_xlfn.TEXTAFTER(CantoralDB[[#This Row],[index.html]],"&gt;"),"&gt;")&amp;"&gt;"</f>
        <v>&lt;a href="canciones/francisco_palazon/tu_cruz_adoramos_señor.html"&gt;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2110</v>
      </c>
      <c r="C461" s="1"/>
      <c r="J461" s="1"/>
      <c r="M461" s="15" t="s">
        <v>480</v>
      </c>
      <c r="N461" s="1" t="s">
        <v>1923</v>
      </c>
      <c r="O461" s="15">
        <v>10</v>
      </c>
      <c r="P461" s="15">
        <v>1983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461" s="1"/>
      <c r="U461" s="1"/>
      <c r="V461" s="32" t="s">
        <v>3634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461" s="15" t="str">
        <f>_xlfn.TEXTBEFORE(_xlfn.TEXTAFTER(CantoralDB[[#This Row],[index.html]],"&gt;"),"&gt;")&amp;"&gt;"</f>
        <v>&lt;a href="canciones/francisco_palazon/como_busca_la_cierva.html"&gt;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2111</v>
      </c>
      <c r="C462" s="1"/>
      <c r="J462" s="1"/>
      <c r="M462" s="15" t="s">
        <v>480</v>
      </c>
      <c r="N462" s="1" t="s">
        <v>1923</v>
      </c>
      <c r="O462" s="15">
        <v>11</v>
      </c>
      <c r="P462" s="15">
        <v>1983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462" s="1"/>
      <c r="U462" s="1"/>
      <c r="V462" s="32" t="s">
        <v>3635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462" s="15" t="str">
        <f>_xlfn.TEXTBEFORE(_xlfn.TEXTAFTER(CantoralDB[[#This Row],[index.html]],"&gt;"),"&gt;")&amp;"&gt;"</f>
        <v>&lt;a href="canciones/francisco_palazon/cantemos_el_gozo_de_la_resurreccion.html"&gt;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1214</v>
      </c>
      <c r="C463" s="1"/>
      <c r="E463" s="1">
        <v>99</v>
      </c>
      <c r="J463" s="1"/>
      <c r="M463" s="15" t="s">
        <v>480</v>
      </c>
      <c r="N463" s="1" t="s">
        <v>2218</v>
      </c>
      <c r="O463" s="15"/>
      <c r="P463" s="15">
        <v>1989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463" s="1"/>
      <c r="U463" s="1"/>
      <c r="V463" s="15"/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463" s="15" t="str">
        <f>_xlfn.TEXTBEFORE(_xlfn.TEXTAFTER(CantoralDB[[#This Row],[index.html]],"&gt;"),"&gt;")&amp;"&gt;"</f>
        <v>&lt;a href="canciones/francisco_palazon/el_señor_es_mi_luz_y_mi_salvacion.html"&gt;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1924</v>
      </c>
      <c r="C464" s="1"/>
      <c r="H464" s="1" t="s">
        <v>530</v>
      </c>
      <c r="J464" s="1" t="s">
        <v>607</v>
      </c>
      <c r="M464" s="15" t="s">
        <v>480</v>
      </c>
      <c r="N464" s="1" t="s">
        <v>1924</v>
      </c>
      <c r="O464" s="15">
        <v>1</v>
      </c>
      <c r="P464" s="15">
        <v>1985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464" s="1" t="s">
        <v>2214</v>
      </c>
      <c r="U464" s="1"/>
      <c r="V464" s="32" t="s">
        <v>3598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464" s="15" t="str">
        <f>_xlfn.TEXTBEFORE(_xlfn.TEXTAFTER(CantoralDB[[#This Row],[index.html]],"&gt;"),"&gt;")&amp;"&gt;"</f>
        <v>&lt;a href="canciones/francisco_palazon/el_alzar_de_mis_manos.html"&gt;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1930</v>
      </c>
      <c r="C465" s="1"/>
      <c r="E465" s="1">
        <v>62</v>
      </c>
      <c r="H465" s="1" t="s">
        <v>1029</v>
      </c>
      <c r="J465" s="1" t="s">
        <v>607</v>
      </c>
      <c r="M465" s="15" t="s">
        <v>480</v>
      </c>
      <c r="N465" s="1" t="s">
        <v>1924</v>
      </c>
      <c r="O465" s="15">
        <v>2</v>
      </c>
      <c r="P465" s="15">
        <v>1985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465" s="1"/>
      <c r="U465" s="1"/>
      <c r="V465" s="32" t="s">
        <v>3599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465" s="15" t="str">
        <f>_xlfn.TEXTBEFORE(_xlfn.TEXTAFTER(CantoralDB[[#This Row],[index.html]],"&gt;"),"&gt;")&amp;"&gt;"</f>
        <v>&lt;a href="canciones/francisco_palazon/cantico_de_daniel.html"&gt;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1166</v>
      </c>
      <c r="C466" s="1"/>
      <c r="E466" s="1">
        <v>27</v>
      </c>
      <c r="H466" s="1" t="s">
        <v>1029</v>
      </c>
      <c r="J466" s="1" t="s">
        <v>607</v>
      </c>
      <c r="M466" s="15" t="s">
        <v>480</v>
      </c>
      <c r="N466" s="1" t="s">
        <v>1924</v>
      </c>
      <c r="O466" s="15">
        <v>3</v>
      </c>
      <c r="P466" s="15">
        <v>1985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466" s="1"/>
      <c r="U466" s="1"/>
      <c r="V466" s="32" t="s">
        <v>3600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466" s="15" t="str">
        <f>_xlfn.TEXTBEFORE(_xlfn.TEXTAFTER(CantoralDB[[#This Row],[index.html]],"&gt;"),"&gt;")&amp;"&gt;"</f>
        <v>&lt;a href="canciones/francisco_palazon/a_ti_levanto_mi_alma.html"&gt;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2217</v>
      </c>
      <c r="C467" s="1"/>
      <c r="H467" s="1" t="s">
        <v>530</v>
      </c>
      <c r="J467" s="1" t="s">
        <v>607</v>
      </c>
      <c r="M467" s="15" t="s">
        <v>480</v>
      </c>
      <c r="N467" s="1" t="s">
        <v>1924</v>
      </c>
      <c r="O467" s="15">
        <v>4</v>
      </c>
      <c r="P467" s="15">
        <v>1985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467" s="1" t="s">
        <v>2215</v>
      </c>
      <c r="U467" s="1"/>
      <c r="V467" s="32" t="s">
        <v>3601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467" s="15" t="str">
        <f>_xlfn.TEXTBEFORE(_xlfn.TEXTAFTER(CantoralDB[[#This Row],[index.html]],"&gt;"),"&gt;")&amp;"&gt;"</f>
        <v>&lt;a href="canciones/francisco_palazon/el_señor_de_los_ejercitos.html"&gt;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514</v>
      </c>
      <c r="C468" s="1" t="s">
        <v>200</v>
      </c>
      <c r="D468" s="1" t="s">
        <v>649</v>
      </c>
      <c r="G468" s="1" t="s">
        <v>208</v>
      </c>
      <c r="H468" s="1" t="s">
        <v>1029</v>
      </c>
      <c r="J468" s="1" t="s">
        <v>607</v>
      </c>
      <c r="M468" s="15" t="s">
        <v>480</v>
      </c>
      <c r="N468" s="1" t="s">
        <v>1924</v>
      </c>
      <c r="O468" s="15">
        <v>5</v>
      </c>
      <c r="P468" s="15">
        <v>1985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468" s="1" t="s">
        <v>821</v>
      </c>
      <c r="U468" s="1"/>
      <c r="V468" s="32" t="s">
        <v>3602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468" s="15" t="str">
        <f>_xlfn.TEXTBEFORE(_xlfn.TEXTAFTER(CantoralDB[[#This Row],[index.html]],"&gt;"),"&gt;")&amp;"&gt;"</f>
        <v>&lt;a href="canciones/francisco_palazon/el_caliz_que_bendecimos.html"&gt;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53</v>
      </c>
      <c r="C469" s="1" t="s">
        <v>200</v>
      </c>
      <c r="D469" s="1" t="s">
        <v>651</v>
      </c>
      <c r="E469" s="1">
        <v>98</v>
      </c>
      <c r="G469" s="1" t="s">
        <v>208</v>
      </c>
      <c r="H469" s="1" t="s">
        <v>1029</v>
      </c>
      <c r="J469" s="1" t="s">
        <v>607</v>
      </c>
      <c r="M469" s="15" t="s">
        <v>480</v>
      </c>
      <c r="N469" s="1" t="s">
        <v>1924</v>
      </c>
      <c r="O469" s="15">
        <v>6</v>
      </c>
      <c r="P469" s="15">
        <v>1985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469" s="1" t="s">
        <v>826</v>
      </c>
      <c r="U469" s="1"/>
      <c r="V469" s="32" t="s">
        <v>3603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469" s="15" t="str">
        <f>_xlfn.TEXTBEFORE(_xlfn.TEXTAFTER(CantoralDB[[#This Row],[index.html]],"&gt;"),"&gt;")&amp;"&gt;"</f>
        <v>&lt;a href="canciones/francisco_palazon/el_señor_es_mi_pastor.html"&gt;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1931</v>
      </c>
      <c r="C470" s="1"/>
      <c r="E470" s="1">
        <v>18</v>
      </c>
      <c r="H470" s="1" t="s">
        <v>1029</v>
      </c>
      <c r="J470" s="1" t="s">
        <v>607</v>
      </c>
      <c r="M470" s="15" t="s">
        <v>480</v>
      </c>
      <c r="N470" s="1" t="s">
        <v>1924</v>
      </c>
      <c r="O470" s="15">
        <v>7</v>
      </c>
      <c r="P470" s="15">
        <v>1985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470" s="1"/>
      <c r="U470" s="1"/>
      <c r="V470" s="32" t="s">
        <v>3604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470" s="15" t="str">
        <f>_xlfn.TEXTBEFORE(_xlfn.TEXTAFTER(CantoralDB[[#This Row],[index.html]],"&gt;"),"&gt;")&amp;"&gt;"</f>
        <v>&lt;a href="canciones/francisco_palazon/el_señor_tenga_piedad.html"&gt;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1171</v>
      </c>
      <c r="C471" s="1"/>
      <c r="E471" s="1">
        <v>36</v>
      </c>
      <c r="H471" s="1" t="s">
        <v>1026</v>
      </c>
      <c r="J471" s="1" t="s">
        <v>607</v>
      </c>
      <c r="M471" s="15" t="s">
        <v>480</v>
      </c>
      <c r="N471" s="1" t="s">
        <v>1924</v>
      </c>
      <c r="O471" s="15">
        <v>8</v>
      </c>
      <c r="P471" s="15">
        <v>1985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T471" s="1"/>
      <c r="U471" s="1"/>
      <c r="V471" s="32" t="s">
        <v>3605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X471" s="15" t="str">
        <f>_xlfn.TEXTBEFORE(_xlfn.TEXTAFTER(CantoralDB[[#This Row],[index.html]],"&gt;"),"&gt;")&amp;"&gt;"</f>
        <v>&lt;a href="canciones/francisco_palazon/caminare_en_presencia_del_señor.html"&gt;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1218</v>
      </c>
      <c r="C472" s="1"/>
      <c r="E472" s="1">
        <v>103</v>
      </c>
      <c r="H472" s="1" t="s">
        <v>530</v>
      </c>
      <c r="J472" s="1" t="s">
        <v>607</v>
      </c>
      <c r="M472" s="15" t="s">
        <v>480</v>
      </c>
      <c r="N472" s="1" t="s">
        <v>1924</v>
      </c>
      <c r="O472" s="15">
        <v>9</v>
      </c>
      <c r="P472" s="15">
        <v>1985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472" s="1" t="s">
        <v>2216</v>
      </c>
      <c r="U472" s="1"/>
      <c r="V472" s="32" t="s">
        <v>3606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472" s="15" t="str">
        <f>_xlfn.TEXTBEFORE(_xlfn.TEXTAFTER(CantoralDB[[#This Row],[index.html]],"&gt;"),"&gt;")&amp;"&gt;"</f>
        <v>&lt;a href="canciones/francisco_palazon/el_señor_es_bueno.html"&gt;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116</v>
      </c>
      <c r="C473" s="1"/>
      <c r="E473" s="1">
        <v>207</v>
      </c>
      <c r="H473" s="1" t="s">
        <v>1029</v>
      </c>
      <c r="J473" s="1" t="s">
        <v>607</v>
      </c>
      <c r="M473" s="15" t="s">
        <v>480</v>
      </c>
      <c r="N473" s="1" t="s">
        <v>1924</v>
      </c>
      <c r="O473" s="15">
        <v>10</v>
      </c>
      <c r="P473" s="15">
        <v>1985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473" s="1"/>
      <c r="U473" s="1"/>
      <c r="V473" s="32" t="s">
        <v>3607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473" s="15" t="str">
        <f>_xlfn.TEXTBEFORE(_xlfn.TEXTAFTER(CantoralDB[[#This Row],[index.html]],"&gt;"),"&gt;")&amp;"&gt;"</f>
        <v>&lt;a href="canciones/francisco_palazon/protegeme_dios_mio.html"&gt;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74</v>
      </c>
      <c r="C474" s="1" t="s">
        <v>199</v>
      </c>
      <c r="D474" s="1" t="s">
        <v>1428</v>
      </c>
      <c r="E474" s="1">
        <v>430</v>
      </c>
      <c r="G474" s="1" t="s">
        <v>208</v>
      </c>
      <c r="H474" s="1" t="s">
        <v>1026</v>
      </c>
      <c r="J474" s="1" t="s">
        <v>607</v>
      </c>
      <c r="M474" s="15" t="s">
        <v>480</v>
      </c>
      <c r="N474" s="1" t="s">
        <v>2220</v>
      </c>
      <c r="O474" s="15"/>
      <c r="P474" s="15">
        <v>2002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474" s="1"/>
      <c r="U474" s="1"/>
      <c r="V474" s="32" t="s">
        <v>3608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474" s="15" t="str">
        <f>_xlfn.TEXTBEFORE(_xlfn.TEXTAFTER(CantoralDB[[#This Row],[index.html]],"&gt;"),"&gt;")&amp;"&gt;"</f>
        <v>&lt;a href="canciones/francisco_palazon/himno_a_nuestra_señora_de_la_almudena.html"&gt;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237</v>
      </c>
      <c r="C475" s="1" t="s">
        <v>199</v>
      </c>
      <c r="D475" s="1" t="s">
        <v>1049</v>
      </c>
      <c r="E475" s="1">
        <v>42</v>
      </c>
      <c r="G475" s="1" t="s">
        <v>208</v>
      </c>
      <c r="H475" s="1" t="s">
        <v>1026</v>
      </c>
      <c r="I475" s="1" t="s">
        <v>2952</v>
      </c>
      <c r="J475" s="1" t="s">
        <v>607</v>
      </c>
      <c r="M475" s="15" t="s">
        <v>480</v>
      </c>
      <c r="N475" s="1" t="s">
        <v>1277</v>
      </c>
      <c r="O475" s="15">
        <v>1</v>
      </c>
      <c r="P475" s="15">
        <v>1979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475" s="1"/>
      <c r="U475" s="1"/>
      <c r="V475" s="32" t="s">
        <v>3609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475" s="15" t="str">
        <f>_xlfn.TEXTBEFORE(_xlfn.TEXTAFTER(CantoralDB[[#This Row],[index.html]],"&gt;"),"&gt;")&amp;"&gt;"</f>
        <v>&lt;a href="canciones/francisco_palazon/mujer_fuerte.html"&gt;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1277</v>
      </c>
      <c r="C476" s="1"/>
      <c r="E476" s="1">
        <v>161</v>
      </c>
      <c r="H476" s="1" t="s">
        <v>530</v>
      </c>
      <c r="J476" s="1" t="s">
        <v>607</v>
      </c>
      <c r="M476" s="15" t="s">
        <v>480</v>
      </c>
      <c r="N476" s="1" t="s">
        <v>1277</v>
      </c>
      <c r="O476" s="15">
        <v>2</v>
      </c>
      <c r="P476" s="15">
        <v>1979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476" s="1"/>
      <c r="U476" s="1"/>
      <c r="V476" s="32" t="s">
        <v>2973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476" s="15" t="str">
        <f>_xlfn.TEXTBEFORE(_xlfn.TEXTAFTER(CantoralDB[[#This Row],[index.html]],"&gt;"),"&gt;")&amp;"&gt;"</f>
        <v>&lt;a href="canciones/francisco_palazon/madre_de_los_creyentes.html"&gt;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1932</v>
      </c>
      <c r="C477" s="1"/>
      <c r="H477" s="1" t="s">
        <v>530</v>
      </c>
      <c r="J477" s="1" t="s">
        <v>607</v>
      </c>
      <c r="M477" s="15" t="s">
        <v>480</v>
      </c>
      <c r="N477" s="1" t="s">
        <v>1277</v>
      </c>
      <c r="O477" s="15">
        <v>3</v>
      </c>
      <c r="P477" s="15">
        <v>1979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477" s="1"/>
      <c r="U477" s="1"/>
      <c r="V477" s="32" t="s">
        <v>3610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477" s="15" t="str">
        <f>_xlfn.TEXTBEFORE(_xlfn.TEXTAFTER(CantoralDB[[#This Row],[index.html]],"&gt;"),"&gt;")&amp;"&gt;"</f>
        <v>&lt;a href="canciones/francisco_palazon/a_ti_suspiramos.html"&gt;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125</v>
      </c>
      <c r="C478" s="1" t="s">
        <v>199</v>
      </c>
      <c r="D478" s="1" t="s">
        <v>1051</v>
      </c>
      <c r="E478" s="1" t="s">
        <v>2894</v>
      </c>
      <c r="G478" s="1" t="s">
        <v>208</v>
      </c>
      <c r="H478" s="1" t="s">
        <v>472</v>
      </c>
      <c r="J478" s="1" t="s">
        <v>607</v>
      </c>
      <c r="M478" s="15" t="s">
        <v>480</v>
      </c>
      <c r="N478" s="1" t="s">
        <v>1277</v>
      </c>
      <c r="O478" s="15">
        <v>4</v>
      </c>
      <c r="P478" s="15">
        <v>1979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478" s="1"/>
      <c r="U478" s="1"/>
      <c r="V478" s="32" t="s">
        <v>3611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478" s="15" t="str">
        <f>_xlfn.TEXTBEFORE(_xlfn.TEXTAFTER(CantoralDB[[#This Row],[index.html]],"&gt;"),"&gt;")&amp;"&gt;"</f>
        <v>&lt;a href="canciones/francisco_palazon/reina_del_cielo.html"&gt;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1543</v>
      </c>
      <c r="C479" s="1"/>
      <c r="H479" s="1" t="s">
        <v>472</v>
      </c>
      <c r="J479" s="1" t="s">
        <v>607</v>
      </c>
      <c r="M479" s="15" t="s">
        <v>480</v>
      </c>
      <c r="N479" s="1" t="s">
        <v>1277</v>
      </c>
      <c r="O479" s="15">
        <v>5</v>
      </c>
      <c r="P479" s="15">
        <v>1979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479" s="1"/>
      <c r="U479" s="1"/>
      <c r="V479" s="32" t="s">
        <v>3612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479" s="15" t="str">
        <f>_xlfn.TEXTBEFORE(_xlfn.TEXTAFTER(CantoralDB[[#This Row],[index.html]],"&gt;"),"&gt;")&amp;"&gt;"</f>
        <v>&lt;a href="canciones/francisco_palazon/magnificat.html"&gt;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1933</v>
      </c>
      <c r="C480" s="1"/>
      <c r="H480" s="1" t="s">
        <v>530</v>
      </c>
      <c r="J480" s="1" t="s">
        <v>607</v>
      </c>
      <c r="M480" s="15" t="s">
        <v>480</v>
      </c>
      <c r="N480" s="1" t="s">
        <v>1277</v>
      </c>
      <c r="O480" s="15">
        <v>6</v>
      </c>
      <c r="P480" s="15">
        <v>1979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480" s="1"/>
      <c r="U480" s="1"/>
      <c r="V480" s="32" t="s">
        <v>3613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480" s="15" t="str">
        <f>_xlfn.TEXTBEFORE(_xlfn.TEXTAFTER(CantoralDB[[#This Row],[index.html]],"&gt;"),"&gt;")&amp;"&gt;"</f>
        <v>&lt;a href="canciones/francisco_palazon/morada_de_la_luz.html"&gt;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1934</v>
      </c>
      <c r="C481" s="1"/>
      <c r="H481" s="1" t="s">
        <v>530</v>
      </c>
      <c r="J481" s="1" t="s">
        <v>607</v>
      </c>
      <c r="M481" s="15" t="s">
        <v>480</v>
      </c>
      <c r="N481" s="1" t="s">
        <v>1277</v>
      </c>
      <c r="O481" s="15">
        <v>7</v>
      </c>
      <c r="P481" s="15">
        <v>1979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481" s="1"/>
      <c r="U481" s="1"/>
      <c r="V481" s="32" t="s">
        <v>3614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481" s="15" t="str">
        <f>_xlfn.TEXTBEFORE(_xlfn.TEXTAFTER(CantoralDB[[#This Row],[index.html]],"&gt;"),"&gt;")&amp;"&gt;"</f>
        <v>&lt;a href="canciones/francisco_palazon/madre_del_redentor.html"&gt;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1935</v>
      </c>
      <c r="C482" s="1"/>
      <c r="H482" s="1" t="s">
        <v>1029</v>
      </c>
      <c r="J482" s="1" t="s">
        <v>607</v>
      </c>
      <c r="M482" s="15" t="s">
        <v>480</v>
      </c>
      <c r="N482" s="1" t="s">
        <v>1277</v>
      </c>
      <c r="O482" s="15">
        <v>8</v>
      </c>
      <c r="P482" s="15">
        <v>1979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482" s="1"/>
      <c r="U482" s="1"/>
      <c r="V482" s="32" t="s">
        <v>3615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482" s="15" t="str">
        <f>_xlfn.TEXTBEFORE(_xlfn.TEXTAFTER(CantoralDB[[#This Row],[index.html]],"&gt;"),"&gt;")&amp;"&gt;"</f>
        <v>&lt;a href="canciones/francisco_palazon/angelus.html"&gt;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1936</v>
      </c>
      <c r="C483" s="1"/>
      <c r="H483" s="1" t="s">
        <v>1029</v>
      </c>
      <c r="J483" s="1" t="s">
        <v>607</v>
      </c>
      <c r="M483" s="15" t="s">
        <v>480</v>
      </c>
      <c r="N483" s="1" t="s">
        <v>1277</v>
      </c>
      <c r="O483" s="15">
        <v>9</v>
      </c>
      <c r="P483" s="15">
        <v>1979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483" s="1"/>
      <c r="U483" s="1"/>
      <c r="V483" s="32" t="s">
        <v>3616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483" s="15" t="str">
        <f>_xlfn.TEXTBEFORE(_xlfn.TEXTAFTER(CantoralDB[[#This Row],[index.html]],"&gt;"),"&gt;")&amp;"&gt;"</f>
        <v>&lt;a href="canciones/francisco_palazon/madre_nuestra.html"&gt;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496</v>
      </c>
      <c r="C484" s="1"/>
      <c r="H484" s="1" t="s">
        <v>530</v>
      </c>
      <c r="J484" s="1" t="s">
        <v>607</v>
      </c>
      <c r="M484" s="15" t="s">
        <v>480</v>
      </c>
      <c r="N484" s="1" t="s">
        <v>1277</v>
      </c>
      <c r="O484" s="15">
        <v>10</v>
      </c>
      <c r="P484" s="15">
        <v>1979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484" s="1"/>
      <c r="U484" s="1"/>
      <c r="V484" s="32" t="s">
        <v>3617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484" s="15" t="str">
        <f>_xlfn.TEXTBEFORE(_xlfn.TEXTAFTER(CantoralDB[[#This Row],[index.html]],"&gt;"),"&gt;")&amp;"&gt;"</f>
        <v>&lt;a href="canciones/francisco_palazon/ave_maria.html"&gt;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2040</v>
      </c>
      <c r="C485" s="1"/>
      <c r="H485" s="1" t="s">
        <v>1027</v>
      </c>
      <c r="J485" s="1" t="s">
        <v>607</v>
      </c>
      <c r="M485" s="15" t="s">
        <v>480</v>
      </c>
      <c r="N485" s="1" t="s">
        <v>2908</v>
      </c>
      <c r="O485" s="15">
        <v>1</v>
      </c>
      <c r="P485" s="15">
        <v>2000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485" s="1"/>
      <c r="U485" s="1"/>
      <c r="V485" s="32" t="s">
        <v>3618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485" s="15" t="str">
        <f>_xlfn.TEXTBEFORE(_xlfn.TEXTAFTER(CantoralDB[[#This Row],[index.html]],"&gt;"),"&gt;")&amp;"&gt;"</f>
        <v>&lt;a href="canciones/francisco_palazon/unidos_por_la_fe_y_el_amor.html"&gt;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1581</v>
      </c>
      <c r="C486" s="1"/>
      <c r="H486" s="1" t="s">
        <v>1026</v>
      </c>
      <c r="J486" s="1" t="s">
        <v>607</v>
      </c>
      <c r="M486" s="15" t="s">
        <v>480</v>
      </c>
      <c r="N486" s="1" t="s">
        <v>2908</v>
      </c>
      <c r="O486" s="15">
        <v>2</v>
      </c>
      <c r="P486" s="15">
        <v>2000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486" s="1"/>
      <c r="U486" s="1"/>
      <c r="V486" s="32" t="s">
        <v>3619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486" s="15" t="str">
        <f>_xlfn.TEXTBEFORE(_xlfn.TEXTAFTER(CantoralDB[[#This Row],[index.html]],"&gt;"),"&gt;")&amp;"&gt;"</f>
        <v>&lt;a href="canciones/francisco_palazon/ten_piedad.html"&gt;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2909</v>
      </c>
      <c r="C487" s="1"/>
      <c r="H487" s="1" t="s">
        <v>1026</v>
      </c>
      <c r="J487" s="1" t="s">
        <v>607</v>
      </c>
      <c r="M487" s="15" t="s">
        <v>480</v>
      </c>
      <c r="N487" s="1" t="s">
        <v>2908</v>
      </c>
      <c r="O487" s="15">
        <v>3</v>
      </c>
      <c r="P487" s="15">
        <v>2000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487" s="1"/>
      <c r="U487" s="1"/>
      <c r="V487" s="32" t="s">
        <v>3620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487" s="15" t="str">
        <f>_xlfn.TEXTBEFORE(_xlfn.TEXTAFTER(CantoralDB[[#This Row],[index.html]],"&gt;"),"&gt;")&amp;"&gt;"</f>
        <v>&lt;a href="canciones/francisco_palazon/gloria_(misa_coral_en_re).html"&gt;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2910</v>
      </c>
      <c r="C488" s="1"/>
      <c r="H488" s="1" t="s">
        <v>1029</v>
      </c>
      <c r="J488" s="1" t="s">
        <v>607</v>
      </c>
      <c r="M488" s="15" t="s">
        <v>480</v>
      </c>
      <c r="N488" s="1" t="s">
        <v>2908</v>
      </c>
      <c r="O488" s="15">
        <v>4</v>
      </c>
      <c r="P488" s="15">
        <v>2000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488" s="1"/>
      <c r="U488" s="1"/>
      <c r="V488" s="32" t="s">
        <v>3621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488" s="15" t="str">
        <f>_xlfn.TEXTBEFORE(_xlfn.TEXTAFTER(CantoralDB[[#This Row],[index.html]],"&gt;"),"&gt;")&amp;"&gt;"</f>
        <v>&lt;a href="canciones/francisco_palazon/aleluya_(misa_coral_en_re).html"&gt;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2911</v>
      </c>
      <c r="C489" s="1"/>
      <c r="H489" s="1" t="s">
        <v>1026</v>
      </c>
      <c r="J489" s="1" t="s">
        <v>607</v>
      </c>
      <c r="M489" s="15" t="s">
        <v>480</v>
      </c>
      <c r="N489" s="1" t="s">
        <v>2908</v>
      </c>
      <c r="O489" s="15">
        <v>5</v>
      </c>
      <c r="P489" s="15">
        <v>2000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489" s="1"/>
      <c r="U489" s="1"/>
      <c r="V489" s="32" t="s">
        <v>3622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489" s="15" t="str">
        <f>_xlfn.TEXTBEFORE(_xlfn.TEXTAFTER(CantoralDB[[#This Row],[index.html]],"&gt;"),"&gt;")&amp;"&gt;"</f>
        <v>&lt;a href="canciones/francisco_palazon/santo_(misa_coral_en_re).html"&gt;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2912</v>
      </c>
      <c r="C490" s="1"/>
      <c r="H490" s="1" t="s">
        <v>1026</v>
      </c>
      <c r="J490" s="1" t="s">
        <v>607</v>
      </c>
      <c r="M490" s="15" t="s">
        <v>480</v>
      </c>
      <c r="N490" s="1" t="s">
        <v>2908</v>
      </c>
      <c r="O490" s="15">
        <v>6</v>
      </c>
      <c r="P490" s="15">
        <v>2000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490" s="1"/>
      <c r="U490" s="1"/>
      <c r="V490" s="32" t="s">
        <v>3623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490" s="15" t="str">
        <f>_xlfn.TEXTBEFORE(_xlfn.TEXTAFTER(CantoralDB[[#This Row],[index.html]],"&gt;"),"&gt;")&amp;"&gt;"</f>
        <v>&lt;a href="canciones/francisco_palazon/padre_nuestro_(misa_coral_en_re).html"&gt;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2913</v>
      </c>
      <c r="C491" s="1"/>
      <c r="H491" s="1" t="s">
        <v>1026</v>
      </c>
      <c r="J491" s="1" t="s">
        <v>607</v>
      </c>
      <c r="M491" s="15" t="s">
        <v>480</v>
      </c>
      <c r="N491" s="1" t="s">
        <v>2908</v>
      </c>
      <c r="O491" s="15">
        <v>7</v>
      </c>
      <c r="P491" s="15">
        <v>2000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491" s="1"/>
      <c r="U491" s="1"/>
      <c r="V491" s="32" t="s">
        <v>3624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491" s="15" t="str">
        <f>_xlfn.TEXTBEFORE(_xlfn.TEXTAFTER(CantoralDB[[#This Row],[index.html]],"&gt;"),"&gt;")&amp;"&gt;"</f>
        <v>&lt;a href="canciones/francisco_palazon/cordero_de_dios_(misa_coral_en_re).html"&gt;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2069</v>
      </c>
      <c r="C492" s="1"/>
      <c r="H492" s="1" t="s">
        <v>530</v>
      </c>
      <c r="J492" s="1" t="s">
        <v>607</v>
      </c>
      <c r="M492" s="15" t="s">
        <v>480</v>
      </c>
      <c r="N492" s="1" t="s">
        <v>2039</v>
      </c>
      <c r="O492" s="15">
        <v>1</v>
      </c>
      <c r="P492" s="15">
        <v>2007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492" s="1"/>
      <c r="U492" s="1"/>
      <c r="V492" s="32" t="s">
        <v>3008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492" s="15" t="str">
        <f>_xlfn.TEXTBEFORE(_xlfn.TEXTAFTER(CantoralDB[[#This Row],[index.html]],"&gt;"),"&gt;")&amp;"&gt;"</f>
        <v>&lt;a href="canciones/francisco_palazon/dales_señor_el_descanso_eterno.html"&gt;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2034</v>
      </c>
      <c r="C493" s="1"/>
      <c r="H493" s="1" t="s">
        <v>1027</v>
      </c>
      <c r="J493" s="1" t="s">
        <v>607</v>
      </c>
      <c r="M493" s="15" t="s">
        <v>480</v>
      </c>
      <c r="N493" s="1" t="s">
        <v>2039</v>
      </c>
      <c r="O493" s="15">
        <v>2</v>
      </c>
      <c r="P493" s="15">
        <v>2007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493" s="1"/>
      <c r="U493" s="1"/>
      <c r="V493" s="32" t="s">
        <v>3007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493" s="15" t="str">
        <f>_xlfn.TEXTBEFORE(_xlfn.TEXTAFTER(CantoralDB[[#This Row],[index.html]],"&gt;"),"&gt;")&amp;"&gt;"</f>
        <v>&lt;a href="canciones/francisco_palazon/dale_señor.html"&gt;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2035</v>
      </c>
      <c r="C494" s="1"/>
      <c r="H494" s="1" t="s">
        <v>1027</v>
      </c>
      <c r="J494" s="1" t="s">
        <v>607</v>
      </c>
      <c r="M494" s="15" t="s">
        <v>480</v>
      </c>
      <c r="N494" s="1" t="s">
        <v>2039</v>
      </c>
      <c r="O494" s="15">
        <v>3</v>
      </c>
      <c r="P494" s="15">
        <v>2007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494" s="1"/>
      <c r="U494" s="1"/>
      <c r="V494" s="32" t="s">
        <v>3020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494" s="15" t="str">
        <f>_xlfn.TEXTBEFORE(_xlfn.TEXTAFTER(CantoralDB[[#This Row],[index.html]],"&gt;"),"&gt;")&amp;"&gt;"</f>
        <v>&lt;a href="canciones/francisco_palazon/dichosos_los_que_mueren_en_el_señor.html"&gt;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2036</v>
      </c>
      <c r="C495" s="1"/>
      <c r="H495" s="1" t="s">
        <v>472</v>
      </c>
      <c r="J495" s="1" t="s">
        <v>607</v>
      </c>
      <c r="M495" s="15" t="s">
        <v>480</v>
      </c>
      <c r="N495" s="1" t="s">
        <v>2039</v>
      </c>
      <c r="O495" s="15">
        <v>4</v>
      </c>
      <c r="P495" s="15">
        <v>2007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495" s="1"/>
      <c r="U495" s="1"/>
      <c r="V495" s="32" t="s">
        <v>3021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495" s="15" t="str">
        <f>_xlfn.TEXTBEFORE(_xlfn.TEXTAFTER(CantoralDB[[#This Row],[index.html]],"&gt;"),"&gt;")&amp;"&gt;"</f>
        <v>&lt;a href="canciones/francisco_palazon/kyrie_eleison.html"&gt;</v>
      </c>
      <c r="Y495"/>
      <c r="AB495" s="1"/>
      <c r="AC495" s="1"/>
    </row>
    <row r="496" spans="1:29" x14ac:dyDescent="0.3">
      <c r="A496" s="1">
        <f>ROW(CantoralDB[[#This Row],[Título]])-1</f>
        <v>495</v>
      </c>
      <c r="B496" s="1" t="s">
        <v>2037</v>
      </c>
      <c r="C496" s="1"/>
      <c r="H496" s="1" t="s">
        <v>1027</v>
      </c>
      <c r="J496" s="1" t="s">
        <v>607</v>
      </c>
      <c r="M496" s="15" t="s">
        <v>480</v>
      </c>
      <c r="N496" s="1" t="s">
        <v>2039</v>
      </c>
      <c r="O496" s="15">
        <v>5</v>
      </c>
      <c r="P496" s="15">
        <v>2007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496" s="1"/>
      <c r="U496" s="1"/>
      <c r="V496" s="32" t="s">
        <v>3022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496" s="15" t="str">
        <f>_xlfn.TEXTBEFORE(_xlfn.TEXTAFTER(CantoralDB[[#This Row],[index.html]],"&gt;"),"&gt;")&amp;"&gt;"</f>
        <v>&lt;a href="canciones/francisco_palazon/te_ofrecemos_señor_sacrificios_y_oblaciones.html"&gt;</v>
      </c>
      <c r="Y496"/>
      <c r="AB496" s="1"/>
      <c r="AC496" s="1"/>
    </row>
    <row r="497" spans="1:29" x14ac:dyDescent="0.3">
      <c r="A497" s="1">
        <f>ROW(CantoralDB[[#This Row],[Título]])-1</f>
        <v>496</v>
      </c>
      <c r="B497" s="1" t="s">
        <v>3023</v>
      </c>
      <c r="C497" s="1"/>
      <c r="H497" s="1" t="s">
        <v>472</v>
      </c>
      <c r="J497" s="1" t="s">
        <v>607</v>
      </c>
      <c r="M497" s="15" t="s">
        <v>480</v>
      </c>
      <c r="N497" s="1" t="s">
        <v>2039</v>
      </c>
      <c r="O497" s="15">
        <v>6</v>
      </c>
      <c r="P497" s="15">
        <v>2007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497" s="1"/>
      <c r="U497" s="1"/>
      <c r="V497" s="32" t="s">
        <v>3025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497" s="15" t="str">
        <f>_xlfn.TEXTBEFORE(_xlfn.TEXTAFTER(CantoralDB[[#This Row],[index.html]],"&gt;"),"&gt;")&amp;"&gt;"</f>
        <v>&lt;a href="canciones/francisco_palazon/santo_(requiem).html"&gt;</v>
      </c>
      <c r="Y497"/>
      <c r="AB497" s="1"/>
      <c r="AC497" s="1"/>
    </row>
    <row r="498" spans="1:29" x14ac:dyDescent="0.3">
      <c r="A498" s="1">
        <f>ROW(CantoralDB[[#This Row],[Título]])-1</f>
        <v>497</v>
      </c>
      <c r="B498" s="1" t="s">
        <v>3024</v>
      </c>
      <c r="C498" s="1"/>
      <c r="H498" s="1" t="s">
        <v>1026</v>
      </c>
      <c r="J498" s="1" t="s">
        <v>607</v>
      </c>
      <c r="M498" s="15" t="s">
        <v>480</v>
      </c>
      <c r="N498" s="1" t="s">
        <v>2039</v>
      </c>
      <c r="O498" s="15">
        <v>7</v>
      </c>
      <c r="P498" s="15">
        <v>2007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498" s="1"/>
      <c r="U498" s="1"/>
      <c r="V498" s="32" t="s">
        <v>3026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498" s="15" t="str">
        <f>_xlfn.TEXTBEFORE(_xlfn.TEXTAFTER(CantoralDB[[#This Row],[index.html]],"&gt;"),"&gt;")&amp;"&gt;"</f>
        <v>&lt;a href="canciones/francisco_palazon/cordero_de_dios_(requiem).html"&gt;</v>
      </c>
      <c r="Y498"/>
      <c r="AB498" s="1"/>
      <c r="AC498" s="1"/>
    </row>
    <row r="499" spans="1:29" x14ac:dyDescent="0.3">
      <c r="A499" s="1">
        <f>ROW(CantoralDB[[#This Row],[Título]])-1</f>
        <v>498</v>
      </c>
      <c r="B499" s="1" t="s">
        <v>3027</v>
      </c>
      <c r="C499" s="1"/>
      <c r="H499" s="1" t="s">
        <v>530</v>
      </c>
      <c r="J499" s="1" t="s">
        <v>607</v>
      </c>
      <c r="M499" s="15" t="s">
        <v>480</v>
      </c>
      <c r="N499" s="1" t="s">
        <v>2039</v>
      </c>
      <c r="O499" s="15">
        <v>8</v>
      </c>
      <c r="P499" s="15">
        <v>2007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499" s="1"/>
      <c r="U499" s="1"/>
      <c r="V499" s="32" t="s">
        <v>3028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499" s="15" t="str">
        <f>_xlfn.TEXTBEFORE(_xlfn.TEXTAFTER(CantoralDB[[#This Row],[index.html]],"&gt;"),"&gt;")&amp;"&gt;"</f>
        <v>&lt;a href="canciones/francisco_palazon/este_es_el_pan_que_nos_da_jesus.html"&gt;</v>
      </c>
      <c r="Y499"/>
      <c r="AB499" s="1"/>
      <c r="AC499" s="1"/>
    </row>
    <row r="500" spans="1:29" x14ac:dyDescent="0.3">
      <c r="A500" s="1">
        <f>ROW(CantoralDB[[#This Row],[Título]])-1</f>
        <v>499</v>
      </c>
      <c r="B500" s="1" t="s">
        <v>3032</v>
      </c>
      <c r="C500" s="1"/>
      <c r="H500" s="1" t="s">
        <v>1027</v>
      </c>
      <c r="J500" s="1" t="s">
        <v>607</v>
      </c>
      <c r="M500" s="15" t="s">
        <v>480</v>
      </c>
      <c r="N500" s="1" t="s">
        <v>2039</v>
      </c>
      <c r="O500" s="15">
        <v>9</v>
      </c>
      <c r="P500" s="15">
        <v>2007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00" s="1"/>
      <c r="U500" s="1"/>
      <c r="V500" s="32" t="s">
        <v>3031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00" s="15" t="str">
        <f>_xlfn.TEXTBEFORE(_xlfn.TEXTAFTER(CantoralDB[[#This Row],[index.html]],"&gt;"),"&gt;")&amp;"&gt;"</f>
        <v>&lt;a href="canciones/francisco_palazon/al_paraiso_te_lleven_los_angeles.html"&gt;</v>
      </c>
      <c r="Y500"/>
      <c r="AB500" s="1"/>
      <c r="AC500" s="1"/>
    </row>
    <row r="501" spans="1:29" x14ac:dyDescent="0.3">
      <c r="A501" s="1">
        <f>ROW(CantoralDB[[#This Row],[Título]])-1</f>
        <v>500</v>
      </c>
      <c r="B501" s="1" t="s">
        <v>2038</v>
      </c>
      <c r="C501" s="1"/>
      <c r="H501" s="1" t="s">
        <v>530</v>
      </c>
      <c r="J501" s="1" t="s">
        <v>607</v>
      </c>
      <c r="M501" s="15" t="s">
        <v>480</v>
      </c>
      <c r="N501" s="1" t="s">
        <v>2039</v>
      </c>
      <c r="O501" s="15">
        <v>10</v>
      </c>
      <c r="P501" s="15">
        <v>2007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01" s="1"/>
      <c r="U501" s="1"/>
      <c r="V501" s="32" t="s">
        <v>3033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01" s="15" t="str">
        <f>_xlfn.TEXTBEFORE(_xlfn.TEXTAFTER(CantoralDB[[#This Row],[index.html]],"&gt;"),"&gt;")&amp;"&gt;"</f>
        <v>&lt;a href="canciones/francisco_palazon/eres_madre_dolorosa.html"&gt;</v>
      </c>
      <c r="Y501"/>
      <c r="AB501" s="1"/>
      <c r="AC501" s="1"/>
    </row>
    <row r="502" spans="1:29" x14ac:dyDescent="0.3">
      <c r="A502" s="1">
        <f>ROW(CantoralDB[[#This Row],[Título]])-1</f>
        <v>501</v>
      </c>
      <c r="B502" s="1" t="s">
        <v>2043</v>
      </c>
      <c r="C502" s="1"/>
      <c r="H502" s="1" t="s">
        <v>1026</v>
      </c>
      <c r="J502" s="1" t="s">
        <v>607</v>
      </c>
      <c r="M502" s="15" t="s">
        <v>480</v>
      </c>
      <c r="N502" s="1" t="s">
        <v>2041</v>
      </c>
      <c r="O502" s="15">
        <v>1</v>
      </c>
      <c r="P502" s="15">
        <v>1973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02" s="1"/>
      <c r="U502" s="1"/>
      <c r="V502" s="32" t="s">
        <v>3059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02" s="15" t="str">
        <f>_xlfn.TEXTBEFORE(_xlfn.TEXTAFTER(CantoralDB[[#This Row],[index.html]],"&gt;"),"&gt;")&amp;"&gt;"</f>
        <v>&lt;a href="canciones/francisco_palazon/para_que_escuchase_el_viento.html"&gt;</v>
      </c>
      <c r="Y502"/>
      <c r="AB502" s="1"/>
      <c r="AC502" s="1"/>
    </row>
    <row r="503" spans="1:29" x14ac:dyDescent="0.3">
      <c r="A503" s="1">
        <f>ROW(CantoralDB[[#This Row],[Título]])-1</f>
        <v>502</v>
      </c>
      <c r="B503" s="1" t="s">
        <v>2044</v>
      </c>
      <c r="C503" s="1"/>
      <c r="H503" s="1" t="s">
        <v>530</v>
      </c>
      <c r="I503" s="1" t="s">
        <v>2949</v>
      </c>
      <c r="J503" s="1" t="s">
        <v>607</v>
      </c>
      <c r="M503" s="15" t="s">
        <v>480</v>
      </c>
      <c r="N503" s="1" t="s">
        <v>2041</v>
      </c>
      <c r="O503" s="15">
        <v>2</v>
      </c>
      <c r="P503" s="15">
        <v>1973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03" s="1"/>
      <c r="U503" s="1"/>
      <c r="V503" s="32" t="s">
        <v>3060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03" s="15" t="str">
        <f>_xlfn.TEXTBEFORE(_xlfn.TEXTAFTER(CantoralDB[[#This Row],[index.html]],"&gt;"),"&gt;")&amp;"&gt;"</f>
        <v>&lt;a href="canciones/francisco_palazon/camino_a_jerico.html"&gt;</v>
      </c>
      <c r="Y503"/>
      <c r="AB503" s="1"/>
      <c r="AC503" s="1"/>
    </row>
    <row r="504" spans="1:29" x14ac:dyDescent="0.3">
      <c r="A504" s="1">
        <f>ROW(CantoralDB[[#This Row],[Título]])-1</f>
        <v>503</v>
      </c>
      <c r="B504" s="1" t="s">
        <v>2045</v>
      </c>
      <c r="C504" s="1"/>
      <c r="H504" s="1" t="s">
        <v>1027</v>
      </c>
      <c r="J504" s="1" t="s">
        <v>607</v>
      </c>
      <c r="M504" s="15" t="s">
        <v>480</v>
      </c>
      <c r="N504" s="1" t="s">
        <v>2041</v>
      </c>
      <c r="O504" s="15">
        <v>3</v>
      </c>
      <c r="P504" s="15">
        <v>1973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04" s="1"/>
      <c r="U504" s="1"/>
      <c r="V504" s="32" t="s">
        <v>3061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04" s="15" t="str">
        <f>_xlfn.TEXTBEFORE(_xlfn.TEXTAFTER(CantoralDB[[#This Row],[index.html]],"&gt;"),"&gt;")&amp;"&gt;"</f>
        <v>&lt;a href="canciones/francisco_palazon/trigo_y_cizaña.html"&gt;</v>
      </c>
      <c r="Y504"/>
      <c r="AB504" s="1"/>
      <c r="AC504" s="1"/>
    </row>
    <row r="505" spans="1:29" x14ac:dyDescent="0.3">
      <c r="A505" s="1">
        <f>ROW(CantoralDB[[#This Row],[Título]])-1</f>
        <v>504</v>
      </c>
      <c r="B505" s="1" t="s">
        <v>2046</v>
      </c>
      <c r="C505" s="1"/>
      <c r="H505" s="1" t="s">
        <v>530</v>
      </c>
      <c r="I505" s="1" t="s">
        <v>2951</v>
      </c>
      <c r="J505" s="1" t="s">
        <v>607</v>
      </c>
      <c r="M505" s="15" t="s">
        <v>480</v>
      </c>
      <c r="N505" s="1" t="s">
        <v>2041</v>
      </c>
      <c r="O505" s="15">
        <v>4</v>
      </c>
      <c r="P505" s="15">
        <v>1973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05" s="1"/>
      <c r="U505" s="1"/>
      <c r="V505" s="32" t="s">
        <v>3062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05" s="15" t="str">
        <f>_xlfn.TEXTBEFORE(_xlfn.TEXTAFTER(CantoralDB[[#This Row],[index.html]],"&gt;"),"&gt;")&amp;"&gt;"</f>
        <v>&lt;a href="canciones/francisco_palazon/administradores_del_amor.html"&gt;</v>
      </c>
      <c r="Y505"/>
      <c r="AB505" s="1"/>
      <c r="AC505" s="1"/>
    </row>
    <row r="506" spans="1:29" x14ac:dyDescent="0.3">
      <c r="A506" s="1">
        <f>ROW(CantoralDB[[#This Row],[Título]])-1</f>
        <v>505</v>
      </c>
      <c r="B506" s="1" t="s">
        <v>2047</v>
      </c>
      <c r="C506" s="1"/>
      <c r="H506" s="1" t="s">
        <v>1029</v>
      </c>
      <c r="J506" s="1" t="s">
        <v>607</v>
      </c>
      <c r="M506" s="15" t="s">
        <v>480</v>
      </c>
      <c r="N506" s="1" t="s">
        <v>2041</v>
      </c>
      <c r="O506" s="15">
        <v>5</v>
      </c>
      <c r="P506" s="15">
        <v>1973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06" s="1"/>
      <c r="U506" s="1"/>
      <c r="V506" s="32" t="s">
        <v>3063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06" s="15" t="str">
        <f>_xlfn.TEXTBEFORE(_xlfn.TEXTAFTER(CantoralDB[[#This Row],[index.html]],"&gt;"),"&gt;")&amp;"&gt;"</f>
        <v>&lt;a href="canciones/francisco_palazon/la_oveja_negra.html"&gt;</v>
      </c>
      <c r="Y506"/>
      <c r="AB506" s="1"/>
      <c r="AC506" s="1"/>
    </row>
    <row r="507" spans="1:29" x14ac:dyDescent="0.3">
      <c r="A507" s="1">
        <f>ROW(CantoralDB[[#This Row],[Título]])-1</f>
        <v>506</v>
      </c>
      <c r="B507" s="1" t="s">
        <v>2048</v>
      </c>
      <c r="C507" s="1"/>
      <c r="H507" s="1" t="s">
        <v>1026</v>
      </c>
      <c r="J507" s="1" t="s">
        <v>607</v>
      </c>
      <c r="M507" s="15" t="s">
        <v>480</v>
      </c>
      <c r="N507" s="1" t="s">
        <v>2041</v>
      </c>
      <c r="O507" s="15">
        <v>6</v>
      </c>
      <c r="P507" s="15">
        <v>1973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07" s="1"/>
      <c r="U507" s="1"/>
      <c r="V507" s="32" t="s">
        <v>3064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07" s="15" t="str">
        <f>_xlfn.TEXTBEFORE(_xlfn.TEXTAFTER(CantoralDB[[#This Row],[index.html]],"&gt;"),"&gt;")&amp;"&gt;"</f>
        <v>&lt;a href="canciones/francisco_palazon/noche_y_dia_en_altamar.html"&gt;</v>
      </c>
      <c r="Y507"/>
      <c r="AB507" s="1"/>
      <c r="AC507" s="1"/>
    </row>
    <row r="508" spans="1:29" x14ac:dyDescent="0.3">
      <c r="A508" s="1">
        <f>ROW(CantoralDB[[#This Row],[Título]])-1</f>
        <v>507</v>
      </c>
      <c r="B508" s="1" t="s">
        <v>2049</v>
      </c>
      <c r="C508" s="1"/>
      <c r="E508" s="1">
        <v>91</v>
      </c>
      <c r="H508" s="1" t="s">
        <v>1029</v>
      </c>
      <c r="I508" s="1" t="s">
        <v>2951</v>
      </c>
      <c r="J508" s="1" t="s">
        <v>607</v>
      </c>
      <c r="M508" s="15" t="s">
        <v>480</v>
      </c>
      <c r="N508" s="1" t="s">
        <v>2041</v>
      </c>
      <c r="O508" s="15">
        <v>7</v>
      </c>
      <c r="P508" s="15">
        <v>1973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08" s="1"/>
      <c r="U508" s="1"/>
      <c r="V508" s="32" t="s">
        <v>3065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08" s="15" t="str">
        <f>_xlfn.TEXTBEFORE(_xlfn.TEXTAFTER(CantoralDB[[#This Row],[index.html]],"&gt;"),"&gt;")&amp;"&gt;"</f>
        <v>&lt;a href="canciones/francisco_palazon/a_quien_se_parece.html"&gt;</v>
      </c>
      <c r="Y508"/>
      <c r="AB508" s="1"/>
      <c r="AC508" s="1"/>
    </row>
    <row r="509" spans="1:29" x14ac:dyDescent="0.3">
      <c r="A509" s="1">
        <f>ROW(CantoralDB[[#This Row],[Título]])-1</f>
        <v>508</v>
      </c>
      <c r="B509" s="1" t="s">
        <v>2050</v>
      </c>
      <c r="C509" s="1"/>
      <c r="H509" s="1" t="s">
        <v>530</v>
      </c>
      <c r="I509" s="1" t="s">
        <v>2953</v>
      </c>
      <c r="J509" s="1" t="s">
        <v>607</v>
      </c>
      <c r="M509" s="15" t="s">
        <v>480</v>
      </c>
      <c r="N509" s="1" t="s">
        <v>2041</v>
      </c>
      <c r="O509" s="15">
        <v>8</v>
      </c>
      <c r="P509" s="15">
        <v>1973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09" s="1"/>
      <c r="U509" s="1"/>
      <c r="V509" s="32" t="s">
        <v>3066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09" s="15" t="str">
        <f>_xlfn.TEXTBEFORE(_xlfn.TEXTAFTER(CantoralDB[[#This Row],[index.html]],"&gt;"),"&gt;")&amp;"&gt;"</f>
        <v>&lt;a href="canciones/francisco_palazon/un_hombre_una_tierra.html"&gt;</v>
      </c>
      <c r="Y509"/>
      <c r="AB509" s="1"/>
      <c r="AC509" s="1"/>
    </row>
    <row r="510" spans="1:29" x14ac:dyDescent="0.3">
      <c r="A510" s="1">
        <f>ROW(CantoralDB[[#This Row],[Título]])-1</f>
        <v>509</v>
      </c>
      <c r="B510" s="1" t="s">
        <v>2051</v>
      </c>
      <c r="C510" s="1"/>
      <c r="H510" s="1" t="s">
        <v>530</v>
      </c>
      <c r="J510" s="1" t="s">
        <v>607</v>
      </c>
      <c r="M510" s="15" t="s">
        <v>480</v>
      </c>
      <c r="N510" s="1" t="s">
        <v>2041</v>
      </c>
      <c r="O510" s="15">
        <v>9</v>
      </c>
      <c r="P510" s="15">
        <v>1973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10" s="1"/>
      <c r="U510" s="1"/>
      <c r="V510" s="32" t="s">
        <v>3067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10" s="15" t="str">
        <f>_xlfn.TEXTBEFORE(_xlfn.TEXTAFTER(CantoralDB[[#This Row],[index.html]],"&gt;"),"&gt;")&amp;"&gt;"</f>
        <v>&lt;a href="canciones/francisco_palazon/de_par_en_par.html"&gt;</v>
      </c>
      <c r="Y510"/>
      <c r="AB510" s="1"/>
      <c r="AC510" s="1"/>
    </row>
    <row r="511" spans="1:29" x14ac:dyDescent="0.3">
      <c r="A511" s="1">
        <f>ROW(CantoralDB[[#This Row],[Título]])-1</f>
        <v>510</v>
      </c>
      <c r="B511" s="1" t="s">
        <v>2052</v>
      </c>
      <c r="C511" s="1"/>
      <c r="H511" s="1" t="s">
        <v>1029</v>
      </c>
      <c r="I511" s="1" t="s">
        <v>2951</v>
      </c>
      <c r="J511" s="1" t="s">
        <v>607</v>
      </c>
      <c r="M511" s="15" t="s">
        <v>480</v>
      </c>
      <c r="N511" s="1" t="s">
        <v>2041</v>
      </c>
      <c r="O511" s="15">
        <v>10</v>
      </c>
      <c r="P511" s="15">
        <v>1973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11" s="1"/>
      <c r="U511" s="1"/>
      <c r="V511" s="32" t="s">
        <v>3068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11" s="15" t="str">
        <f>_xlfn.TEXTBEFORE(_xlfn.TEXTAFTER(CantoralDB[[#This Row],[index.html]],"&gt;"),"&gt;")&amp;"&gt;"</f>
        <v>&lt;a href="canciones/francisco_palazon/el_hijo_prodigo.html"&gt;</v>
      </c>
      <c r="Y511"/>
      <c r="AB511" s="1"/>
      <c r="AC511" s="1"/>
    </row>
    <row r="512" spans="1:29" x14ac:dyDescent="0.3">
      <c r="A512" s="1">
        <f>ROW(CantoralDB[[#This Row],[Título]])-1</f>
        <v>511</v>
      </c>
      <c r="B512" s="1" t="s">
        <v>2053</v>
      </c>
      <c r="C512" s="1"/>
      <c r="H512" s="1" t="s">
        <v>530</v>
      </c>
      <c r="J512" s="1" t="s">
        <v>607</v>
      </c>
      <c r="M512" s="15" t="s">
        <v>480</v>
      </c>
      <c r="N512" s="1" t="s">
        <v>2042</v>
      </c>
      <c r="O512" s="15">
        <v>1</v>
      </c>
      <c r="P512" s="15">
        <v>1975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12" s="1"/>
      <c r="U512" s="1"/>
      <c r="V512" s="32" t="s">
        <v>3049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12" s="15" t="str">
        <f>_xlfn.TEXTBEFORE(_xlfn.TEXTAFTER(CantoralDB[[#This Row],[index.html]],"&gt;"),"&gt;")&amp;"&gt;"</f>
        <v>&lt;a href="canciones/francisco_palazon/en_la_plaza_de_un_pueblo.html"&gt;</v>
      </c>
      <c r="Y512"/>
      <c r="AB512" s="1"/>
      <c r="AC512" s="1"/>
    </row>
    <row r="513" spans="1:29" x14ac:dyDescent="0.3">
      <c r="A513" s="1">
        <f>ROW(CantoralDB[[#This Row],[Título]])-1</f>
        <v>512</v>
      </c>
      <c r="B513" s="1" t="s">
        <v>2054</v>
      </c>
      <c r="C513" s="1"/>
      <c r="H513" s="1" t="s">
        <v>1026</v>
      </c>
      <c r="J513" s="1" t="s">
        <v>607</v>
      </c>
      <c r="M513" s="15" t="s">
        <v>480</v>
      </c>
      <c r="N513" s="1" t="s">
        <v>2042</v>
      </c>
      <c r="O513" s="15">
        <v>2</v>
      </c>
      <c r="P513" s="15">
        <v>1975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13" s="1"/>
      <c r="U513" s="1"/>
      <c r="V513" s="32" t="s">
        <v>3050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13" s="15" t="str">
        <f>_xlfn.TEXTBEFORE(_xlfn.TEXTAFTER(CantoralDB[[#This Row],[index.html]],"&gt;"),"&gt;")&amp;"&gt;"</f>
        <v>&lt;a href="canciones/francisco_palazon/fariseo_y_publicano.html"&gt;</v>
      </c>
      <c r="Y513"/>
      <c r="AB513" s="1"/>
      <c r="AC513" s="1"/>
    </row>
    <row r="514" spans="1:29" x14ac:dyDescent="0.3">
      <c r="A514" s="1">
        <f>ROW(CantoralDB[[#This Row],[Título]])-1</f>
        <v>513</v>
      </c>
      <c r="B514" s="1" t="s">
        <v>2055</v>
      </c>
      <c r="C514" s="1"/>
      <c r="H514" s="1" t="s">
        <v>530</v>
      </c>
      <c r="J514" s="1" t="s">
        <v>607</v>
      </c>
      <c r="M514" s="15" t="s">
        <v>480</v>
      </c>
      <c r="N514" s="1" t="s">
        <v>2042</v>
      </c>
      <c r="O514" s="15">
        <v>3</v>
      </c>
      <c r="P514" s="15">
        <v>1975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14" s="1"/>
      <c r="U514" s="1"/>
      <c r="V514" s="32" t="s">
        <v>3051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14" s="15" t="str">
        <f>_xlfn.TEXTBEFORE(_xlfn.TEXTAFTER(CantoralDB[[#This Row],[index.html]],"&gt;"),"&gt;")&amp;"&gt;"</f>
        <v>&lt;a href="canciones/francisco_palazon/de_cosas_sencillas.html"&gt;</v>
      </c>
      <c r="Y514"/>
      <c r="AB514" s="1"/>
      <c r="AC514" s="1"/>
    </row>
    <row r="515" spans="1:29" x14ac:dyDescent="0.3">
      <c r="A515" s="1">
        <f>ROW(CantoralDB[[#This Row],[Título]])-1</f>
        <v>514</v>
      </c>
      <c r="B515" s="1" t="s">
        <v>2056</v>
      </c>
      <c r="C515" s="1"/>
      <c r="H515" s="1" t="s">
        <v>1029</v>
      </c>
      <c r="J515" s="1" t="s">
        <v>607</v>
      </c>
      <c r="M515" s="15" t="s">
        <v>480</v>
      </c>
      <c r="N515" s="1" t="s">
        <v>2042</v>
      </c>
      <c r="O515" s="15">
        <v>4</v>
      </c>
      <c r="P515" s="15">
        <v>1975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15" s="1"/>
      <c r="U515" s="1"/>
      <c r="V515" s="32" t="s">
        <v>3052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15" s="15" t="str">
        <f>_xlfn.TEXTBEFORE(_xlfn.TEXTAFTER(CantoralDB[[#This Row],[index.html]],"&gt;"),"&gt;")&amp;"&gt;"</f>
        <v>&lt;a href="canciones/francisco_palazon/y_ciegos_son_los_hombres.html"&gt;</v>
      </c>
      <c r="Y515"/>
      <c r="AB515" s="1"/>
      <c r="AC515" s="1"/>
    </row>
    <row r="516" spans="1:29" x14ac:dyDescent="0.3">
      <c r="A516" s="1">
        <f>ROW(CantoralDB[[#This Row],[Título]])-1</f>
        <v>515</v>
      </c>
      <c r="B516" s="1" t="s">
        <v>2057</v>
      </c>
      <c r="C516" s="1"/>
      <c r="H516" s="1" t="s">
        <v>1026</v>
      </c>
      <c r="J516" s="1" t="s">
        <v>607</v>
      </c>
      <c r="M516" s="15" t="s">
        <v>480</v>
      </c>
      <c r="N516" s="1" t="s">
        <v>2042</v>
      </c>
      <c r="O516" s="15">
        <v>5</v>
      </c>
      <c r="P516" s="15">
        <v>1975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16" s="1"/>
      <c r="U516" s="1"/>
      <c r="V516" s="32" t="s">
        <v>3053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16" s="15" t="str">
        <f>_xlfn.TEXTBEFORE(_xlfn.TEXTAFTER(CantoralDB[[#This Row],[index.html]],"&gt;"),"&gt;")&amp;"&gt;"</f>
        <v>&lt;a href="canciones/francisco_palazon/en_la_viña_del_señor.html"&gt;</v>
      </c>
      <c r="Y516"/>
      <c r="AB516" s="1"/>
      <c r="AC516" s="1"/>
    </row>
    <row r="517" spans="1:29" x14ac:dyDescent="0.3">
      <c r="A517" s="1">
        <f>ROW(CantoralDB[[#This Row],[Título]])-1</f>
        <v>516</v>
      </c>
      <c r="B517" s="1" t="s">
        <v>2058</v>
      </c>
      <c r="C517" s="1"/>
      <c r="H517" s="1" t="s">
        <v>1029</v>
      </c>
      <c r="J517" s="1" t="s">
        <v>607</v>
      </c>
      <c r="M517" s="15" t="s">
        <v>480</v>
      </c>
      <c r="N517" s="1" t="s">
        <v>2042</v>
      </c>
      <c r="O517" s="15">
        <v>6</v>
      </c>
      <c r="P517" s="15">
        <v>1975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17" s="1"/>
      <c r="U517" s="1"/>
      <c r="V517" s="32" t="s">
        <v>3054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17" s="15" t="str">
        <f>_xlfn.TEXTBEFORE(_xlfn.TEXTAFTER(CantoralDB[[#This Row],[index.html]],"&gt;"),"&gt;")&amp;"&gt;"</f>
        <v>&lt;a href="canciones/francisco_palazon/invitacion.html"&gt;</v>
      </c>
      <c r="Y517"/>
      <c r="AB517" s="1"/>
      <c r="AC517" s="1"/>
    </row>
    <row r="518" spans="1:29" x14ac:dyDescent="0.3">
      <c r="A518" s="1">
        <f>ROW(CantoralDB[[#This Row],[Título]])-1</f>
        <v>517</v>
      </c>
      <c r="B518" s="1" t="s">
        <v>2059</v>
      </c>
      <c r="C518" s="1"/>
      <c r="H518" s="1" t="s">
        <v>2958</v>
      </c>
      <c r="J518" s="1" t="s">
        <v>607</v>
      </c>
      <c r="M518" s="15" t="s">
        <v>480</v>
      </c>
      <c r="N518" s="1" t="s">
        <v>2042</v>
      </c>
      <c r="O518" s="15">
        <v>7</v>
      </c>
      <c r="P518" s="15">
        <v>1975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18" s="1"/>
      <c r="U518" s="1"/>
      <c r="V518" s="32" t="s">
        <v>3055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18" s="15" t="str">
        <f>_xlfn.TEXTBEFORE(_xlfn.TEXTAFTER(CantoralDB[[#This Row],[index.html]],"&gt;"),"&gt;")&amp;"&gt;"</f>
        <v>&lt;a href="canciones/francisco_palazon/dos_señores.html"&gt;</v>
      </c>
      <c r="Y518"/>
      <c r="AB518" s="1"/>
      <c r="AC518" s="1"/>
    </row>
    <row r="519" spans="1:29" x14ac:dyDescent="0.3">
      <c r="A519" s="1">
        <f>ROW(CantoralDB[[#This Row],[Título]])-1</f>
        <v>518</v>
      </c>
      <c r="B519" s="1" t="s">
        <v>2060</v>
      </c>
      <c r="C519" s="1"/>
      <c r="H519" s="1" t="s">
        <v>2958</v>
      </c>
      <c r="J519" s="1" t="s">
        <v>607</v>
      </c>
      <c r="M519" s="15" t="s">
        <v>480</v>
      </c>
      <c r="N519" s="1" t="s">
        <v>2042</v>
      </c>
      <c r="O519" s="15">
        <v>8</v>
      </c>
      <c r="P519" s="15">
        <v>1975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19" s="1"/>
      <c r="U519" s="1"/>
      <c r="V519" s="32" t="s">
        <v>3056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19" s="15" t="str">
        <f>_xlfn.TEXTBEFORE(_xlfn.TEXTAFTER(CantoralDB[[#This Row],[index.html]],"&gt;"),"&gt;")&amp;"&gt;"</f>
        <v>&lt;a href="canciones/francisco_palazon/buen_pastor.html"&gt;</v>
      </c>
      <c r="Y519"/>
      <c r="AB519" s="1"/>
      <c r="AC519" s="1"/>
    </row>
    <row r="520" spans="1:29" x14ac:dyDescent="0.3">
      <c r="A520" s="1">
        <f>ROW(CantoralDB[[#This Row],[Título]])-1</f>
        <v>519</v>
      </c>
      <c r="B520" s="1" t="s">
        <v>2061</v>
      </c>
      <c r="C520" s="1"/>
      <c r="H520" s="1" t="s">
        <v>1029</v>
      </c>
      <c r="J520" s="1" t="s">
        <v>607</v>
      </c>
      <c r="M520" s="15" t="s">
        <v>480</v>
      </c>
      <c r="N520" s="1" t="s">
        <v>2042</v>
      </c>
      <c r="O520" s="15">
        <v>9</v>
      </c>
      <c r="P520" s="15">
        <v>1975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20" s="1"/>
      <c r="U520" s="1"/>
      <c r="V520" s="32" t="s">
        <v>3057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20" s="15" t="str">
        <f>_xlfn.TEXTBEFORE(_xlfn.TEXTAFTER(CantoralDB[[#This Row],[index.html]],"&gt;"),"&gt;")&amp;"&gt;"</f>
        <v>&lt;a href="canciones/francisco_palazon/el_pobre_lazaro.html"&gt;</v>
      </c>
      <c r="Y520"/>
      <c r="AB520" s="1"/>
      <c r="AC520" s="1"/>
    </row>
    <row r="521" spans="1:29" x14ac:dyDescent="0.3">
      <c r="A521" s="1">
        <f>ROW(CantoralDB[[#This Row],[Título]])-1</f>
        <v>520</v>
      </c>
      <c r="B521" s="1" t="s">
        <v>2355</v>
      </c>
      <c r="C521" s="1"/>
      <c r="H521" s="1" t="s">
        <v>1042</v>
      </c>
      <c r="J521" s="1" t="s">
        <v>607</v>
      </c>
      <c r="M521" s="15" t="s">
        <v>480</v>
      </c>
      <c r="N521" s="1" t="s">
        <v>2042</v>
      </c>
      <c r="O521" s="15">
        <v>10</v>
      </c>
      <c r="P521" s="15">
        <v>1975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21" s="1"/>
      <c r="U521" s="1"/>
      <c r="V521" s="32" t="s">
        <v>3058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21" s="15" t="str">
        <f>_xlfn.TEXTBEFORE(_xlfn.TEXTAFTER(CantoralDB[[#This Row],[index.html]],"&gt;"),"&gt;")&amp;"&gt;"</f>
        <v>&lt;a href="canciones/francisco_palazon/despues_de_la_medianoche.html"&gt;</v>
      </c>
      <c r="Y521"/>
      <c r="AB521" s="1"/>
      <c r="AC521" s="1"/>
    </row>
    <row r="522" spans="1:29" x14ac:dyDescent="0.3">
      <c r="A522" s="1">
        <f>ROW(CantoralDB[[#This Row],[Título]])-1</f>
        <v>521</v>
      </c>
      <c r="B522" s="1" t="s">
        <v>1246</v>
      </c>
      <c r="C522" s="1"/>
      <c r="E522" s="1">
        <v>110</v>
      </c>
      <c r="H522" s="1" t="s">
        <v>1029</v>
      </c>
      <c r="J522" s="1" t="s">
        <v>607</v>
      </c>
      <c r="M522" s="15" t="s">
        <v>480</v>
      </c>
      <c r="N522" s="1" t="s">
        <v>2219</v>
      </c>
      <c r="O522" s="15"/>
      <c r="P522" s="15"/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22" s="1"/>
      <c r="U522" s="1"/>
      <c r="V522" s="32" t="s">
        <v>4398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22" s="15" t="str">
        <f>_xlfn.TEXTBEFORE(_xlfn.TEXTAFTER(CantoralDB[[#This Row],[index.html]],"&gt;"),"&gt;")&amp;"&gt;"</f>
        <v>&lt;a href="canciones/francisco_palazon/el_señor_ha_estado_grande_con_nosotros.html"&gt;</v>
      </c>
      <c r="Y522"/>
      <c r="AB522" s="1"/>
      <c r="AC522" s="1"/>
    </row>
    <row r="523" spans="1:29" x14ac:dyDescent="0.3">
      <c r="A523" s="1">
        <f>ROW(CantoralDB[[#This Row],[Título]])-1</f>
        <v>522</v>
      </c>
      <c r="B523" s="1" t="s">
        <v>127</v>
      </c>
      <c r="C523" s="1" t="s">
        <v>190</v>
      </c>
      <c r="D523" s="1" t="s">
        <v>750</v>
      </c>
      <c r="E523" s="1">
        <v>453</v>
      </c>
      <c r="G523" s="1" t="s">
        <v>208</v>
      </c>
      <c r="H523" s="1" t="s">
        <v>1029</v>
      </c>
      <c r="J523" s="1" t="s">
        <v>607</v>
      </c>
      <c r="M523" s="15" t="s">
        <v>480</v>
      </c>
      <c r="N523" s="1" t="s">
        <v>1925</v>
      </c>
      <c r="O523" s="15">
        <v>1</v>
      </c>
      <c r="P523" s="15">
        <v>1986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23" s="1"/>
      <c r="U523" s="1"/>
      <c r="V523" s="32" t="s">
        <v>3636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23" s="15" t="str">
        <f>_xlfn.TEXTBEFORE(_xlfn.TEXTAFTER(CantoralDB[[#This Row],[index.html]],"&gt;"),"&gt;")&amp;"&gt;"</f>
        <v>&lt;a href="canciones/francisco_palazon/reunidos_en_el_nombre_del_señor.html"&gt;</v>
      </c>
      <c r="Y523"/>
      <c r="AB523" s="1"/>
      <c r="AC523" s="1"/>
    </row>
    <row r="524" spans="1:29" x14ac:dyDescent="0.3">
      <c r="A524" s="1">
        <f>ROW(CantoralDB[[#This Row],[Título]])-1</f>
        <v>523</v>
      </c>
      <c r="B524" s="1" t="s">
        <v>2183</v>
      </c>
      <c r="C524" s="1"/>
      <c r="J524" s="1"/>
      <c r="M524" s="15" t="s">
        <v>480</v>
      </c>
      <c r="N524" s="1" t="s">
        <v>1925</v>
      </c>
      <c r="O524" s="15">
        <v>2</v>
      </c>
      <c r="P524" s="15">
        <v>1986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24" s="1"/>
      <c r="U524" s="1"/>
      <c r="V524" s="32" t="s">
        <v>3637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24" s="15" t="str">
        <f>_xlfn.TEXTBEFORE(_xlfn.TEXTAFTER(CantoralDB[[#This Row],[index.html]],"&gt;"),"&gt;")&amp;"&gt;"</f>
        <v>&lt;a href="canciones/francisco_palazon/señor_ten_piedad_(reunidos_en_su_nombre).html"&gt;</v>
      </c>
      <c r="Y524"/>
      <c r="AB524" s="1"/>
      <c r="AC524" s="1"/>
    </row>
    <row r="525" spans="1:29" x14ac:dyDescent="0.3">
      <c r="A525" s="1">
        <f>ROW(CantoralDB[[#This Row],[Título]])-1</f>
        <v>524</v>
      </c>
      <c r="B525" s="1" t="s">
        <v>2184</v>
      </c>
      <c r="C525" s="1"/>
      <c r="J525" s="1"/>
      <c r="M525" s="15" t="s">
        <v>480</v>
      </c>
      <c r="N525" s="1" t="s">
        <v>1925</v>
      </c>
      <c r="O525" s="15">
        <v>3</v>
      </c>
      <c r="P525" s="15">
        <v>1986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25" s="1"/>
      <c r="U525" s="1"/>
      <c r="V525" s="32" t="s">
        <v>3638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25" s="15" t="str">
        <f>_xlfn.TEXTBEFORE(_xlfn.TEXTAFTER(CantoralDB[[#This Row],[index.html]],"&gt;"),"&gt;")&amp;"&gt;"</f>
        <v>&lt;a href="canciones/francisco_palazon/gloria_(reunidos_en_su_nombre).html"&gt;</v>
      </c>
      <c r="Y525"/>
      <c r="AB525" s="1"/>
      <c r="AC525" s="1"/>
    </row>
    <row r="526" spans="1:29" x14ac:dyDescent="0.3">
      <c r="A526" s="1">
        <f>ROW(CantoralDB[[#This Row],[Título]])-1</f>
        <v>525</v>
      </c>
      <c r="B526" s="1" t="s">
        <v>2185</v>
      </c>
      <c r="C526" s="1"/>
      <c r="J526" s="1"/>
      <c r="M526" s="15" t="s">
        <v>480</v>
      </c>
      <c r="N526" s="1" t="s">
        <v>1925</v>
      </c>
      <c r="O526" s="15">
        <v>4</v>
      </c>
      <c r="P526" s="15">
        <v>1986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26" s="1"/>
      <c r="U526" s="1"/>
      <c r="V526" s="32" t="s">
        <v>3639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26" s="15" t="str">
        <f>_xlfn.TEXTBEFORE(_xlfn.TEXTAFTER(CantoralDB[[#This Row],[index.html]],"&gt;"),"&gt;")&amp;"&gt;"</f>
        <v>&lt;a href="canciones/francisco_palazon/santo_(reunidos_en_su_nombre).html"&gt;</v>
      </c>
      <c r="Y526"/>
      <c r="AB526" s="1"/>
      <c r="AC526" s="1"/>
    </row>
    <row r="527" spans="1:29" x14ac:dyDescent="0.3">
      <c r="A527" s="1">
        <f>ROW(CantoralDB[[#This Row],[Título]])-1</f>
        <v>526</v>
      </c>
      <c r="B527" s="1" t="s">
        <v>2186</v>
      </c>
      <c r="C527" s="1"/>
      <c r="J527" s="1"/>
      <c r="M527" s="15" t="s">
        <v>480</v>
      </c>
      <c r="N527" s="1" t="s">
        <v>1925</v>
      </c>
      <c r="O527" s="15">
        <v>5</v>
      </c>
      <c r="P527" s="15">
        <v>1986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27" s="1"/>
      <c r="U527" s="1"/>
      <c r="V527" s="32" t="s">
        <v>3640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27" s="15" t="str">
        <f>_xlfn.TEXTBEFORE(_xlfn.TEXTAFTER(CantoralDB[[#This Row],[index.html]],"&gt;"),"&gt;")&amp;"&gt;"</f>
        <v>&lt;a href="canciones/francisco_palazon/gustad_y_ved.html"&gt;</v>
      </c>
      <c r="Y527"/>
      <c r="AB527" s="1"/>
      <c r="AC527" s="1"/>
    </row>
    <row r="528" spans="1:29" x14ac:dyDescent="0.3">
      <c r="A528" s="1">
        <f>ROW(CantoralDB[[#This Row],[Título]])-1</f>
        <v>527</v>
      </c>
      <c r="B528" s="1" t="s">
        <v>2187</v>
      </c>
      <c r="C528" s="1"/>
      <c r="J528" s="1"/>
      <c r="M528" s="15" t="s">
        <v>480</v>
      </c>
      <c r="N528" s="1" t="s">
        <v>1925</v>
      </c>
      <c r="O528" s="15">
        <v>6</v>
      </c>
      <c r="P528" s="15">
        <v>1986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28" s="1"/>
      <c r="U528" s="1"/>
      <c r="V528" s="32" t="s">
        <v>3641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28" s="15" t="str">
        <f>_xlfn.TEXTBEFORE(_xlfn.TEXTAFTER(CantoralDB[[#This Row],[index.html]],"&gt;"),"&gt;")&amp;"&gt;"</f>
        <v>&lt;a href="canciones/francisco_palazon/te_ofrecemos_señor.html"&gt;</v>
      </c>
      <c r="Y528"/>
      <c r="AB528" s="1"/>
      <c r="AC528" s="1"/>
    </row>
    <row r="529" spans="1:29" x14ac:dyDescent="0.3">
      <c r="A529" s="1">
        <f>ROW(CantoralDB[[#This Row],[Título]])-1</f>
        <v>528</v>
      </c>
      <c r="B529" s="1" t="s">
        <v>2188</v>
      </c>
      <c r="C529" s="1"/>
      <c r="J529" s="1"/>
      <c r="M529" s="15" t="s">
        <v>480</v>
      </c>
      <c r="N529" s="1" t="s">
        <v>1925</v>
      </c>
      <c r="O529" s="15">
        <v>7</v>
      </c>
      <c r="P529" s="15">
        <v>1986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29" s="1"/>
      <c r="U529" s="1"/>
      <c r="V529" s="32" t="s">
        <v>3642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29" s="15" t="str">
        <f>_xlfn.TEXTBEFORE(_xlfn.TEXTAFTER(CantoralDB[[#This Row],[index.html]],"&gt;"),"&gt;")&amp;"&gt;"</f>
        <v>&lt;a href="canciones/francisco_palazon/padre_nuestro_(reunidos_en_su_nombre).html"&gt;</v>
      </c>
      <c r="Y529"/>
      <c r="AB529" s="1"/>
      <c r="AC529" s="1"/>
    </row>
    <row r="530" spans="1:29" x14ac:dyDescent="0.3">
      <c r="A530" s="1">
        <f>ROW(CantoralDB[[#This Row],[Título]])-1</f>
        <v>529</v>
      </c>
      <c r="B530" s="1" t="s">
        <v>2189</v>
      </c>
      <c r="C530" s="1"/>
      <c r="J530" s="1"/>
      <c r="M530" s="15" t="s">
        <v>480</v>
      </c>
      <c r="N530" s="1" t="s">
        <v>1925</v>
      </c>
      <c r="O530" s="15">
        <v>8</v>
      </c>
      <c r="P530" s="15">
        <v>1986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30" s="1"/>
      <c r="U530" s="1"/>
      <c r="V530" s="32" t="s">
        <v>3643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30" s="15" t="str">
        <f>_xlfn.TEXTBEFORE(_xlfn.TEXTAFTER(CantoralDB[[#This Row],[index.html]],"&gt;"),"&gt;")&amp;"&gt;"</f>
        <v>&lt;a href="canciones/francisco_palazon/cordero_de_dios_(reunidos_en_su_nombre).html"&gt;</v>
      </c>
      <c r="Y530"/>
      <c r="AB530" s="1"/>
      <c r="AC530" s="1"/>
    </row>
    <row r="531" spans="1:29" x14ac:dyDescent="0.3">
      <c r="A531" s="1">
        <f>ROW(CantoralDB[[#This Row],[Título]])-1</f>
        <v>530</v>
      </c>
      <c r="B531" s="1" t="s">
        <v>1920</v>
      </c>
      <c r="C531" s="1"/>
      <c r="H531" s="1" t="s">
        <v>1029</v>
      </c>
      <c r="J531" s="1" t="s">
        <v>607</v>
      </c>
      <c r="M531" s="15" t="s">
        <v>480</v>
      </c>
      <c r="N531" s="1" t="s">
        <v>1925</v>
      </c>
      <c r="O531" s="15">
        <v>9</v>
      </c>
      <c r="P531" s="15">
        <v>1986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31" s="1"/>
      <c r="U531" s="1"/>
      <c r="V531" s="32" t="s">
        <v>3644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31" s="15" t="str">
        <f>_xlfn.TEXTBEFORE(_xlfn.TEXTAFTER(CantoralDB[[#This Row],[index.html]],"&gt;"),"&gt;")&amp;"&gt;"</f>
        <v>&lt;a href="canciones/francisco_palazon/tuyo_es_el_reino.html"&gt;</v>
      </c>
      <c r="Y531"/>
      <c r="AB531" s="1"/>
      <c r="AC531" s="1"/>
    </row>
    <row r="532" spans="1:29" x14ac:dyDescent="0.3">
      <c r="A532" s="1">
        <f>ROW(CantoralDB[[#This Row],[Título]])-1</f>
        <v>531</v>
      </c>
      <c r="B532" s="1" t="s">
        <v>2190</v>
      </c>
      <c r="C532" s="1"/>
      <c r="J532" s="1"/>
      <c r="M532" s="15" t="s">
        <v>480</v>
      </c>
      <c r="N532" s="1" t="s">
        <v>1925</v>
      </c>
      <c r="O532" s="15">
        <v>10</v>
      </c>
      <c r="P532" s="15">
        <v>1986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32" s="1"/>
      <c r="U532" s="1"/>
      <c r="V532" s="32" t="s">
        <v>3645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32" s="15" t="str">
        <f>_xlfn.TEXTBEFORE(_xlfn.TEXTAFTER(CantoralDB[[#This Row],[index.html]],"&gt;"),"&gt;")&amp;"&gt;"</f>
        <v>&lt;a href="canciones/francisco_palazon/el_pan_que_compartimos.html"&gt;</v>
      </c>
      <c r="Y532"/>
      <c r="AB532" s="1"/>
      <c r="AC532" s="1"/>
    </row>
    <row r="533" spans="1:29" x14ac:dyDescent="0.3">
      <c r="A533" s="1">
        <f>ROW(CantoralDB[[#This Row],[Título]])-1</f>
        <v>532</v>
      </c>
      <c r="B533" s="1" t="s">
        <v>2027</v>
      </c>
      <c r="C533" s="1"/>
      <c r="H533" s="1" t="s">
        <v>1042</v>
      </c>
      <c r="J533" s="1" t="s">
        <v>607</v>
      </c>
      <c r="M533" s="15" t="s">
        <v>480</v>
      </c>
      <c r="N533" s="1" t="s">
        <v>1927</v>
      </c>
      <c r="O533" s="15">
        <v>1</v>
      </c>
      <c r="P533" s="15">
        <v>1970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33" s="1"/>
      <c r="U533" s="1"/>
      <c r="V533" s="32" t="s">
        <v>3043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33" s="15" t="str">
        <f>_xlfn.TEXTBEFORE(_xlfn.TEXTAFTER(CantoralDB[[#This Row],[index.html]],"&gt;"),"&gt;")&amp;"&gt;"</f>
        <v>&lt;a href="canciones/francisco_palazon/bendice_alma_mia_al_señor.html"&gt;</v>
      </c>
      <c r="Y533"/>
      <c r="AB533" s="1"/>
      <c r="AC533" s="1"/>
    </row>
    <row r="534" spans="1:29" x14ac:dyDescent="0.3">
      <c r="A534" s="1">
        <f>ROW(CantoralDB[[#This Row],[Título]])-1</f>
        <v>533</v>
      </c>
      <c r="B534" s="1" t="s">
        <v>2028</v>
      </c>
      <c r="C534" s="1"/>
      <c r="H534" s="1" t="s">
        <v>1027</v>
      </c>
      <c r="J534" s="1" t="s">
        <v>607</v>
      </c>
      <c r="M534" s="15" t="s">
        <v>480</v>
      </c>
      <c r="N534" s="1" t="s">
        <v>1927</v>
      </c>
      <c r="O534" s="15">
        <v>2</v>
      </c>
      <c r="P534" s="15">
        <v>1970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34" s="1"/>
      <c r="U534" s="1"/>
      <c r="V534" s="32" t="s">
        <v>3044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34" s="15" t="str">
        <f>_xlfn.TEXTBEFORE(_xlfn.TEXTAFTER(CantoralDB[[#This Row],[index.html]],"&gt;"),"&gt;")&amp;"&gt;"</f>
        <v>&lt;a href="canciones/francisco_palazon/alegrate_y_goza_jerusalen.html"&gt;</v>
      </c>
      <c r="Y534"/>
      <c r="AB534" s="1"/>
      <c r="AC534" s="1"/>
    </row>
    <row r="535" spans="1:29" x14ac:dyDescent="0.3">
      <c r="A535" s="1">
        <f>ROW(CantoralDB[[#This Row],[Título]])-1</f>
        <v>534</v>
      </c>
      <c r="B535" s="1" t="s">
        <v>2029</v>
      </c>
      <c r="C535" s="1"/>
      <c r="H535" s="1" t="s">
        <v>530</v>
      </c>
      <c r="J535" s="1" t="s">
        <v>607</v>
      </c>
      <c r="M535" s="15" t="s">
        <v>480</v>
      </c>
      <c r="N535" s="1" t="s">
        <v>1927</v>
      </c>
      <c r="O535" s="15">
        <v>3</v>
      </c>
      <c r="P535" s="15">
        <v>1970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35" s="1"/>
      <c r="U535" s="1"/>
      <c r="V535" s="32" t="s">
        <v>3045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35" s="15" t="str">
        <f>_xlfn.TEXTBEFORE(_xlfn.TEXTAFTER(CantoralDB[[#This Row],[index.html]],"&gt;"),"&gt;")&amp;"&gt;"</f>
        <v>&lt;a href="canciones/francisco_palazon/te_doy_gracias_señor.html"&gt;</v>
      </c>
      <c r="Y535"/>
      <c r="AB535" s="1"/>
      <c r="AC535" s="1"/>
    </row>
    <row r="536" spans="1:29" x14ac:dyDescent="0.3">
      <c r="A536" s="1">
        <f>ROW(CantoralDB[[#This Row],[Título]])-1</f>
        <v>535</v>
      </c>
      <c r="B536" s="1" t="s">
        <v>2030</v>
      </c>
      <c r="C536" s="1"/>
      <c r="H536" s="1" t="s">
        <v>1029</v>
      </c>
      <c r="J536" s="1" t="s">
        <v>607</v>
      </c>
      <c r="M536" s="15" t="s">
        <v>480</v>
      </c>
      <c r="N536" s="1" t="s">
        <v>1927</v>
      </c>
      <c r="O536" s="15">
        <v>4</v>
      </c>
      <c r="P536" s="15">
        <v>1970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536" s="1"/>
      <c r="U536" s="1"/>
      <c r="V536" s="32" t="s">
        <v>3046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536" s="15" t="str">
        <f>_xlfn.TEXTBEFORE(_xlfn.TEXTAFTER(CantoralDB[[#This Row],[index.html]],"&gt;"),"&gt;")&amp;"&gt;"</f>
        <v>&lt;a href="canciones/francisco_palazon/aleluya_aleluya_aleluya.html"&gt;</v>
      </c>
      <c r="Y536"/>
      <c r="AB536" s="1"/>
      <c r="AC536" s="1"/>
    </row>
    <row r="537" spans="1:29" x14ac:dyDescent="0.3">
      <c r="A537" s="1">
        <f>ROW(CantoralDB[[#This Row],[Título]])-1</f>
        <v>536</v>
      </c>
      <c r="B537" s="1" t="s">
        <v>2031</v>
      </c>
      <c r="C537" s="1"/>
      <c r="H537" s="1" t="s">
        <v>2957</v>
      </c>
      <c r="J537" s="1" t="s">
        <v>607</v>
      </c>
      <c r="M537" s="15" t="s">
        <v>480</v>
      </c>
      <c r="N537" s="1" t="s">
        <v>1927</v>
      </c>
      <c r="O537" s="15">
        <v>5</v>
      </c>
      <c r="P537" s="15">
        <v>1970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537" s="1"/>
      <c r="U537" s="1"/>
      <c r="V537" s="32" t="s">
        <v>3047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537" s="15" t="str">
        <f>_xlfn.TEXTBEFORE(_xlfn.TEXTAFTER(CantoralDB[[#This Row],[index.html]],"&gt;"),"&gt;")&amp;"&gt;"</f>
        <v>&lt;a href="canciones/francisco_palazon/alabad_al_señor_por_su_inmensa_grandeza.html"&gt;</v>
      </c>
      <c r="Y537"/>
      <c r="AB537" s="1"/>
      <c r="AC537" s="1"/>
    </row>
    <row r="538" spans="1:29" x14ac:dyDescent="0.3">
      <c r="A538" s="1">
        <f>ROW(CantoralDB[[#This Row],[Título]])-1</f>
        <v>537</v>
      </c>
      <c r="B538" s="1" t="s">
        <v>2032</v>
      </c>
      <c r="C538" s="1"/>
      <c r="E538" s="1">
        <v>232</v>
      </c>
      <c r="F538" s="1">
        <v>17</v>
      </c>
      <c r="H538" s="1" t="s">
        <v>530</v>
      </c>
      <c r="J538" s="1" t="s">
        <v>607</v>
      </c>
      <c r="M538" s="15" t="s">
        <v>480</v>
      </c>
      <c r="N538" s="1" t="s">
        <v>1927</v>
      </c>
      <c r="O538" s="15">
        <v>6</v>
      </c>
      <c r="P538" s="15">
        <v>1970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538" s="1"/>
      <c r="U538" s="1"/>
      <c r="V538" s="32" t="s">
        <v>3040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X538" s="15" t="str">
        <f>_xlfn.TEXTBEFORE(_xlfn.TEXTAFTER(CantoralDB[[#This Row],[index.html]],"&gt;"),"&gt;")&amp;"&gt;"</f>
        <v>&lt;a href="canciones/francisco_palazon/señor_dios_nuestro.html"&gt;</v>
      </c>
      <c r="Y538"/>
      <c r="AB538" s="1"/>
      <c r="AC538" s="1"/>
    </row>
    <row r="539" spans="1:29" x14ac:dyDescent="0.3">
      <c r="A539" s="1">
        <f>ROW(CantoralDB[[#This Row],[Título]])-1</f>
        <v>538</v>
      </c>
      <c r="B539" s="1" t="s">
        <v>1319</v>
      </c>
      <c r="C539" s="1"/>
      <c r="E539" s="1">
        <v>240</v>
      </c>
      <c r="H539" s="1" t="s">
        <v>1026</v>
      </c>
      <c r="J539" s="1" t="s">
        <v>607</v>
      </c>
      <c r="M539" s="15" t="s">
        <v>480</v>
      </c>
      <c r="N539" s="1" t="s">
        <v>1927</v>
      </c>
      <c r="O539" s="15">
        <v>7</v>
      </c>
      <c r="P539" s="15">
        <v>1970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539" s="1"/>
      <c r="U539" s="1"/>
      <c r="V539" s="32" t="s">
        <v>3042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539" s="15" t="str">
        <f>_xlfn.TEXTBEFORE(_xlfn.TEXTAFTER(CantoralDB[[#This Row],[index.html]],"&gt;"),"&gt;")&amp;"&gt;"</f>
        <v>&lt;a href="canciones/francisco_palazon/señor_tu_has_sido_nuestro_refugio.html"&gt;</v>
      </c>
      <c r="Y539"/>
      <c r="AB539" s="1"/>
      <c r="AC539" s="1"/>
    </row>
    <row r="540" spans="1:29" x14ac:dyDescent="0.3">
      <c r="A540" s="1">
        <f>ROW(CantoralDB[[#This Row],[Título]])-1</f>
        <v>539</v>
      </c>
      <c r="B540" s="1" t="s">
        <v>31</v>
      </c>
      <c r="C540" s="1" t="s">
        <v>200</v>
      </c>
      <c r="D540" s="1" t="s">
        <v>1395</v>
      </c>
      <c r="E540" s="1">
        <v>41</v>
      </c>
      <c r="G540" s="1" t="s">
        <v>208</v>
      </c>
      <c r="H540" s="1" t="s">
        <v>1027</v>
      </c>
      <c r="J540" s="1" t="s">
        <v>607</v>
      </c>
      <c r="M540" s="15" t="s">
        <v>480</v>
      </c>
      <c r="N540" s="1" t="s">
        <v>1927</v>
      </c>
      <c r="O540" s="15">
        <v>8</v>
      </c>
      <c r="P540" s="15">
        <v>1970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540" s="1" t="s">
        <v>812</v>
      </c>
      <c r="U540" s="1"/>
      <c r="V540" s="32" t="s">
        <v>3041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540" s="15" t="str">
        <f>_xlfn.TEXTBEFORE(_xlfn.TEXTAFTER(CantoralDB[[#This Row],[index.html]],"&gt;"),"&gt;")&amp;"&gt;"</f>
        <v>&lt;a href="canciones/francisco_palazon/cantare_eternamente.html"&gt;</v>
      </c>
      <c r="Y540"/>
      <c r="AB540" s="1"/>
      <c r="AC540" s="1"/>
    </row>
    <row r="541" spans="1:29" x14ac:dyDescent="0.3">
      <c r="A541" s="1">
        <f>ROW(CantoralDB[[#This Row],[Título]])-1</f>
        <v>540</v>
      </c>
      <c r="B541" s="1" t="s">
        <v>2033</v>
      </c>
      <c r="C541" s="1"/>
      <c r="E541" s="1">
        <v>186</v>
      </c>
      <c r="F541" s="1">
        <v>36</v>
      </c>
      <c r="H541" s="1" t="s">
        <v>1042</v>
      </c>
      <c r="J541" s="1" t="s">
        <v>607</v>
      </c>
      <c r="M541" s="15" t="s">
        <v>480</v>
      </c>
      <c r="N541" s="1" t="s">
        <v>1927</v>
      </c>
      <c r="O541" s="15">
        <v>9</v>
      </c>
      <c r="P541" s="15">
        <v>1970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541" s="1"/>
      <c r="U541" s="1"/>
      <c r="V541" s="32" t="s">
        <v>2974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X541" s="15" t="str">
        <f>_xlfn.TEXTBEFORE(_xlfn.TEXTAFTER(CantoralDB[[#This Row],[index.html]],"&gt;"),"&gt;")&amp;"&gt;"</f>
        <v>&lt;a href="canciones/francisco_palazon/oh_dios_tu_mereces_un_himno_en_sion.html"&gt;</v>
      </c>
      <c r="Y541"/>
      <c r="AB541" s="1"/>
      <c r="AC541" s="1"/>
    </row>
    <row r="542" spans="1:29" x14ac:dyDescent="0.3">
      <c r="A542" s="1">
        <f>ROW(CantoralDB[[#This Row],[Título]])-1</f>
        <v>541</v>
      </c>
      <c r="B542" s="1" t="s">
        <v>1153</v>
      </c>
      <c r="C542" s="1"/>
      <c r="E542" s="1">
        <v>2</v>
      </c>
      <c r="H542" s="1" t="s">
        <v>530</v>
      </c>
      <c r="J542" s="1" t="s">
        <v>607</v>
      </c>
      <c r="M542" s="15" t="s">
        <v>480</v>
      </c>
      <c r="N542" s="1" t="s">
        <v>1927</v>
      </c>
      <c r="O542" s="15">
        <v>10</v>
      </c>
      <c r="P542" s="15">
        <v>1970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542" s="1"/>
      <c r="U542" s="1"/>
      <c r="V542" s="32" t="s">
        <v>2972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542" s="15" t="str">
        <f>_xlfn.TEXTBEFORE(_xlfn.TEXTAFTER(CantoralDB[[#This Row],[index.html]],"&gt;"),"&gt;")&amp;"&gt;"</f>
        <v>&lt;a href="canciones/francisco_palazon/aclamad_justos_al_señor.html"&gt;</v>
      </c>
      <c r="Y542"/>
      <c r="AB542" s="1"/>
      <c r="AC542" s="1"/>
    </row>
    <row r="543" spans="1:29" x14ac:dyDescent="0.3">
      <c r="A543" s="1">
        <f>ROW(CantoralDB[[#This Row],[Título]])-1</f>
        <v>542</v>
      </c>
      <c r="C543" s="1"/>
      <c r="J543" s="1"/>
      <c r="M543" s="15" t="s">
        <v>480</v>
      </c>
      <c r="N543" s="1" t="s">
        <v>2062</v>
      </c>
      <c r="O543" s="15"/>
      <c r="P543" s="15"/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543" s="1"/>
      <c r="U543" s="1"/>
      <c r="V543" s="15"/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543" s="15" t="str">
        <f>_xlfn.TEXTBEFORE(_xlfn.TEXTAFTER(CantoralDB[[#This Row],[index.html]],"&gt;"),"&gt;")&amp;"&gt;"</f>
        <v>&lt;a href="canciones/francisco_palazon/.html"&gt;</v>
      </c>
      <c r="Y543"/>
      <c r="AB543" s="1"/>
      <c r="AC543" s="1"/>
    </row>
    <row r="544" spans="1:29" x14ac:dyDescent="0.3">
      <c r="A544" s="1">
        <f>ROW(CantoralDB[[#This Row],[Título]])-1</f>
        <v>543</v>
      </c>
      <c r="B544" s="1" t="s">
        <v>1216</v>
      </c>
      <c r="C544" s="1"/>
      <c r="E544" s="1">
        <v>100</v>
      </c>
      <c r="J544" s="1"/>
      <c r="M544" s="15" t="s">
        <v>480</v>
      </c>
      <c r="O544" s="15"/>
      <c r="P544" s="15"/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544" s="1"/>
      <c r="U544" s="1"/>
      <c r="V544" s="15"/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544" s="15" t="str">
        <f>_xlfn.TEXTBEFORE(_xlfn.TEXTAFTER(CantoralDB[[#This Row],[index.html]],"&gt;"),"&gt;")&amp;"&gt;"</f>
        <v>&lt;a href="canciones/francisco_palazon/el_señor_es_compasivo_y_misericordioso.html"&gt;</v>
      </c>
      <c r="Y544"/>
      <c r="AB544" s="1"/>
      <c r="AC544" s="1"/>
    </row>
    <row r="545" spans="1:29" x14ac:dyDescent="0.3">
      <c r="A545" s="1">
        <f>ROW(CantoralDB[[#This Row],[Título]])-1</f>
        <v>544</v>
      </c>
      <c r="B545" s="1" t="s">
        <v>250</v>
      </c>
      <c r="C545" s="1" t="s">
        <v>992</v>
      </c>
      <c r="D545" s="1" t="s">
        <v>1003</v>
      </c>
      <c r="G545" s="1" t="s">
        <v>247</v>
      </c>
      <c r="H545" s="1" t="s">
        <v>472</v>
      </c>
      <c r="J545" s="1" t="s">
        <v>607</v>
      </c>
      <c r="M545" s="15" t="s">
        <v>480</v>
      </c>
      <c r="O545" s="15"/>
      <c r="P545" s="15"/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545" s="1"/>
      <c r="U545" s="1"/>
      <c r="V545" s="32" t="s">
        <v>4397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545" s="15" t="str">
        <f>_xlfn.TEXTBEFORE(_xlfn.TEXTAFTER(CantoralDB[[#This Row],[index.html]],"&gt;"),"&gt;")&amp;"&gt;"</f>
        <v>&lt;a href="canciones/francisco_palazon/si_me_falta_el_amor.html"&gt;</v>
      </c>
      <c r="Y545"/>
      <c r="AB545" s="1"/>
      <c r="AC545" s="1"/>
    </row>
    <row r="546" spans="1:29" x14ac:dyDescent="0.3">
      <c r="A546" s="1">
        <f>ROW(CantoralDB[[#This Row],[Título]])-1</f>
        <v>545</v>
      </c>
      <c r="B546" s="1" t="s">
        <v>159</v>
      </c>
      <c r="C546" s="1" t="s">
        <v>198</v>
      </c>
      <c r="D546" s="1" t="s">
        <v>1473</v>
      </c>
      <c r="E546" s="1">
        <v>470</v>
      </c>
      <c r="F546" s="1" t="s">
        <v>2435</v>
      </c>
      <c r="G546" s="1" t="s">
        <v>208</v>
      </c>
      <c r="H546" s="1" t="s">
        <v>530</v>
      </c>
      <c r="I546" s="1" t="s">
        <v>2952</v>
      </c>
      <c r="J546" s="1" t="s">
        <v>607</v>
      </c>
      <c r="M546" s="15" t="s">
        <v>480</v>
      </c>
      <c r="O546" s="15"/>
      <c r="P546" s="15"/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546" s="1"/>
      <c r="U546" s="1"/>
      <c r="V546" s="32" t="s">
        <v>4395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X546" s="15" t="str">
        <f>_xlfn.TEXTBEFORE(_xlfn.TEXTAFTER(CantoralDB[[#This Row],[index.html]],"&gt;"),"&gt;")&amp;"&gt;"</f>
        <v>&lt;a href="canciones/francisco_palazon/vaso_nuevo.html"&gt;</v>
      </c>
      <c r="Y546"/>
      <c r="AB546" s="1"/>
      <c r="AC546" s="1"/>
    </row>
    <row r="547" spans="1:29" x14ac:dyDescent="0.3">
      <c r="A547" s="1">
        <f>ROW(CantoralDB[[#This Row],[Título]])-1</f>
        <v>546</v>
      </c>
      <c r="B547" s="1" t="s">
        <v>2907</v>
      </c>
      <c r="C547" s="1"/>
      <c r="E547" s="1">
        <v>281</v>
      </c>
      <c r="H547" s="1" t="s">
        <v>1027</v>
      </c>
      <c r="J547" s="1" t="s">
        <v>607</v>
      </c>
      <c r="M547" s="15" t="s">
        <v>480</v>
      </c>
      <c r="O547" s="15"/>
      <c r="P547" s="15"/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547" s="1"/>
      <c r="U547" s="1"/>
      <c r="V547" s="32" t="s">
        <v>4396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547" s="15" t="str">
        <f>_xlfn.TEXTBEFORE(_xlfn.TEXTAFTER(CantoralDB[[#This Row],[index.html]],"&gt;"),"&gt;")&amp;"&gt;"</f>
        <v>&lt;a href="canciones/francisco_palazon/ven_a_salvar_a_tu_pueblo.html"&gt;</v>
      </c>
      <c r="Y547"/>
      <c r="AB547" s="1"/>
      <c r="AC547" s="1"/>
    </row>
    <row r="548" spans="1:29" x14ac:dyDescent="0.3">
      <c r="A548" s="1">
        <f>ROW(CantoralDB[[#This Row],[Título]])-1</f>
        <v>547</v>
      </c>
      <c r="B548" s="1" t="s">
        <v>1987</v>
      </c>
      <c r="C548" s="1"/>
      <c r="H548" s="1" t="s">
        <v>1028</v>
      </c>
      <c r="I548" s="1" t="s">
        <v>2952</v>
      </c>
      <c r="J548" s="1" t="s">
        <v>607</v>
      </c>
      <c r="M548" s="15" t="s">
        <v>260</v>
      </c>
      <c r="N548" s="1" t="s">
        <v>1940</v>
      </c>
      <c r="O548" s="15">
        <v>1</v>
      </c>
      <c r="P548" s="15">
        <v>2023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548" s="1"/>
      <c r="U548" s="1"/>
      <c r="V548" s="32" t="s">
        <v>4248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548" s="15" t="str">
        <f>_xlfn.TEXTBEFORE(_xlfn.TEXTAFTER(CantoralDB[[#This Row],[index.html]],"&gt;"),"&gt;")&amp;"&gt;"</f>
        <v>&lt;a href="canciones/hakuna/olor_a_tostadas.html"&gt;</v>
      </c>
      <c r="Y548"/>
      <c r="AB548" s="1"/>
      <c r="AC548" s="1"/>
    </row>
    <row r="549" spans="1:29" x14ac:dyDescent="0.3">
      <c r="A549" s="1">
        <f>ROW(CantoralDB[[#This Row],[Título]])-1</f>
        <v>548</v>
      </c>
      <c r="B549" s="1" t="s">
        <v>1958</v>
      </c>
      <c r="C549" s="1"/>
      <c r="H549" s="1" t="s">
        <v>1029</v>
      </c>
      <c r="J549" s="1" t="s">
        <v>607</v>
      </c>
      <c r="M549" s="15" t="s">
        <v>260</v>
      </c>
      <c r="N549" s="1" t="s">
        <v>1940</v>
      </c>
      <c r="O549" s="15">
        <v>2</v>
      </c>
      <c r="P549" s="15">
        <v>2023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549" s="1"/>
      <c r="U549" s="1"/>
      <c r="V549" s="32" t="s">
        <v>4249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549" s="15" t="str">
        <f>_xlfn.TEXTBEFORE(_xlfn.TEXTAFTER(CantoralDB[[#This Row],[index.html]],"&gt;"),"&gt;")&amp;"&gt;"</f>
        <v>&lt;a href="canciones/hakuna/baila_y_dejate_de_historias.html"&gt;</v>
      </c>
      <c r="Y549"/>
      <c r="AB549" s="1"/>
      <c r="AC549" s="1"/>
    </row>
    <row r="550" spans="1:29" x14ac:dyDescent="0.3">
      <c r="A550" s="1">
        <f>ROW(CantoralDB[[#This Row],[Título]])-1</f>
        <v>549</v>
      </c>
      <c r="B550" s="1" t="s">
        <v>1950</v>
      </c>
      <c r="C550" s="1"/>
      <c r="H550" s="1" t="s">
        <v>530</v>
      </c>
      <c r="I550" s="1" t="s">
        <v>2952</v>
      </c>
      <c r="J550" s="1" t="s">
        <v>607</v>
      </c>
      <c r="M550" s="15" t="s">
        <v>260</v>
      </c>
      <c r="N550" s="1" t="s">
        <v>1940</v>
      </c>
      <c r="O550" s="15">
        <v>3</v>
      </c>
      <c r="P550" s="15">
        <v>2023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550" s="1"/>
      <c r="U550" s="1"/>
      <c r="V550" s="32" t="s">
        <v>4250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550" s="15" t="str">
        <f>_xlfn.TEXTBEFORE(_xlfn.TEXTAFTER(CantoralDB[[#This Row],[index.html]],"&gt;"),"&gt;")&amp;"&gt;"</f>
        <v>&lt;a href="canciones/hakuna/ojala.html"&gt;</v>
      </c>
      <c r="Y550"/>
      <c r="AB550" s="1"/>
      <c r="AC550" s="1"/>
    </row>
    <row r="551" spans="1:29" x14ac:dyDescent="0.3">
      <c r="A551" s="1">
        <f>ROW(CantoralDB[[#This Row],[Título]])-1</f>
        <v>550</v>
      </c>
      <c r="B551" s="1" t="s">
        <v>1993</v>
      </c>
      <c r="C551" s="1"/>
      <c r="H551" s="1" t="s">
        <v>1028</v>
      </c>
      <c r="J551" s="1" t="s">
        <v>607</v>
      </c>
      <c r="M551" s="15" t="s">
        <v>260</v>
      </c>
      <c r="N551" s="1" t="s">
        <v>1940</v>
      </c>
      <c r="O551" s="15">
        <v>4</v>
      </c>
      <c r="P551" s="15">
        <v>2023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551" s="1"/>
      <c r="U551" s="1"/>
      <c r="V551" s="32" t="s">
        <v>4251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551" s="15" t="str">
        <f>_xlfn.TEXTBEFORE(_xlfn.TEXTAFTER(CantoralDB[[#This Row],[index.html]],"&gt;"),"&gt;")&amp;"&gt;"</f>
        <v>&lt;a href="canciones/hakuna/cuarto_lugar.html"&gt;</v>
      </c>
      <c r="Y551"/>
      <c r="AB551" s="1"/>
      <c r="AC551" s="1"/>
    </row>
    <row r="552" spans="1:29" x14ac:dyDescent="0.3">
      <c r="A552" s="1">
        <f>ROW(CantoralDB[[#This Row],[Título]])-1</f>
        <v>551</v>
      </c>
      <c r="B552" s="1" t="s">
        <v>1940</v>
      </c>
      <c r="C552" s="1"/>
      <c r="H552" s="1" t="s">
        <v>530</v>
      </c>
      <c r="I552" s="1" t="s">
        <v>2952</v>
      </c>
      <c r="J552" s="1" t="s">
        <v>607</v>
      </c>
      <c r="M552" s="15" t="s">
        <v>260</v>
      </c>
      <c r="N552" s="1" t="s">
        <v>1940</v>
      </c>
      <c r="O552" s="15">
        <v>5</v>
      </c>
      <c r="P552" s="15">
        <v>2023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552" s="1"/>
      <c r="U552" s="1"/>
      <c r="V552" s="32" t="s">
        <v>4252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552" s="15" t="str">
        <f>_xlfn.TEXTBEFORE(_xlfn.TEXTAFTER(CantoralDB[[#This Row],[index.html]],"&gt;"),"&gt;")&amp;"&gt;"</f>
        <v>&lt;a href="canciones/hakuna/capricho.html"&gt;</v>
      </c>
      <c r="Y552"/>
      <c r="AB552" s="1"/>
      <c r="AC552" s="1"/>
    </row>
    <row r="553" spans="1:29" x14ac:dyDescent="0.3">
      <c r="A553" s="1">
        <f>ROW(CantoralDB[[#This Row],[Título]])-1</f>
        <v>552</v>
      </c>
      <c r="B553" s="1" t="s">
        <v>1986</v>
      </c>
      <c r="C553" s="1"/>
      <c r="H553" s="1" t="s">
        <v>1026</v>
      </c>
      <c r="I553" s="1" t="s">
        <v>2950</v>
      </c>
      <c r="J553" s="1" t="s">
        <v>607</v>
      </c>
      <c r="M553" s="15" t="s">
        <v>260</v>
      </c>
      <c r="N553" s="1" t="s">
        <v>1940</v>
      </c>
      <c r="O553" s="15">
        <v>6</v>
      </c>
      <c r="P553" s="15">
        <v>2023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553" s="1"/>
      <c r="U553" s="1"/>
      <c r="V553" s="32" t="s">
        <v>4253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553" s="15" t="str">
        <f>_xlfn.TEXTBEFORE(_xlfn.TEXTAFTER(CantoralDB[[#This Row],[index.html]],"&gt;"),"&gt;")&amp;"&gt;"</f>
        <v>&lt;a href="canciones/hakuna/pluma_de_escribano.html"&gt;</v>
      </c>
      <c r="Y553"/>
      <c r="AB553" s="1"/>
      <c r="AC553" s="1"/>
    </row>
    <row r="554" spans="1:29" x14ac:dyDescent="0.3">
      <c r="A554" s="1">
        <f>ROW(CantoralDB[[#This Row],[Título]])-1</f>
        <v>553</v>
      </c>
      <c r="B554" s="1" t="s">
        <v>1985</v>
      </c>
      <c r="C554" s="1"/>
      <c r="H554" s="1" t="s">
        <v>1029</v>
      </c>
      <c r="I554" s="1" t="s">
        <v>2952</v>
      </c>
      <c r="J554" s="1" t="s">
        <v>607</v>
      </c>
      <c r="M554" s="15" t="s">
        <v>260</v>
      </c>
      <c r="N554" s="1" t="s">
        <v>1940</v>
      </c>
      <c r="O554" s="15">
        <v>7</v>
      </c>
      <c r="P554" s="15">
        <v>2023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554" s="1"/>
      <c r="U554" s="1"/>
      <c r="V554" s="32" t="s">
        <v>4254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554" s="15" t="str">
        <f>_xlfn.TEXTBEFORE(_xlfn.TEXTAFTER(CantoralDB[[#This Row],[index.html]],"&gt;"),"&gt;")&amp;"&gt;"</f>
        <v>&lt;a href="canciones/hakuna/nacidos_de_lo_alto.html"&gt;</v>
      </c>
      <c r="Y554"/>
      <c r="AB554" s="1"/>
      <c r="AC554" s="1"/>
    </row>
    <row r="555" spans="1:29" x14ac:dyDescent="0.3">
      <c r="A555" s="1">
        <f>ROW(CantoralDB[[#This Row],[Título]])-1</f>
        <v>554</v>
      </c>
      <c r="B555" s="1" t="s">
        <v>1992</v>
      </c>
      <c r="C555" s="1"/>
      <c r="H555" s="1" t="s">
        <v>530</v>
      </c>
      <c r="I555" s="1" t="s">
        <v>2952</v>
      </c>
      <c r="J555" s="1" t="s">
        <v>607</v>
      </c>
      <c r="M555" s="15" t="s">
        <v>260</v>
      </c>
      <c r="N555" s="1" t="s">
        <v>1940</v>
      </c>
      <c r="O555" s="15">
        <v>8</v>
      </c>
      <c r="P555" s="15">
        <v>2023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555" s="1"/>
      <c r="U555" s="1"/>
      <c r="V555" s="32" t="s">
        <v>4255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555" s="15" t="str">
        <f>_xlfn.TEXTBEFORE(_xlfn.TEXTAFTER(CantoralDB[[#This Row],[index.html]],"&gt;"),"&gt;")&amp;"&gt;"</f>
        <v>&lt;a href="canciones/hakuna/por_que_lloras.html"&gt;</v>
      </c>
      <c r="Y555"/>
      <c r="AB555" s="1"/>
      <c r="AC555" s="1"/>
    </row>
    <row r="556" spans="1:29" x14ac:dyDescent="0.3">
      <c r="A556" s="1">
        <f>ROW(CantoralDB[[#This Row],[Título]])-1</f>
        <v>555</v>
      </c>
      <c r="B556" s="1" t="s">
        <v>1990</v>
      </c>
      <c r="C556" s="1"/>
      <c r="H556" s="1" t="s">
        <v>530</v>
      </c>
      <c r="I556" s="1" t="s">
        <v>2951</v>
      </c>
      <c r="J556" s="1" t="s">
        <v>607</v>
      </c>
      <c r="M556" s="15" t="s">
        <v>260</v>
      </c>
      <c r="N556" s="1" t="s">
        <v>1940</v>
      </c>
      <c r="O556" s="15">
        <v>9</v>
      </c>
      <c r="P556" s="15">
        <v>2023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556" s="1"/>
      <c r="U556" s="1"/>
      <c r="V556" s="32" t="s">
        <v>4256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556" s="15" t="str">
        <f>_xlfn.TEXTBEFORE(_xlfn.TEXTAFTER(CantoralDB[[#This Row],[index.html]],"&gt;"),"&gt;")&amp;"&gt;"</f>
        <v>&lt;a href="canciones/hakuna/entre_anestesias.html"&gt;</v>
      </c>
      <c r="Y556"/>
      <c r="AB556" s="1"/>
      <c r="AC556" s="1"/>
    </row>
    <row r="557" spans="1:29" x14ac:dyDescent="0.3">
      <c r="A557" s="1">
        <f>ROW(CantoralDB[[#This Row],[Título]])-1</f>
        <v>556</v>
      </c>
      <c r="B557" s="1" t="s">
        <v>1988</v>
      </c>
      <c r="C557" s="1"/>
      <c r="H557" s="1" t="s">
        <v>530</v>
      </c>
      <c r="I557" s="1" t="s">
        <v>2952</v>
      </c>
      <c r="J557" s="1" t="s">
        <v>607</v>
      </c>
      <c r="M557" s="15" t="s">
        <v>260</v>
      </c>
      <c r="N557" s="1" t="s">
        <v>1940</v>
      </c>
      <c r="O557" s="15">
        <v>10</v>
      </c>
      <c r="P557" s="15">
        <v>2023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557" s="1"/>
      <c r="U557" s="1"/>
      <c r="V557" s="32" t="s">
        <v>4257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557" s="15" t="str">
        <f>_xlfn.TEXTBEFORE(_xlfn.TEXTAFTER(CantoralDB[[#This Row],[index.html]],"&gt;"),"&gt;")&amp;"&gt;"</f>
        <v>&lt;a href="canciones/hakuna/dime_padre.html"&gt;</v>
      </c>
      <c r="Y557"/>
      <c r="AB557" s="1"/>
      <c r="AC557" s="1"/>
    </row>
    <row r="558" spans="1:29" x14ac:dyDescent="0.3">
      <c r="A558" s="1">
        <f>ROW(CantoralDB[[#This Row],[Título]])-1</f>
        <v>557</v>
      </c>
      <c r="B558" s="1" t="s">
        <v>1991</v>
      </c>
      <c r="C558" s="1"/>
      <c r="H558" s="1" t="s">
        <v>1028</v>
      </c>
      <c r="I558" s="1" t="s">
        <v>2952</v>
      </c>
      <c r="J558" s="1" t="s">
        <v>607</v>
      </c>
      <c r="M558" s="15" t="s">
        <v>260</v>
      </c>
      <c r="N558" s="1" t="s">
        <v>1940</v>
      </c>
      <c r="O558" s="15">
        <v>11</v>
      </c>
      <c r="P558" s="15">
        <v>2023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558" s="1"/>
      <c r="U558" s="1"/>
      <c r="V558" s="32" t="s">
        <v>4258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558" s="15" t="str">
        <f>_xlfn.TEXTBEFORE(_xlfn.TEXTAFTER(CantoralDB[[#This Row],[index.html]],"&gt;"),"&gt;")&amp;"&gt;"</f>
        <v>&lt;a href="canciones/hakuna/exulte_mi_alma.html"&gt;</v>
      </c>
      <c r="Y558"/>
      <c r="AB558" s="1"/>
      <c r="AC558" s="1"/>
    </row>
    <row r="559" spans="1:29" x14ac:dyDescent="0.3">
      <c r="A559" s="1">
        <f>ROW(CantoralDB[[#This Row],[Título]])-1</f>
        <v>558</v>
      </c>
      <c r="B559" s="1" t="s">
        <v>2001</v>
      </c>
      <c r="C559" s="1"/>
      <c r="H559" s="1" t="s">
        <v>1029</v>
      </c>
      <c r="J559" s="1" t="s">
        <v>607</v>
      </c>
      <c r="M559" s="15" t="s">
        <v>260</v>
      </c>
      <c r="N559" s="1" t="s">
        <v>1994</v>
      </c>
      <c r="O559" s="15">
        <v>1</v>
      </c>
      <c r="P559" s="15">
        <v>2025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559" s="1"/>
      <c r="U559" s="1"/>
      <c r="V559" s="32" t="s">
        <v>4259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559" s="15" t="str">
        <f>_xlfn.TEXTBEFORE(_xlfn.TEXTAFTER(CantoralDB[[#This Row],[index.html]],"&gt;"),"&gt;")&amp;"&gt;"</f>
        <v>&lt;a href="canciones/hakuna/un_sitio.html"&gt;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1994</v>
      </c>
      <c r="C560" s="1"/>
      <c r="H560" s="1" t="s">
        <v>1029</v>
      </c>
      <c r="J560" s="1" t="s">
        <v>607</v>
      </c>
      <c r="M560" s="15" t="s">
        <v>260</v>
      </c>
      <c r="N560" s="1" t="s">
        <v>1994</v>
      </c>
      <c r="O560" s="15">
        <v>2</v>
      </c>
      <c r="P560" s="15">
        <v>2025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560" s="1"/>
      <c r="U560" s="1"/>
      <c r="V560" s="32" t="s">
        <v>4260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560" s="15" t="str">
        <f>_xlfn.TEXTBEFORE(_xlfn.TEXTAFTER(CantoralDB[[#This Row],[index.html]],"&gt;"),"&gt;")&amp;"&gt;"</f>
        <v>&lt;a href="canciones/hakuna/el_arte_de_vivir.html"&gt;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1995</v>
      </c>
      <c r="C561" s="1"/>
      <c r="H561" s="1" t="s">
        <v>530</v>
      </c>
      <c r="I561" s="1" t="s">
        <v>2951</v>
      </c>
      <c r="J561" s="1" t="s">
        <v>607</v>
      </c>
      <c r="M561" s="15" t="s">
        <v>260</v>
      </c>
      <c r="N561" s="1" t="s">
        <v>1994</v>
      </c>
      <c r="O561" s="15">
        <v>3</v>
      </c>
      <c r="P561" s="15">
        <v>2025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561" s="1"/>
      <c r="U561" s="1"/>
      <c r="V561" s="32" t="s">
        <v>4261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561" s="15" t="str">
        <f>_xlfn.TEXTBEFORE(_xlfn.TEXTAFTER(CantoralDB[[#This Row],[index.html]],"&gt;"),"&gt;")&amp;"&gt;"</f>
        <v>&lt;a href="canciones/hakuna/mi_amado.html"&gt;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1997</v>
      </c>
      <c r="C562" s="1"/>
      <c r="H562" s="1" t="s">
        <v>530</v>
      </c>
      <c r="I562" s="1" t="s">
        <v>2953</v>
      </c>
      <c r="J562" s="1" t="s">
        <v>607</v>
      </c>
      <c r="M562" s="15" t="s">
        <v>260</v>
      </c>
      <c r="N562" s="1" t="s">
        <v>1994</v>
      </c>
      <c r="O562" s="15">
        <v>4</v>
      </c>
      <c r="P562" s="15">
        <v>2025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562" s="1"/>
      <c r="U562" s="1"/>
      <c r="V562" s="32" t="s">
        <v>4262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562" s="15" t="str">
        <f>_xlfn.TEXTBEFORE(_xlfn.TEXTAFTER(CantoralDB[[#This Row],[index.html]],"&gt;"),"&gt;")&amp;"&gt;"</f>
        <v>&lt;a href="canciones/hakuna/la_fila.html"&gt;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2859</v>
      </c>
      <c r="C563" s="1"/>
      <c r="H563" s="1" t="s">
        <v>1029</v>
      </c>
      <c r="I563" s="1" t="s">
        <v>2954</v>
      </c>
      <c r="J563" s="1" t="s">
        <v>607</v>
      </c>
      <c r="M563" s="15" t="s">
        <v>260</v>
      </c>
      <c r="N563" s="1" t="s">
        <v>1994</v>
      </c>
      <c r="O563" s="15">
        <v>5</v>
      </c>
      <c r="P563" s="15">
        <v>2025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563" s="1"/>
      <c r="U563" s="1"/>
      <c r="V563" s="32" t="s">
        <v>4263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X563" s="15" t="str">
        <f>_xlfn.TEXTBEFORE(_xlfn.TEXTAFTER(CantoralDB[[#This Row],[index.html]],"&gt;"),"&gt;")&amp;"&gt;"</f>
        <v>&lt;a href="canciones/hakuna/loco.html"&gt;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1999</v>
      </c>
      <c r="C564" s="1"/>
      <c r="H564" s="1" t="s">
        <v>530</v>
      </c>
      <c r="I564" s="1" t="s">
        <v>2951</v>
      </c>
      <c r="J564" s="1" t="s">
        <v>607</v>
      </c>
      <c r="M564" s="15" t="s">
        <v>260</v>
      </c>
      <c r="N564" s="1" t="s">
        <v>1994</v>
      </c>
      <c r="O564" s="15">
        <v>6</v>
      </c>
      <c r="P564" s="15">
        <v>2025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564" s="1"/>
      <c r="U564" s="1"/>
      <c r="V564" s="32" t="s">
        <v>4264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564" s="15" t="str">
        <f>_xlfn.TEXTBEFORE(_xlfn.TEXTAFTER(CantoralDB[[#This Row],[index.html]],"&gt;"),"&gt;")&amp;"&gt;"</f>
        <v>&lt;a href="canciones/hakuna/no_te_vas.html"&gt;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2002</v>
      </c>
      <c r="C565" s="1"/>
      <c r="H565" s="1" t="s">
        <v>530</v>
      </c>
      <c r="J565" s="1" t="s">
        <v>607</v>
      </c>
      <c r="M565" s="15" t="s">
        <v>260</v>
      </c>
      <c r="N565" s="1" t="s">
        <v>1994</v>
      </c>
      <c r="O565" s="15">
        <v>7</v>
      </c>
      <c r="P565" s="15">
        <v>2025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565" s="1"/>
      <c r="U565" s="1"/>
      <c r="V565" s="32" t="s">
        <v>4265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X565" s="15" t="str">
        <f>_xlfn.TEXTBEFORE(_xlfn.TEXTAFTER(CantoralDB[[#This Row],[index.html]],"&gt;"),"&gt;")&amp;"&gt;"</f>
        <v>&lt;a href="canciones/hakuna/nada.html"&gt;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1998</v>
      </c>
      <c r="C566" s="1"/>
      <c r="H566" s="1" t="s">
        <v>530</v>
      </c>
      <c r="I566" s="1" t="s">
        <v>2951</v>
      </c>
      <c r="J566" s="1" t="s">
        <v>607</v>
      </c>
      <c r="M566" s="15" t="s">
        <v>260</v>
      </c>
      <c r="N566" s="1" t="s">
        <v>1994</v>
      </c>
      <c r="O566" s="15">
        <v>8</v>
      </c>
      <c r="P566" s="15">
        <v>2025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566" s="1"/>
      <c r="U566" s="1"/>
      <c r="V566" s="32" t="s">
        <v>4266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566" s="15" t="str">
        <f>_xlfn.TEXTBEFORE(_xlfn.TEXTAFTER(CantoralDB[[#This Row],[index.html]],"&gt;"),"&gt;")&amp;"&gt;"</f>
        <v>&lt;a href="canciones/hakuna/trueno.html"&gt;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1996</v>
      </c>
      <c r="C567" s="1"/>
      <c r="H567" s="1" t="s">
        <v>1028</v>
      </c>
      <c r="J567" s="1" t="s">
        <v>607</v>
      </c>
      <c r="M567" s="15" t="s">
        <v>260</v>
      </c>
      <c r="N567" s="1" t="s">
        <v>1994</v>
      </c>
      <c r="O567" s="15">
        <v>9</v>
      </c>
      <c r="P567" s="15">
        <v>2025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567" s="1"/>
      <c r="U567" s="1"/>
      <c r="V567" s="32" t="s">
        <v>4267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567" s="15" t="str">
        <f>_xlfn.TEXTBEFORE(_xlfn.TEXTAFTER(CantoralDB[[#This Row],[index.html]],"&gt;"),"&gt;")&amp;"&gt;"</f>
        <v>&lt;a href="canciones/hakuna/el_rey_de_la_gloria.html"&gt;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1957</v>
      </c>
      <c r="C568" s="1"/>
      <c r="H568" s="1" t="s">
        <v>472</v>
      </c>
      <c r="J568" s="1" t="s">
        <v>607</v>
      </c>
      <c r="M568" s="15" t="s">
        <v>260</v>
      </c>
      <c r="N568" s="1" t="s">
        <v>260</v>
      </c>
      <c r="O568" s="15">
        <v>1</v>
      </c>
      <c r="P568" s="15">
        <v>2015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568" s="1"/>
      <c r="U568" s="1"/>
      <c r="V568" s="32" t="s">
        <v>4271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568" s="15" t="str">
        <f>_xlfn.TEXTBEFORE(_xlfn.TEXTAFTER(CantoralDB[[#This Row],[index.html]],"&gt;"),"&gt;")&amp;"&gt;"</f>
        <v>&lt;a href="canciones/hakuna/al_estar_en_la_presencia.html"&gt;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263</v>
      </c>
      <c r="C569" s="1" t="s">
        <v>190</v>
      </c>
      <c r="D569" s="1" t="s">
        <v>737</v>
      </c>
      <c r="G569" s="1" t="s">
        <v>260</v>
      </c>
      <c r="H569" s="1" t="s">
        <v>1028</v>
      </c>
      <c r="J569" s="1" t="s">
        <v>607</v>
      </c>
      <c r="M569" s="15" t="s">
        <v>260</v>
      </c>
      <c r="N569" s="1" t="s">
        <v>260</v>
      </c>
      <c r="O569" s="15">
        <v>2</v>
      </c>
      <c r="P569" s="15">
        <v>2015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569" s="1"/>
      <c r="U569" s="1"/>
      <c r="V569" s="32" t="s">
        <v>4274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569" s="15" t="str">
        <f>_xlfn.TEXTBEFORE(_xlfn.TEXTAFTER(CantoralDB[[#This Row],[index.html]],"&gt;"),"&gt;")&amp;"&gt;"</f>
        <v>&lt;a href="canciones/hakuna/enciendeme.html"&gt;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259</v>
      </c>
      <c r="C570" s="1" t="s">
        <v>992</v>
      </c>
      <c r="D570" s="1" t="s">
        <v>1008</v>
      </c>
      <c r="G570" s="1" t="s">
        <v>260</v>
      </c>
      <c r="H570" s="1" t="s">
        <v>1026</v>
      </c>
      <c r="I570" s="1" t="s">
        <v>2949</v>
      </c>
      <c r="J570" s="1" t="s">
        <v>607</v>
      </c>
      <c r="M570" s="15" t="s">
        <v>260</v>
      </c>
      <c r="N570" s="1" t="s">
        <v>260</v>
      </c>
      <c r="O570" s="15">
        <v>3</v>
      </c>
      <c r="P570" s="15">
        <v>2015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570" s="1" t="s">
        <v>863</v>
      </c>
      <c r="U570" s="1"/>
      <c r="V570" s="32" t="s">
        <v>4269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570" s="15" t="str">
        <f>_xlfn.TEXTBEFORE(_xlfn.TEXTAFTER(CantoralDB[[#This Row],[index.html]],"&gt;"),"&gt;")&amp;"&gt;"</f>
        <v>&lt;a href="canciones/hakuna/tomad_comed.html"&gt;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1944</v>
      </c>
      <c r="C571" s="1"/>
      <c r="H571" s="1" t="s">
        <v>472</v>
      </c>
      <c r="I571" s="1" t="s">
        <v>2952</v>
      </c>
      <c r="J571" s="1" t="s">
        <v>607</v>
      </c>
      <c r="M571" s="15" t="s">
        <v>260</v>
      </c>
      <c r="N571" s="1" t="s">
        <v>260</v>
      </c>
      <c r="O571" s="15">
        <v>4</v>
      </c>
      <c r="P571" s="15">
        <v>2015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571" s="1"/>
      <c r="U571" s="1"/>
      <c r="V571" s="32" t="s">
        <v>4278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571" s="15" t="str">
        <f>_xlfn.TEXTBEFORE(_xlfn.TEXTAFTER(CantoralDB[[#This Row],[index.html]],"&gt;"),"&gt;")&amp;"&gt;"</f>
        <v>&lt;a href="canciones/hakuna/deseo.html"&gt;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1959</v>
      </c>
      <c r="C572" s="1"/>
      <c r="H572" s="1" t="s">
        <v>1028</v>
      </c>
      <c r="J572" s="1" t="s">
        <v>607</v>
      </c>
      <c r="M572" s="15" t="s">
        <v>260</v>
      </c>
      <c r="N572" s="1" t="s">
        <v>260</v>
      </c>
      <c r="O572" s="15">
        <v>5</v>
      </c>
      <c r="P572" s="15">
        <v>2015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572" s="1"/>
      <c r="U572" s="1"/>
      <c r="V572" s="32" t="s">
        <v>4277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572" s="15" t="str">
        <f>_xlfn.TEXTBEFORE(_xlfn.TEXTAFTER(CantoralDB[[#This Row],[index.html]],"&gt;"),"&gt;")&amp;"&gt;"</f>
        <v>&lt;a href="canciones/hakuna/bien_amado_señor.html"&gt;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1960</v>
      </c>
      <c r="C573" s="1"/>
      <c r="H573" s="1" t="s">
        <v>530</v>
      </c>
      <c r="I573" s="1" t="s">
        <v>2949</v>
      </c>
      <c r="J573" s="1" t="s">
        <v>607</v>
      </c>
      <c r="M573" s="15" t="s">
        <v>260</v>
      </c>
      <c r="N573" s="1" t="s">
        <v>260</v>
      </c>
      <c r="O573" s="15">
        <v>6</v>
      </c>
      <c r="P573" s="15">
        <v>2015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573" s="1"/>
      <c r="U573" s="1"/>
      <c r="V573" s="32" t="s">
        <v>4272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573" s="15" t="str">
        <f>_xlfn.TEXTBEFORE(_xlfn.TEXTAFTER(CantoralDB[[#This Row],[index.html]],"&gt;"),"&gt;")&amp;"&gt;"</f>
        <v>&lt;a href="canciones/hakuna/que_bien_se_esta_cuando_se_esta_bien.html"&gt;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1947</v>
      </c>
      <c r="C574" s="1"/>
      <c r="H574" s="1" t="s">
        <v>1028</v>
      </c>
      <c r="J574" s="1" t="s">
        <v>607</v>
      </c>
      <c r="M574" s="15" t="s">
        <v>260</v>
      </c>
      <c r="N574" s="1" t="s">
        <v>260</v>
      </c>
      <c r="O574" s="15">
        <v>7</v>
      </c>
      <c r="P574" s="15">
        <v>2015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574" s="1"/>
      <c r="U574" s="1"/>
      <c r="V574" s="32" t="s">
        <v>4273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574" s="15" t="str">
        <f>_xlfn.TEXTBEFORE(_xlfn.TEXTAFTER(CantoralDB[[#This Row],[index.html]],"&gt;"),"&gt;")&amp;"&gt;"</f>
        <v>&lt;a href="canciones/hakuna/libertad.html"&gt;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1961</v>
      </c>
      <c r="C575" s="1"/>
      <c r="H575" s="1" t="s">
        <v>1029</v>
      </c>
      <c r="I575" s="1" t="s">
        <v>2952</v>
      </c>
      <c r="J575" s="1" t="s">
        <v>607</v>
      </c>
      <c r="M575" s="15" t="s">
        <v>260</v>
      </c>
      <c r="N575" s="1" t="s">
        <v>260</v>
      </c>
      <c r="O575" s="15">
        <v>8</v>
      </c>
      <c r="P575" s="15">
        <v>2015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575" s="1"/>
      <c r="U575" s="1"/>
      <c r="V575" s="32" t="s">
        <v>4268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575" s="15" t="str">
        <f>_xlfn.TEXTBEFORE(_xlfn.TEXTAFTER(CantoralDB[[#This Row],[index.html]],"&gt;"),"&gt;")&amp;"&gt;"</f>
        <v>&lt;a href="canciones/hakuna/tan_cerca.html"&gt;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1962</v>
      </c>
      <c r="C576" s="1"/>
      <c r="H576" s="1" t="s">
        <v>472</v>
      </c>
      <c r="J576" s="1" t="s">
        <v>607</v>
      </c>
      <c r="M576" s="15" t="s">
        <v>260</v>
      </c>
      <c r="N576" s="1" t="s">
        <v>260</v>
      </c>
      <c r="O576" s="15">
        <v>9</v>
      </c>
      <c r="P576" s="15">
        <v>2015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576" s="1"/>
      <c r="U576" s="1"/>
      <c r="V576" s="32" t="s">
        <v>4270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576" s="15" t="str">
        <f>_xlfn.TEXTBEFORE(_xlfn.TEXTAFTER(CantoralDB[[#This Row],[index.html]],"&gt;"),"&gt;")&amp;"&gt;"</f>
        <v>&lt;a href="canciones/hakuna/hoy_te_dejo.html"&gt;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1963</v>
      </c>
      <c r="C577" s="1"/>
      <c r="H577" s="1" t="s">
        <v>1029</v>
      </c>
      <c r="J577" s="1" t="s">
        <v>607</v>
      </c>
      <c r="M577" s="15" t="s">
        <v>260</v>
      </c>
      <c r="N577" s="1" t="s">
        <v>260</v>
      </c>
      <c r="O577" s="15">
        <v>10</v>
      </c>
      <c r="P577" s="15">
        <v>2015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577" s="1"/>
      <c r="U577" s="1"/>
      <c r="V577" s="32" t="s">
        <v>4275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577" s="15" t="str">
        <f>_xlfn.TEXTBEFORE(_xlfn.TEXTAFTER(CantoralDB[[#This Row],[index.html]],"&gt;"),"&gt;")&amp;"&gt;"</f>
        <v>&lt;a href="canciones/hakuna/pasion_de_dios.html"&gt;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1220</v>
      </c>
      <c r="C578" s="1"/>
      <c r="H578" s="1" t="s">
        <v>530</v>
      </c>
      <c r="J578" s="1" t="s">
        <v>607</v>
      </c>
      <c r="M578" s="15" t="s">
        <v>260</v>
      </c>
      <c r="N578" s="1" t="s">
        <v>260</v>
      </c>
      <c r="O578" s="15">
        <v>12</v>
      </c>
      <c r="P578" s="15">
        <v>2015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578" s="1"/>
      <c r="U578" s="1"/>
      <c r="V578" s="32" t="s">
        <v>4276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578" s="15" t="str">
        <f>_xlfn.TEXTBEFORE(_xlfn.TEXTAFTER(CantoralDB[[#This Row],[index.html]],"&gt;"),"&gt;")&amp;"&gt;"</f>
        <v>&lt;a href="canciones/hakuna/bendita_sea_tu_pureza.html"&gt;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1964</v>
      </c>
      <c r="C579" s="1"/>
      <c r="H579" s="1" t="s">
        <v>530</v>
      </c>
      <c r="J579" s="1" t="s">
        <v>607</v>
      </c>
      <c r="M579" s="15" t="s">
        <v>260</v>
      </c>
      <c r="N579" s="1" t="s">
        <v>1971</v>
      </c>
      <c r="O579" s="15">
        <v>1</v>
      </c>
      <c r="P579" s="15">
        <v>2017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579" s="1"/>
      <c r="U579" s="1"/>
      <c r="V579" s="32" t="s">
        <v>4285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579" s="15" t="str">
        <f>_xlfn.TEXTBEFORE(_xlfn.TEXTAFTER(CantoralDB[[#This Row],[index.html]],"&gt;"),"&gt;")&amp;"&gt;"</f>
        <v>&lt;a href="canciones/hakuna/tu_misericordia.html"&gt;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1966</v>
      </c>
      <c r="C580" s="1"/>
      <c r="H580" s="1" t="s">
        <v>1028</v>
      </c>
      <c r="I580" s="1" t="s">
        <v>2952</v>
      </c>
      <c r="J580" s="1" t="s">
        <v>607</v>
      </c>
      <c r="M580" s="15" t="s">
        <v>260</v>
      </c>
      <c r="N580" s="1" t="s">
        <v>1971</v>
      </c>
      <c r="O580" s="15">
        <v>2</v>
      </c>
      <c r="P580" s="15">
        <v>2017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580" s="1"/>
      <c r="U580" s="1"/>
      <c r="V580" s="32" t="s">
        <v>4282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580" s="15" t="str">
        <f>_xlfn.TEXTBEFORE(_xlfn.TEXTAFTER(CantoralDB[[#This Row],[index.html]],"&gt;"),"&gt;")&amp;"&gt;"</f>
        <v>&lt;a href="canciones/hakuna/quiero_cenar_contigo.html"&gt;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1967</v>
      </c>
      <c r="C581" s="1"/>
      <c r="H581" s="1" t="s">
        <v>1029</v>
      </c>
      <c r="I581" s="1" t="s">
        <v>2951</v>
      </c>
      <c r="J581" s="1" t="s">
        <v>607</v>
      </c>
      <c r="M581" s="15" t="s">
        <v>260</v>
      </c>
      <c r="N581" s="1" t="s">
        <v>1971</v>
      </c>
      <c r="O581" s="15">
        <v>3</v>
      </c>
      <c r="P581" s="15">
        <v>2017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581" s="1"/>
      <c r="U581" s="1"/>
      <c r="V581" s="32" t="s">
        <v>4284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581" s="15" t="str">
        <f>_xlfn.TEXTBEFORE(_xlfn.TEXTAFTER(CantoralDB[[#This Row],[index.html]],"&gt;"),"&gt;")&amp;"&gt;"</f>
        <v>&lt;a href="canciones/hakuna/un_paso_mas.html"&gt;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2005</v>
      </c>
      <c r="C582" s="1"/>
      <c r="H582" s="1" t="s">
        <v>1028</v>
      </c>
      <c r="I582" s="1" t="s">
        <v>2952</v>
      </c>
      <c r="J582" s="1" t="s">
        <v>607</v>
      </c>
      <c r="M582" s="15" t="s">
        <v>260</v>
      </c>
      <c r="N582" s="1" t="s">
        <v>1971</v>
      </c>
      <c r="O582" s="15">
        <v>4</v>
      </c>
      <c r="P582" s="15">
        <v>2017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582" s="1"/>
      <c r="U582" s="1"/>
      <c r="V582" s="32" t="s">
        <v>4289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582" s="15" t="str">
        <f>_xlfn.TEXTBEFORE(_xlfn.TEXTAFTER(CantoralDB[[#This Row],[index.html]],"&gt;"),"&gt;")&amp;"&gt;"</f>
        <v>&lt;a href="canciones/hakuna/cuatro_vientos.html"&gt;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1968</v>
      </c>
      <c r="C583" s="1"/>
      <c r="H583" s="1" t="s">
        <v>530</v>
      </c>
      <c r="I583" s="1" t="s">
        <v>2949</v>
      </c>
      <c r="J583" s="1" t="s">
        <v>607</v>
      </c>
      <c r="M583" s="15" t="s">
        <v>260</v>
      </c>
      <c r="N583" s="1" t="s">
        <v>1971</v>
      </c>
      <c r="O583" s="15">
        <v>5</v>
      </c>
      <c r="P583" s="15">
        <v>2017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583" s="1"/>
      <c r="U583" s="1"/>
      <c r="V583" s="32" t="s">
        <v>4283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583" s="15" t="str">
        <f>_xlfn.TEXTBEFORE(_xlfn.TEXTAFTER(CantoralDB[[#This Row],[index.html]],"&gt;"),"&gt;")&amp;"&gt;"</f>
        <v>&lt;a href="canciones/hakuna/siempre_imagine.html"&gt;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1965</v>
      </c>
      <c r="C584" s="1"/>
      <c r="H584" s="1" t="s">
        <v>530</v>
      </c>
      <c r="I584" s="1" t="s">
        <v>2953</v>
      </c>
      <c r="J584" s="1" t="s">
        <v>607</v>
      </c>
      <c r="M584" s="15" t="s">
        <v>260</v>
      </c>
      <c r="N584" s="1" t="s">
        <v>1971</v>
      </c>
      <c r="O584" s="15">
        <v>6</v>
      </c>
      <c r="P584" s="15">
        <v>2017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584" s="1"/>
      <c r="U584" s="1"/>
      <c r="V584" s="32" t="s">
        <v>4281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584" s="15" t="str">
        <f>_xlfn.TEXTBEFORE(_xlfn.TEXTAFTER(CantoralDB[[#This Row],[index.html]],"&gt;"),"&gt;")&amp;"&gt;"</f>
        <v>&lt;a href="canciones/hakuna/que_no_se_pierda_ninguno.html"&gt;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1969</v>
      </c>
      <c r="C585" s="1"/>
      <c r="H585" s="1" t="s">
        <v>530</v>
      </c>
      <c r="I585" s="1" t="s">
        <v>2951</v>
      </c>
      <c r="J585" s="1" t="s">
        <v>607</v>
      </c>
      <c r="M585" s="15" t="s">
        <v>260</v>
      </c>
      <c r="N585" s="1" t="s">
        <v>1971</v>
      </c>
      <c r="O585" s="15">
        <v>7</v>
      </c>
      <c r="P585" s="15">
        <v>2017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585" s="1"/>
      <c r="U585" s="1"/>
      <c r="V585" s="32" t="s">
        <v>4279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585" s="15" t="str">
        <f>_xlfn.TEXTBEFORE(_xlfn.TEXTAFTER(CantoralDB[[#This Row],[index.html]],"&gt;"),"&gt;")&amp;"&gt;"</f>
        <v>&lt;a href="canciones/hakuna/nombre_sobre_todo_nombre.html"&gt;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1970</v>
      </c>
      <c r="C586" s="1"/>
      <c r="H586" s="1" t="s">
        <v>1029</v>
      </c>
      <c r="I586" s="1" t="s">
        <v>2952</v>
      </c>
      <c r="J586" s="1" t="s">
        <v>607</v>
      </c>
      <c r="M586" s="15" t="s">
        <v>260</v>
      </c>
      <c r="N586" s="1" t="s">
        <v>1971</v>
      </c>
      <c r="O586" s="15">
        <v>8</v>
      </c>
      <c r="P586" s="15">
        <v>2017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586" s="1"/>
      <c r="U586" s="1"/>
      <c r="V586" s="32" t="s">
        <v>4287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586" s="15" t="str">
        <f>_xlfn.TEXTBEFORE(_xlfn.TEXTAFTER(CantoralDB[[#This Row],[index.html]],"&gt;"),"&gt;")&amp;"&gt;"</f>
        <v>&lt;a href="canciones/hakuna/tu_rostro.html"&gt;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1955</v>
      </c>
      <c r="C587" s="1"/>
      <c r="H587" s="1" t="s">
        <v>1028</v>
      </c>
      <c r="J587" s="1" t="s">
        <v>607</v>
      </c>
      <c r="M587" s="15" t="s">
        <v>260</v>
      </c>
      <c r="N587" s="1" t="s">
        <v>1971</v>
      </c>
      <c r="O587" s="15">
        <v>9</v>
      </c>
      <c r="P587" s="15">
        <v>2017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587" s="1"/>
      <c r="U587" s="1"/>
      <c r="V587" s="32" t="s">
        <v>4288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587" s="15" t="str">
        <f>_xlfn.TEXTBEFORE(_xlfn.TEXTAFTER(CantoralDB[[#This Row],[index.html]],"&gt;"),"&gt;")&amp;"&gt;"</f>
        <v>&lt;a href="canciones/hakuna/tonto.html"&gt;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1971</v>
      </c>
      <c r="C588" s="1"/>
      <c r="H588" s="1" t="s">
        <v>530</v>
      </c>
      <c r="I588" s="1" t="s">
        <v>2950</v>
      </c>
      <c r="J588" s="1" t="s">
        <v>607</v>
      </c>
      <c r="M588" s="15" t="s">
        <v>260</v>
      </c>
      <c r="N588" s="1" t="s">
        <v>1971</v>
      </c>
      <c r="O588" s="15">
        <v>10</v>
      </c>
      <c r="P588" s="15">
        <v>2017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588" s="1"/>
      <c r="U588" s="1"/>
      <c r="V588" s="32" t="s">
        <v>4280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588" s="15" t="str">
        <f>_xlfn.TEXTBEFORE(_xlfn.TEXTAFTER(CantoralDB[[#This Row],[index.html]],"&gt;"),"&gt;")&amp;"&gt;"</f>
        <v>&lt;a href="canciones/hakuna/mi_pobre_loco.html"&gt;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1952</v>
      </c>
      <c r="C589" s="1"/>
      <c r="H589" s="1" t="s">
        <v>472</v>
      </c>
      <c r="J589" s="1" t="s">
        <v>607</v>
      </c>
      <c r="M589" s="15" t="s">
        <v>260</v>
      </c>
      <c r="N589" s="1" t="s">
        <v>1971</v>
      </c>
      <c r="O589" s="15">
        <v>11</v>
      </c>
      <c r="P589" s="15">
        <v>2017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589" s="1"/>
      <c r="U589" s="1"/>
      <c r="V589" s="32" t="s">
        <v>4286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589" s="15" t="str">
        <f>_xlfn.TEXTBEFORE(_xlfn.TEXTAFTER(CantoralDB[[#This Row],[index.html]],"&gt;"),"&gt;")&amp;"&gt;"</f>
        <v>&lt;a href="canciones/hakuna/revolucion.html"&gt;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1946</v>
      </c>
      <c r="C590" s="1"/>
      <c r="H590" s="1" t="s">
        <v>1028</v>
      </c>
      <c r="J590" s="1" t="s">
        <v>607</v>
      </c>
      <c r="M590" s="15" t="s">
        <v>260</v>
      </c>
      <c r="N590" s="1" t="s">
        <v>1971</v>
      </c>
      <c r="O590" s="15">
        <v>12</v>
      </c>
      <c r="P590" s="15">
        <v>2017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590" s="1"/>
      <c r="U590" s="1"/>
      <c r="V590" s="32" t="s">
        <v>4290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590" s="15" t="str">
        <f>_xlfn.TEXTBEFORE(_xlfn.TEXTAFTER(CantoralDB[[#This Row],[index.html]],"&gt;"),"&gt;")&amp;"&gt;"</f>
        <v>&lt;a href="canciones/hakuna/imprescindible.html"&gt;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2006</v>
      </c>
      <c r="C591" s="1"/>
      <c r="H591" s="1" t="s">
        <v>530</v>
      </c>
      <c r="I591" s="1" t="s">
        <v>2950</v>
      </c>
      <c r="J591" s="1" t="s">
        <v>607</v>
      </c>
      <c r="M591" s="15" t="s">
        <v>260</v>
      </c>
      <c r="N591" s="1" t="s">
        <v>2856</v>
      </c>
      <c r="O591" s="15">
        <v>1</v>
      </c>
      <c r="P591" s="15">
        <v>2018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591" s="1"/>
      <c r="U591" s="1"/>
      <c r="V591" s="32" t="s">
        <v>4291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591" s="15" t="str">
        <f>_xlfn.TEXTBEFORE(_xlfn.TEXTAFTER(CantoralDB[[#This Row],[index.html]],"&gt;"),"&gt;")&amp;"&gt;"</f>
        <v>&lt;a href="canciones/hakuna/pasion_i_no_se_que_viste_en_mi.html"&gt;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2007</v>
      </c>
      <c r="C592" s="1"/>
      <c r="H592" s="1" t="s">
        <v>1029</v>
      </c>
      <c r="I592" s="1" t="s">
        <v>2949</v>
      </c>
      <c r="J592" s="1" t="s">
        <v>607</v>
      </c>
      <c r="M592" s="15" t="s">
        <v>260</v>
      </c>
      <c r="N592" s="1" t="s">
        <v>2856</v>
      </c>
      <c r="O592" s="15">
        <v>2</v>
      </c>
      <c r="P592" s="15">
        <v>2018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592" s="1"/>
      <c r="U592" s="1"/>
      <c r="V592" s="32" t="s">
        <v>4292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592" s="15" t="str">
        <f>_xlfn.TEXTBEFORE(_xlfn.TEXTAFTER(CantoralDB[[#This Row],[index.html]],"&gt;"),"&gt;")&amp;"&gt;"</f>
        <v>&lt;a href="canciones/hakuna/pasion_ii_mi_peso_en_tus_hombros.html"&gt;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2008</v>
      </c>
      <c r="C593" s="1"/>
      <c r="H593" s="1" t="s">
        <v>1026</v>
      </c>
      <c r="J593" s="1" t="s">
        <v>607</v>
      </c>
      <c r="M593" s="15" t="s">
        <v>260</v>
      </c>
      <c r="N593" s="1" t="s">
        <v>2856</v>
      </c>
      <c r="O593" s="15">
        <v>3</v>
      </c>
      <c r="P593" s="15">
        <v>2018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593" s="1"/>
      <c r="U593" s="1"/>
      <c r="V593" s="32" t="s">
        <v>4293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593" s="15" t="str">
        <f>_xlfn.TEXTBEFORE(_xlfn.TEXTAFTER(CantoralDB[[#This Row],[index.html]],"&gt;"),"&gt;")&amp;"&gt;"</f>
        <v>&lt;a href="canciones/hakuna/pasion_iii_paraisos_sin_tu_rostro.html"&gt;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2009</v>
      </c>
      <c r="C594" s="1"/>
      <c r="H594" s="1" t="s">
        <v>530</v>
      </c>
      <c r="J594" s="1" t="s">
        <v>607</v>
      </c>
      <c r="M594" s="15" t="s">
        <v>260</v>
      </c>
      <c r="N594" s="1" t="s">
        <v>2856</v>
      </c>
      <c r="O594" s="15">
        <v>4</v>
      </c>
      <c r="P594" s="15">
        <v>2018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594" s="1"/>
      <c r="U594" s="1"/>
      <c r="V594" s="32" t="s">
        <v>4294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594" s="15" t="str">
        <f>_xlfn.TEXTBEFORE(_xlfn.TEXTAFTER(CantoralDB[[#This Row],[index.html]],"&gt;"),"&gt;")&amp;"&gt;"</f>
        <v>&lt;a href="canciones/hakuna/pasion_iv_un_dios_debil.html"&gt;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2021</v>
      </c>
      <c r="C595" s="1"/>
      <c r="H595" s="1" t="s">
        <v>1029</v>
      </c>
      <c r="I595" s="1" t="s">
        <v>2953</v>
      </c>
      <c r="J595" s="1" t="s">
        <v>607</v>
      </c>
      <c r="M595" s="15" t="s">
        <v>260</v>
      </c>
      <c r="N595" s="1" t="s">
        <v>2856</v>
      </c>
      <c r="O595" s="15">
        <v>5</v>
      </c>
      <c r="P595" s="15">
        <v>2018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595" s="1"/>
      <c r="U595" s="1"/>
      <c r="V595" s="32" t="s">
        <v>4295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595" s="15" t="str">
        <f>_xlfn.TEXTBEFORE(_xlfn.TEXTAFTER(CantoralDB[[#This Row],[index.html]],"&gt;"),"&gt;")&amp;"&gt;"</f>
        <v>&lt;a href="canciones/hakuna/pasion_v_cirineo.html"&gt;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2011</v>
      </c>
      <c r="C596" s="1"/>
      <c r="H596" s="1" t="s">
        <v>1028</v>
      </c>
      <c r="I596" s="1" t="s">
        <v>2949</v>
      </c>
      <c r="J596" s="1" t="s">
        <v>607</v>
      </c>
      <c r="M596" s="15" t="s">
        <v>260</v>
      </c>
      <c r="N596" s="1" t="s">
        <v>2856</v>
      </c>
      <c r="O596" s="15">
        <v>6</v>
      </c>
      <c r="P596" s="15">
        <v>2018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596" s="1"/>
      <c r="U596" s="1"/>
      <c r="V596" s="32" t="s">
        <v>4296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596" s="15" t="str">
        <f>_xlfn.TEXTBEFORE(_xlfn.TEXTAFTER(CantoralDB[[#This Row],[index.html]],"&gt;"),"&gt;")&amp;"&gt;"</f>
        <v>&lt;a href="canciones/hakuna/pasion_vi_veronica.html"&gt;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2012</v>
      </c>
      <c r="C597" s="1"/>
      <c r="H597" s="1" t="s">
        <v>1026</v>
      </c>
      <c r="I597" s="1" t="s">
        <v>2952</v>
      </c>
      <c r="J597" s="1" t="s">
        <v>607</v>
      </c>
      <c r="M597" s="15" t="s">
        <v>260</v>
      </c>
      <c r="N597" s="1" t="s">
        <v>2856</v>
      </c>
      <c r="O597" s="15">
        <v>7</v>
      </c>
      <c r="P597" s="15">
        <v>2018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597" s="1"/>
      <c r="U597" s="1"/>
      <c r="V597" s="32" t="s">
        <v>4297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597" s="15" t="str">
        <f>_xlfn.TEXTBEFORE(_xlfn.TEXTAFTER(CantoralDB[[#This Row],[index.html]],"&gt;"),"&gt;")&amp;"&gt;"</f>
        <v>&lt;a href="canciones/hakuna/pasion_vii_y_te_caes.html"&gt;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2022</v>
      </c>
      <c r="C598" s="1"/>
      <c r="H598" s="1" t="s">
        <v>530</v>
      </c>
      <c r="I598" s="1" t="s">
        <v>2953</v>
      </c>
      <c r="J598" s="1" t="s">
        <v>607</v>
      </c>
      <c r="M598" s="15" t="s">
        <v>260</v>
      </c>
      <c r="N598" s="1" t="s">
        <v>2856</v>
      </c>
      <c r="O598" s="15">
        <v>8</v>
      </c>
      <c r="P598" s="15">
        <v>2018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598" s="1"/>
      <c r="U598" s="1"/>
      <c r="V598" s="32" t="s">
        <v>4298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598" s="15" t="str">
        <f>_xlfn.TEXTBEFORE(_xlfn.TEXTAFTER(CantoralDB[[#This Row],[index.html]],"&gt;"),"&gt;")&amp;"&gt;"</f>
        <v>&lt;a href="canciones/hakuna/pasion_viii_jerusalen.html"&gt;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2010</v>
      </c>
      <c r="C599" s="1"/>
      <c r="H599" s="1" t="s">
        <v>530</v>
      </c>
      <c r="I599" s="1" t="s">
        <v>2956</v>
      </c>
      <c r="J599" s="1" t="s">
        <v>607</v>
      </c>
      <c r="M599" s="15" t="s">
        <v>260</v>
      </c>
      <c r="N599" s="1" t="s">
        <v>2856</v>
      </c>
      <c r="O599" s="15">
        <v>9</v>
      </c>
      <c r="P599" s="15">
        <v>2018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599" s="1"/>
      <c r="U599" s="1"/>
      <c r="V599" s="32" t="s">
        <v>4299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599" s="15" t="str">
        <f>_xlfn.TEXTBEFORE(_xlfn.TEXTAFTER(CantoralDB[[#This Row],[index.html]],"&gt;"),"&gt;")&amp;"&gt;"</f>
        <v>&lt;a href="canciones/hakuna/pasion_ix_por_que.html"&gt;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2013</v>
      </c>
      <c r="C600" s="1"/>
      <c r="H600" s="1" t="s">
        <v>1026</v>
      </c>
      <c r="J600" s="1" t="s">
        <v>607</v>
      </c>
      <c r="M600" s="15" t="s">
        <v>260</v>
      </c>
      <c r="N600" s="1" t="s">
        <v>2856</v>
      </c>
      <c r="O600" s="15">
        <v>10</v>
      </c>
      <c r="P600" s="15">
        <v>2018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00" s="1"/>
      <c r="U600" s="1"/>
      <c r="V600" s="32" t="s">
        <v>4300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00" s="15" t="str">
        <f>_xlfn.TEXTBEFORE(_xlfn.TEXTAFTER(CantoralDB[[#This Row],[index.html]],"&gt;"),"&gt;")&amp;"&gt;"</f>
        <v>&lt;a href="canciones/hakuna/pasion_x_despojado.html"&gt;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2014</v>
      </c>
      <c r="C601" s="1"/>
      <c r="H601" s="1" t="s">
        <v>1027</v>
      </c>
      <c r="J601" s="1" t="s">
        <v>607</v>
      </c>
      <c r="M601" s="15" t="s">
        <v>260</v>
      </c>
      <c r="N601" s="1" t="s">
        <v>2856</v>
      </c>
      <c r="O601" s="15">
        <v>11</v>
      </c>
      <c r="P601" s="15">
        <v>2018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01" s="1"/>
      <c r="U601" s="1"/>
      <c r="V601" s="32" t="s">
        <v>4301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01" s="15" t="str">
        <f>_xlfn.TEXTBEFORE(_xlfn.TEXTAFTER(CantoralDB[[#This Row],[index.html]],"&gt;"),"&gt;")&amp;"&gt;"</f>
        <v>&lt;a href="canciones/hakuna/pasion_xi_la_medida_del_amor.html"&gt;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2015</v>
      </c>
      <c r="C602" s="1"/>
      <c r="H602" s="1" t="s">
        <v>530</v>
      </c>
      <c r="J602" s="1" t="s">
        <v>607</v>
      </c>
      <c r="M602" s="15" t="s">
        <v>260</v>
      </c>
      <c r="N602" s="1" t="s">
        <v>2856</v>
      </c>
      <c r="O602" s="15">
        <v>13</v>
      </c>
      <c r="P602" s="15">
        <v>2018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02" s="1"/>
      <c r="U602" s="1"/>
      <c r="V602" s="32" t="s">
        <v>4302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02" s="15" t="str">
        <f>_xlfn.TEXTBEFORE(_xlfn.TEXTAFTER(CantoralDB[[#This Row],[index.html]],"&gt;"),"&gt;")&amp;"&gt;"</f>
        <v>&lt;a href="canciones/hakuna/pasion_xiii_madre.html"&gt;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2016</v>
      </c>
      <c r="C603" s="1"/>
      <c r="H603" s="1" t="s">
        <v>530</v>
      </c>
      <c r="J603" s="1" t="s">
        <v>607</v>
      </c>
      <c r="M603" s="15" t="s">
        <v>260</v>
      </c>
      <c r="N603" s="1" t="s">
        <v>2856</v>
      </c>
      <c r="O603" s="15">
        <v>14</v>
      </c>
      <c r="P603" s="15">
        <v>2018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03" s="1"/>
      <c r="U603" s="1"/>
      <c r="V603" s="32" t="s">
        <v>4303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03" s="15" t="str">
        <f>_xlfn.TEXTBEFORE(_xlfn.TEXTAFTER(CantoralDB[[#This Row],[index.html]],"&gt;"),"&gt;")&amp;"&gt;"</f>
        <v>&lt;a href="canciones/hakuna/pasion_xiv_donde_estas_tu.html"&gt;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2017</v>
      </c>
      <c r="C604" s="1"/>
      <c r="H604" s="1" t="s">
        <v>472</v>
      </c>
      <c r="J604" s="1" t="s">
        <v>607</v>
      </c>
      <c r="M604" s="15" t="s">
        <v>260</v>
      </c>
      <c r="N604" s="1" t="s">
        <v>2856</v>
      </c>
      <c r="O604" s="15">
        <v>15</v>
      </c>
      <c r="P604" s="15">
        <v>2018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04" s="1"/>
      <c r="U604" s="1"/>
      <c r="V604" s="32" t="s">
        <v>4304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04" s="15" t="str">
        <f>_xlfn.TEXTBEFORE(_xlfn.TEXTAFTER(CantoralDB[[#This Row],[index.html]],"&gt;"),"&gt;")&amp;"&gt;"</f>
        <v>&lt;a href="canciones/hakuna/pasion_xv_soy_libre.html"&gt;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2018</v>
      </c>
      <c r="C605" s="1"/>
      <c r="H605" s="1" t="s">
        <v>1029</v>
      </c>
      <c r="I605" s="1" t="s">
        <v>2952</v>
      </c>
      <c r="J605" s="1" t="s">
        <v>607</v>
      </c>
      <c r="M605" s="15" t="s">
        <v>260</v>
      </c>
      <c r="N605" s="1" t="s">
        <v>2856</v>
      </c>
      <c r="O605" s="15">
        <v>16</v>
      </c>
      <c r="P605" s="15">
        <v>2018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05" s="1"/>
      <c r="U605" s="1"/>
      <c r="V605" s="32" t="s">
        <v>4305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05" s="15" t="str">
        <f>_xlfn.TEXTBEFORE(_xlfn.TEXTAFTER(CantoralDB[[#This Row],[index.html]],"&gt;"),"&gt;")&amp;"&gt;"</f>
        <v>&lt;a href="canciones/hakuna/pasion_xvi_por_mi_por_ti.html"&gt;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1981</v>
      </c>
      <c r="C606" s="1"/>
      <c r="H606" s="1" t="s">
        <v>1029</v>
      </c>
      <c r="I606" s="1" t="s">
        <v>2956</v>
      </c>
      <c r="J606" s="1" t="s">
        <v>607</v>
      </c>
      <c r="M606" s="15" t="s">
        <v>260</v>
      </c>
      <c r="N606" s="1" t="s">
        <v>2857</v>
      </c>
      <c r="O606" s="15">
        <v>1</v>
      </c>
      <c r="P606" s="15">
        <v>2022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06" s="1"/>
      <c r="U606" s="1"/>
      <c r="V606" s="32" t="s">
        <v>4306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06" s="15" t="str">
        <f>_xlfn.TEXTBEFORE(_xlfn.TEXTAFTER(CantoralDB[[#This Row],[index.html]],"&gt;"),"&gt;")&amp;"&gt;"</f>
        <v>&lt;a href="canciones/hakuna/me_sobrepasa.html"&gt;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B607" s="1" t="s">
        <v>1943</v>
      </c>
      <c r="C607" s="1"/>
      <c r="H607" s="1" t="s">
        <v>472</v>
      </c>
      <c r="I607" s="1" t="s">
        <v>2952</v>
      </c>
      <c r="J607" s="1" t="s">
        <v>607</v>
      </c>
      <c r="M607" s="15" t="s">
        <v>260</v>
      </c>
      <c r="N607" s="1" t="s">
        <v>2857</v>
      </c>
      <c r="O607" s="15">
        <v>2</v>
      </c>
      <c r="P607" s="15">
        <v>2022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07" s="1"/>
      <c r="U607" s="1"/>
      <c r="V607" s="32" t="s">
        <v>4307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07" s="15" t="str">
        <f>_xlfn.TEXTBEFORE(_xlfn.TEXTAFTER(CantoralDB[[#This Row],[index.html]],"&gt;"),"&gt;")&amp;"&gt;"</f>
        <v>&lt;a href="canciones/hakuna/descalzos.html"&gt;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1980</v>
      </c>
      <c r="C608" s="1"/>
      <c r="H608" s="1" t="s">
        <v>1029</v>
      </c>
      <c r="I608" s="1" t="s">
        <v>2951</v>
      </c>
      <c r="J608" s="1" t="s">
        <v>607</v>
      </c>
      <c r="M608" s="15" t="s">
        <v>260</v>
      </c>
      <c r="N608" s="1" t="s">
        <v>2857</v>
      </c>
      <c r="O608" s="15">
        <v>3</v>
      </c>
      <c r="P608" s="15">
        <v>2022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08" s="1"/>
      <c r="U608" s="1"/>
      <c r="V608" s="32" t="s">
        <v>4308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08" s="15" t="str">
        <f>_xlfn.TEXTBEFORE(_xlfn.TEXTAFTER(CantoralDB[[#This Row],[index.html]],"&gt;"),"&gt;")&amp;"&gt;"</f>
        <v>&lt;a href="canciones/hakuna/un_segundo.html"&gt;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1954</v>
      </c>
      <c r="C609" s="1"/>
      <c r="H609" s="1" t="s">
        <v>1029</v>
      </c>
      <c r="I609" s="1" t="s">
        <v>2952</v>
      </c>
      <c r="J609" s="1" t="s">
        <v>607</v>
      </c>
      <c r="M609" s="15" t="s">
        <v>260</v>
      </c>
      <c r="N609" s="1" t="s">
        <v>2857</v>
      </c>
      <c r="O609" s="15">
        <v>4</v>
      </c>
      <c r="P609" s="15">
        <v>2022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09" s="1"/>
      <c r="U609" s="1"/>
      <c r="V609" s="32" t="s">
        <v>4309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X609" s="15" t="str">
        <f>_xlfn.TEXTBEFORE(_xlfn.TEXTAFTER(CantoralDB[[#This Row],[index.html]],"&gt;"),"&gt;")&amp;"&gt;"</f>
        <v>&lt;a href="canciones/hakuna/todo.html"&gt;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1983</v>
      </c>
      <c r="C610" s="1"/>
      <c r="H610" s="1" t="s">
        <v>472</v>
      </c>
      <c r="I610" s="1" t="s">
        <v>2949</v>
      </c>
      <c r="J610" s="1" t="s">
        <v>607</v>
      </c>
      <c r="M610" s="15" t="s">
        <v>260</v>
      </c>
      <c r="N610" s="1" t="s">
        <v>2857</v>
      </c>
      <c r="O610" s="15">
        <v>5</v>
      </c>
      <c r="P610" s="15">
        <v>2022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10" s="1"/>
      <c r="U610" s="1"/>
      <c r="V610" s="32" t="s">
        <v>4310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10" s="15" t="str">
        <f>_xlfn.TEXTBEFORE(_xlfn.TEXTAFTER(CantoralDB[[#This Row],[index.html]],"&gt;"),"&gt;")&amp;"&gt;"</f>
        <v>&lt;a href="canciones/hakuna/el_cielo_aguarda.html"&gt;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644</v>
      </c>
      <c r="C611" s="1" t="s">
        <v>992</v>
      </c>
      <c r="D611" s="1" t="s">
        <v>711</v>
      </c>
      <c r="G611" s="1" t="s">
        <v>260</v>
      </c>
      <c r="H611" s="1" t="s">
        <v>530</v>
      </c>
      <c r="J611" s="1" t="s">
        <v>607</v>
      </c>
      <c r="M611" s="15" t="s">
        <v>260</v>
      </c>
      <c r="N611" s="1" t="s">
        <v>2857</v>
      </c>
      <c r="O611" s="15">
        <v>6</v>
      </c>
      <c r="P611" s="15">
        <v>2022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11" s="1"/>
      <c r="U611" s="1"/>
      <c r="V611" s="32" t="s">
        <v>4311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11" s="15" t="str">
        <f>_xlfn.TEXTBEFORE(_xlfn.TEXTAFTER(CantoralDB[[#This Row],[index.html]],"&gt;"),"&gt;")&amp;"&gt;"</f>
        <v>&lt;a href="canciones/hakuna/huracan.html"&gt;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1948</v>
      </c>
      <c r="C612" s="1"/>
      <c r="H612" s="1" t="s">
        <v>1029</v>
      </c>
      <c r="I612" s="1" t="s">
        <v>2950</v>
      </c>
      <c r="J612" s="1" t="s">
        <v>607</v>
      </c>
      <c r="M612" s="15" t="s">
        <v>260</v>
      </c>
      <c r="N612" s="1" t="s">
        <v>2857</v>
      </c>
      <c r="O612" s="15">
        <v>7</v>
      </c>
      <c r="P612" s="15">
        <v>2022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12" s="1"/>
      <c r="U612" s="1"/>
      <c r="V612" s="32" t="s">
        <v>4312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12" s="15" t="str">
        <f>_xlfn.TEXTBEFORE(_xlfn.TEXTAFTER(CantoralDB[[#This Row],[index.html]],"&gt;"),"&gt;")&amp;"&gt;"</f>
        <v>&lt;a href="canciones/hakuna/mirada.html"&gt;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1951</v>
      </c>
      <c r="C613" s="1"/>
      <c r="H613" s="1" t="s">
        <v>530</v>
      </c>
      <c r="I613" s="1" t="s">
        <v>2954</v>
      </c>
      <c r="J613" s="1" t="s">
        <v>607</v>
      </c>
      <c r="M613" s="15" t="s">
        <v>260</v>
      </c>
      <c r="N613" s="1" t="s">
        <v>2857</v>
      </c>
      <c r="O613" s="15">
        <v>8</v>
      </c>
      <c r="P613" s="15">
        <v>2022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13" s="1"/>
      <c r="U613" s="1"/>
      <c r="V613" s="32" t="s">
        <v>4313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13" s="15" t="str">
        <f>_xlfn.TEXTBEFORE(_xlfn.TEXTAFTER(CantoralDB[[#This Row],[index.html]],"&gt;"),"&gt;")&amp;"&gt;"</f>
        <v>&lt;a href="canciones/hakuna/pringados.html"&gt;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1949</v>
      </c>
      <c r="C614" s="1"/>
      <c r="H614" s="1" t="s">
        <v>1028</v>
      </c>
      <c r="I614" s="1" t="s">
        <v>2949</v>
      </c>
      <c r="J614" s="1" t="s">
        <v>607</v>
      </c>
      <c r="M614" s="15" t="s">
        <v>260</v>
      </c>
      <c r="N614" s="1" t="s">
        <v>2857</v>
      </c>
      <c r="O614" s="15">
        <v>9</v>
      </c>
      <c r="P614" s="15">
        <v>2022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14" s="1"/>
      <c r="U614" s="1"/>
      <c r="V614" s="32" t="s">
        <v>4314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14" s="15" t="str">
        <f>_xlfn.TEXTBEFORE(_xlfn.TEXTAFTER(CantoralDB[[#This Row],[index.html]],"&gt;"),"&gt;")&amp;"&gt;"</f>
        <v>&lt;a href="canciones/hakuna/noche.html"&gt;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1982</v>
      </c>
      <c r="C615" s="1"/>
      <c r="H615" s="1" t="s">
        <v>530</v>
      </c>
      <c r="I615" s="1" t="s">
        <v>2956</v>
      </c>
      <c r="J615" s="1" t="s">
        <v>607</v>
      </c>
      <c r="M615" s="15" t="s">
        <v>260</v>
      </c>
      <c r="N615" s="1" t="s">
        <v>2857</v>
      </c>
      <c r="O615" s="15">
        <v>10</v>
      </c>
      <c r="P615" s="15">
        <v>2022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15" s="1"/>
      <c r="U615" s="1"/>
      <c r="V615" s="32" t="s">
        <v>4315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15" s="15" t="str">
        <f>_xlfn.TEXTBEFORE(_xlfn.TEXTAFTER(CantoralDB[[#This Row],[index.html]],"&gt;"),"&gt;")&amp;"&gt;"</f>
        <v>&lt;a href="canciones/hakuna/comunion_espiritual.html"&gt;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1953</v>
      </c>
      <c r="C616" s="1"/>
      <c r="H616" s="1" t="s">
        <v>1029</v>
      </c>
      <c r="I616" s="1" t="s">
        <v>2949</v>
      </c>
      <c r="J616" s="1" t="s">
        <v>607</v>
      </c>
      <c r="M616" s="15" t="s">
        <v>260</v>
      </c>
      <c r="N616" s="1" t="s">
        <v>1953</v>
      </c>
      <c r="O616" s="15">
        <v>1</v>
      </c>
      <c r="P616" s="15">
        <v>2021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16" s="1"/>
      <c r="U616" s="1"/>
      <c r="V616" s="32" t="s">
        <v>4316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16" s="15" t="str">
        <f>_xlfn.TEXTBEFORE(_xlfn.TEXTAFTER(CantoralDB[[#This Row],[index.html]],"&gt;"),"&gt;")&amp;"&gt;"</f>
        <v>&lt;a href="canciones/hakuna/sencillamente.html"&gt;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1972</v>
      </c>
      <c r="C617" s="1"/>
      <c r="H617" s="1" t="s">
        <v>530</v>
      </c>
      <c r="I617" s="1" t="s">
        <v>2949</v>
      </c>
      <c r="J617" s="1" t="s">
        <v>607</v>
      </c>
      <c r="M617" s="15" t="s">
        <v>260</v>
      </c>
      <c r="N617" s="1" t="s">
        <v>1953</v>
      </c>
      <c r="O617" s="15">
        <v>2</v>
      </c>
      <c r="P617" s="15">
        <v>2021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17" s="1"/>
      <c r="U617" s="1"/>
      <c r="V617" s="32" t="s">
        <v>4317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17" s="15" t="str">
        <f>_xlfn.TEXTBEFORE(_xlfn.TEXTAFTER(CantoralDB[[#This Row],[index.html]],"&gt;"),"&gt;")&amp;"&gt;"</f>
        <v>&lt;a href="canciones/hakuna/ocupate_tu_de_todo.html"&gt;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1974</v>
      </c>
      <c r="C618" s="1"/>
      <c r="H618" s="1" t="s">
        <v>1026</v>
      </c>
      <c r="I618" s="1" t="s">
        <v>2950</v>
      </c>
      <c r="J618" s="1" t="s">
        <v>607</v>
      </c>
      <c r="M618" s="15" t="s">
        <v>260</v>
      </c>
      <c r="N618" s="1" t="s">
        <v>1953</v>
      </c>
      <c r="O618" s="15">
        <v>3</v>
      </c>
      <c r="P618" s="15">
        <v>2021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18" s="1"/>
      <c r="U618" s="1"/>
      <c r="V618" s="32" t="s">
        <v>4318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18" s="15" t="str">
        <f>_xlfn.TEXTBEFORE(_xlfn.TEXTAFTER(CantoralDB[[#This Row],[index.html]],"&gt;"),"&gt;")&amp;"&gt;"</f>
        <v>&lt;a href="canciones/hakuna/la_piel_por_ti.html"&gt;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1973</v>
      </c>
      <c r="C619" s="1"/>
      <c r="H619" s="1" t="s">
        <v>1028</v>
      </c>
      <c r="I619" s="1" t="s">
        <v>2952</v>
      </c>
      <c r="J619" s="1" t="s">
        <v>607</v>
      </c>
      <c r="M619" s="15" t="s">
        <v>260</v>
      </c>
      <c r="N619" s="1" t="s">
        <v>1953</v>
      </c>
      <c r="O619" s="15">
        <v>4</v>
      </c>
      <c r="P619" s="15">
        <v>2021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19" s="1"/>
      <c r="U619" s="1"/>
      <c r="V619" s="32" t="s">
        <v>4319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19" s="15" t="str">
        <f>_xlfn.TEXTBEFORE(_xlfn.TEXTAFTER(CantoralDB[[#This Row],[index.html]],"&gt;"),"&gt;")&amp;"&gt;"</f>
        <v>&lt;a href="canciones/hakuna/el_abrazo.html"&gt;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1976</v>
      </c>
      <c r="C620" s="1"/>
      <c r="H620" s="1" t="s">
        <v>1026</v>
      </c>
      <c r="I620" s="1" t="s">
        <v>2951</v>
      </c>
      <c r="J620" s="1" t="s">
        <v>607</v>
      </c>
      <c r="M620" s="15" t="s">
        <v>260</v>
      </c>
      <c r="N620" s="1" t="s">
        <v>1953</v>
      </c>
      <c r="O620" s="15">
        <v>5</v>
      </c>
      <c r="P620" s="15">
        <v>2021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20" s="1"/>
      <c r="U620" s="1"/>
      <c r="V620" s="32" t="s">
        <v>4320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20" s="15" t="str">
        <f>_xlfn.TEXTBEFORE(_xlfn.TEXTAFTER(CantoralDB[[#This Row],[index.html]],"&gt;"),"&gt;")&amp;"&gt;"</f>
        <v>&lt;a href="canciones/hakuna/en_lo_hondo.html"&gt;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1941</v>
      </c>
      <c r="C621" s="1"/>
      <c r="H621" s="1" t="s">
        <v>530</v>
      </c>
      <c r="I621" s="1" t="s">
        <v>2951</v>
      </c>
      <c r="J621" s="1" t="s">
        <v>607</v>
      </c>
      <c r="M621" s="15" t="s">
        <v>260</v>
      </c>
      <c r="N621" s="1" t="s">
        <v>1953</v>
      </c>
      <c r="O621" s="15">
        <v>6</v>
      </c>
      <c r="P621" s="15">
        <v>2021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21" s="1"/>
      <c r="U621" s="1"/>
      <c r="V621" s="32" t="s">
        <v>4321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21" s="15" t="str">
        <f>_xlfn.TEXTBEFORE(_xlfn.TEXTAFTER(CantoralDB[[#This Row],[index.html]],"&gt;"),"&gt;")&amp;"&gt;"</f>
        <v>&lt;a href="canciones/hakuna/colombia.html"&gt;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1956</v>
      </c>
      <c r="C622" s="1"/>
      <c r="H622" s="1" t="s">
        <v>530</v>
      </c>
      <c r="I622" s="1" t="s">
        <v>2952</v>
      </c>
      <c r="J622" s="1" t="s">
        <v>607</v>
      </c>
      <c r="M622" s="15" t="s">
        <v>260</v>
      </c>
      <c r="N622" s="1" t="s">
        <v>1953</v>
      </c>
      <c r="O622" s="15">
        <v>7</v>
      </c>
      <c r="P622" s="15">
        <v>2021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22" s="1"/>
      <c r="U622" s="1"/>
      <c r="V622" s="32" t="s">
        <v>4322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22" s="15" t="str">
        <f>_xlfn.TEXTBEFORE(_xlfn.TEXTAFTER(CantoralDB[[#This Row],[index.html]],"&gt;"),"&gt;")&amp;"&gt;"</f>
        <v>&lt;a href="canciones/hakuna/vertigo.html"&gt;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1942</v>
      </c>
      <c r="C623" s="1"/>
      <c r="H623" s="1" t="s">
        <v>1029</v>
      </c>
      <c r="I623" s="1" t="s">
        <v>2956</v>
      </c>
      <c r="J623" s="1" t="s">
        <v>607</v>
      </c>
      <c r="M623" s="15" t="s">
        <v>260</v>
      </c>
      <c r="N623" s="1" t="s">
        <v>1953</v>
      </c>
      <c r="O623" s="15">
        <v>8</v>
      </c>
      <c r="P623" s="15">
        <v>2021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23" s="1"/>
      <c r="U623" s="1"/>
      <c r="V623" s="32" t="s">
        <v>4323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23" s="15" t="str">
        <f>_xlfn.TEXTBEFORE(_xlfn.TEXTAFTER(CantoralDB[[#This Row],[index.html]],"&gt;"),"&gt;")&amp;"&gt;"</f>
        <v>&lt;a href="canciones/hakuna/concienciame.html"&gt;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1939</v>
      </c>
      <c r="C624" s="1"/>
      <c r="H624" s="1" t="s">
        <v>1029</v>
      </c>
      <c r="I624" s="1" t="s">
        <v>2956</v>
      </c>
      <c r="J624" s="1" t="s">
        <v>607</v>
      </c>
      <c r="M624" s="15" t="s">
        <v>260</v>
      </c>
      <c r="N624" s="1" t="s">
        <v>1953</v>
      </c>
      <c r="O624" s="15">
        <v>9</v>
      </c>
      <c r="P624" s="15">
        <v>2021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24" s="1"/>
      <c r="U624" s="1"/>
      <c r="V624" s="32" t="s">
        <v>4324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24" s="15" t="str">
        <f>_xlfn.TEXTBEFORE(_xlfn.TEXTAFTER(CantoralDB[[#This Row],[index.html]],"&gt;"),"&gt;")&amp;"&gt;"</f>
        <v>&lt;a href="canciones/hakuna/bendito.html"&gt;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1977</v>
      </c>
      <c r="C625" s="1"/>
      <c r="H625" s="1" t="s">
        <v>1029</v>
      </c>
      <c r="I625" s="1" t="s">
        <v>2951</v>
      </c>
      <c r="J625" s="1" t="s">
        <v>607</v>
      </c>
      <c r="M625" s="15" t="s">
        <v>260</v>
      </c>
      <c r="N625" s="1" t="s">
        <v>1953</v>
      </c>
      <c r="O625" s="15">
        <v>10</v>
      </c>
      <c r="P625" s="15">
        <v>2021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25" s="1"/>
      <c r="U625" s="1"/>
      <c r="V625" s="32" t="s">
        <v>4325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25" s="15" t="str">
        <f>_xlfn.TEXTBEFORE(_xlfn.TEXTAFTER(CantoralDB[[#This Row],[index.html]],"&gt;"),"&gt;")&amp;"&gt;"</f>
        <v>&lt;a href="canciones/hakuna/arde_(san_jose).html"&gt;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1978</v>
      </c>
      <c r="C626" s="1"/>
      <c r="H626" s="1" t="s">
        <v>530</v>
      </c>
      <c r="I626" s="1" t="s">
        <v>2951</v>
      </c>
      <c r="J626" s="1" t="s">
        <v>607</v>
      </c>
      <c r="M626" s="15" t="s">
        <v>260</v>
      </c>
      <c r="N626" s="1" t="s">
        <v>1953</v>
      </c>
      <c r="O626" s="15">
        <v>11</v>
      </c>
      <c r="P626" s="15">
        <v>2021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26" s="1"/>
      <c r="U626" s="1"/>
      <c r="V626" s="32" t="s">
        <v>4326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26" s="15" t="str">
        <f>_xlfn.TEXTBEFORE(_xlfn.TEXTAFTER(CantoralDB[[#This Row],[index.html]],"&gt;"),"&gt;")&amp;"&gt;"</f>
        <v>&lt;a href="canciones/hakuna/todos_por_todos.html"&gt;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1945</v>
      </c>
      <c r="C627" s="1"/>
      <c r="H627" s="1" t="s">
        <v>1029</v>
      </c>
      <c r="I627" s="1" t="s">
        <v>2956</v>
      </c>
      <c r="J627" s="1" t="s">
        <v>607</v>
      </c>
      <c r="M627" s="15" t="s">
        <v>260</v>
      </c>
      <c r="N627" s="1" t="s">
        <v>1953</v>
      </c>
      <c r="O627" s="15">
        <v>12</v>
      </c>
      <c r="P627" s="15">
        <v>2021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27" s="1"/>
      <c r="U627" s="1"/>
      <c r="V627" s="32" t="s">
        <v>4327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27" s="15" t="str">
        <f>_xlfn.TEXTBEFORE(_xlfn.TEXTAFTER(CantoralDB[[#This Row],[index.html]],"&gt;"),"&gt;")&amp;"&gt;"</f>
        <v>&lt;a href="canciones/hakuna/forofos.html"&gt;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1975</v>
      </c>
      <c r="C628" s="1"/>
      <c r="J628" s="1"/>
      <c r="M628" s="15" t="s">
        <v>260</v>
      </c>
      <c r="N628" s="1" t="s">
        <v>1953</v>
      </c>
      <c r="O628" s="15">
        <v>13</v>
      </c>
      <c r="P628" s="15">
        <v>2021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28" s="1"/>
      <c r="U628" s="1"/>
      <c r="V628" s="32" t="s">
        <v>4328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28" s="15" t="str">
        <f>_xlfn.TEXTBEFORE(_xlfn.TEXTAFTER(CantoralDB[[#This Row],[index.html]],"&gt;"),"&gt;")&amp;"&gt;"</f>
        <v>&lt;a href="canciones/hakuna/madre_de_hakuna.html"&gt;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2003</v>
      </c>
      <c r="C629" s="1"/>
      <c r="H629" s="1" t="s">
        <v>530</v>
      </c>
      <c r="I629" s="1" t="s">
        <v>2951</v>
      </c>
      <c r="J629" s="1" t="s">
        <v>607</v>
      </c>
      <c r="M629" s="15" t="s">
        <v>260</v>
      </c>
      <c r="N629" s="1" t="s">
        <v>2858</v>
      </c>
      <c r="O629" s="15">
        <v>1</v>
      </c>
      <c r="P629" s="15">
        <v>2026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29" s="1"/>
      <c r="U629" s="1"/>
      <c r="V629" s="32" t="s">
        <v>4329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29" s="15" t="str">
        <f>_xlfn.TEXTBEFORE(_xlfn.TEXTAFTER(CantoralDB[[#This Row],[index.html]],"&gt;"),"&gt;")&amp;"&gt;"</f>
        <v>&lt;a href="canciones/hakuna/a_ti_te_alabo.html"&gt;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2860</v>
      </c>
      <c r="C630" s="1"/>
      <c r="H630" s="1" t="s">
        <v>530</v>
      </c>
      <c r="J630" s="1" t="s">
        <v>607</v>
      </c>
      <c r="M630" s="15" t="s">
        <v>260</v>
      </c>
      <c r="N630" s="1" t="s">
        <v>2858</v>
      </c>
      <c r="O630" s="15">
        <v>2</v>
      </c>
      <c r="P630" s="15">
        <v>2026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30" s="1"/>
      <c r="U630" s="1"/>
      <c r="V630" s="32" t="s">
        <v>4330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30" s="15" t="str">
        <f>_xlfn.TEXTBEFORE(_xlfn.TEXTAFTER(CantoralDB[[#This Row],[index.html]],"&gt;"),"&gt;")&amp;"&gt;"</f>
        <v>&lt;a href="canciones/hakuna/los_coros_del_universo.html"&gt;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2004</v>
      </c>
      <c r="C631" s="1"/>
      <c r="H631" s="1" t="s">
        <v>1029</v>
      </c>
      <c r="I631" s="1" t="s">
        <v>2953</v>
      </c>
      <c r="J631" s="1" t="s">
        <v>607</v>
      </c>
      <c r="M631" s="15" t="s">
        <v>260</v>
      </c>
      <c r="N631" s="1" t="s">
        <v>2858</v>
      </c>
      <c r="O631" s="15">
        <v>3</v>
      </c>
      <c r="P631" s="15">
        <v>2026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31" s="1"/>
      <c r="U631" s="1"/>
      <c r="V631" s="32" t="s">
        <v>4331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31" s="15" t="str">
        <f>_xlfn.TEXTBEFORE(_xlfn.TEXTAFTER(CantoralDB[[#This Row],[index.html]],"&gt;"),"&gt;")&amp;"&gt;"</f>
        <v>&lt;a href="canciones/hakuna/en_medio_del_fuego.html"&gt;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193</v>
      </c>
      <c r="C632" s="1"/>
      <c r="H632" s="1" t="s">
        <v>1029</v>
      </c>
      <c r="J632" s="1" t="s">
        <v>607</v>
      </c>
      <c r="M632" s="15" t="s">
        <v>260</v>
      </c>
      <c r="N632" s="1" t="s">
        <v>2858</v>
      </c>
      <c r="O632" s="15">
        <v>4</v>
      </c>
      <c r="P632" s="15">
        <v>2026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32" s="1"/>
      <c r="U632" s="1"/>
      <c r="V632" s="32" t="s">
        <v>4332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32" s="15" t="str">
        <f>_xlfn.TEXTBEFORE(_xlfn.TEXTAFTER(CantoralDB[[#This Row],[index.html]],"&gt;"),"&gt;")&amp;"&gt;"</f>
        <v>&lt;a href="canciones/hakuna/aleluya.html"&gt;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1756</v>
      </c>
      <c r="C633" s="1"/>
      <c r="H633" s="1" t="s">
        <v>1029</v>
      </c>
      <c r="J633" s="1" t="s">
        <v>607</v>
      </c>
      <c r="M633" s="15" t="s">
        <v>260</v>
      </c>
      <c r="N633" s="1" t="s">
        <v>2858</v>
      </c>
      <c r="O633" s="15">
        <v>5</v>
      </c>
      <c r="P633" s="15">
        <v>2026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33" s="1"/>
      <c r="U633" s="1"/>
      <c r="V633" s="32" t="s">
        <v>4333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X633" s="15" t="str">
        <f>_xlfn.TEXTBEFORE(_xlfn.TEXTAFTER(CantoralDB[[#This Row],[index.html]],"&gt;"),"&gt;")&amp;"&gt;"</f>
        <v>&lt;a href="canciones/hakuna/ruah.html"&gt;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1716</v>
      </c>
      <c r="C634" s="1"/>
      <c r="H634" s="1" t="s">
        <v>1026</v>
      </c>
      <c r="J634" s="1" t="s">
        <v>607</v>
      </c>
      <c r="M634" s="15" t="s">
        <v>260</v>
      </c>
      <c r="N634" s="1" t="s">
        <v>2858</v>
      </c>
      <c r="O634" s="15">
        <v>6</v>
      </c>
      <c r="P634" s="15">
        <v>2026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34" s="1"/>
      <c r="U634" s="1"/>
      <c r="V634" s="32" t="s">
        <v>4334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34" s="15" t="str">
        <f>_xlfn.TEXTBEFORE(_xlfn.TEXTAFTER(CantoralDB[[#This Row],[index.html]],"&gt;"),"&gt;")&amp;"&gt;"</f>
        <v>&lt;a href="canciones/hakuna/padre.html"&gt;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2861</v>
      </c>
      <c r="C635" s="1"/>
      <c r="H635" s="1" t="s">
        <v>1029</v>
      </c>
      <c r="I635" s="1" t="s">
        <v>2952</v>
      </c>
      <c r="J635" s="1" t="s">
        <v>607</v>
      </c>
      <c r="M635" s="15" t="s">
        <v>260</v>
      </c>
      <c r="N635" s="1" t="s">
        <v>2858</v>
      </c>
      <c r="O635" s="15">
        <v>7</v>
      </c>
      <c r="P635" s="15">
        <v>2026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35" s="1"/>
      <c r="U635" s="1"/>
      <c r="V635" s="32" t="s">
        <v>4335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35" s="15" t="str">
        <f>_xlfn.TEXTBEFORE(_xlfn.TEXTAFTER(CantoralDB[[#This Row],[index.html]],"&gt;"),"&gt;")&amp;"&gt;"</f>
        <v>&lt;a href="canciones/hakuna/te_alabare.html"&gt;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2862</v>
      </c>
      <c r="C636" s="1"/>
      <c r="H636" s="1" t="s">
        <v>1026</v>
      </c>
      <c r="J636" s="1" t="s">
        <v>607</v>
      </c>
      <c r="M636" s="15" t="s">
        <v>260</v>
      </c>
      <c r="N636" s="1" t="s">
        <v>2858</v>
      </c>
      <c r="O636" s="15">
        <v>8</v>
      </c>
      <c r="P636" s="15">
        <v>2026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636" s="1"/>
      <c r="U636" s="1"/>
      <c r="V636" s="32" t="s">
        <v>4336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636" s="15" t="str">
        <f>_xlfn.TEXTBEFORE(_xlfn.TEXTAFTER(CantoralDB[[#This Row],[index.html]],"&gt;"),"&gt;")&amp;"&gt;"</f>
        <v>&lt;a href="canciones/hakuna/sanas.html"&gt;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1800</v>
      </c>
      <c r="C637" s="1"/>
      <c r="H637" s="1" t="s">
        <v>1029</v>
      </c>
      <c r="J637" s="1" t="s">
        <v>607</v>
      </c>
      <c r="M637" s="15" t="s">
        <v>260</v>
      </c>
      <c r="N637" s="1" t="s">
        <v>2858</v>
      </c>
      <c r="O637" s="15">
        <v>9</v>
      </c>
      <c r="P637" s="15">
        <v>2026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637" s="1"/>
      <c r="U637" s="1"/>
      <c r="V637" s="32" t="s">
        <v>4337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637" s="15" t="str">
        <f>_xlfn.TEXTBEFORE(_xlfn.TEXTAFTER(CantoralDB[[#This Row],[index.html]],"&gt;"),"&gt;")&amp;"&gt;"</f>
        <v>&lt;a href="canciones/hakuna/solo_tu.html"&gt;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2019</v>
      </c>
      <c r="C638" s="1"/>
      <c r="H638" s="1" t="s">
        <v>1029</v>
      </c>
      <c r="I638" s="1" t="s">
        <v>2951</v>
      </c>
      <c r="J638" s="1" t="s">
        <v>607</v>
      </c>
      <c r="M638" s="15" t="s">
        <v>260</v>
      </c>
      <c r="N638" s="1" t="s">
        <v>2858</v>
      </c>
      <c r="O638" s="15">
        <v>10</v>
      </c>
      <c r="P638" s="15">
        <v>2026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638" s="1"/>
      <c r="U638" s="1"/>
      <c r="V638" s="32" t="s">
        <v>4338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638" s="15" t="str">
        <f>_xlfn.TEXTBEFORE(_xlfn.TEXTAFTER(CantoralDB[[#This Row],[index.html]],"&gt;"),"&gt;")&amp;"&gt;"</f>
        <v>&lt;a href="canciones/hakuna/el_unico_rey.html"&gt;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1979</v>
      </c>
      <c r="C639" s="1"/>
      <c r="H639" s="1" t="s">
        <v>1026</v>
      </c>
      <c r="I639" s="1" t="s">
        <v>2949</v>
      </c>
      <c r="J639" s="1" t="s">
        <v>607</v>
      </c>
      <c r="M639" s="15" t="s">
        <v>260</v>
      </c>
      <c r="N639" s="1" t="s">
        <v>2132</v>
      </c>
      <c r="O639" s="15">
        <v>1</v>
      </c>
      <c r="P639" s="15">
        <v>2021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639" s="1"/>
      <c r="U639" s="1"/>
      <c r="V639" s="32" t="s">
        <v>4339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639" s="15" t="str">
        <f>_xlfn.TEXTBEFORE(_xlfn.TEXTAFTER(CantoralDB[[#This Row],[index.html]],"&gt;"),"&gt;")&amp;"&gt;"</f>
        <v>&lt;a href="canciones/hakuna/hoy_en_belen.html"&gt;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1984</v>
      </c>
      <c r="C640" s="1"/>
      <c r="H640" s="1" t="s">
        <v>1029</v>
      </c>
      <c r="I640" s="1" t="s">
        <v>2951</v>
      </c>
      <c r="J640" s="1" t="s">
        <v>607</v>
      </c>
      <c r="M640" s="15" t="s">
        <v>260</v>
      </c>
      <c r="N640" s="1" t="s">
        <v>2132</v>
      </c>
      <c r="O640" s="15">
        <v>2</v>
      </c>
      <c r="P640" s="15">
        <v>2022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640" s="1"/>
      <c r="U640" s="1"/>
      <c r="V640" s="32" t="s">
        <v>4340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640" s="15" t="str">
        <f>_xlfn.TEXTBEFORE(_xlfn.TEXTAFTER(CantoralDB[[#This Row],[index.html]],"&gt;"),"&gt;")&amp;"&gt;"</f>
        <v>&lt;a href="canciones/hakuna/lo_imposible.html"&gt;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1989</v>
      </c>
      <c r="C641" s="1"/>
      <c r="H641" s="1" t="s">
        <v>530</v>
      </c>
      <c r="I641" s="1" t="s">
        <v>2951</v>
      </c>
      <c r="J641" s="1" t="s">
        <v>607</v>
      </c>
      <c r="M641" s="15" t="s">
        <v>260</v>
      </c>
      <c r="N641" s="1" t="s">
        <v>2132</v>
      </c>
      <c r="O641" s="15">
        <v>3</v>
      </c>
      <c r="P641" s="15">
        <v>2023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641" s="1"/>
      <c r="U641" s="1"/>
      <c r="V641" s="32" t="s">
        <v>4341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641" s="15" t="str">
        <f>_xlfn.TEXTBEFORE(_xlfn.TEXTAFTER(CantoralDB[[#This Row],[index.html]],"&gt;"),"&gt;")&amp;"&gt;"</f>
        <v>&lt;a href="canciones/hakuna/del_cielo.html"&gt;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2000</v>
      </c>
      <c r="C642" s="1"/>
      <c r="H642" s="1" t="s">
        <v>530</v>
      </c>
      <c r="I642" s="1" t="s">
        <v>2951</v>
      </c>
      <c r="J642" s="1" t="s">
        <v>607</v>
      </c>
      <c r="M642" s="15" t="s">
        <v>260</v>
      </c>
      <c r="N642" s="1" t="s">
        <v>2132</v>
      </c>
      <c r="O642" s="15">
        <v>4</v>
      </c>
      <c r="P642" s="15">
        <v>2024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642" s="1"/>
      <c r="U642" s="1"/>
      <c r="V642" s="32" t="s">
        <v>4342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642" s="15" t="str">
        <f>_xlfn.TEXTBEFORE(_xlfn.TEXTAFTER(CantoralDB[[#This Row],[index.html]],"&gt;"),"&gt;")&amp;"&gt;"</f>
        <v>&lt;a href="canciones/hakuna/juntos.html"&gt;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53</v>
      </c>
      <c r="C643" s="1"/>
      <c r="H643" s="1" t="s">
        <v>1026</v>
      </c>
      <c r="J643" s="1" t="s">
        <v>607</v>
      </c>
      <c r="M643" s="15" t="s">
        <v>2222</v>
      </c>
      <c r="N643" s="1" t="s">
        <v>53</v>
      </c>
      <c r="O643" s="15">
        <v>1</v>
      </c>
      <c r="P643" s="15"/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643" s="1" t="s">
        <v>2299</v>
      </c>
      <c r="U643" s="1"/>
      <c r="V643" s="15"/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643" s="15" t="str">
        <f>_xlfn.TEXTBEFORE(_xlfn.TEXTAFTER(CantoralDB[[#This Row],[index.html]],"&gt;"),"&gt;")&amp;"&gt;"</f>
        <v>&lt;a href="canciones/hermana_glenda/el_señor_es_mi_pastor.html"&gt;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2268</v>
      </c>
      <c r="C644" s="1"/>
      <c r="H644" s="1" t="s">
        <v>530</v>
      </c>
      <c r="J644" s="1" t="s">
        <v>607</v>
      </c>
      <c r="M644" s="15" t="s">
        <v>2222</v>
      </c>
      <c r="N644" s="1" t="s">
        <v>2252</v>
      </c>
      <c r="O644" s="15">
        <v>1</v>
      </c>
      <c r="P644" s="15"/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644" s="1" t="s">
        <v>2354</v>
      </c>
      <c r="U644" s="1"/>
      <c r="V644" s="15"/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644" s="15" t="str">
        <f>_xlfn.TEXTBEFORE(_xlfn.TEXTAFTER(CantoralDB[[#This Row],[index.html]],"&gt;"),"&gt;")&amp;"&gt;"</f>
        <v>&lt;a href="canciones/hermana_glenda/ahi_tienes_a_tu_madre.html"&gt;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1213</v>
      </c>
      <c r="C645" s="1"/>
      <c r="F645" s="1">
        <v>249</v>
      </c>
      <c r="J645" s="1"/>
      <c r="M645" s="15" t="s">
        <v>2222</v>
      </c>
      <c r="O645" s="15"/>
      <c r="P645" s="15"/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645" s="1" t="s">
        <v>2300</v>
      </c>
      <c r="U645" s="1"/>
      <c r="V645" s="15"/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X645" s="15" t="str">
        <f>_xlfn.TEXTBEFORE(_xlfn.TEXTAFTER(CantoralDB[[#This Row],[index.html]],"&gt;"),"&gt;")&amp;"&gt;"</f>
        <v>&lt;a href="canciones/hermana_glenda/el_auxilio_me_viene_del_señor.html"&gt;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2279</v>
      </c>
      <c r="C646" s="1"/>
      <c r="F646" s="1">
        <v>226</v>
      </c>
      <c r="J646" s="1"/>
      <c r="M646" s="15" t="s">
        <v>2222</v>
      </c>
      <c r="O646" s="15"/>
      <c r="P646" s="15"/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646" s="1"/>
      <c r="U646" s="1"/>
      <c r="V646" s="15"/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X646" s="15" t="str">
        <f>_xlfn.TEXTBEFORE(_xlfn.TEXTAFTER(CantoralDB[[#This Row],[index.html]],"&gt;"),"&gt;")&amp;"&gt;"</f>
        <v>&lt;a href="canciones/hermana_glenda/las_aguas_no_podran_apagar_el_amor.html"&gt;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2236</v>
      </c>
      <c r="C647" s="1"/>
      <c r="F647" s="1">
        <v>220</v>
      </c>
      <c r="J647" s="1"/>
      <c r="M647" s="15" t="s">
        <v>2222</v>
      </c>
      <c r="O647" s="15"/>
      <c r="P647" s="15"/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647" s="1"/>
      <c r="U647" s="1"/>
      <c r="V647" s="15"/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X647" s="15" t="str">
        <f>_xlfn.TEXTBEFORE(_xlfn.TEXTAFTER(CantoralDB[[#This Row],[index.html]],"&gt;"),"&gt;")&amp;"&gt;"</f>
        <v>&lt;a href="canciones/hermana_glenda/nada_es_imposible.html"&gt;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2288</v>
      </c>
      <c r="C648" s="1"/>
      <c r="F648" s="1">
        <v>214</v>
      </c>
      <c r="J648" s="1"/>
      <c r="M648" s="15" t="s">
        <v>2222</v>
      </c>
      <c r="O648" s="15"/>
      <c r="P648" s="15"/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648" s="1"/>
      <c r="U648" s="1"/>
      <c r="V648" s="15"/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X648" s="15" t="str">
        <f>_xlfn.TEXTBEFORE(_xlfn.TEXTAFTER(CantoralDB[[#This Row],[index.html]],"&gt;"),"&gt;")&amp;"&gt;"</f>
        <v>&lt;a href="canciones/hermana_glenda/no_juzgues.html"&gt;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2231</v>
      </c>
      <c r="C649" s="1"/>
      <c r="F649" s="1">
        <v>280</v>
      </c>
      <c r="J649" s="1"/>
      <c r="M649" s="15" t="s">
        <v>2222</v>
      </c>
      <c r="O649" s="15"/>
      <c r="P649" s="15"/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649" s="1"/>
      <c r="U649" s="1"/>
      <c r="V649" s="32" t="s">
        <v>4572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X649" s="15" t="str">
        <f>_xlfn.TEXTBEFORE(_xlfn.TEXTAFTER(CantoralDB[[#This Row],[index.html]],"&gt;"),"&gt;")&amp;"&gt;"</f>
        <v>&lt;a href="canciones/hermana_glenda/no_soy_digno.html"&gt;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2581</v>
      </c>
      <c r="C650" s="1"/>
      <c r="F650" s="1">
        <v>192</v>
      </c>
      <c r="J650" s="1"/>
      <c r="M650" s="15" t="s">
        <v>2222</v>
      </c>
      <c r="O650" s="15"/>
      <c r="P650" s="15"/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650" s="1"/>
      <c r="U650" s="1"/>
      <c r="V650" s="15"/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X650" s="15" t="str">
        <f>_xlfn.TEXTBEFORE(_xlfn.TEXTAFTER(CantoralDB[[#This Row],[index.html]],"&gt;"),"&gt;")&amp;"&gt;"</f>
        <v>&lt;a href="canciones/hermana_glenda/para_ti_toda_mi_musica_señor.html"&gt;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2289</v>
      </c>
      <c r="C651" s="1"/>
      <c r="F651" s="1">
        <v>202</v>
      </c>
      <c r="J651" s="1"/>
      <c r="M651" s="15" t="s">
        <v>2222</v>
      </c>
      <c r="O651" s="15"/>
      <c r="P651" s="15"/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651" s="1"/>
      <c r="U651" s="1"/>
      <c r="V651" s="15"/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X651" s="15" t="str">
        <f>_xlfn.TEXTBEFORE(_xlfn.TEXTAFTER(CantoralDB[[#This Row],[index.html]],"&gt;"),"&gt;")&amp;"&gt;"</f>
        <v>&lt;a href="canciones/hermana_glenda/quien_ha_encontrado_un_amigo.html"&gt;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2285</v>
      </c>
      <c r="C652" s="1"/>
      <c r="F652" s="1">
        <v>218</v>
      </c>
      <c r="J652" s="1"/>
      <c r="M652" s="15" t="s">
        <v>2222</v>
      </c>
      <c r="O652" s="15"/>
      <c r="P652" s="15"/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652" s="1"/>
      <c r="U652" s="1"/>
      <c r="V652" s="32" t="s">
        <v>4590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X652" s="15" t="str">
        <f>_xlfn.TEXTBEFORE(_xlfn.TEXTAFTER(CantoralDB[[#This Row],[index.html]],"&gt;"),"&gt;")&amp;"&gt;"</f>
        <v>&lt;a href="canciones/hermana_glenda/quien_pierde_su_vida_la_encuentra.html"&gt;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1537</v>
      </c>
      <c r="C653" s="1"/>
      <c r="F653" s="1">
        <v>237</v>
      </c>
      <c r="J653" s="1"/>
      <c r="M653" s="15" t="s">
        <v>2222</v>
      </c>
      <c r="O653" s="15"/>
      <c r="P653" s="15"/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653" s="1"/>
      <c r="U653" s="1"/>
      <c r="V653" s="15"/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X653" s="15" t="str">
        <f>_xlfn.TEXTBEFORE(_xlfn.TEXTAFTER(CantoralDB[[#This Row],[index.html]],"&gt;"),"&gt;")&amp;"&gt;"</f>
        <v>&lt;a href="canciones/hermana_glenda/ven_señor_jesus.html"&gt;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2292</v>
      </c>
      <c r="C654" s="1"/>
      <c r="F654" s="1">
        <v>198</v>
      </c>
      <c r="J654" s="1"/>
      <c r="M654" s="15" t="s">
        <v>2222</v>
      </c>
      <c r="O654" s="15"/>
      <c r="P654" s="15"/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654" s="1"/>
      <c r="U654" s="1"/>
      <c r="V654" s="32" t="s">
        <v>4584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X654" s="15" t="str">
        <f>_xlfn.TEXTBEFORE(_xlfn.TEXTAFTER(CantoralDB[[#This Row],[index.html]],"&gt;"),"&gt;")&amp;"&gt;"</f>
        <v>&lt;a href="canciones/hermana_glenda/yo_creo_en_tu_resurreccion.html"&gt;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3252</v>
      </c>
      <c r="C655" s="1"/>
      <c r="H655" s="1" t="s">
        <v>530</v>
      </c>
      <c r="J655" s="1" t="s">
        <v>607</v>
      </c>
      <c r="M655" s="15" t="s">
        <v>520</v>
      </c>
      <c r="N655" s="1" t="s">
        <v>3251</v>
      </c>
      <c r="O655" s="15">
        <v>3</v>
      </c>
      <c r="P655" s="15">
        <v>2010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655" s="1"/>
      <c r="U655" s="1"/>
      <c r="V655" s="32" t="s">
        <v>3340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655" s="15" t="str">
        <f>_xlfn.TEXTBEFORE(_xlfn.TEXTAFTER(CantoralDB[[#This Row],[index.html]],"&gt;"),"&gt;")&amp;"&gt;"</f>
        <v>&lt;a href="canciones/ixcis/entra_en_mi_noche.html"&gt;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3253</v>
      </c>
      <c r="C656" s="1"/>
      <c r="H656" s="1" t="s">
        <v>472</v>
      </c>
      <c r="J656" s="1" t="s">
        <v>607</v>
      </c>
      <c r="M656" s="15" t="s">
        <v>520</v>
      </c>
      <c r="N656" s="1" t="s">
        <v>3251</v>
      </c>
      <c r="O656" s="15">
        <v>4</v>
      </c>
      <c r="P656" s="15">
        <v>2010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656" s="1"/>
      <c r="U656" s="1"/>
      <c r="V656" s="32" t="s">
        <v>3341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656" s="15" t="str">
        <f>_xlfn.TEXTBEFORE(_xlfn.TEXTAFTER(CantoralDB[[#This Row],[index.html]],"&gt;"),"&gt;")&amp;"&gt;"</f>
        <v>&lt;a href="canciones/ixcis/como_la_lluvia.html"&gt;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3254</v>
      </c>
      <c r="C657" s="1"/>
      <c r="H657" s="1" t="s">
        <v>1026</v>
      </c>
      <c r="J657" s="1" t="s">
        <v>607</v>
      </c>
      <c r="M657" s="15" t="s">
        <v>520</v>
      </c>
      <c r="N657" s="1" t="s">
        <v>3251</v>
      </c>
      <c r="O657" s="15">
        <v>5</v>
      </c>
      <c r="P657" s="15">
        <v>2010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657" s="1"/>
      <c r="U657" s="1"/>
      <c r="V657" s="32" t="s">
        <v>3342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657" s="15" t="str">
        <f>_xlfn.TEXTBEFORE(_xlfn.TEXTAFTER(CantoralDB[[#This Row],[index.html]],"&gt;"),"&gt;")&amp;"&gt;"</f>
        <v>&lt;a href="canciones/ixcis/vuelvo.html"&gt;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3259</v>
      </c>
      <c r="C658" s="1"/>
      <c r="H658" s="1" t="s">
        <v>530</v>
      </c>
      <c r="J658" s="1" t="s">
        <v>607</v>
      </c>
      <c r="M658" s="15" t="s">
        <v>520</v>
      </c>
      <c r="N658" s="1" t="s">
        <v>3251</v>
      </c>
      <c r="O658" s="15">
        <v>6</v>
      </c>
      <c r="P658" s="15">
        <v>2010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658" s="1"/>
      <c r="U658" s="1"/>
      <c r="V658" s="32" t="s">
        <v>3343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658" s="15" t="str">
        <f>_xlfn.TEXTBEFORE(_xlfn.TEXTAFTER(CantoralDB[[#This Row],[index.html]],"&gt;"),"&gt;")&amp;"&gt;"</f>
        <v>&lt;a href="canciones/ixcis/vengo_a_orar.html"&gt;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3260</v>
      </c>
      <c r="C659" s="1"/>
      <c r="H659" s="1" t="s">
        <v>472</v>
      </c>
      <c r="J659" s="1" t="s">
        <v>607</v>
      </c>
      <c r="M659" s="15" t="s">
        <v>520</v>
      </c>
      <c r="N659" s="1" t="s">
        <v>3251</v>
      </c>
      <c r="O659" s="15">
        <v>7</v>
      </c>
      <c r="P659" s="15">
        <v>2010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659" s="1"/>
      <c r="U659" s="1"/>
      <c r="V659" s="32" t="s">
        <v>3344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659" s="15" t="str">
        <f>_xlfn.TEXTBEFORE(_xlfn.TEXTAFTER(CantoralDB[[#This Row],[index.html]],"&gt;"),"&gt;")&amp;"&gt;"</f>
        <v>&lt;a href="canciones/ixcis/despiertame.html"&gt;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3261</v>
      </c>
      <c r="C660" s="1"/>
      <c r="H660" s="1" t="s">
        <v>1028</v>
      </c>
      <c r="J660" s="1" t="s">
        <v>607</v>
      </c>
      <c r="M660" s="15" t="s">
        <v>520</v>
      </c>
      <c r="N660" s="1" t="s">
        <v>3251</v>
      </c>
      <c r="O660" s="15">
        <v>8</v>
      </c>
      <c r="P660" s="15">
        <v>2010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660" s="1"/>
      <c r="U660" s="1"/>
      <c r="V660" s="32" t="s">
        <v>3346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660" s="15" t="str">
        <f>_xlfn.TEXTBEFORE(_xlfn.TEXTAFTER(CantoralDB[[#This Row],[index.html]],"&gt;"),"&gt;")&amp;"&gt;"</f>
        <v>&lt;a href="canciones/ixcis/deja_tus_redes.html"&gt;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3262</v>
      </c>
      <c r="C661" s="1"/>
      <c r="H661" s="1" t="s">
        <v>1028</v>
      </c>
      <c r="J661" s="1" t="s">
        <v>607</v>
      </c>
      <c r="M661" s="15" t="s">
        <v>520</v>
      </c>
      <c r="N661" s="1" t="s">
        <v>3251</v>
      </c>
      <c r="O661" s="15">
        <v>9</v>
      </c>
      <c r="P661" s="15">
        <v>2010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661" s="1"/>
      <c r="U661" s="1"/>
      <c r="V661" s="32" t="s">
        <v>3345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661" s="15" t="str">
        <f>_xlfn.TEXTBEFORE(_xlfn.TEXTAFTER(CantoralDB[[#This Row],[index.html]],"&gt;"),"&gt;")&amp;"&gt;"</f>
        <v>&lt;a href="canciones/ixcis/ven_serename.html"&gt;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3266</v>
      </c>
      <c r="C662" s="1"/>
      <c r="H662" s="1" t="s">
        <v>1028</v>
      </c>
      <c r="J662" s="1" t="s">
        <v>607</v>
      </c>
      <c r="M662" s="15" t="s">
        <v>520</v>
      </c>
      <c r="N662" s="1" t="s">
        <v>3251</v>
      </c>
      <c r="O662" s="15">
        <v>10</v>
      </c>
      <c r="P662" s="15">
        <v>2010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662" s="1"/>
      <c r="U662" s="1"/>
      <c r="V662" s="32" t="s">
        <v>3347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662" s="15" t="str">
        <f>_xlfn.TEXTBEFORE(_xlfn.TEXTAFTER(CantoralDB[[#This Row],[index.html]],"&gt;"),"&gt;")&amp;"&gt;"</f>
        <v>&lt;a href="canciones/ixcis/quiero_verte.html"&gt;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3267</v>
      </c>
      <c r="C663" s="1"/>
      <c r="H663" s="1" t="s">
        <v>530</v>
      </c>
      <c r="J663" s="1" t="s">
        <v>607</v>
      </c>
      <c r="M663" s="15" t="s">
        <v>520</v>
      </c>
      <c r="N663" s="1" t="s">
        <v>3251</v>
      </c>
      <c r="O663" s="15">
        <v>11</v>
      </c>
      <c r="P663" s="15">
        <v>2010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663" s="1"/>
      <c r="U663" s="1"/>
      <c r="V663" s="32" t="s">
        <v>3348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663" s="15" t="str">
        <f>_xlfn.TEXTBEFORE(_xlfn.TEXTAFTER(CantoralDB[[#This Row],[index.html]],"&gt;"),"&gt;")&amp;"&gt;"</f>
        <v>&lt;a href="canciones/ixcis/ellos_son_tu_rostro.html"&gt;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3268</v>
      </c>
      <c r="C664" s="1"/>
      <c r="H664" s="1" t="s">
        <v>1026</v>
      </c>
      <c r="J664" s="1" t="s">
        <v>607</v>
      </c>
      <c r="M664" s="15" t="s">
        <v>520</v>
      </c>
      <c r="N664" s="1" t="s">
        <v>3251</v>
      </c>
      <c r="O664" s="15">
        <v>13</v>
      </c>
      <c r="P664" s="15">
        <v>2010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664" s="1"/>
      <c r="U664" s="1"/>
      <c r="V664" s="32" t="s">
        <v>3349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664" s="15" t="str">
        <f>_xlfn.TEXTBEFORE(_xlfn.TEXTAFTER(CantoralDB[[#This Row],[index.html]],"&gt;"),"&gt;")&amp;"&gt;"</f>
        <v>&lt;a href="canciones/ixcis/mas_que_el_oro.html"&gt;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3269</v>
      </c>
      <c r="C665" s="1"/>
      <c r="H665" s="1" t="s">
        <v>530</v>
      </c>
      <c r="J665" s="1" t="s">
        <v>607</v>
      </c>
      <c r="M665" s="15" t="s">
        <v>520</v>
      </c>
      <c r="N665" s="1" t="s">
        <v>3251</v>
      </c>
      <c r="O665" s="15">
        <v>14</v>
      </c>
      <c r="P665" s="15">
        <v>2010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665" s="1"/>
      <c r="U665" s="1"/>
      <c r="V665" s="32" t="s">
        <v>3350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665" s="15" t="str">
        <f>_xlfn.TEXTBEFORE(_xlfn.TEXTAFTER(CantoralDB[[#This Row],[index.html]],"&gt;"),"&gt;")&amp;"&gt;"</f>
        <v>&lt;a href="canciones/ixcis/mi_roca.html"&gt;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3270</v>
      </c>
      <c r="C666" s="1"/>
      <c r="H666" s="1" t="s">
        <v>1028</v>
      </c>
      <c r="J666" s="1" t="s">
        <v>607</v>
      </c>
      <c r="M666" s="15" t="s">
        <v>520</v>
      </c>
      <c r="N666" s="1" t="s">
        <v>3251</v>
      </c>
      <c r="O666" s="15">
        <v>15</v>
      </c>
      <c r="P666" s="15">
        <v>2010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666" s="1"/>
      <c r="U666" s="1"/>
      <c r="V666" s="32" t="s">
        <v>3351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666" s="15" t="str">
        <f>_xlfn.TEXTBEFORE(_xlfn.TEXTAFTER(CantoralDB[[#This Row],[index.html]],"&gt;"),"&gt;")&amp;"&gt;"</f>
        <v>&lt;a href="canciones/ixcis/danos_pastores.html"&gt;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3271</v>
      </c>
      <c r="C667" s="1"/>
      <c r="H667" s="1" t="s">
        <v>1029</v>
      </c>
      <c r="J667" s="1" t="s">
        <v>607</v>
      </c>
      <c r="M667" s="15" t="s">
        <v>520</v>
      </c>
      <c r="N667" s="1" t="s">
        <v>3251</v>
      </c>
      <c r="O667" s="15">
        <v>16</v>
      </c>
      <c r="P667" s="15">
        <v>2010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667" s="1"/>
      <c r="U667" s="1"/>
      <c r="V667" s="32" t="s">
        <v>3352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667" s="15" t="str">
        <f>_xlfn.TEXTBEFORE(_xlfn.TEXTAFTER(CantoralDB[[#This Row],[index.html]],"&gt;"),"&gt;")&amp;"&gt;"</f>
        <v>&lt;a href="canciones/ixcis/cinco_panes_y_dos_peces.html"&gt;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3272</v>
      </c>
      <c r="C668" s="1"/>
      <c r="H668" s="1" t="s">
        <v>1027</v>
      </c>
      <c r="J668" s="1" t="s">
        <v>607</v>
      </c>
      <c r="M668" s="15" t="s">
        <v>520</v>
      </c>
      <c r="N668" s="1" t="s">
        <v>3251</v>
      </c>
      <c r="O668" s="15">
        <v>17</v>
      </c>
      <c r="P668" s="15">
        <v>2010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668" s="1"/>
      <c r="U668" s="1"/>
      <c r="V668" s="32" t="s">
        <v>3353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668" s="15" t="str">
        <f>_xlfn.TEXTBEFORE(_xlfn.TEXTAFTER(CantoralDB[[#This Row],[index.html]],"&gt;"),"&gt;")&amp;"&gt;"</f>
        <v>&lt;a href="canciones/ixcis/ven_a_mi.html"&gt;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3265</v>
      </c>
      <c r="C669" s="1"/>
      <c r="H669" s="1" t="s">
        <v>1029</v>
      </c>
      <c r="J669" s="1" t="s">
        <v>607</v>
      </c>
      <c r="M669" s="15" t="s">
        <v>520</v>
      </c>
      <c r="N669" s="1" t="s">
        <v>3251</v>
      </c>
      <c r="O669" s="15">
        <v>19</v>
      </c>
      <c r="P669" s="15">
        <v>2010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669" s="1"/>
      <c r="U669" s="1"/>
      <c r="V669" s="32" t="s">
        <v>3354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X669" s="15" t="str">
        <f>_xlfn.TEXTBEFORE(_xlfn.TEXTAFTER(CantoralDB[[#This Row],[index.html]],"&gt;"),"&gt;")&amp;"&gt;"</f>
        <v>&lt;a href="canciones/ixcis/morir.html"&gt;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3263</v>
      </c>
      <c r="C670" s="1"/>
      <c r="H670" s="1" t="s">
        <v>530</v>
      </c>
      <c r="J670" s="1" t="s">
        <v>607</v>
      </c>
      <c r="M670" s="15" t="s">
        <v>520</v>
      </c>
      <c r="N670" s="1" t="s">
        <v>3251</v>
      </c>
      <c r="O670" s="15">
        <v>20</v>
      </c>
      <c r="P670" s="15">
        <v>2010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670" s="1"/>
      <c r="U670" s="1"/>
      <c r="V670" s="32" t="s">
        <v>3355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670" s="15" t="str">
        <f>_xlfn.TEXTBEFORE(_xlfn.TEXTAFTER(CantoralDB[[#This Row],[index.html]],"&gt;"),"&gt;")&amp;"&gt;"</f>
        <v>&lt;a href="canciones/ixcis/mi_vida_es_cristo.html"&gt;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3264</v>
      </c>
      <c r="C671" s="1"/>
      <c r="H671" s="1" t="s">
        <v>472</v>
      </c>
      <c r="J671" s="1" t="s">
        <v>607</v>
      </c>
      <c r="M671" s="15" t="s">
        <v>520</v>
      </c>
      <c r="N671" s="1" t="s">
        <v>3251</v>
      </c>
      <c r="O671" s="15">
        <v>21</v>
      </c>
      <c r="P671" s="15">
        <v>2010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671" s="1"/>
      <c r="U671" s="1"/>
      <c r="V671" s="32" t="s">
        <v>3356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671" s="15" t="str">
        <f>_xlfn.TEXTBEFORE(_xlfn.TEXTAFTER(CantoralDB[[#This Row],[index.html]],"&gt;"),"&gt;")&amp;"&gt;"</f>
        <v>&lt;a href="canciones/ixcis/solo_el_amor.html"&gt;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1681</v>
      </c>
      <c r="C672" s="1"/>
      <c r="H672" s="1" t="s">
        <v>530</v>
      </c>
      <c r="J672" s="1" t="s">
        <v>607</v>
      </c>
      <c r="M672" s="15" t="s">
        <v>520</v>
      </c>
      <c r="N672" s="1" t="s">
        <v>3251</v>
      </c>
      <c r="O672" s="15">
        <v>22</v>
      </c>
      <c r="P672" s="15">
        <v>2010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672" s="1"/>
      <c r="U672" s="1"/>
      <c r="V672" s="32" t="s">
        <v>3357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672" s="15" t="str">
        <f>_xlfn.TEXTBEFORE(_xlfn.TEXTAFTER(CantoralDB[[#This Row],[index.html]],"&gt;"),"&gt;")&amp;"&gt;"</f>
        <v>&lt;a href="canciones/ixcis/como_maria.html"&gt;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3257</v>
      </c>
      <c r="C673" s="1"/>
      <c r="H673" s="1" t="s">
        <v>1026</v>
      </c>
      <c r="J673" s="1" t="s">
        <v>607</v>
      </c>
      <c r="M673" s="15" t="s">
        <v>520</v>
      </c>
      <c r="N673" s="1" t="s">
        <v>3251</v>
      </c>
      <c r="O673" s="15">
        <v>23</v>
      </c>
      <c r="P673" s="15">
        <v>2010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673" s="1"/>
      <c r="U673" s="1"/>
      <c r="V673" s="32" t="s">
        <v>3358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673" s="15" t="str">
        <f>_xlfn.TEXTBEFORE(_xlfn.TEXTAFTER(CantoralDB[[#This Row],[index.html]],"&gt;"),"&gt;")&amp;"&gt;"</f>
        <v>&lt;a href="canciones/ixcis/todos_uno.html"&gt;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2002</v>
      </c>
      <c r="C674" s="1"/>
      <c r="H674" s="1" t="s">
        <v>472</v>
      </c>
      <c r="I674" s="1" t="s">
        <v>2952</v>
      </c>
      <c r="J674" s="1" t="s">
        <v>607</v>
      </c>
      <c r="M674" s="15" t="s">
        <v>520</v>
      </c>
      <c r="N674" s="1" t="s">
        <v>3251</v>
      </c>
      <c r="O674" s="15">
        <v>24</v>
      </c>
      <c r="P674" s="15">
        <v>2010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674" s="1"/>
      <c r="U674" s="1"/>
      <c r="V674" s="32" t="s">
        <v>3359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X674" s="15" t="str">
        <f>_xlfn.TEXTBEFORE(_xlfn.TEXTAFTER(CantoralDB[[#This Row],[index.html]],"&gt;"),"&gt;")&amp;"&gt;"</f>
        <v>&lt;a href="canciones/ixcis/nada.html"&gt;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3258</v>
      </c>
      <c r="C675" s="1"/>
      <c r="H675" s="1" t="s">
        <v>1027</v>
      </c>
      <c r="J675" s="1" t="s">
        <v>607</v>
      </c>
      <c r="M675" s="15" t="s">
        <v>520</v>
      </c>
      <c r="N675" s="1" t="s">
        <v>3251</v>
      </c>
      <c r="O675" s="15">
        <v>25</v>
      </c>
      <c r="P675" s="15">
        <v>2010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675" s="1"/>
      <c r="U675" s="1"/>
      <c r="V675" s="32" t="s">
        <v>3360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675" s="15" t="str">
        <f>_xlfn.TEXTBEFORE(_xlfn.TEXTAFTER(CantoralDB[[#This Row],[index.html]],"&gt;"),"&gt;")&amp;"&gt;"</f>
        <v>&lt;a href="canciones/ixcis/donde_este_yo.html"&gt;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3255</v>
      </c>
      <c r="C676" s="1"/>
      <c r="H676" s="1" t="s">
        <v>530</v>
      </c>
      <c r="J676" s="1" t="s">
        <v>607</v>
      </c>
      <c r="M676" s="15" t="s">
        <v>520</v>
      </c>
      <c r="N676" s="1" t="s">
        <v>3251</v>
      </c>
      <c r="O676" s="15">
        <v>26</v>
      </c>
      <c r="P676" s="15">
        <v>2010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676" s="1"/>
      <c r="U676" s="1"/>
      <c r="V676" s="32" t="s">
        <v>3361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676" s="15" t="str">
        <f>_xlfn.TEXTBEFORE(_xlfn.TEXTAFTER(CantoralDB[[#This Row],[index.html]],"&gt;"),"&gt;")&amp;"&gt;"</f>
        <v>&lt;a href="canciones/ixcis/fiate.html"&gt;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3256</v>
      </c>
      <c r="C677" s="1"/>
      <c r="H677" s="1" t="s">
        <v>1026</v>
      </c>
      <c r="J677" s="1" t="s">
        <v>607</v>
      </c>
      <c r="M677" s="15" t="s">
        <v>520</v>
      </c>
      <c r="N677" s="1" t="s">
        <v>3251</v>
      </c>
      <c r="O677" s="15">
        <v>27</v>
      </c>
      <c r="P677" s="15">
        <v>2010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677" s="1"/>
      <c r="U677" s="1"/>
      <c r="V677" s="32" t="s">
        <v>3362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677" s="15" t="str">
        <f>_xlfn.TEXTBEFORE(_xlfn.TEXTAFTER(CantoralDB[[#This Row],[index.html]],"&gt;"),"&gt;")&amp;"&gt;"</f>
        <v>&lt;a href="canciones/ixcis/tu_eres_mi_fuerza.html"&gt;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3293</v>
      </c>
      <c r="C678" s="1"/>
      <c r="H678" s="1" t="s">
        <v>1026</v>
      </c>
      <c r="J678" s="1" t="s">
        <v>607</v>
      </c>
      <c r="M678" s="15" t="s">
        <v>520</v>
      </c>
      <c r="N678" s="1" t="s">
        <v>3293</v>
      </c>
      <c r="O678" s="15">
        <v>2</v>
      </c>
      <c r="P678" s="15">
        <v>1999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678" s="1"/>
      <c r="U678" s="1"/>
      <c r="V678" s="32" t="s">
        <v>3380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678" s="15" t="str">
        <f>_xlfn.TEXTBEFORE(_xlfn.TEXTAFTER(CantoralDB[[#This Row],[index.html]],"&gt;"),"&gt;")&amp;"&gt;"</f>
        <v>&lt;a href="canciones/ixcis/al_otro_lado_del_mar.html"&gt;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3294</v>
      </c>
      <c r="C679" s="1"/>
      <c r="H679" s="1" t="s">
        <v>1029</v>
      </c>
      <c r="J679" s="1" t="s">
        <v>607</v>
      </c>
      <c r="M679" s="15" t="s">
        <v>520</v>
      </c>
      <c r="N679" s="1" t="s">
        <v>3293</v>
      </c>
      <c r="O679" s="15">
        <v>3</v>
      </c>
      <c r="P679" s="15">
        <v>1999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679" s="1"/>
      <c r="U679" s="1"/>
      <c r="V679" s="32" t="s">
        <v>3381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679" s="15" t="str">
        <f>_xlfn.TEXTBEFORE(_xlfn.TEXTAFTER(CantoralDB[[#This Row],[index.html]],"&gt;"),"&gt;")&amp;"&gt;"</f>
        <v>&lt;a href="canciones/ixcis/y_mientras.html"&gt;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3297</v>
      </c>
      <c r="C680" s="1"/>
      <c r="H680" s="1" t="s">
        <v>472</v>
      </c>
      <c r="J680" s="1" t="s">
        <v>607</v>
      </c>
      <c r="M680" s="15" t="s">
        <v>520</v>
      </c>
      <c r="N680" s="1" t="s">
        <v>3293</v>
      </c>
      <c r="O680" s="15">
        <v>4</v>
      </c>
      <c r="P680" s="15">
        <v>1999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680" s="1"/>
      <c r="U680" s="1"/>
      <c r="V680" s="32" t="s">
        <v>3382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680" s="15" t="str">
        <f>_xlfn.TEXTBEFORE(_xlfn.TEXTAFTER(CantoralDB[[#This Row],[index.html]],"&gt;"),"&gt;")&amp;"&gt;"</f>
        <v>&lt;a href="canciones/ixcis/renovaos.html"&gt;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3298</v>
      </c>
      <c r="C681" s="1"/>
      <c r="H681" s="1" t="s">
        <v>1029</v>
      </c>
      <c r="J681" s="1" t="s">
        <v>607</v>
      </c>
      <c r="M681" s="15" t="s">
        <v>520</v>
      </c>
      <c r="N681" s="1" t="s">
        <v>3293</v>
      </c>
      <c r="O681" s="15">
        <v>5</v>
      </c>
      <c r="P681" s="15">
        <v>1999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681" s="1"/>
      <c r="U681" s="1"/>
      <c r="V681" s="32" t="s">
        <v>3383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681" s="15" t="str">
        <f>_xlfn.TEXTBEFORE(_xlfn.TEXTAFTER(CantoralDB[[#This Row],[index.html]],"&gt;"),"&gt;")&amp;"&gt;"</f>
        <v>&lt;a href="canciones/ixcis/agujas_del_reloj.html"&gt;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3299</v>
      </c>
      <c r="C682" s="1"/>
      <c r="H682" s="1" t="s">
        <v>1026</v>
      </c>
      <c r="J682" s="1" t="s">
        <v>607</v>
      </c>
      <c r="M682" s="15" t="s">
        <v>520</v>
      </c>
      <c r="N682" s="1" t="s">
        <v>3293</v>
      </c>
      <c r="O682" s="15">
        <v>6</v>
      </c>
      <c r="P682" s="15">
        <v>1999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682" s="1"/>
      <c r="U682" s="1"/>
      <c r="V682" s="32" t="s">
        <v>3384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682" s="15" t="str">
        <f>_xlfn.TEXTBEFORE(_xlfn.TEXTAFTER(CantoralDB[[#This Row],[index.html]],"&gt;"),"&gt;")&amp;"&gt;"</f>
        <v>&lt;a href="canciones/ixcis/dejarme_hacer.html"&gt;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3300</v>
      </c>
      <c r="C683" s="1"/>
      <c r="H683" s="1" t="s">
        <v>530</v>
      </c>
      <c r="J683" s="1" t="s">
        <v>607</v>
      </c>
      <c r="M683" s="15" t="s">
        <v>520</v>
      </c>
      <c r="N683" s="1" t="s">
        <v>3293</v>
      </c>
      <c r="O683" s="15">
        <v>7</v>
      </c>
      <c r="P683" s="15">
        <v>1999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683" s="1"/>
      <c r="U683" s="1"/>
      <c r="V683" s="32" t="s">
        <v>3385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683" s="15" t="str">
        <f>_xlfn.TEXTBEFORE(_xlfn.TEXTAFTER(CantoralDB[[#This Row],[index.html]],"&gt;"),"&gt;")&amp;"&gt;"</f>
        <v>&lt;a href="canciones/ixcis/la_razon.html"&gt;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3304</v>
      </c>
      <c r="C684" s="1"/>
      <c r="H684" s="1" t="s">
        <v>1026</v>
      </c>
      <c r="J684" s="1" t="s">
        <v>607</v>
      </c>
      <c r="M684" s="15" t="s">
        <v>520</v>
      </c>
      <c r="N684" s="1" t="s">
        <v>3293</v>
      </c>
      <c r="O684" s="15">
        <v>8</v>
      </c>
      <c r="P684" s="15">
        <v>1999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684" s="1"/>
      <c r="U684" s="1"/>
      <c r="V684" s="32" t="s">
        <v>3386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684" s="15" t="str">
        <f>_xlfn.TEXTBEFORE(_xlfn.TEXTAFTER(CantoralDB[[#This Row],[index.html]],"&gt;"),"&gt;")&amp;"&gt;"</f>
        <v>&lt;a href="canciones/ixcis/acercate.html"&gt;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3305</v>
      </c>
      <c r="C685" s="1"/>
      <c r="H685" s="1" t="s">
        <v>1027</v>
      </c>
      <c r="J685" s="1" t="s">
        <v>607</v>
      </c>
      <c r="M685" s="15" t="s">
        <v>520</v>
      </c>
      <c r="N685" s="1" t="s">
        <v>3293</v>
      </c>
      <c r="O685" s="15">
        <v>9</v>
      </c>
      <c r="P685" s="15">
        <v>1999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685" s="1"/>
      <c r="U685" s="1"/>
      <c r="V685" s="32" t="s">
        <v>3387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685" s="15" t="str">
        <f>_xlfn.TEXTBEFORE(_xlfn.TEXTAFTER(CantoralDB[[#This Row],[index.html]],"&gt;"),"&gt;")&amp;"&gt;"</f>
        <v>&lt;a href="canciones/ixcis/por_que.html"&gt;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3306</v>
      </c>
      <c r="C686" s="1"/>
      <c r="H686" s="1" t="s">
        <v>472</v>
      </c>
      <c r="J686" s="1" t="s">
        <v>607</v>
      </c>
      <c r="M686" s="15" t="s">
        <v>520</v>
      </c>
      <c r="N686" s="1" t="s">
        <v>3293</v>
      </c>
      <c r="O686" s="15">
        <v>10</v>
      </c>
      <c r="P686" s="15">
        <v>1999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686" s="1"/>
      <c r="U686" s="1"/>
      <c r="V686" s="32" t="s">
        <v>3388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686" s="15" t="str">
        <f>_xlfn.TEXTBEFORE(_xlfn.TEXTAFTER(CantoralDB[[#This Row],[index.html]],"&gt;"),"&gt;")&amp;"&gt;"</f>
        <v>&lt;a href="canciones/ixcis/una_vez_mas.html"&gt;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3315</v>
      </c>
      <c r="C687" s="1"/>
      <c r="H687" s="1" t="s">
        <v>1026</v>
      </c>
      <c r="J687" s="1" t="s">
        <v>607</v>
      </c>
      <c r="M687" s="15" t="s">
        <v>520</v>
      </c>
      <c r="N687" s="1" t="s">
        <v>3293</v>
      </c>
      <c r="O687" s="15">
        <v>12</v>
      </c>
      <c r="P687" s="15">
        <v>1999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687" s="1"/>
      <c r="U687" s="1"/>
      <c r="V687" s="32" t="s">
        <v>3389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687" s="15" t="str">
        <f>_xlfn.TEXTBEFORE(_xlfn.TEXTAFTER(CantoralDB[[#This Row],[index.html]],"&gt;"),"&gt;")&amp;"&gt;"</f>
        <v>&lt;a href="canciones/ixcis/el_labrador.html"&gt;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3310</v>
      </c>
      <c r="C688" s="1"/>
      <c r="H688" s="1" t="s">
        <v>530</v>
      </c>
      <c r="J688" s="1" t="s">
        <v>607</v>
      </c>
      <c r="M688" s="15" t="s">
        <v>520</v>
      </c>
      <c r="N688" s="1" t="s">
        <v>3293</v>
      </c>
      <c r="O688" s="15">
        <v>13</v>
      </c>
      <c r="P688" s="15">
        <v>1999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688" s="1"/>
      <c r="U688" s="1"/>
      <c r="V688" s="32" t="s">
        <v>3390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688" s="15" t="str">
        <f>_xlfn.TEXTBEFORE(_xlfn.TEXTAFTER(CantoralDB[[#This Row],[index.html]],"&gt;"),"&gt;")&amp;"&gt;"</f>
        <v>&lt;a href="canciones/ixcis/maria_enseñame.html"&gt;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3311</v>
      </c>
      <c r="C689" s="1"/>
      <c r="H689" s="1" t="s">
        <v>1027</v>
      </c>
      <c r="J689" s="1" t="s">
        <v>607</v>
      </c>
      <c r="M689" s="15" t="s">
        <v>520</v>
      </c>
      <c r="N689" s="1" t="s">
        <v>3293</v>
      </c>
      <c r="O689" s="15">
        <v>14</v>
      </c>
      <c r="P689" s="15">
        <v>1999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689" s="1"/>
      <c r="U689" s="1"/>
      <c r="V689" s="32" t="s">
        <v>3391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689" s="15" t="str">
        <f>_xlfn.TEXTBEFORE(_xlfn.TEXTAFTER(CantoralDB[[#This Row],[index.html]],"&gt;"),"&gt;")&amp;"&gt;"</f>
        <v>&lt;a href="canciones/ixcis/mucho_mas.html"&gt;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610</v>
      </c>
      <c r="C690" s="1" t="s">
        <v>200</v>
      </c>
      <c r="D690" s="1" t="s">
        <v>1392</v>
      </c>
      <c r="G690" s="1" t="s">
        <v>552</v>
      </c>
      <c r="H690" s="1" t="s">
        <v>1029</v>
      </c>
      <c r="J690" s="1" t="s">
        <v>607</v>
      </c>
      <c r="M690" s="15" t="s">
        <v>520</v>
      </c>
      <c r="N690" s="1" t="s">
        <v>3293</v>
      </c>
      <c r="O690" s="15">
        <v>15</v>
      </c>
      <c r="P690" s="15">
        <v>1999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690" s="1" t="s">
        <v>810</v>
      </c>
      <c r="U690" s="1"/>
      <c r="V690" s="32" t="s">
        <v>3091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690" s="15" t="str">
        <f>_xlfn.TEXTBEFORE(_xlfn.TEXTAFTER(CantoralDB[[#This Row],[index.html]],"&gt;"),"&gt;")&amp;"&gt;"</f>
        <v>&lt;a href="canciones/ixcis/caminare_hoy_en_tu_presencia.html"&gt;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3312</v>
      </c>
      <c r="C691" s="1"/>
      <c r="H691" s="1" t="s">
        <v>530</v>
      </c>
      <c r="I691" s="1" t="s">
        <v>2951</v>
      </c>
      <c r="J691" s="1" t="s">
        <v>607</v>
      </c>
      <c r="M691" s="15" t="s">
        <v>520</v>
      </c>
      <c r="N691" s="1" t="s">
        <v>3293</v>
      </c>
      <c r="O691" s="15">
        <v>16</v>
      </c>
      <c r="P691" s="15">
        <v>1999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691" s="1"/>
      <c r="U691" s="1"/>
      <c r="V691" s="32" t="s">
        <v>3393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691" s="15" t="str">
        <f>_xlfn.TEXTBEFORE(_xlfn.TEXTAFTER(CantoralDB[[#This Row],[index.html]],"&gt;"),"&gt;")&amp;"&gt;"</f>
        <v>&lt;a href="canciones/ixcis/dame_señor.html"&gt;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3313</v>
      </c>
      <c r="C692" s="1"/>
      <c r="H692" s="1" t="s">
        <v>1029</v>
      </c>
      <c r="I692" s="1" t="s">
        <v>2951</v>
      </c>
      <c r="J692" s="1" t="s">
        <v>607</v>
      </c>
      <c r="M692" s="15" t="s">
        <v>520</v>
      </c>
      <c r="N692" s="1" t="s">
        <v>3293</v>
      </c>
      <c r="O692" s="15">
        <v>17</v>
      </c>
      <c r="P692" s="15">
        <v>1999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692" s="1"/>
      <c r="U692" s="1"/>
      <c r="V692" s="32" t="s">
        <v>3392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692" s="15" t="str">
        <f>_xlfn.TEXTBEFORE(_xlfn.TEXTAFTER(CantoralDB[[#This Row],[index.html]],"&gt;"),"&gt;")&amp;"&gt;"</f>
        <v>&lt;a href="canciones/ixcis/sin_amarras.html"&gt;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214</v>
      </c>
      <c r="C693" s="1"/>
      <c r="H693" s="1" t="s">
        <v>472</v>
      </c>
      <c r="J693" s="1" t="s">
        <v>607</v>
      </c>
      <c r="M693" s="15" t="s">
        <v>520</v>
      </c>
      <c r="N693" s="1" t="s">
        <v>3293</v>
      </c>
      <c r="O693" s="15">
        <v>18</v>
      </c>
      <c r="P693" s="15">
        <v>1999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693" s="1"/>
      <c r="U693" s="1"/>
      <c r="V693" s="32" t="s">
        <v>3394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693" s="15" t="str">
        <f>_xlfn.TEXTBEFORE(_xlfn.TEXTAFTER(CantoralDB[[#This Row],[index.html]],"&gt;"),"&gt;")&amp;"&gt;"</f>
        <v>&lt;a href="canciones/ixcis/no_temas.html"&gt;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3314</v>
      </c>
      <c r="C694" s="1"/>
      <c r="H694" s="1" t="s">
        <v>530</v>
      </c>
      <c r="J694" s="1" t="s">
        <v>607</v>
      </c>
      <c r="M694" s="15" t="s">
        <v>520</v>
      </c>
      <c r="N694" s="1" t="s">
        <v>3293</v>
      </c>
      <c r="O694" s="15">
        <v>19</v>
      </c>
      <c r="P694" s="15">
        <v>1999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694" s="1"/>
      <c r="U694" s="1"/>
      <c r="V694" s="32" t="s">
        <v>3395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694" s="15" t="str">
        <f>_xlfn.TEXTBEFORE(_xlfn.TEXTAFTER(CantoralDB[[#This Row],[index.html]],"&gt;"),"&gt;")&amp;"&gt;"</f>
        <v>&lt;a href="canciones/ixcis/desde_el_silencio.html"&gt;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3308</v>
      </c>
      <c r="C695" s="1"/>
      <c r="H695" s="1" t="s">
        <v>1029</v>
      </c>
      <c r="J695" s="1" t="s">
        <v>607</v>
      </c>
      <c r="M695" s="15" t="s">
        <v>520</v>
      </c>
      <c r="N695" s="1" t="s">
        <v>3293</v>
      </c>
      <c r="O695" s="15">
        <v>20</v>
      </c>
      <c r="P695" s="15">
        <v>1999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695" s="1"/>
      <c r="U695" s="1"/>
      <c r="V695" s="32" t="s">
        <v>3396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695" s="15" t="str">
        <f>_xlfn.TEXTBEFORE(_xlfn.TEXTAFTER(CantoralDB[[#This Row],[index.html]],"&gt;"),"&gt;")&amp;"&gt;"</f>
        <v>&lt;a href="canciones/ixcis/desierto.html"&gt;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3309</v>
      </c>
      <c r="C696" s="1"/>
      <c r="H696" s="1" t="s">
        <v>1028</v>
      </c>
      <c r="J696" s="1" t="s">
        <v>607</v>
      </c>
      <c r="M696" s="15" t="s">
        <v>520</v>
      </c>
      <c r="N696" s="1" t="s">
        <v>3293</v>
      </c>
      <c r="O696" s="15">
        <v>21</v>
      </c>
      <c r="P696" s="15">
        <v>1999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696" s="1"/>
      <c r="U696" s="1"/>
      <c r="V696" s="32" t="s">
        <v>3397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696" s="15" t="str">
        <f>_xlfn.TEXTBEFORE(_xlfn.TEXTAFTER(CantoralDB[[#This Row],[index.html]],"&gt;"),"&gt;")&amp;"&gt;"</f>
        <v>&lt;a href="canciones/ixcis/en_comun.html"&gt;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3307</v>
      </c>
      <c r="C697" s="1"/>
      <c r="H697" s="1" t="s">
        <v>1026</v>
      </c>
      <c r="J697" s="1" t="s">
        <v>607</v>
      </c>
      <c r="M697" s="15" t="s">
        <v>520</v>
      </c>
      <c r="N697" s="1" t="s">
        <v>3293</v>
      </c>
      <c r="O697" s="15">
        <v>22</v>
      </c>
      <c r="P697" s="15">
        <v>1999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697" s="1"/>
      <c r="U697" s="1"/>
      <c r="V697" s="32" t="s">
        <v>3398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697" s="15" t="str">
        <f>_xlfn.TEXTBEFORE(_xlfn.TEXTAFTER(CantoralDB[[#This Row],[index.html]],"&gt;"),"&gt;")&amp;"&gt;"</f>
        <v>&lt;a href="canciones/ixcis/el_tesoro.html"&gt;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1505</v>
      </c>
      <c r="C698" s="1"/>
      <c r="H698" s="1" t="s">
        <v>1027</v>
      </c>
      <c r="J698" s="1" t="s">
        <v>607</v>
      </c>
      <c r="M698" s="15" t="s">
        <v>520</v>
      </c>
      <c r="N698" s="1" t="s">
        <v>3293</v>
      </c>
      <c r="O698" s="15">
        <v>23</v>
      </c>
      <c r="P698" s="15">
        <v>1999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698" s="1"/>
      <c r="U698" s="1"/>
      <c r="V698" s="32" t="s">
        <v>3399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698" s="15" t="str">
        <f>_xlfn.TEXTBEFORE(_xlfn.TEXTAFTER(CantoralDB[[#This Row],[index.html]],"&gt;"),"&gt;")&amp;"&gt;"</f>
        <v>&lt;a href="canciones/ixcis/alegrate.html"&gt;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3302</v>
      </c>
      <c r="C699" s="1"/>
      <c r="H699" s="1" t="s">
        <v>472</v>
      </c>
      <c r="J699" s="1" t="s">
        <v>607</v>
      </c>
      <c r="M699" s="15" t="s">
        <v>520</v>
      </c>
      <c r="N699" s="1" t="s">
        <v>3293</v>
      </c>
      <c r="O699" s="15">
        <v>24</v>
      </c>
      <c r="P699" s="15">
        <v>1999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699" s="1"/>
      <c r="U699" s="1"/>
      <c r="V699" s="32" t="s">
        <v>3400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699" s="15" t="str">
        <f>_xlfn.TEXTBEFORE(_xlfn.TEXTAFTER(CantoralDB[[#This Row],[index.html]],"&gt;"),"&gt;")&amp;"&gt;"</f>
        <v>&lt;a href="canciones/ixcis/tu_ternura.html"&gt;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3303</v>
      </c>
      <c r="C700" s="1"/>
      <c r="H700" s="1" t="s">
        <v>1027</v>
      </c>
      <c r="J700" s="1" t="s">
        <v>607</v>
      </c>
      <c r="M700" s="15" t="s">
        <v>520</v>
      </c>
      <c r="N700" s="1" t="s">
        <v>3293</v>
      </c>
      <c r="O700" s="15">
        <v>25</v>
      </c>
      <c r="P700" s="15">
        <v>1999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00" s="1"/>
      <c r="U700" s="1"/>
      <c r="V700" s="32" t="s">
        <v>3664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00" s="15" t="str">
        <f>_xlfn.TEXTBEFORE(_xlfn.TEXTAFTER(CantoralDB[[#This Row],[index.html]],"&gt;"),"&gt;")&amp;"&gt;"</f>
        <v>&lt;a href="canciones/ixcis/creadores.html"&gt;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3301</v>
      </c>
      <c r="C701" s="1"/>
      <c r="H701" s="1" t="s">
        <v>1029</v>
      </c>
      <c r="J701" s="1" t="s">
        <v>607</v>
      </c>
      <c r="M701" s="15" t="s">
        <v>520</v>
      </c>
      <c r="N701" s="1" t="s">
        <v>3293</v>
      </c>
      <c r="O701" s="15">
        <v>26</v>
      </c>
      <c r="P701" s="15">
        <v>1999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01" s="1"/>
      <c r="U701" s="1"/>
      <c r="V701" s="32" t="s">
        <v>3401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01" s="15" t="str">
        <f>_xlfn.TEXTBEFORE(_xlfn.TEXTAFTER(CantoralDB[[#This Row],[index.html]],"&gt;"),"&gt;")&amp;"&gt;"</f>
        <v>&lt;a href="canciones/ixcis/desde_mi_balcon.html"&gt;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3296</v>
      </c>
      <c r="C702" s="1"/>
      <c r="H702" s="1" t="s">
        <v>530</v>
      </c>
      <c r="J702" s="1" t="s">
        <v>607</v>
      </c>
      <c r="M702" s="15" t="s">
        <v>520</v>
      </c>
      <c r="N702" s="1" t="s">
        <v>3293</v>
      </c>
      <c r="O702" s="15">
        <v>27</v>
      </c>
      <c r="P702" s="15">
        <v>1999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02" s="1"/>
      <c r="U702" s="1"/>
      <c r="V702" s="32" t="s">
        <v>3402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02" s="15" t="str">
        <f>_xlfn.TEXTBEFORE(_xlfn.TEXTAFTER(CantoralDB[[#This Row],[index.html]],"&gt;"),"&gt;")&amp;"&gt;"</f>
        <v>&lt;a href="canciones/ixcis/nadie_me_podra_robar.html"&gt;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3295</v>
      </c>
      <c r="C703" s="1"/>
      <c r="H703" s="1" t="s">
        <v>530</v>
      </c>
      <c r="J703" s="1" t="s">
        <v>607</v>
      </c>
      <c r="M703" s="15" t="s">
        <v>520</v>
      </c>
      <c r="N703" s="1" t="s">
        <v>3293</v>
      </c>
      <c r="O703" s="15">
        <v>28</v>
      </c>
      <c r="P703" s="15">
        <v>1999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03" s="1"/>
      <c r="U703" s="1"/>
      <c r="V703" s="32" t="s">
        <v>3403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03" s="15" t="str">
        <f>_xlfn.TEXTBEFORE(_xlfn.TEXTAFTER(CantoralDB[[#This Row],[index.html]],"&gt;"),"&gt;")&amp;"&gt;"</f>
        <v>&lt;a href="canciones/ixcis/llega_el_reino_de_dios.html"&gt;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3316</v>
      </c>
      <c r="C704" s="1"/>
      <c r="H704" s="1" t="s">
        <v>530</v>
      </c>
      <c r="J704" s="1" t="s">
        <v>607</v>
      </c>
      <c r="M704" s="15" t="s">
        <v>520</v>
      </c>
      <c r="N704" s="1" t="s">
        <v>3326</v>
      </c>
      <c r="O704" s="15">
        <v>1</v>
      </c>
      <c r="P704" s="15">
        <v>1998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04" s="1"/>
      <c r="U704" s="1"/>
      <c r="V704" s="32" t="s">
        <v>3404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04" s="15" t="str">
        <f>_xlfn.TEXTBEFORE(_xlfn.TEXTAFTER(CantoralDB[[#This Row],[index.html]],"&gt;"),"&gt;")&amp;"&gt;"</f>
        <v>&lt;a href="canciones/ixcis/dame_de_beber.html"&gt;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3317</v>
      </c>
      <c r="C705" s="1"/>
      <c r="H705" s="1" t="s">
        <v>530</v>
      </c>
      <c r="J705" s="1" t="s">
        <v>607</v>
      </c>
      <c r="M705" s="15" t="s">
        <v>520</v>
      </c>
      <c r="N705" s="1" t="s">
        <v>3326</v>
      </c>
      <c r="O705" s="15">
        <v>2</v>
      </c>
      <c r="P705" s="15">
        <v>1998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05" s="1"/>
      <c r="U705" s="1"/>
      <c r="V705" s="32" t="s">
        <v>3405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05" s="15" t="str">
        <f>_xlfn.TEXTBEFORE(_xlfn.TEXTAFTER(CantoralDB[[#This Row],[index.html]],"&gt;"),"&gt;")&amp;"&gt;"</f>
        <v>&lt;a href="canciones/ixcis/monte_horeb.html"&gt;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3318</v>
      </c>
      <c r="C706" s="1"/>
      <c r="H706" s="1" t="s">
        <v>1027</v>
      </c>
      <c r="J706" s="1" t="s">
        <v>607</v>
      </c>
      <c r="M706" s="15" t="s">
        <v>520</v>
      </c>
      <c r="N706" s="1" t="s">
        <v>3326</v>
      </c>
      <c r="O706" s="15">
        <v>3</v>
      </c>
      <c r="P706" s="15">
        <v>1998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06" s="1"/>
      <c r="U706" s="1"/>
      <c r="V706" s="32" t="s">
        <v>3663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06" s="15" t="str">
        <f>_xlfn.TEXTBEFORE(_xlfn.TEXTAFTER(CantoralDB[[#This Row],[index.html]],"&gt;"),"&gt;")&amp;"&gt;"</f>
        <v>&lt;a href="canciones/ixcis/mi_dios_en_una_cruz.html"&gt;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3319</v>
      </c>
      <c r="C707" s="1"/>
      <c r="H707" s="1" t="s">
        <v>1029</v>
      </c>
      <c r="J707" s="1" t="s">
        <v>607</v>
      </c>
      <c r="M707" s="15" t="s">
        <v>520</v>
      </c>
      <c r="N707" s="1" t="s">
        <v>3326</v>
      </c>
      <c r="O707" s="15">
        <v>4</v>
      </c>
      <c r="P707" s="15">
        <v>1998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07" s="1"/>
      <c r="U707" s="1"/>
      <c r="V707" s="32" t="s">
        <v>3406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07" s="15" t="str">
        <f>_xlfn.TEXTBEFORE(_xlfn.TEXTAFTER(CantoralDB[[#This Row],[index.html]],"&gt;"),"&gt;")&amp;"&gt;"</f>
        <v>&lt;a href="canciones/ixcis/sueños_de_dios.html"&gt;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3320</v>
      </c>
      <c r="C708" s="1"/>
      <c r="H708" s="1" t="s">
        <v>1026</v>
      </c>
      <c r="J708" s="1" t="s">
        <v>607</v>
      </c>
      <c r="M708" s="15" t="s">
        <v>520</v>
      </c>
      <c r="N708" s="1" t="s">
        <v>3326</v>
      </c>
      <c r="O708" s="15">
        <v>5</v>
      </c>
      <c r="P708" s="15">
        <v>1998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08" s="1"/>
      <c r="U708" s="1"/>
      <c r="V708" s="32" t="s">
        <v>3407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08" s="15" t="str">
        <f>_xlfn.TEXTBEFORE(_xlfn.TEXTAFTER(CantoralDB[[#This Row],[index.html]],"&gt;"),"&gt;")&amp;"&gt;"</f>
        <v>&lt;a href="canciones/ixcis/adonde_acudire.html"&gt;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70</v>
      </c>
      <c r="C709" s="1"/>
      <c r="H709" s="1" t="s">
        <v>1026</v>
      </c>
      <c r="J709" s="1" t="s">
        <v>607</v>
      </c>
      <c r="M709" s="15" t="s">
        <v>520</v>
      </c>
      <c r="N709" s="1" t="s">
        <v>3326</v>
      </c>
      <c r="O709" s="15">
        <v>6</v>
      </c>
      <c r="P709" s="15">
        <v>1998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09" s="1"/>
      <c r="U709" s="1"/>
      <c r="V709" s="32" t="s">
        <v>3408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09" s="15" t="str">
        <f>_xlfn.TEXTBEFORE(_xlfn.TEXTAFTER(CantoralDB[[#This Row],[index.html]],"&gt;"),"&gt;")&amp;"&gt;"</f>
        <v>&lt;a href="canciones/ixcis/gracias_señor.html"&gt;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3321</v>
      </c>
      <c r="C710" s="1"/>
      <c r="H710" s="1" t="s">
        <v>530</v>
      </c>
      <c r="J710" s="1" t="s">
        <v>607</v>
      </c>
      <c r="M710" s="15" t="s">
        <v>520</v>
      </c>
      <c r="N710" s="1" t="s">
        <v>3326</v>
      </c>
      <c r="O710" s="15">
        <v>7</v>
      </c>
      <c r="P710" s="15">
        <v>1998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10" s="1"/>
      <c r="U710" s="1"/>
      <c r="V710" s="32" t="s">
        <v>3409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10" s="15" t="str">
        <f>_xlfn.TEXTBEFORE(_xlfn.TEXTAFTER(CantoralDB[[#This Row],[index.html]],"&gt;"),"&gt;")&amp;"&gt;"</f>
        <v>&lt;a href="canciones/ixcis/gentes_con_derecho.html"&gt;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3322</v>
      </c>
      <c r="C711" s="1"/>
      <c r="H711" s="1" t="s">
        <v>530</v>
      </c>
      <c r="J711" s="1" t="s">
        <v>607</v>
      </c>
      <c r="M711" s="15" t="s">
        <v>520</v>
      </c>
      <c r="N711" s="1" t="s">
        <v>3326</v>
      </c>
      <c r="O711" s="15">
        <v>8</v>
      </c>
      <c r="P711" s="15">
        <v>1998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11" s="1"/>
      <c r="U711" s="1"/>
      <c r="V711" s="32" t="s">
        <v>3410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11" s="15" t="str">
        <f>_xlfn.TEXTBEFORE(_xlfn.TEXTAFTER(CantoralDB[[#This Row],[index.html]],"&gt;"),"&gt;")&amp;"&gt;"</f>
        <v>&lt;a href="canciones/ixcis/oh_señor.html"&gt;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3323</v>
      </c>
      <c r="C712" s="1"/>
      <c r="H712" s="1" t="s">
        <v>3292</v>
      </c>
      <c r="J712" s="1" t="s">
        <v>607</v>
      </c>
      <c r="M712" s="15" t="s">
        <v>520</v>
      </c>
      <c r="N712" s="1" t="s">
        <v>3326</v>
      </c>
      <c r="O712" s="15">
        <v>9</v>
      </c>
      <c r="P712" s="15">
        <v>1998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12" s="1"/>
      <c r="U712" s="1"/>
      <c r="V712" s="32" t="s">
        <v>3411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12" s="15" t="str">
        <f>_xlfn.TEXTBEFORE(_xlfn.TEXTAFTER(CantoralDB[[#This Row],[index.html]],"&gt;"),"&gt;")&amp;"&gt;"</f>
        <v>&lt;a href="canciones/ixcis/quererse.html"&gt;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3324</v>
      </c>
      <c r="C713" s="1"/>
      <c r="H713" s="1" t="s">
        <v>1029</v>
      </c>
      <c r="J713" s="1" t="s">
        <v>607</v>
      </c>
      <c r="M713" s="15" t="s">
        <v>520</v>
      </c>
      <c r="N713" s="1" t="s">
        <v>3326</v>
      </c>
      <c r="O713" s="15">
        <v>10</v>
      </c>
      <c r="P713" s="15">
        <v>1998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13" s="1"/>
      <c r="U713" s="1"/>
      <c r="V713" s="32" t="s">
        <v>3412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13" s="15" t="str">
        <f>_xlfn.TEXTBEFORE(_xlfn.TEXTAFTER(CantoralDB[[#This Row],[index.html]],"&gt;"),"&gt;")&amp;"&gt;"</f>
        <v>&lt;a href="canciones/ixcis/encima_del_altar.html"&gt;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3325</v>
      </c>
      <c r="C714" s="1"/>
      <c r="H714" s="1" t="s">
        <v>1029</v>
      </c>
      <c r="J714" s="1" t="s">
        <v>607</v>
      </c>
      <c r="M714" s="15" t="s">
        <v>520</v>
      </c>
      <c r="N714" s="1" t="s">
        <v>3326</v>
      </c>
      <c r="O714" s="15">
        <v>11</v>
      </c>
      <c r="P714" s="15">
        <v>1998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14" s="1"/>
      <c r="U714" s="1"/>
      <c r="V714" s="32" t="s">
        <v>3413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14" s="15" t="str">
        <f>_xlfn.TEXTBEFORE(_xlfn.TEXTAFTER(CantoralDB[[#This Row],[index.html]],"&gt;"),"&gt;")&amp;"&gt;"</f>
        <v>&lt;a href="canciones/ixcis/cosas_pequeñas.html"&gt;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3326</v>
      </c>
      <c r="C715" s="1"/>
      <c r="H715" s="1" t="s">
        <v>530</v>
      </c>
      <c r="J715" s="1" t="s">
        <v>607</v>
      </c>
      <c r="M715" s="15" t="s">
        <v>520</v>
      </c>
      <c r="N715" s="1" t="s">
        <v>3326</v>
      </c>
      <c r="O715" s="15">
        <v>12</v>
      </c>
      <c r="P715" s="15">
        <v>1998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15" s="1"/>
      <c r="U715" s="1"/>
      <c r="V715" s="32" t="s">
        <v>3414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15" s="15" t="str">
        <f>_xlfn.TEXTBEFORE(_xlfn.TEXTAFTER(CantoralDB[[#This Row],[index.html]],"&gt;"),"&gt;")&amp;"&gt;"</f>
        <v>&lt;a href="canciones/ixcis/beber_los_vientos.html"&gt;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3447</v>
      </c>
      <c r="C716" s="1"/>
      <c r="H716" s="1" t="s">
        <v>1026</v>
      </c>
      <c r="J716" s="1" t="s">
        <v>607</v>
      </c>
      <c r="M716" s="15" t="s">
        <v>520</v>
      </c>
      <c r="N716" s="1" t="s">
        <v>3446</v>
      </c>
      <c r="O716" s="15">
        <v>1</v>
      </c>
      <c r="P716" s="15">
        <v>1992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16" s="1"/>
      <c r="U716" s="1"/>
      <c r="V716" s="32" t="s">
        <v>3646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16" s="15" t="str">
        <f>_xlfn.TEXTBEFORE(_xlfn.TEXTAFTER(CantoralDB[[#This Row],[index.html]],"&gt;"),"&gt;")&amp;"&gt;"</f>
        <v>&lt;a href="canciones/ixcis/ven_y_sigueme.html"&gt;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3448</v>
      </c>
      <c r="C717" s="1"/>
      <c r="H717" s="1" t="s">
        <v>1028</v>
      </c>
      <c r="J717" s="1" t="s">
        <v>607</v>
      </c>
      <c r="M717" s="15" t="s">
        <v>520</v>
      </c>
      <c r="N717" s="1" t="s">
        <v>3446</v>
      </c>
      <c r="O717" s="15">
        <v>2</v>
      </c>
      <c r="P717" s="15">
        <v>1992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17" s="1"/>
      <c r="U717" s="1"/>
      <c r="V717" s="32" t="s">
        <v>3647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17" s="15" t="str">
        <f>_xlfn.TEXTBEFORE(_xlfn.TEXTAFTER(CantoralDB[[#This Row],[index.html]],"&gt;"),"&gt;")&amp;"&gt;"</f>
        <v>&lt;a href="canciones/ixcis/dios_provee.html"&gt;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3449</v>
      </c>
      <c r="C718" s="1"/>
      <c r="H718" s="1" t="s">
        <v>530</v>
      </c>
      <c r="J718" s="1" t="s">
        <v>607</v>
      </c>
      <c r="M718" s="15" t="s">
        <v>520</v>
      </c>
      <c r="N718" s="1" t="s">
        <v>3446</v>
      </c>
      <c r="O718" s="15">
        <v>3</v>
      </c>
      <c r="P718" s="15">
        <v>1992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18" s="1"/>
      <c r="U718" s="1"/>
      <c r="V718" s="32" t="s">
        <v>3648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18" s="15" t="str">
        <f>_xlfn.TEXTBEFORE(_xlfn.TEXTAFTER(CantoralDB[[#This Row],[index.html]],"&gt;"),"&gt;")&amp;"&gt;"</f>
        <v>&lt;a href="canciones/ixcis/me_desbordas.html"&gt;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3450</v>
      </c>
      <c r="C719" s="1"/>
      <c r="H719" s="1" t="s">
        <v>530</v>
      </c>
      <c r="J719" s="1" t="s">
        <v>607</v>
      </c>
      <c r="M719" s="15" t="s">
        <v>520</v>
      </c>
      <c r="N719" s="1" t="s">
        <v>3446</v>
      </c>
      <c r="O719" s="15">
        <v>4</v>
      </c>
      <c r="P719" s="15">
        <v>1992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19" s="1"/>
      <c r="U719" s="1"/>
      <c r="V719" s="32" t="s">
        <v>3649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19" s="15" t="str">
        <f>_xlfn.TEXTBEFORE(_xlfn.TEXTAFTER(CantoralDB[[#This Row],[index.html]],"&gt;"),"&gt;")&amp;"&gt;"</f>
        <v>&lt;a href="canciones/ixcis/el_que_se_ensalza.html"&gt;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3451</v>
      </c>
      <c r="C720" s="1"/>
      <c r="H720" s="1" t="s">
        <v>1026</v>
      </c>
      <c r="J720" s="1" t="s">
        <v>607</v>
      </c>
      <c r="M720" s="15" t="s">
        <v>520</v>
      </c>
      <c r="N720" s="1" t="s">
        <v>3446</v>
      </c>
      <c r="O720" s="15">
        <v>5</v>
      </c>
      <c r="P720" s="15">
        <v>1992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20" s="1"/>
      <c r="U720" s="1"/>
      <c r="V720" s="32" t="s">
        <v>3650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20" s="15" t="str">
        <f>_xlfn.TEXTBEFORE(_xlfn.TEXTAFTER(CantoralDB[[#This Row],[index.html]],"&gt;"),"&gt;")&amp;"&gt;"</f>
        <v>&lt;a href="canciones/ixcis/mis_señores_y_mis_amos.html"&gt;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3452</v>
      </c>
      <c r="C721" s="1"/>
      <c r="H721" s="1" t="s">
        <v>530</v>
      </c>
      <c r="J721" s="1" t="s">
        <v>607</v>
      </c>
      <c r="M721" s="15" t="s">
        <v>520</v>
      </c>
      <c r="N721" s="1" t="s">
        <v>3446</v>
      </c>
      <c r="O721" s="15">
        <v>6</v>
      </c>
      <c r="P721" s="15">
        <v>1992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21" s="1"/>
      <c r="U721" s="1"/>
      <c r="V721" s="32" t="s">
        <v>3651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21" s="15" t="str">
        <f>_xlfn.TEXTBEFORE(_xlfn.TEXTAFTER(CantoralDB[[#This Row],[index.html]],"&gt;"),"&gt;")&amp;"&gt;"</f>
        <v>&lt;a href="canciones/ixcis/enseñame_el_camino.html"&gt;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3453</v>
      </c>
      <c r="C722" s="1"/>
      <c r="H722" s="1" t="s">
        <v>1027</v>
      </c>
      <c r="J722" s="1" t="s">
        <v>607</v>
      </c>
      <c r="M722" s="15" t="s">
        <v>520</v>
      </c>
      <c r="N722" s="1" t="s">
        <v>3446</v>
      </c>
      <c r="O722" s="15">
        <v>8</v>
      </c>
      <c r="P722" s="15">
        <v>1992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22" s="1"/>
      <c r="U722" s="1"/>
      <c r="V722" s="32" t="s">
        <v>3652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22" s="15" t="str">
        <f>_xlfn.TEXTBEFORE(_xlfn.TEXTAFTER(CantoralDB[[#This Row],[index.html]],"&gt;"),"&gt;")&amp;"&gt;"</f>
        <v>&lt;a href="canciones/ixcis/padrenuestro_i.html"&gt;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3455</v>
      </c>
      <c r="C723" s="1"/>
      <c r="H723" s="1" t="s">
        <v>1029</v>
      </c>
      <c r="J723" s="1" t="s">
        <v>607</v>
      </c>
      <c r="M723" s="15" t="s">
        <v>520</v>
      </c>
      <c r="N723" s="1" t="s">
        <v>3446</v>
      </c>
      <c r="O723" s="15">
        <v>9</v>
      </c>
      <c r="P723" s="15">
        <v>1992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23" s="1"/>
      <c r="U723" s="1"/>
      <c r="V723" s="32" t="s">
        <v>3653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23" s="15" t="str">
        <f>_xlfn.TEXTBEFORE(_xlfn.TEXTAFTER(CantoralDB[[#This Row],[index.html]],"&gt;"),"&gt;")&amp;"&gt;"</f>
        <v>&lt;a href="canciones/ixcis/adorare.html"&gt;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3456</v>
      </c>
      <c r="C724" s="1"/>
      <c r="H724" s="1" t="s">
        <v>472</v>
      </c>
      <c r="J724" s="1" t="s">
        <v>607</v>
      </c>
      <c r="M724" s="15" t="s">
        <v>520</v>
      </c>
      <c r="N724" s="1" t="s">
        <v>3446</v>
      </c>
      <c r="O724" s="15">
        <v>10</v>
      </c>
      <c r="P724" s="15">
        <v>1992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24" s="1"/>
      <c r="U724" s="1"/>
      <c r="V724" s="32" t="s">
        <v>3654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24" s="15" t="str">
        <f>_xlfn.TEXTBEFORE(_xlfn.TEXTAFTER(CantoralDB[[#This Row],[index.html]],"&gt;"),"&gt;")&amp;"&gt;"</f>
        <v>&lt;a href="canciones/ixcis/me_llamais.html"&gt;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3446</v>
      </c>
      <c r="C725" s="1"/>
      <c r="H725" s="1" t="s">
        <v>530</v>
      </c>
      <c r="J725" s="1" t="s">
        <v>607</v>
      </c>
      <c r="M725" s="15" t="s">
        <v>520</v>
      </c>
      <c r="N725" s="1" t="s">
        <v>3446</v>
      </c>
      <c r="O725" s="15">
        <v>11</v>
      </c>
      <c r="P725" s="15">
        <v>1992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25" s="1"/>
      <c r="U725" s="1"/>
      <c r="V725" s="32" t="s">
        <v>3655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25" s="15" t="str">
        <f>_xlfn.TEXTBEFORE(_xlfn.TEXTAFTER(CantoralDB[[#This Row],[index.html]],"&gt;"),"&gt;")&amp;"&gt;"</f>
        <v>&lt;a href="canciones/ixcis/como_uno_de_tantos.html"&gt;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3457</v>
      </c>
      <c r="C726" s="1"/>
      <c r="H726" s="1" t="s">
        <v>1026</v>
      </c>
      <c r="J726" s="1" t="s">
        <v>607</v>
      </c>
      <c r="M726" s="15" t="s">
        <v>520</v>
      </c>
      <c r="N726" s="1" t="s">
        <v>3446</v>
      </c>
      <c r="O726" s="15">
        <v>12</v>
      </c>
      <c r="P726" s="15">
        <v>1992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26" s="1"/>
      <c r="U726" s="1"/>
      <c r="V726" s="32" t="s">
        <v>3656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26" s="15" t="str">
        <f>_xlfn.TEXTBEFORE(_xlfn.TEXTAFTER(CantoralDB[[#This Row],[index.html]],"&gt;"),"&gt;")&amp;"&gt;"</f>
        <v>&lt;a href="canciones/ixcis/en_medio_de_vosotros.html"&gt;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3458</v>
      </c>
      <c r="C727" s="1"/>
      <c r="H727" s="1" t="s">
        <v>1026</v>
      </c>
      <c r="J727" s="1" t="s">
        <v>607</v>
      </c>
      <c r="M727" s="15" t="s">
        <v>520</v>
      </c>
      <c r="N727" s="1" t="s">
        <v>3446</v>
      </c>
      <c r="O727" s="15">
        <v>13</v>
      </c>
      <c r="P727" s="15">
        <v>1992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27" s="1"/>
      <c r="U727" s="1"/>
      <c r="V727" s="32" t="s">
        <v>3657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27" s="15" t="str">
        <f>_xlfn.TEXTBEFORE(_xlfn.TEXTAFTER(CantoralDB[[#This Row],[index.html]],"&gt;"),"&gt;")&amp;"&gt;"</f>
        <v>&lt;a href="canciones/ixcis/mi_dios_y_mi_todo.html"&gt;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3459</v>
      </c>
      <c r="C728" s="1"/>
      <c r="H728" s="1" t="s">
        <v>1027</v>
      </c>
      <c r="J728" s="1" t="s">
        <v>607</v>
      </c>
      <c r="M728" s="15" t="s">
        <v>520</v>
      </c>
      <c r="N728" s="1" t="s">
        <v>3446</v>
      </c>
      <c r="O728" s="15">
        <v>14</v>
      </c>
      <c r="P728" s="15">
        <v>1992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28" s="1"/>
      <c r="U728" s="1"/>
      <c r="V728" s="32" t="s">
        <v>3658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28" s="15" t="str">
        <f>_xlfn.TEXTBEFORE(_xlfn.TEXTAFTER(CantoralDB[[#This Row],[index.html]],"&gt;"),"&gt;")&amp;"&gt;"</f>
        <v>&lt;a href="canciones/ixcis/maria_enseñame_a_vivir_el_evangelio.html"&gt;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3460</v>
      </c>
      <c r="C729" s="1"/>
      <c r="H729" s="1" t="s">
        <v>1027</v>
      </c>
      <c r="J729" s="1" t="s">
        <v>607</v>
      </c>
      <c r="M729" s="15" t="s">
        <v>520</v>
      </c>
      <c r="N729" s="1" t="s">
        <v>3446</v>
      </c>
      <c r="O729" s="15">
        <v>15</v>
      </c>
      <c r="P729" s="15">
        <v>1992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29" s="1"/>
      <c r="U729" s="1"/>
      <c r="V729" s="32" t="s">
        <v>3659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29" s="15" t="str">
        <f>_xlfn.TEXTBEFORE(_xlfn.TEXTAFTER(CantoralDB[[#This Row],[index.html]],"&gt;"),"&gt;")&amp;"&gt;"</f>
        <v>&lt;a href="canciones/ixcis/pastor_bone.html"&gt;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3461</v>
      </c>
      <c r="C730" s="1"/>
      <c r="H730" s="1" t="s">
        <v>1028</v>
      </c>
      <c r="J730" s="1" t="s">
        <v>607</v>
      </c>
      <c r="M730" s="15" t="s">
        <v>520</v>
      </c>
      <c r="N730" s="1" t="s">
        <v>3446</v>
      </c>
      <c r="O730" s="15">
        <v>16</v>
      </c>
      <c r="P730" s="15">
        <v>1992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30" s="1"/>
      <c r="U730" s="1"/>
      <c r="V730" s="32" t="s">
        <v>3660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30" s="15" t="str">
        <f>_xlfn.TEXTBEFORE(_xlfn.TEXTAFTER(CantoralDB[[#This Row],[index.html]],"&gt;"),"&gt;")&amp;"&gt;"</f>
        <v>&lt;a href="canciones/ixcis/señor_expropiame.html"&gt;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3327</v>
      </c>
      <c r="C731" s="1"/>
      <c r="H731" s="1" t="s">
        <v>1029</v>
      </c>
      <c r="J731" s="1" t="s">
        <v>607</v>
      </c>
      <c r="M731" s="15" t="s">
        <v>520</v>
      </c>
      <c r="N731" s="1" t="s">
        <v>3327</v>
      </c>
      <c r="O731" s="15">
        <v>1</v>
      </c>
      <c r="P731" s="15">
        <v>1997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31" s="1"/>
      <c r="U731" s="1"/>
      <c r="V731" s="32" t="s">
        <v>3428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31" s="15" t="str">
        <f>_xlfn.TEXTBEFORE(_xlfn.TEXTAFTER(CantoralDB[[#This Row],[index.html]],"&gt;"),"&gt;")&amp;"&gt;"</f>
        <v>&lt;a href="canciones/ixcis/confio.html"&gt;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2236</v>
      </c>
      <c r="C732" s="1"/>
      <c r="H732" s="1" t="s">
        <v>1029</v>
      </c>
      <c r="J732" s="1" t="s">
        <v>607</v>
      </c>
      <c r="M732" s="15" t="s">
        <v>520</v>
      </c>
      <c r="N732" s="1" t="s">
        <v>3327</v>
      </c>
      <c r="O732" s="15">
        <v>2</v>
      </c>
      <c r="P732" s="15">
        <v>1997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32" s="1"/>
      <c r="U732" s="1"/>
      <c r="V732" s="32" t="s">
        <v>3429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32" s="15" t="str">
        <f>_xlfn.TEXTBEFORE(_xlfn.TEXTAFTER(CantoralDB[[#This Row],[index.html]],"&gt;"),"&gt;")&amp;"&gt;"</f>
        <v>&lt;a href="canciones/ixcis/nada_es_imposible.html"&gt;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3415</v>
      </c>
      <c r="C733" s="1"/>
      <c r="H733" s="1" t="s">
        <v>1026</v>
      </c>
      <c r="J733" s="1" t="s">
        <v>607</v>
      </c>
      <c r="M733" s="15" t="s">
        <v>520</v>
      </c>
      <c r="N733" s="1" t="s">
        <v>3327</v>
      </c>
      <c r="O733" s="15">
        <v>3</v>
      </c>
      <c r="P733" s="15">
        <v>1997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33" s="1"/>
      <c r="U733" s="1"/>
      <c r="V733" s="32" t="s">
        <v>3430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33" s="15" t="str">
        <f>_xlfn.TEXTBEFORE(_xlfn.TEXTAFTER(CantoralDB[[#This Row],[index.html]],"&gt;"),"&gt;")&amp;"&gt;"</f>
        <v>&lt;a href="canciones/ixcis/tu_saber_me_sobrepasa.html"&gt;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563</v>
      </c>
      <c r="C734" s="1" t="s">
        <v>194</v>
      </c>
      <c r="D734" s="1" t="s">
        <v>768</v>
      </c>
      <c r="G734" s="1" t="s">
        <v>552</v>
      </c>
      <c r="H734" s="1" t="s">
        <v>530</v>
      </c>
      <c r="J734" s="1" t="s">
        <v>607</v>
      </c>
      <c r="M734" s="15" t="s">
        <v>520</v>
      </c>
      <c r="N734" s="1" t="s">
        <v>3327</v>
      </c>
      <c r="O734" s="15">
        <v>4</v>
      </c>
      <c r="P734" s="15">
        <v>1997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34" s="1" t="s">
        <v>858</v>
      </c>
      <c r="U734" s="1"/>
      <c r="V734" s="32" t="s">
        <v>3093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34" s="15" t="str">
        <f>_xlfn.TEXTBEFORE(_xlfn.TEXTAFTER(CantoralDB[[#This Row],[index.html]],"&gt;"),"&gt;")&amp;"&gt;"</f>
        <v>&lt;a href="canciones/ixcis/sigue_habiendo.html"&gt;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3416</v>
      </c>
      <c r="C735" s="1"/>
      <c r="H735" s="1" t="s">
        <v>1026</v>
      </c>
      <c r="J735" s="1" t="s">
        <v>607</v>
      </c>
      <c r="M735" s="15" t="s">
        <v>520</v>
      </c>
      <c r="N735" s="1" t="s">
        <v>3327</v>
      </c>
      <c r="O735" s="15">
        <v>5</v>
      </c>
      <c r="P735" s="15">
        <v>1997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35" s="1"/>
      <c r="U735" s="1"/>
      <c r="V735" s="32" t="s">
        <v>3431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35" s="15" t="str">
        <f>_xlfn.TEXTBEFORE(_xlfn.TEXTAFTER(CantoralDB[[#This Row],[index.html]],"&gt;"),"&gt;")&amp;"&gt;"</f>
        <v>&lt;a href="canciones/ixcis/nada_vale_la_pena.html"&gt;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1706</v>
      </c>
      <c r="C736" s="1"/>
      <c r="H736" s="1" t="s">
        <v>1026</v>
      </c>
      <c r="J736" s="1" t="s">
        <v>607</v>
      </c>
      <c r="M736" s="15" t="s">
        <v>520</v>
      </c>
      <c r="N736" s="1" t="s">
        <v>3327</v>
      </c>
      <c r="O736" s="15">
        <v>6</v>
      </c>
      <c r="P736" s="15">
        <v>1997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736" s="1"/>
      <c r="U736" s="1"/>
      <c r="V736" s="32" t="s">
        <v>3432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736" s="15" t="str">
        <f>_xlfn.TEXTBEFORE(_xlfn.TEXTAFTER(CantoralDB[[#This Row],[index.html]],"&gt;"),"&gt;")&amp;"&gt;"</f>
        <v>&lt;a href="canciones/ixcis/un_solo_corazon.html"&gt;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3417</v>
      </c>
      <c r="C737" s="1"/>
      <c r="H737" s="1" t="s">
        <v>530</v>
      </c>
      <c r="J737" s="1" t="s">
        <v>607</v>
      </c>
      <c r="M737" s="15" t="s">
        <v>520</v>
      </c>
      <c r="N737" s="1" t="s">
        <v>3327</v>
      </c>
      <c r="O737" s="15">
        <v>7</v>
      </c>
      <c r="P737" s="15">
        <v>1997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737" s="1"/>
      <c r="U737" s="1"/>
      <c r="V737" s="32" t="s">
        <v>3433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737" s="15" t="str">
        <f>_xlfn.TEXTBEFORE(_xlfn.TEXTAFTER(CantoralDB[[#This Row],[index.html]],"&gt;"),"&gt;")&amp;"&gt;"</f>
        <v>&lt;a href="canciones/ixcis/aqui_estoy.html"&gt;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3418</v>
      </c>
      <c r="C738" s="1"/>
      <c r="H738" s="1" t="s">
        <v>472</v>
      </c>
      <c r="J738" s="1" t="s">
        <v>607</v>
      </c>
      <c r="M738" s="15" t="s">
        <v>520</v>
      </c>
      <c r="N738" s="1" t="s">
        <v>3327</v>
      </c>
      <c r="O738" s="15">
        <v>9</v>
      </c>
      <c r="P738" s="15">
        <v>1997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738" s="1"/>
      <c r="U738" s="1"/>
      <c r="V738" s="32" t="s">
        <v>3434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738" s="15" t="str">
        <f>_xlfn.TEXTBEFORE(_xlfn.TEXTAFTER(CantoralDB[[#This Row],[index.html]],"&gt;"),"&gt;")&amp;"&gt;"</f>
        <v>&lt;a href="canciones/ixcis/en_los_pobres_yo_te_vi.html"&gt;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3419</v>
      </c>
      <c r="C739" s="1"/>
      <c r="H739" s="1" t="s">
        <v>1027</v>
      </c>
      <c r="J739" s="1" t="s">
        <v>607</v>
      </c>
      <c r="M739" s="15" t="s">
        <v>520</v>
      </c>
      <c r="N739" s="1" t="s">
        <v>3327</v>
      </c>
      <c r="O739" s="15">
        <v>10</v>
      </c>
      <c r="P739" s="15">
        <v>1997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739" s="1"/>
      <c r="U739" s="1"/>
      <c r="V739" s="32" t="s">
        <v>3435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739" s="15" t="str">
        <f>_xlfn.TEXTBEFORE(_xlfn.TEXTAFTER(CantoralDB[[#This Row],[index.html]],"&gt;"),"&gt;")&amp;"&gt;"</f>
        <v>&lt;a href="canciones/ixcis/me_sedujiste.html"&gt;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3420</v>
      </c>
      <c r="C740" s="1"/>
      <c r="H740" s="1" t="s">
        <v>1029</v>
      </c>
      <c r="J740" s="1" t="s">
        <v>607</v>
      </c>
      <c r="M740" s="15" t="s">
        <v>520</v>
      </c>
      <c r="N740" s="1" t="s">
        <v>3327</v>
      </c>
      <c r="O740" s="15">
        <v>11</v>
      </c>
      <c r="P740" s="15">
        <v>1997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740" s="1"/>
      <c r="U740" s="1"/>
      <c r="V740" s="32" t="s">
        <v>3436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740" s="15" t="str">
        <f>_xlfn.TEXTBEFORE(_xlfn.TEXTAFTER(CantoralDB[[#This Row],[index.html]],"&gt;"),"&gt;")&amp;"&gt;"</f>
        <v>&lt;a href="canciones/ixcis/podare.html"&gt;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940</v>
      </c>
      <c r="C741" s="1"/>
      <c r="H741" s="1" t="s">
        <v>1029</v>
      </c>
      <c r="J741" s="1" t="s">
        <v>607</v>
      </c>
      <c r="M741" s="15" t="s">
        <v>520</v>
      </c>
      <c r="N741" s="1" t="s">
        <v>3327</v>
      </c>
      <c r="O741" s="15">
        <v>12</v>
      </c>
      <c r="P741" s="15">
        <v>1997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741" s="1"/>
      <c r="U741" s="1"/>
      <c r="V741" s="32" t="s">
        <v>3437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741" s="15" t="str">
        <f>_xlfn.TEXTBEFORE(_xlfn.TEXTAFTER(CantoralDB[[#This Row],[index.html]],"&gt;"),"&gt;")&amp;"&gt;"</f>
        <v>&lt;a href="canciones/ixcis/ven_espiritu_de_dios.html"&gt;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3421</v>
      </c>
      <c r="C742" s="1" t="s">
        <v>200</v>
      </c>
      <c r="D742" s="1" t="s">
        <v>661</v>
      </c>
      <c r="G742" s="1" t="s">
        <v>208</v>
      </c>
      <c r="H742" s="1" t="s">
        <v>1029</v>
      </c>
      <c r="J742" s="1" t="s">
        <v>607</v>
      </c>
      <c r="M742" s="15" t="s">
        <v>520</v>
      </c>
      <c r="N742" s="1" t="s">
        <v>3327</v>
      </c>
      <c r="O742" s="15">
        <v>13</v>
      </c>
      <c r="P742" s="15">
        <v>1997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742" s="1"/>
      <c r="U742" s="1"/>
      <c r="V742" s="32" t="s">
        <v>3094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742" s="15" t="str">
        <f>_xlfn.TEXTBEFORE(_xlfn.TEXTAFTER(CantoralDB[[#This Row],[index.html]],"&gt;"),"&gt;")&amp;"&gt;"</f>
        <v>&lt;a href="canciones/ixcis/mueveme_mi_dios.html"&gt;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3422</v>
      </c>
      <c r="C743" s="1"/>
      <c r="H743" s="1" t="s">
        <v>472</v>
      </c>
      <c r="J743" s="1" t="s">
        <v>607</v>
      </c>
      <c r="M743" s="15" t="s">
        <v>520</v>
      </c>
      <c r="N743" s="1" t="s">
        <v>3327</v>
      </c>
      <c r="O743" s="15">
        <v>15</v>
      </c>
      <c r="P743" s="15">
        <v>1997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743" s="1"/>
      <c r="U743" s="1"/>
      <c r="V743" s="32" t="s">
        <v>3438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743" s="15" t="str">
        <f>_xlfn.TEXTBEFORE(_xlfn.TEXTAFTER(CantoralDB[[#This Row],[index.html]],"&gt;"),"&gt;")&amp;"&gt;"</f>
        <v>&lt;a href="canciones/ixcis/a_pesar_de_todo.html"&gt;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3423</v>
      </c>
      <c r="C744" s="1"/>
      <c r="H744" s="1" t="s">
        <v>530</v>
      </c>
      <c r="J744" s="1" t="s">
        <v>607</v>
      </c>
      <c r="M744" s="15" t="s">
        <v>520</v>
      </c>
      <c r="N744" s="1" t="s">
        <v>3327</v>
      </c>
      <c r="O744" s="15">
        <v>16</v>
      </c>
      <c r="P744" s="15">
        <v>1997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744" s="1"/>
      <c r="U744" s="1"/>
      <c r="V744" s="32" t="s">
        <v>3439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744" s="15" t="str">
        <f>_xlfn.TEXTBEFORE(_xlfn.TEXTAFTER(CantoralDB[[#This Row],[index.html]],"&gt;"),"&gt;")&amp;"&gt;"</f>
        <v>&lt;a href="canciones/ixcis/me_fui.html"&gt;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3424</v>
      </c>
      <c r="C745" s="1"/>
      <c r="H745" s="1" t="s">
        <v>530</v>
      </c>
      <c r="J745" s="1" t="s">
        <v>607</v>
      </c>
      <c r="M745" s="15" t="s">
        <v>520</v>
      </c>
      <c r="N745" s="1" t="s">
        <v>3327</v>
      </c>
      <c r="O745" s="15">
        <v>17</v>
      </c>
      <c r="P745" s="15">
        <v>1997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745" s="1"/>
      <c r="U745" s="1"/>
      <c r="V745" s="32" t="s">
        <v>3440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745" s="15" t="str">
        <f>_xlfn.TEXTBEFORE(_xlfn.TEXTAFTER(CantoralDB[[#This Row],[index.html]],"&gt;"),"&gt;")&amp;"&gt;"</f>
        <v>&lt;a href="canciones/ixcis/cambios.html"&gt;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3425</v>
      </c>
      <c r="C746" s="1"/>
      <c r="H746" s="1" t="s">
        <v>472</v>
      </c>
      <c r="J746" s="1" t="s">
        <v>607</v>
      </c>
      <c r="M746" s="15" t="s">
        <v>520</v>
      </c>
      <c r="N746" s="1" t="s">
        <v>3327</v>
      </c>
      <c r="O746" s="15">
        <v>19</v>
      </c>
      <c r="P746" s="15">
        <v>1997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746" s="1"/>
      <c r="U746" s="1"/>
      <c r="V746" s="32" t="s">
        <v>3441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746" s="15" t="str">
        <f>_xlfn.TEXTBEFORE(_xlfn.TEXTAFTER(CantoralDB[[#This Row],[index.html]],"&gt;"),"&gt;")&amp;"&gt;"</f>
        <v>&lt;a href="canciones/ixcis/toma_mi_libertad.html"&gt;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1873</v>
      </c>
      <c r="C747" s="1"/>
      <c r="H747" s="1" t="s">
        <v>472</v>
      </c>
      <c r="J747" s="1" t="s">
        <v>607</v>
      </c>
      <c r="M747" s="15" t="s">
        <v>520</v>
      </c>
      <c r="N747" s="1" t="s">
        <v>3327</v>
      </c>
      <c r="O747" s="15">
        <v>20</v>
      </c>
      <c r="P747" s="15">
        <v>1997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747" s="1"/>
      <c r="U747" s="1"/>
      <c r="V747" s="32" t="s">
        <v>3442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747" s="15" t="str">
        <f>_xlfn.TEXTBEFORE(_xlfn.TEXTAFTER(CantoralDB[[#This Row],[index.html]],"&gt;"),"&gt;")&amp;"&gt;"</f>
        <v>&lt;a href="canciones/ixcis/gracias.html"&gt;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3426</v>
      </c>
      <c r="C748" s="1"/>
      <c r="H748" s="1" t="s">
        <v>1027</v>
      </c>
      <c r="J748" s="1" t="s">
        <v>607</v>
      </c>
      <c r="M748" s="15" t="s">
        <v>520</v>
      </c>
      <c r="N748" s="1" t="s">
        <v>3327</v>
      </c>
      <c r="O748" s="15">
        <v>21</v>
      </c>
      <c r="P748" s="15">
        <v>1997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748" s="1"/>
      <c r="U748" s="1"/>
      <c r="V748" s="32" t="s">
        <v>3443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748" s="15" t="str">
        <f>_xlfn.TEXTBEFORE(_xlfn.TEXTAFTER(CantoralDB[[#This Row],[index.html]],"&gt;"),"&gt;")&amp;"&gt;"</f>
        <v>&lt;a href="canciones/ixcis/que_buscais.html"&gt;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3427</v>
      </c>
      <c r="C749" s="1"/>
      <c r="H749" s="1" t="s">
        <v>530</v>
      </c>
      <c r="J749" s="1" t="s">
        <v>607</v>
      </c>
      <c r="M749" s="15" t="s">
        <v>520</v>
      </c>
      <c r="N749" s="1" t="s">
        <v>3327</v>
      </c>
      <c r="O749" s="15">
        <v>22</v>
      </c>
      <c r="P749" s="15">
        <v>1997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749" s="1"/>
      <c r="U749" s="1"/>
      <c r="V749" s="32" t="s">
        <v>3444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749" s="15" t="str">
        <f>_xlfn.TEXTBEFORE(_xlfn.TEXTAFTER(CantoralDB[[#This Row],[index.html]],"&gt;"),"&gt;")&amp;"&gt;"</f>
        <v>&lt;a href="canciones/ixcis/el_mayor.html"&gt;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72</v>
      </c>
      <c r="C750" s="1"/>
      <c r="H750" s="1" t="s">
        <v>1029</v>
      </c>
      <c r="J750" s="1" t="s">
        <v>607</v>
      </c>
      <c r="M750" s="15" t="s">
        <v>520</v>
      </c>
      <c r="N750" s="1" t="s">
        <v>3327</v>
      </c>
      <c r="O750" s="15">
        <v>23</v>
      </c>
      <c r="P750" s="15">
        <v>1997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750" s="1"/>
      <c r="U750" s="1"/>
      <c r="V750" s="32" t="s">
        <v>3445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750" s="15" t="str">
        <f>_xlfn.TEXTBEFORE(_xlfn.TEXTAFTER(CantoralDB[[#This Row],[index.html]],"&gt;"),"&gt;")&amp;"&gt;"</f>
        <v>&lt;a href="canciones/ixcis/hagase.html"&gt;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3277</v>
      </c>
      <c r="C751" s="1"/>
      <c r="H751" s="1" t="s">
        <v>1029</v>
      </c>
      <c r="I751" s="1" t="s">
        <v>2952</v>
      </c>
      <c r="J751" s="1" t="s">
        <v>607</v>
      </c>
      <c r="M751" s="15" t="s">
        <v>520</v>
      </c>
      <c r="N751" s="1" t="s">
        <v>3276</v>
      </c>
      <c r="O751" s="15">
        <v>2</v>
      </c>
      <c r="P751" s="15">
        <v>2004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751" s="1"/>
      <c r="U751" s="1"/>
      <c r="V751" s="32" t="s">
        <v>3370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751" s="15" t="str">
        <f>_xlfn.TEXTBEFORE(_xlfn.TEXTAFTER(CantoralDB[[#This Row],[index.html]],"&gt;"),"&gt;")&amp;"&gt;"</f>
        <v>&lt;a href="canciones/ixcis/abre_una_grieta.html"&gt;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3276</v>
      </c>
      <c r="C752" s="1"/>
      <c r="H752" s="1" t="s">
        <v>1029</v>
      </c>
      <c r="I752" s="1" t="s">
        <v>2953</v>
      </c>
      <c r="J752" s="1" t="s">
        <v>607</v>
      </c>
      <c r="M752" s="15" t="s">
        <v>520</v>
      </c>
      <c r="N752" s="1" t="s">
        <v>3276</v>
      </c>
      <c r="O752" s="15">
        <v>3</v>
      </c>
      <c r="P752" s="15">
        <v>2004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752" s="1"/>
      <c r="U752" s="1"/>
      <c r="V752" s="32" t="s">
        <v>3363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752" s="15" t="str">
        <f>_xlfn.TEXTBEFORE(_xlfn.TEXTAFTER(CantoralDB[[#This Row],[index.html]],"&gt;"),"&gt;")&amp;"&gt;"</f>
        <v>&lt;a href="canciones/ixcis/en_espiritu_y_en_verdad.html"&gt;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3286</v>
      </c>
      <c r="C753" s="1"/>
      <c r="H753" s="1" t="s">
        <v>1029</v>
      </c>
      <c r="I753" s="1" t="s">
        <v>2949</v>
      </c>
      <c r="J753" s="1" t="s">
        <v>607</v>
      </c>
      <c r="M753" s="15" t="s">
        <v>520</v>
      </c>
      <c r="N753" s="1" t="s">
        <v>3276</v>
      </c>
      <c r="O753" s="15">
        <v>4</v>
      </c>
      <c r="P753" s="15">
        <v>2004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753" s="1"/>
      <c r="U753" s="1"/>
      <c r="V753" s="32" t="s">
        <v>3364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753" s="15" t="str">
        <f>_xlfn.TEXTBEFORE(_xlfn.TEXTAFTER(CantoralDB[[#This Row],[index.html]],"&gt;"),"&gt;")&amp;"&gt;"</f>
        <v>&lt;a href="canciones/ixcis/solo_tu_espiritu.html"&gt;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3287</v>
      </c>
      <c r="C754" s="1"/>
      <c r="H754" s="1" t="s">
        <v>530</v>
      </c>
      <c r="I754" s="1" t="s">
        <v>2952</v>
      </c>
      <c r="J754" s="1" t="s">
        <v>607</v>
      </c>
      <c r="M754" s="15" t="s">
        <v>520</v>
      </c>
      <c r="N754" s="1" t="s">
        <v>3276</v>
      </c>
      <c r="O754" s="15">
        <v>5</v>
      </c>
      <c r="P754" s="15">
        <v>2004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754" s="1"/>
      <c r="U754" s="1"/>
      <c r="V754" s="32" t="s">
        <v>3365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754" s="15" t="str">
        <f>_xlfn.TEXTBEFORE(_xlfn.TEXTAFTER(CantoralDB[[#This Row],[index.html]],"&gt;"),"&gt;")&amp;"&gt;"</f>
        <v>&lt;a href="canciones/ixcis/sueño_una_iglesia.html"&gt;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3289</v>
      </c>
      <c r="C755" s="1"/>
      <c r="H755" s="1" t="s">
        <v>530</v>
      </c>
      <c r="I755" s="1" t="s">
        <v>2950</v>
      </c>
      <c r="J755" s="1" t="s">
        <v>607</v>
      </c>
      <c r="M755" s="15" t="s">
        <v>520</v>
      </c>
      <c r="N755" s="1" t="s">
        <v>3276</v>
      </c>
      <c r="O755" s="15">
        <v>6</v>
      </c>
      <c r="P755" s="15">
        <v>2004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755" s="1"/>
      <c r="U755" s="1"/>
      <c r="V755" s="32" t="s">
        <v>3661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755" s="15" t="str">
        <f>_xlfn.TEXTBEFORE(_xlfn.TEXTAFTER(CantoralDB[[#This Row],[index.html]],"&gt;"),"&gt;")&amp;"&gt;"</f>
        <v>&lt;a href="canciones/ixcis/somos_pueblo_de_dios.html"&gt;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3290</v>
      </c>
      <c r="C756" s="1"/>
      <c r="H756" s="1" t="s">
        <v>1026</v>
      </c>
      <c r="J756" s="1" t="s">
        <v>607</v>
      </c>
      <c r="M756" s="15" t="s">
        <v>520</v>
      </c>
      <c r="N756" s="1" t="s">
        <v>3276</v>
      </c>
      <c r="O756" s="15">
        <v>7</v>
      </c>
      <c r="P756" s="15">
        <v>2004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756" s="1"/>
      <c r="U756" s="1"/>
      <c r="V756" s="32" t="s">
        <v>3366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756" s="15" t="str">
        <f>_xlfn.TEXTBEFORE(_xlfn.TEXTAFTER(CantoralDB[[#This Row],[index.html]],"&gt;"),"&gt;")&amp;"&gt;"</f>
        <v>&lt;a href="canciones/ixcis/la_historia_se_repite.html"&gt;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3291</v>
      </c>
      <c r="C757" s="1"/>
      <c r="H757" s="1" t="s">
        <v>530</v>
      </c>
      <c r="I757" s="1" t="s">
        <v>2951</v>
      </c>
      <c r="J757" s="1" t="s">
        <v>607</v>
      </c>
      <c r="M757" s="15" t="s">
        <v>520</v>
      </c>
      <c r="N757" s="1" t="s">
        <v>3276</v>
      </c>
      <c r="O757" s="15">
        <v>8</v>
      </c>
      <c r="P757" s="15">
        <v>2004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757" s="1"/>
      <c r="U757" s="1"/>
      <c r="V757" s="32" t="s">
        <v>3367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757" s="15" t="str">
        <f>_xlfn.TEXTBEFORE(_xlfn.TEXTAFTER(CantoralDB[[#This Row],[index.html]],"&gt;"),"&gt;")&amp;"&gt;"</f>
        <v>&lt;a href="canciones/ixcis/llega_el_dia.html"&gt;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3288</v>
      </c>
      <c r="C758" s="1"/>
      <c r="H758" s="1" t="s">
        <v>530</v>
      </c>
      <c r="I758" s="1" t="s">
        <v>2953</v>
      </c>
      <c r="J758" s="1" t="s">
        <v>607</v>
      </c>
      <c r="M758" s="15" t="s">
        <v>520</v>
      </c>
      <c r="N758" s="1" t="s">
        <v>3276</v>
      </c>
      <c r="O758" s="15">
        <v>9</v>
      </c>
      <c r="P758" s="15">
        <v>2004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758" s="1"/>
      <c r="U758" s="1"/>
      <c r="V758" s="32" t="s">
        <v>3662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758" s="15" t="str">
        <f>_xlfn.TEXTBEFORE(_xlfn.TEXTAFTER(CantoralDB[[#This Row],[index.html]],"&gt;"),"&gt;")&amp;"&gt;"</f>
        <v>&lt;a href="canciones/ixcis/coge_tu_cruz.html"&gt;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3282</v>
      </c>
      <c r="C759" s="1"/>
      <c r="H759" s="1" t="s">
        <v>1028</v>
      </c>
      <c r="J759" s="1" t="s">
        <v>607</v>
      </c>
      <c r="M759" s="15" t="s">
        <v>520</v>
      </c>
      <c r="N759" s="1" t="s">
        <v>3276</v>
      </c>
      <c r="O759" s="15">
        <v>10</v>
      </c>
      <c r="P759" s="15">
        <v>2004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759" s="1"/>
      <c r="U759" s="1"/>
      <c r="V759" s="32" t="s">
        <v>3368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759" s="15" t="str">
        <f>_xlfn.TEXTBEFORE(_xlfn.TEXTAFTER(CantoralDB[[#This Row],[index.html]],"&gt;"),"&gt;")&amp;"&gt;"</f>
        <v>&lt;a href="canciones/ixcis/bienaventurados.html"&gt;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3283</v>
      </c>
      <c r="C760" s="1"/>
      <c r="H760" s="1" t="s">
        <v>472</v>
      </c>
      <c r="J760" s="1" t="s">
        <v>607</v>
      </c>
      <c r="M760" s="15" t="s">
        <v>520</v>
      </c>
      <c r="N760" s="1" t="s">
        <v>3276</v>
      </c>
      <c r="O760" s="15">
        <v>11</v>
      </c>
      <c r="P760" s="15">
        <v>2004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760" s="1"/>
      <c r="U760" s="1"/>
      <c r="V760" s="32" t="s">
        <v>3369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760" s="15" t="str">
        <f>_xlfn.TEXTBEFORE(_xlfn.TEXTAFTER(CantoralDB[[#This Row],[index.html]],"&gt;"),"&gt;")&amp;"&gt;"</f>
        <v>&lt;a href="canciones/ixcis/los_pobres.html"&gt;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3284</v>
      </c>
      <c r="C761" s="1"/>
      <c r="H761" s="1" t="s">
        <v>1026</v>
      </c>
      <c r="J761" s="1" t="s">
        <v>607</v>
      </c>
      <c r="M761" s="15" t="s">
        <v>520</v>
      </c>
      <c r="N761" s="1" t="s">
        <v>3276</v>
      </c>
      <c r="O761" s="15">
        <v>12</v>
      </c>
      <c r="P761" s="15">
        <v>2004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761" s="1"/>
      <c r="U761" s="1"/>
      <c r="V761" s="32" t="s">
        <v>3371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761" s="15" t="str">
        <f>_xlfn.TEXTBEFORE(_xlfn.TEXTAFTER(CantoralDB[[#This Row],[index.html]],"&gt;"),"&gt;")&amp;"&gt;"</f>
        <v>&lt;a href="canciones/ixcis/los_mansos_y_humildes.html"&gt;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3285</v>
      </c>
      <c r="C762" s="1"/>
      <c r="H762" s="1" t="s">
        <v>530</v>
      </c>
      <c r="J762" s="1" t="s">
        <v>607</v>
      </c>
      <c r="M762" s="15" t="s">
        <v>520</v>
      </c>
      <c r="N762" s="1" t="s">
        <v>3276</v>
      </c>
      <c r="O762" s="15">
        <v>13</v>
      </c>
      <c r="P762" s="15">
        <v>2004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762" s="1"/>
      <c r="U762" s="1"/>
      <c r="V762" s="32" t="s">
        <v>3372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762" s="15" t="str">
        <f>_xlfn.TEXTBEFORE(_xlfn.TEXTAFTER(CantoralDB[[#This Row],[index.html]],"&gt;"),"&gt;")&amp;"&gt;"</f>
        <v>&lt;a href="canciones/ixcis/los_que_lloran.html"&gt;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3278</v>
      </c>
      <c r="C763" s="1"/>
      <c r="H763" s="1" t="s">
        <v>1028</v>
      </c>
      <c r="J763" s="1" t="s">
        <v>607</v>
      </c>
      <c r="M763" s="15" t="s">
        <v>520</v>
      </c>
      <c r="N763" s="1" t="s">
        <v>3276</v>
      </c>
      <c r="O763" s="15">
        <v>14</v>
      </c>
      <c r="P763" s="15">
        <v>2004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763" s="1"/>
      <c r="U763" s="1"/>
      <c r="V763" s="32" t="s">
        <v>3373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763" s="15" t="str">
        <f>_xlfn.TEXTBEFORE(_xlfn.TEXTAFTER(CantoralDB[[#This Row],[index.html]],"&gt;"),"&gt;")&amp;"&gt;"</f>
        <v>&lt;a href="canciones/ixcis/los_que_tienen_hambre_y_sed_de_justicia.html"&gt;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3279</v>
      </c>
      <c r="C764" s="1"/>
      <c r="H764" s="1" t="s">
        <v>1028</v>
      </c>
      <c r="J764" s="1" t="s">
        <v>607</v>
      </c>
      <c r="M764" s="15" t="s">
        <v>520</v>
      </c>
      <c r="N764" s="1" t="s">
        <v>3276</v>
      </c>
      <c r="O764" s="15">
        <v>15</v>
      </c>
      <c r="P764" s="15">
        <v>2004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764" s="1"/>
      <c r="U764" s="1"/>
      <c r="V764" s="32" t="s">
        <v>3374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764" s="15" t="str">
        <f>_xlfn.TEXTBEFORE(_xlfn.TEXTAFTER(CantoralDB[[#This Row],[index.html]],"&gt;"),"&gt;")&amp;"&gt;"</f>
        <v>&lt;a href="canciones/ixcis/los_limpios_de_corazon.html"&gt;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3280</v>
      </c>
      <c r="C765" s="1"/>
      <c r="H765" s="1" t="s">
        <v>1029</v>
      </c>
      <c r="J765" s="1" t="s">
        <v>607</v>
      </c>
      <c r="M765" s="15" t="s">
        <v>520</v>
      </c>
      <c r="N765" s="1" t="s">
        <v>3276</v>
      </c>
      <c r="O765" s="15">
        <v>16</v>
      </c>
      <c r="P765" s="15">
        <v>2004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765" s="1"/>
      <c r="U765" s="1"/>
      <c r="V765" s="32" t="s">
        <v>3375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765" s="15" t="str">
        <f>_xlfn.TEXTBEFORE(_xlfn.TEXTAFTER(CantoralDB[[#This Row],[index.html]],"&gt;"),"&gt;")&amp;"&gt;"</f>
        <v>&lt;a href="canciones/ixcis/los_misericordiosos.html"&gt;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3281</v>
      </c>
      <c r="C766" s="1"/>
      <c r="H766" s="1" t="s">
        <v>1028</v>
      </c>
      <c r="J766" s="1" t="s">
        <v>607</v>
      </c>
      <c r="M766" s="15" t="s">
        <v>520</v>
      </c>
      <c r="N766" s="1" t="s">
        <v>3276</v>
      </c>
      <c r="O766" s="15">
        <v>17</v>
      </c>
      <c r="P766" s="15">
        <v>2004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766" s="1"/>
      <c r="U766" s="1"/>
      <c r="V766" s="32" t="s">
        <v>3376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766" s="15" t="str">
        <f>_xlfn.TEXTBEFORE(_xlfn.TEXTAFTER(CantoralDB[[#This Row],[index.html]],"&gt;"),"&gt;")&amp;"&gt;"</f>
        <v>&lt;a href="canciones/ixcis/los_constructores_de_paz.html"&gt;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3275</v>
      </c>
      <c r="C767" s="1"/>
      <c r="H767" s="1" t="s">
        <v>1029</v>
      </c>
      <c r="J767" s="1" t="s">
        <v>607</v>
      </c>
      <c r="M767" s="15" t="s">
        <v>520</v>
      </c>
      <c r="N767" s="1" t="s">
        <v>3276</v>
      </c>
      <c r="O767" s="15">
        <v>18</v>
      </c>
      <c r="P767" s="15">
        <v>2004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767" s="1"/>
      <c r="U767" s="1"/>
      <c r="V767" s="32" t="s">
        <v>3377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767" s="15" t="str">
        <f>_xlfn.TEXTBEFORE(_xlfn.TEXTAFTER(CantoralDB[[#This Row],[index.html]],"&gt;"),"&gt;")&amp;"&gt;"</f>
        <v>&lt;a href="canciones/ixcis/los_perseguidos.html"&gt;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635</v>
      </c>
      <c r="C768" s="1" t="s">
        <v>200</v>
      </c>
      <c r="D768" s="1" t="s">
        <v>1398</v>
      </c>
      <c r="G768" s="1" t="s">
        <v>636</v>
      </c>
      <c r="H768" s="1" t="s">
        <v>1029</v>
      </c>
      <c r="J768" s="1" t="s">
        <v>607</v>
      </c>
      <c r="M768" s="15" t="s">
        <v>520</v>
      </c>
      <c r="N768" s="1" t="s">
        <v>3276</v>
      </c>
      <c r="O768" s="15">
        <v>19</v>
      </c>
      <c r="P768" s="15">
        <v>2004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768" s="1" t="s">
        <v>814</v>
      </c>
      <c r="U768" s="1"/>
      <c r="V768" s="32" t="s">
        <v>3092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768" s="15" t="str">
        <f>_xlfn.TEXTBEFORE(_xlfn.TEXTAFTER(CantoralDB[[#This Row],[index.html]],"&gt;"),"&gt;")&amp;"&gt;"</f>
        <v>&lt;a href="canciones/ixcis/como_sal_como_luz.html"&gt;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3273</v>
      </c>
      <c r="C769" s="1"/>
      <c r="H769" s="1" t="s">
        <v>530</v>
      </c>
      <c r="I769" s="1" t="s">
        <v>2949</v>
      </c>
      <c r="J769" s="1" t="s">
        <v>607</v>
      </c>
      <c r="M769" s="15" t="s">
        <v>520</v>
      </c>
      <c r="N769" s="1" t="s">
        <v>3276</v>
      </c>
      <c r="O769" s="15">
        <v>20</v>
      </c>
      <c r="P769" s="15">
        <v>2004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769" s="1"/>
      <c r="U769" s="1"/>
      <c r="V769" s="32" t="s">
        <v>3378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769" s="15" t="str">
        <f>_xlfn.TEXTBEFORE(_xlfn.TEXTAFTER(CantoralDB[[#This Row],[index.html]],"&gt;"),"&gt;")&amp;"&gt;"</f>
        <v>&lt;a href="canciones/ixcis/infinito_abismo.html"&gt;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3274</v>
      </c>
      <c r="C770" s="1"/>
      <c r="H770" s="1" t="s">
        <v>1029</v>
      </c>
      <c r="I770" s="1" t="s">
        <v>2951</v>
      </c>
      <c r="J770" s="1" t="s">
        <v>607</v>
      </c>
      <c r="M770" s="15" t="s">
        <v>520</v>
      </c>
      <c r="N770" s="1" t="s">
        <v>3276</v>
      </c>
      <c r="O770" s="15">
        <v>22</v>
      </c>
      <c r="P770" s="15">
        <v>2004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770" s="1"/>
      <c r="U770" s="1"/>
      <c r="V770" s="32" t="s">
        <v>3379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770" s="15" t="str">
        <f>_xlfn.TEXTBEFORE(_xlfn.TEXTAFTER(CantoralDB[[#This Row],[index.html]],"&gt;"),"&gt;")&amp;"&gt;"</f>
        <v>&lt;a href="canciones/ixcis/hacia_ti.html"&gt;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3112</v>
      </c>
      <c r="C771" s="1"/>
      <c r="H771" s="1" t="s">
        <v>530</v>
      </c>
      <c r="J771" s="1" t="s">
        <v>607</v>
      </c>
      <c r="M771" s="15" t="s">
        <v>520</v>
      </c>
      <c r="N771" s="1" t="s">
        <v>3111</v>
      </c>
      <c r="O771" s="15">
        <v>2</v>
      </c>
      <c r="P771" s="15">
        <v>2023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771" s="1"/>
      <c r="U771" s="1"/>
      <c r="V771" s="32" t="s">
        <v>3113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771" s="15" t="str">
        <f>_xlfn.TEXTBEFORE(_xlfn.TEXTAFTER(CantoralDB[[#This Row],[index.html]],"&gt;"),"&gt;")&amp;"&gt;"</f>
        <v>&lt;a href="canciones/ixcis/ora_en_mi.html"&gt;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3110</v>
      </c>
      <c r="C772" s="1"/>
      <c r="H772" s="1" t="s">
        <v>1029</v>
      </c>
      <c r="J772" s="1" t="s">
        <v>607</v>
      </c>
      <c r="M772" s="15" t="s">
        <v>520</v>
      </c>
      <c r="N772" s="1" t="s">
        <v>3111</v>
      </c>
      <c r="O772" s="15">
        <v>3</v>
      </c>
      <c r="P772" s="15">
        <v>2023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772" s="1"/>
      <c r="U772" s="1"/>
      <c r="V772" s="32" t="s">
        <v>3109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772" s="15" t="str">
        <f>_xlfn.TEXTBEFORE(_xlfn.TEXTAFTER(CantoralDB[[#This Row],[index.html]],"&gt;"),"&gt;")&amp;"&gt;"</f>
        <v>&lt;a href="canciones/ixcis/vuelve.html"&gt;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3115</v>
      </c>
      <c r="C773" s="1"/>
      <c r="H773" s="1" t="s">
        <v>530</v>
      </c>
      <c r="I773" s="1" t="s">
        <v>2949</v>
      </c>
      <c r="J773" s="1" t="s">
        <v>607</v>
      </c>
      <c r="M773" s="15" t="s">
        <v>520</v>
      </c>
      <c r="N773" s="1" t="s">
        <v>3111</v>
      </c>
      <c r="O773" s="15">
        <v>4</v>
      </c>
      <c r="P773" s="15">
        <v>2023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773" s="1"/>
      <c r="U773" s="1"/>
      <c r="V773" s="32" t="s">
        <v>3114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773" s="15" t="str">
        <f>_xlfn.TEXTBEFORE(_xlfn.TEXTAFTER(CantoralDB[[#This Row],[index.html]],"&gt;"),"&gt;")&amp;"&gt;"</f>
        <v>&lt;a href="canciones/ixcis/espero_en_ti.html"&gt;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3116</v>
      </c>
      <c r="C774" s="1"/>
      <c r="H774" s="1" t="s">
        <v>1026</v>
      </c>
      <c r="I774" s="1" t="s">
        <v>2949</v>
      </c>
      <c r="J774" s="1" t="s">
        <v>607</v>
      </c>
      <c r="M774" s="15" t="s">
        <v>520</v>
      </c>
      <c r="N774" s="1" t="s">
        <v>3111</v>
      </c>
      <c r="O774" s="15">
        <v>5</v>
      </c>
      <c r="P774" s="15">
        <v>2023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774" s="1"/>
      <c r="U774" s="1"/>
      <c r="V774" s="32" t="s">
        <v>3117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774" s="15" t="str">
        <f>_xlfn.TEXTBEFORE(_xlfn.TEXTAFTER(CantoralDB[[#This Row],[index.html]],"&gt;"),"&gt;")&amp;"&gt;"</f>
        <v>&lt;a href="canciones/ixcis/extiende_tu_mano.html"&gt;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1756</v>
      </c>
      <c r="C775" s="1"/>
      <c r="H775" s="1" t="s">
        <v>1029</v>
      </c>
      <c r="I775" s="1" t="s">
        <v>2952</v>
      </c>
      <c r="J775" s="1" t="s">
        <v>607</v>
      </c>
      <c r="M775" s="15" t="s">
        <v>520</v>
      </c>
      <c r="N775" s="1" t="s">
        <v>3111</v>
      </c>
      <c r="O775" s="15">
        <v>6</v>
      </c>
      <c r="P775" s="15">
        <v>2023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775" s="1"/>
      <c r="U775" s="1"/>
      <c r="V775" s="32" t="s">
        <v>3118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X775" s="15" t="str">
        <f>_xlfn.TEXTBEFORE(_xlfn.TEXTAFTER(CantoralDB[[#This Row],[index.html]],"&gt;"),"&gt;")&amp;"&gt;"</f>
        <v>&lt;a href="canciones/ixcis/ruah.html"&gt;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3119</v>
      </c>
      <c r="C776" s="1"/>
      <c r="H776" s="1" t="s">
        <v>472</v>
      </c>
      <c r="I776" s="1" t="s">
        <v>2952</v>
      </c>
      <c r="J776" s="1" t="s">
        <v>607</v>
      </c>
      <c r="M776" s="15" t="s">
        <v>520</v>
      </c>
      <c r="N776" s="1" t="s">
        <v>3111</v>
      </c>
      <c r="O776" s="15">
        <v>7</v>
      </c>
      <c r="P776" s="15">
        <v>2023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776" s="1"/>
      <c r="U776" s="1"/>
      <c r="V776" s="32" t="s">
        <v>3120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776" s="15" t="str">
        <f>_xlfn.TEXTBEFORE(_xlfn.TEXTAFTER(CantoralDB[[#This Row],[index.html]],"&gt;"),"&gt;")&amp;"&gt;"</f>
        <v>&lt;a href="canciones/ixcis/descansa.html"&gt;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3122</v>
      </c>
      <c r="C777" s="1"/>
      <c r="H777" s="1" t="s">
        <v>530</v>
      </c>
      <c r="J777" s="1" t="s">
        <v>607</v>
      </c>
      <c r="M777" s="15" t="s">
        <v>520</v>
      </c>
      <c r="N777" s="1" t="s">
        <v>3111</v>
      </c>
      <c r="O777" s="15">
        <v>8</v>
      </c>
      <c r="P777" s="15">
        <v>2023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777" s="1"/>
      <c r="U777" s="1"/>
      <c r="V777" s="32" t="s">
        <v>3121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777" s="15" t="str">
        <f>_xlfn.TEXTBEFORE(_xlfn.TEXTAFTER(CantoralDB[[#This Row],[index.html]],"&gt;"),"&gt;")&amp;"&gt;"</f>
        <v>&lt;a href="canciones/ixcis/cuando_vuelva_tu_luz.html"&gt;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3124</v>
      </c>
      <c r="C778" s="1"/>
      <c r="H778" s="1" t="s">
        <v>1029</v>
      </c>
      <c r="J778" s="1" t="s">
        <v>607</v>
      </c>
      <c r="M778" s="15" t="s">
        <v>520</v>
      </c>
      <c r="N778" s="1" t="s">
        <v>3111</v>
      </c>
      <c r="O778" s="15">
        <v>9</v>
      </c>
      <c r="P778" s="15">
        <v>2023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778" s="1"/>
      <c r="U778" s="1"/>
      <c r="V778" s="32" t="s">
        <v>3123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778" s="15" t="str">
        <f>_xlfn.TEXTBEFORE(_xlfn.TEXTAFTER(CantoralDB[[#This Row],[index.html]],"&gt;"),"&gt;")&amp;"&gt;"</f>
        <v>&lt;a href="canciones/ixcis/entra_en_tu_cuarto.html"&gt;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3126</v>
      </c>
      <c r="C779" s="1"/>
      <c r="H779" s="1" t="s">
        <v>530</v>
      </c>
      <c r="J779" s="1" t="s">
        <v>607</v>
      </c>
      <c r="M779" s="15" t="s">
        <v>520</v>
      </c>
      <c r="N779" s="1" t="s">
        <v>3111</v>
      </c>
      <c r="O779" s="15">
        <v>10</v>
      </c>
      <c r="P779" s="15">
        <v>2023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779" s="1"/>
      <c r="U779" s="1"/>
      <c r="V779" s="32" t="s">
        <v>3125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779" s="15" t="str">
        <f>_xlfn.TEXTBEFORE(_xlfn.TEXTAFTER(CantoralDB[[#This Row],[index.html]],"&gt;"),"&gt;")&amp;"&gt;"</f>
        <v>&lt;a href="canciones/ixcis/transfigurame.html"&gt;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3127</v>
      </c>
      <c r="C780" s="1"/>
      <c r="H780" s="1" t="s">
        <v>472</v>
      </c>
      <c r="J780" s="1" t="s">
        <v>607</v>
      </c>
      <c r="M780" s="15" t="s">
        <v>520</v>
      </c>
      <c r="N780" s="1" t="s">
        <v>3111</v>
      </c>
      <c r="O780" s="15">
        <v>11</v>
      </c>
      <c r="P780" s="15">
        <v>2023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780" s="1"/>
      <c r="U780" s="1"/>
      <c r="V780" s="32" t="s">
        <v>3128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780" s="15" t="str">
        <f>_xlfn.TEXTBEFORE(_xlfn.TEXTAFTER(CantoralDB[[#This Row],[index.html]],"&gt;"),"&gt;")&amp;"&gt;"</f>
        <v>&lt;a href="canciones/ixcis/tengo_fe.html"&gt;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3129</v>
      </c>
      <c r="C781" s="1"/>
      <c r="H781" s="1" t="s">
        <v>530</v>
      </c>
      <c r="J781" s="1" t="s">
        <v>607</v>
      </c>
      <c r="M781" s="15" t="s">
        <v>520</v>
      </c>
      <c r="N781" s="1" t="s">
        <v>3111</v>
      </c>
      <c r="O781" s="15">
        <v>12</v>
      </c>
      <c r="P781" s="15">
        <v>2023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781" s="1"/>
      <c r="U781" s="1"/>
      <c r="V781" s="32" t="s">
        <v>3130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781" s="15" t="str">
        <f>_xlfn.TEXTBEFORE(_xlfn.TEXTAFTER(CantoralDB[[#This Row],[index.html]],"&gt;"),"&gt;")&amp;"&gt;"</f>
        <v>&lt;a href="canciones/ixcis/que_sean_uno.html"&gt;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3131</v>
      </c>
      <c r="C782" s="1"/>
      <c r="H782" s="1" t="s">
        <v>1028</v>
      </c>
      <c r="J782" s="1" t="s">
        <v>607</v>
      </c>
      <c r="M782" s="15" t="s">
        <v>520</v>
      </c>
      <c r="N782" s="1" t="s">
        <v>3111</v>
      </c>
      <c r="O782" s="15">
        <v>13</v>
      </c>
      <c r="P782" s="15">
        <v>2023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782" s="1"/>
      <c r="U782" s="1"/>
      <c r="V782" s="32" t="s">
        <v>3132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782" s="15" t="str">
        <f>_xlfn.TEXTBEFORE(_xlfn.TEXTAFTER(CantoralDB[[#This Row],[index.html]],"&gt;"),"&gt;")&amp;"&gt;"</f>
        <v>&lt;a href="canciones/ixcis/ama_y_haz_lo_que_quieras.html"&gt;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3134</v>
      </c>
      <c r="C783" s="1"/>
      <c r="H783" s="1" t="s">
        <v>1026</v>
      </c>
      <c r="J783" s="1" t="s">
        <v>607</v>
      </c>
      <c r="M783" s="15" t="s">
        <v>520</v>
      </c>
      <c r="N783" s="1" t="s">
        <v>3111</v>
      </c>
      <c r="O783" s="15">
        <v>14</v>
      </c>
      <c r="P783" s="15">
        <v>2023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783" s="1"/>
      <c r="U783" s="1"/>
      <c r="V783" s="32" t="s">
        <v>3133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783" s="15" t="str">
        <f>_xlfn.TEXTBEFORE(_xlfn.TEXTAFTER(CantoralDB[[#This Row],[index.html]],"&gt;"),"&gt;")&amp;"&gt;"</f>
        <v>&lt;a href="canciones/ixcis/si_no_te_dejo_marchar.html"&gt;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3135</v>
      </c>
      <c r="C784" s="1"/>
      <c r="H784" s="1" t="s">
        <v>1026</v>
      </c>
      <c r="J784" s="1" t="s">
        <v>607</v>
      </c>
      <c r="M784" s="15" t="s">
        <v>520</v>
      </c>
      <c r="N784" s="1" t="s">
        <v>3111</v>
      </c>
      <c r="O784" s="15">
        <v>15</v>
      </c>
      <c r="P784" s="15">
        <v>2023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784" s="1"/>
      <c r="U784" s="1"/>
      <c r="V784" s="32" t="s">
        <v>3136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784" s="15" t="str">
        <f>_xlfn.TEXTBEFORE(_xlfn.TEXTAFTER(CantoralDB[[#This Row],[index.html]],"&gt;"),"&gt;")&amp;"&gt;"</f>
        <v>&lt;a href="canciones/ixcis/sopla_en_mi.html"&gt;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3137</v>
      </c>
      <c r="C785" s="1"/>
      <c r="H785" s="1" t="s">
        <v>530</v>
      </c>
      <c r="I785" s="1" t="s">
        <v>2949</v>
      </c>
      <c r="J785" s="1" t="s">
        <v>607</v>
      </c>
      <c r="M785" s="15" t="s">
        <v>520</v>
      </c>
      <c r="N785" s="1" t="s">
        <v>3111</v>
      </c>
      <c r="O785" s="15">
        <v>16</v>
      </c>
      <c r="P785" s="15">
        <v>2023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785" s="1"/>
      <c r="U785" s="1"/>
      <c r="V785" s="32" t="s">
        <v>3138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785" s="15" t="str">
        <f>_xlfn.TEXTBEFORE(_xlfn.TEXTAFTER(CantoralDB[[#This Row],[index.html]],"&gt;"),"&gt;")&amp;"&gt;"</f>
        <v>&lt;a href="canciones/ixcis/peña_mia.html"&gt;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3139</v>
      </c>
      <c r="C786" s="1"/>
      <c r="H786" s="1" t="s">
        <v>1026</v>
      </c>
      <c r="I786" s="1" t="s">
        <v>2949</v>
      </c>
      <c r="J786" s="1" t="s">
        <v>607</v>
      </c>
      <c r="M786" s="15" t="s">
        <v>520</v>
      </c>
      <c r="N786" s="1" t="s">
        <v>3111</v>
      </c>
      <c r="O786" s="15">
        <v>17</v>
      </c>
      <c r="P786" s="15">
        <v>2023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786" s="1"/>
      <c r="U786" s="1"/>
      <c r="V786" s="32" t="s">
        <v>3140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786" s="15" t="str">
        <f>_xlfn.TEXTBEFORE(_xlfn.TEXTAFTER(CantoralDB[[#This Row],[index.html]],"&gt;"),"&gt;")&amp;"&gt;"</f>
        <v>&lt;a href="canciones/ixcis/vuestra_soy.html"&gt;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3142</v>
      </c>
      <c r="C787" s="1"/>
      <c r="H787" s="1" t="s">
        <v>1028</v>
      </c>
      <c r="I787" s="1" t="s">
        <v>2951</v>
      </c>
      <c r="J787" s="1" t="s">
        <v>607</v>
      </c>
      <c r="M787" s="15" t="s">
        <v>520</v>
      </c>
      <c r="N787" s="1" t="s">
        <v>3111</v>
      </c>
      <c r="O787" s="15">
        <v>18</v>
      </c>
      <c r="P787" s="15">
        <v>2023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787" s="1"/>
      <c r="U787" s="1"/>
      <c r="V787" s="32" t="s">
        <v>3141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787" s="15" t="str">
        <f>_xlfn.TEXTBEFORE(_xlfn.TEXTAFTER(CantoralDB[[#This Row],[index.html]],"&gt;"),"&gt;")&amp;"&gt;"</f>
        <v>&lt;a href="canciones/ixcis/la_partida.html"&gt;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3143</v>
      </c>
      <c r="C788" s="1"/>
      <c r="H788" s="1" t="s">
        <v>472</v>
      </c>
      <c r="I788" s="1" t="s">
        <v>2949</v>
      </c>
      <c r="J788" s="1" t="s">
        <v>607</v>
      </c>
      <c r="M788" s="15" t="s">
        <v>520</v>
      </c>
      <c r="N788" s="1" t="s">
        <v>3111</v>
      </c>
      <c r="O788" s="15">
        <v>19</v>
      </c>
      <c r="P788" s="15">
        <v>2023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788" s="1"/>
      <c r="U788" s="1"/>
      <c r="V788" s="32" t="s">
        <v>3144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788" s="15" t="str">
        <f>_xlfn.TEXTBEFORE(_xlfn.TEXTAFTER(CantoralDB[[#This Row],[index.html]],"&gt;"),"&gt;")&amp;"&gt;"</f>
        <v>&lt;a href="canciones/ixcis/por_ti_madrugo.html"&gt;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3146</v>
      </c>
      <c r="C789" s="1"/>
      <c r="H789" s="1" t="s">
        <v>1029</v>
      </c>
      <c r="I789" s="1" t="s">
        <v>2949</v>
      </c>
      <c r="J789" s="1" t="s">
        <v>607</v>
      </c>
      <c r="M789" s="15" t="s">
        <v>520</v>
      </c>
      <c r="N789" s="1" t="s">
        <v>3111</v>
      </c>
      <c r="O789" s="15">
        <v>20</v>
      </c>
      <c r="P789" s="15">
        <v>2023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789" s="1"/>
      <c r="U789" s="1"/>
      <c r="V789" s="32" t="s">
        <v>3145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789" s="15" t="str">
        <f>_xlfn.TEXTBEFORE(_xlfn.TEXTAFTER(CantoralDB[[#This Row],[index.html]],"&gt;"),"&gt;")&amp;"&gt;"</f>
        <v>&lt;a href="canciones/ixcis/si_te_tengo_a_ti.html"&gt;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3147</v>
      </c>
      <c r="C790" s="1"/>
      <c r="H790" s="1" t="s">
        <v>472</v>
      </c>
      <c r="I790" s="1" t="s">
        <v>2952</v>
      </c>
      <c r="J790" s="1" t="s">
        <v>607</v>
      </c>
      <c r="M790" s="15" t="s">
        <v>520</v>
      </c>
      <c r="N790" s="1" t="s">
        <v>3111</v>
      </c>
      <c r="O790" s="15">
        <v>21</v>
      </c>
      <c r="P790" s="15">
        <v>2023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790" s="1"/>
      <c r="U790" s="1"/>
      <c r="V790" s="32" t="s">
        <v>3148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790" s="15" t="str">
        <f>_xlfn.TEXTBEFORE(_xlfn.TEXTAFTER(CantoralDB[[#This Row],[index.html]],"&gt;"),"&gt;")&amp;"&gt;"</f>
        <v>&lt;a href="canciones/ixcis/la_verdad.html"&gt;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3149</v>
      </c>
      <c r="C791" s="1"/>
      <c r="H791" s="1" t="s">
        <v>530</v>
      </c>
      <c r="I791" s="1" t="s">
        <v>2951</v>
      </c>
      <c r="J791" s="1" t="s">
        <v>607</v>
      </c>
      <c r="M791" s="15" t="s">
        <v>520</v>
      </c>
      <c r="N791" s="1" t="s">
        <v>3111</v>
      </c>
      <c r="O791" s="15">
        <v>22</v>
      </c>
      <c r="P791" s="15">
        <v>2023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791" s="1"/>
      <c r="U791" s="1"/>
      <c r="V791" s="32" t="s">
        <v>3150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791" s="15" t="str">
        <f>_xlfn.TEXTBEFORE(_xlfn.TEXTAFTER(CantoralDB[[#This Row],[index.html]],"&gt;"),"&gt;")&amp;"&gt;"</f>
        <v>&lt;a href="canciones/ixcis/te_quiero.html"&gt;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533</v>
      </c>
      <c r="C792" s="1"/>
      <c r="H792" s="1" t="s">
        <v>530</v>
      </c>
      <c r="J792" s="1" t="s">
        <v>607</v>
      </c>
      <c r="M792" s="15" t="s">
        <v>520</v>
      </c>
      <c r="N792" s="1" t="s">
        <v>3111</v>
      </c>
      <c r="O792" s="15">
        <v>23</v>
      </c>
      <c r="P792" s="15">
        <v>2023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792" s="1"/>
      <c r="U792" s="1"/>
      <c r="V792" s="32" t="s">
        <v>3151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792" s="15" t="str">
        <f>_xlfn.TEXTBEFORE(_xlfn.TEXTAFTER(CantoralDB[[#This Row],[index.html]],"&gt;"),"&gt;")&amp;"&gt;"</f>
        <v>&lt;a href="canciones/ixcis/maria_de_nazaret.html"&gt;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3184</v>
      </c>
      <c r="C793" s="1"/>
      <c r="H793" s="1" t="s">
        <v>472</v>
      </c>
      <c r="J793" s="1" t="s">
        <v>607</v>
      </c>
      <c r="M793" s="15" t="s">
        <v>520</v>
      </c>
      <c r="N793" s="1" t="s">
        <v>3186</v>
      </c>
      <c r="O793" s="15">
        <v>1</v>
      </c>
      <c r="P793" s="15">
        <v>2017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793" s="1"/>
      <c r="U793" s="1"/>
      <c r="V793" s="32" t="s">
        <v>3187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793" s="15" t="str">
        <f>_xlfn.TEXTBEFORE(_xlfn.TEXTAFTER(CantoralDB[[#This Row],[index.html]],"&gt;"),"&gt;")&amp;"&gt;"</f>
        <v>&lt;a href="canciones/ixcis/regalada.html"&gt;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3185</v>
      </c>
      <c r="C794" s="1"/>
      <c r="H794" s="1" t="s">
        <v>472</v>
      </c>
      <c r="J794" s="1" t="s">
        <v>607</v>
      </c>
      <c r="M794" s="15" t="s">
        <v>520</v>
      </c>
      <c r="N794" s="1" t="s">
        <v>3186</v>
      </c>
      <c r="O794" s="15">
        <v>2</v>
      </c>
      <c r="P794" s="15">
        <v>2017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794" s="1"/>
      <c r="U794" s="1"/>
      <c r="V794" s="32" t="s">
        <v>3188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794" s="15" t="str">
        <f>_xlfn.TEXTBEFORE(_xlfn.TEXTAFTER(CantoralDB[[#This Row],[index.html]],"&gt;"),"&gt;")&amp;"&gt;"</f>
        <v>&lt;a href="canciones/ixcis/darnos_del_todo.html"&gt;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2293</v>
      </c>
      <c r="C795" s="1"/>
      <c r="H795" s="1" t="s">
        <v>1027</v>
      </c>
      <c r="J795" s="1" t="s">
        <v>607</v>
      </c>
      <c r="M795" s="15" t="s">
        <v>520</v>
      </c>
      <c r="N795" s="1" t="s">
        <v>3189</v>
      </c>
      <c r="O795" s="15">
        <v>1</v>
      </c>
      <c r="P795" s="15">
        <v>2016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795" s="1"/>
      <c r="U795" s="1"/>
      <c r="V795" s="32" t="s">
        <v>3208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795" s="15" t="str">
        <f>_xlfn.TEXTBEFORE(_xlfn.TEXTAFTER(CantoralDB[[#This Row],[index.html]],"&gt;"),"&gt;")&amp;"&gt;"</f>
        <v>&lt;a href="canciones/ixcis/misericordia.html"&gt;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3190</v>
      </c>
      <c r="C796" s="1"/>
      <c r="H796" s="1" t="s">
        <v>1029</v>
      </c>
      <c r="J796" s="1" t="s">
        <v>607</v>
      </c>
      <c r="M796" s="15" t="s">
        <v>520</v>
      </c>
      <c r="N796" s="1" t="s">
        <v>3189</v>
      </c>
      <c r="O796" s="15">
        <v>2</v>
      </c>
      <c r="P796" s="15">
        <v>2016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T796" s="1"/>
      <c r="U796" s="1"/>
      <c r="V796" s="32" t="s">
        <v>3209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X796" s="15" t="str">
        <f>_xlfn.TEXTBEFORE(_xlfn.TEXTAFTER(CantoralDB[[#This Row],[index.html]],"&gt;"),"&gt;")&amp;"&gt;"</f>
        <v>&lt;a href="canciones/ixcis/enseñame_a_quereme.html"&gt;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3191</v>
      </c>
      <c r="C797" s="1"/>
      <c r="H797" s="1" t="s">
        <v>530</v>
      </c>
      <c r="I797" s="1" t="s">
        <v>2949</v>
      </c>
      <c r="J797" s="1" t="s">
        <v>607</v>
      </c>
      <c r="M797" s="15" t="s">
        <v>520</v>
      </c>
      <c r="N797" s="1" t="s">
        <v>3189</v>
      </c>
      <c r="O797" s="15">
        <v>3</v>
      </c>
      <c r="P797" s="15">
        <v>2016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797" s="1"/>
      <c r="U797" s="1"/>
      <c r="V797" s="32" t="s">
        <v>3210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797" s="15" t="str">
        <f>_xlfn.TEXTBEFORE(_xlfn.TEXTAFTER(CantoralDB[[#This Row],[index.html]],"&gt;"),"&gt;")&amp;"&gt;"</f>
        <v>&lt;a href="canciones/ixcis/tu_sabes_quien_soy.html"&gt;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3192</v>
      </c>
      <c r="C798" s="1"/>
      <c r="H798" s="1" t="s">
        <v>530</v>
      </c>
      <c r="I798" s="1" t="s">
        <v>2951</v>
      </c>
      <c r="J798" s="1" t="s">
        <v>607</v>
      </c>
      <c r="M798" s="15" t="s">
        <v>520</v>
      </c>
      <c r="N798" s="1" t="s">
        <v>3189</v>
      </c>
      <c r="O798" s="15">
        <v>4</v>
      </c>
      <c r="P798" s="15">
        <v>2016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798" s="1"/>
      <c r="U798" s="1"/>
      <c r="V798" s="32" t="s">
        <v>3211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798" s="15" t="str">
        <f>_xlfn.TEXTBEFORE(_xlfn.TEXTAFTER(CantoralDB[[#This Row],[index.html]],"&gt;"),"&gt;")&amp;"&gt;"</f>
        <v>&lt;a href="canciones/ixcis/tu_bondad.html"&gt;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3193</v>
      </c>
      <c r="C799" s="1"/>
      <c r="H799" s="1" t="s">
        <v>1029</v>
      </c>
      <c r="J799" s="1" t="s">
        <v>607</v>
      </c>
      <c r="M799" s="15" t="s">
        <v>520</v>
      </c>
      <c r="N799" s="1" t="s">
        <v>3189</v>
      </c>
      <c r="O799" s="15">
        <v>5</v>
      </c>
      <c r="P799" s="15">
        <v>2016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799" s="1"/>
      <c r="U799" s="1"/>
      <c r="V799" s="32" t="s">
        <v>3212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799" s="15" t="str">
        <f>_xlfn.TEXTBEFORE(_xlfn.TEXTAFTER(CantoralDB[[#This Row],[index.html]],"&gt;"),"&gt;")&amp;"&gt;"</f>
        <v>&lt;a href="canciones/ixcis/levantaos_esta_cerca.html"&gt;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3194</v>
      </c>
      <c r="C800" s="1"/>
      <c r="H800" s="1" t="s">
        <v>530</v>
      </c>
      <c r="J800" s="1" t="s">
        <v>607</v>
      </c>
      <c r="M800" s="15" t="s">
        <v>520</v>
      </c>
      <c r="N800" s="1" t="s">
        <v>3189</v>
      </c>
      <c r="O800" s="15">
        <v>6</v>
      </c>
      <c r="P800" s="15">
        <v>2016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00" s="1"/>
      <c r="U800" s="1"/>
      <c r="V800" s="32" t="s">
        <v>3213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00" s="15" t="str">
        <f>_xlfn.TEXTBEFORE(_xlfn.TEXTAFTER(CantoralDB[[#This Row],[index.html]],"&gt;"),"&gt;")&amp;"&gt;"</f>
        <v>&lt;a href="canciones/ixcis/ven_a_sanarme.html"&gt;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3195</v>
      </c>
      <c r="C801" s="1"/>
      <c r="H801" s="1" t="s">
        <v>530</v>
      </c>
      <c r="I801" s="1" t="s">
        <v>2952</v>
      </c>
      <c r="J801" s="1" t="s">
        <v>607</v>
      </c>
      <c r="M801" s="15" t="s">
        <v>520</v>
      </c>
      <c r="N801" s="1" t="s">
        <v>3189</v>
      </c>
      <c r="O801" s="15">
        <v>8</v>
      </c>
      <c r="P801" s="15">
        <v>2016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01" s="1"/>
      <c r="U801" s="1"/>
      <c r="V801" s="32" t="s">
        <v>3214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01" s="15" t="str">
        <f>_xlfn.TEXTBEFORE(_xlfn.TEXTAFTER(CantoralDB[[#This Row],[index.html]],"&gt;"),"&gt;")&amp;"&gt;"</f>
        <v>&lt;a href="canciones/ixcis/el_circulo_del_juicio.html"&gt;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2799</v>
      </c>
      <c r="C802" s="1"/>
      <c r="H802" s="1" t="s">
        <v>1026</v>
      </c>
      <c r="J802" s="1" t="s">
        <v>607</v>
      </c>
      <c r="M802" s="15" t="s">
        <v>520</v>
      </c>
      <c r="N802" s="1" t="s">
        <v>3189</v>
      </c>
      <c r="O802" s="15">
        <v>9</v>
      </c>
      <c r="P802" s="15">
        <v>2016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02" s="1"/>
      <c r="U802" s="1"/>
      <c r="V802" s="32" t="s">
        <v>3215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02" s="15" t="str">
        <f>_xlfn.TEXTBEFORE(_xlfn.TEXTAFTER(CantoralDB[[#This Row],[index.html]],"&gt;"),"&gt;")&amp;"&gt;"</f>
        <v>&lt;a href="canciones/ixcis/hijo_de_david.html"&gt;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3196</v>
      </c>
      <c r="C803" s="1"/>
      <c r="H803" s="1" t="s">
        <v>1029</v>
      </c>
      <c r="J803" s="1" t="s">
        <v>607</v>
      </c>
      <c r="M803" s="15" t="s">
        <v>520</v>
      </c>
      <c r="N803" s="1" t="s">
        <v>3189</v>
      </c>
      <c r="O803" s="15">
        <v>10</v>
      </c>
      <c r="P803" s="15">
        <v>2016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03" s="1"/>
      <c r="U803" s="1"/>
      <c r="V803" s="32" t="s">
        <v>3216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03" s="15" t="str">
        <f>_xlfn.TEXTBEFORE(_xlfn.TEXTAFTER(CantoralDB[[#This Row],[index.html]],"&gt;"),"&gt;")&amp;"&gt;"</f>
        <v>&lt;a href="canciones/ixcis/hambre_y_sed_de_ti.html"&gt;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3197</v>
      </c>
      <c r="C804" s="1"/>
      <c r="H804" s="1" t="s">
        <v>1029</v>
      </c>
      <c r="J804" s="1" t="s">
        <v>607</v>
      </c>
      <c r="M804" s="15" t="s">
        <v>520</v>
      </c>
      <c r="N804" s="1" t="s">
        <v>3189</v>
      </c>
      <c r="O804" s="15">
        <v>11</v>
      </c>
      <c r="P804" s="15">
        <v>2016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04" s="1"/>
      <c r="U804" s="1"/>
      <c r="V804" s="32" t="s">
        <v>3217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04" s="15" t="str">
        <f>_xlfn.TEXTBEFORE(_xlfn.TEXTAFTER(CantoralDB[[#This Row],[index.html]],"&gt;"),"&gt;")&amp;"&gt;"</f>
        <v>&lt;a href="canciones/ixcis/madre_de_la_humanidad.html"&gt;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3198</v>
      </c>
      <c r="C805" s="1"/>
      <c r="H805" s="1" t="s">
        <v>530</v>
      </c>
      <c r="I805" s="1" t="s">
        <v>2949</v>
      </c>
      <c r="J805" s="1" t="s">
        <v>607</v>
      </c>
      <c r="M805" s="15" t="s">
        <v>520</v>
      </c>
      <c r="N805" s="1" t="s">
        <v>3189</v>
      </c>
      <c r="O805" s="15">
        <v>12</v>
      </c>
      <c r="P805" s="15">
        <v>2016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05" s="1"/>
      <c r="U805" s="1"/>
      <c r="V805" s="32" t="s">
        <v>3218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05" s="15" t="str">
        <f>_xlfn.TEXTBEFORE(_xlfn.TEXTAFTER(CantoralDB[[#This Row],[index.html]],"&gt;"),"&gt;")&amp;"&gt;"</f>
        <v>&lt;a href="canciones/ixcis/transformame.html"&gt;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3199</v>
      </c>
      <c r="C806" s="1"/>
      <c r="H806" s="1" t="s">
        <v>1026</v>
      </c>
      <c r="J806" s="1" t="s">
        <v>607</v>
      </c>
      <c r="M806" s="15" t="s">
        <v>520</v>
      </c>
      <c r="N806" s="1" t="s">
        <v>3189</v>
      </c>
      <c r="O806" s="15">
        <v>13</v>
      </c>
      <c r="P806" s="15">
        <v>2016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06" s="1"/>
      <c r="U806" s="1"/>
      <c r="V806" s="32" t="s">
        <v>3219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06" s="15" t="str">
        <f>_xlfn.TEXTBEFORE(_xlfn.TEXTAFTER(CantoralDB[[#This Row],[index.html]],"&gt;"),"&gt;")&amp;"&gt;"</f>
        <v>&lt;a href="canciones/ixcis/quien_curara.html"&gt;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3200</v>
      </c>
      <c r="C807" s="1"/>
      <c r="H807" s="1" t="s">
        <v>530</v>
      </c>
      <c r="J807" s="1" t="s">
        <v>607</v>
      </c>
      <c r="M807" s="15" t="s">
        <v>520</v>
      </c>
      <c r="N807" s="1" t="s">
        <v>3189</v>
      </c>
      <c r="O807" s="15">
        <v>14</v>
      </c>
      <c r="P807" s="15">
        <v>2016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07" s="1"/>
      <c r="U807" s="1"/>
      <c r="V807" s="32" t="s">
        <v>3220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07" s="15" t="str">
        <f>_xlfn.TEXTBEFORE(_xlfn.TEXTAFTER(CantoralDB[[#This Row],[index.html]],"&gt;"),"&gt;")&amp;"&gt;"</f>
        <v>&lt;a href="canciones/ixcis/lazaro_grita.html"&gt;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3222</v>
      </c>
      <c r="C808" s="1"/>
      <c r="H808" s="1" t="s">
        <v>530</v>
      </c>
      <c r="I808" s="1" t="s">
        <v>2952</v>
      </c>
      <c r="J808" s="1" t="s">
        <v>607</v>
      </c>
      <c r="M808" s="15" t="s">
        <v>520</v>
      </c>
      <c r="N808" s="1" t="s">
        <v>3189</v>
      </c>
      <c r="O808" s="15">
        <v>15</v>
      </c>
      <c r="P808" s="15">
        <v>2016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08" s="1"/>
      <c r="U808" s="1"/>
      <c r="V808" s="32" t="s">
        <v>3221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08" s="15" t="str">
        <f>_xlfn.TEXTBEFORE(_xlfn.TEXTAFTER(CantoralDB[[#This Row],[index.html]],"&gt;"),"&gt;")&amp;"&gt;"</f>
        <v>&lt;a href="canciones/ixcis/mi_buen_pastor.html"&gt;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3201</v>
      </c>
      <c r="C809" s="1"/>
      <c r="H809" s="1" t="s">
        <v>530</v>
      </c>
      <c r="I809" s="1" t="s">
        <v>2949</v>
      </c>
      <c r="J809" s="1" t="s">
        <v>607</v>
      </c>
      <c r="M809" s="15" t="s">
        <v>520</v>
      </c>
      <c r="N809" s="1" t="s">
        <v>3189</v>
      </c>
      <c r="O809" s="15">
        <v>16</v>
      </c>
      <c r="P809" s="15">
        <v>2016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09" s="1"/>
      <c r="U809" s="1"/>
      <c r="V809" s="32" t="s">
        <v>3223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09" s="15" t="str">
        <f>_xlfn.TEXTBEFORE(_xlfn.TEXTAFTER(CantoralDB[[#This Row],[index.html]],"&gt;"),"&gt;")&amp;"&gt;"</f>
        <v>&lt;a href="canciones/ixcis/la_ley_y_el_sabado.html"&gt;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3202</v>
      </c>
      <c r="C810" s="1"/>
      <c r="H810" s="1" t="s">
        <v>1029</v>
      </c>
      <c r="J810" s="1" t="s">
        <v>607</v>
      </c>
      <c r="M810" s="15" t="s">
        <v>520</v>
      </c>
      <c r="N810" s="1" t="s">
        <v>3189</v>
      </c>
      <c r="O810" s="15">
        <v>17</v>
      </c>
      <c r="P810" s="15">
        <v>2016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10" s="1"/>
      <c r="U810" s="1"/>
      <c r="V810" s="32" t="s">
        <v>3224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10" s="15" t="str">
        <f>_xlfn.TEXTBEFORE(_xlfn.TEXTAFTER(CantoralDB[[#This Row],[index.html]],"&gt;"),"&gt;")&amp;"&gt;"</f>
        <v>&lt;a href="canciones/ixcis/el_ayuno_que_yo_quiero.html"&gt;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3203</v>
      </c>
      <c r="C811" s="1"/>
      <c r="H811" s="1" t="s">
        <v>1029</v>
      </c>
      <c r="J811" s="1" t="s">
        <v>607</v>
      </c>
      <c r="M811" s="15" t="s">
        <v>520</v>
      </c>
      <c r="N811" s="1" t="s">
        <v>3189</v>
      </c>
      <c r="O811" s="15">
        <v>18</v>
      </c>
      <c r="P811" s="15">
        <v>2016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11" s="1"/>
      <c r="U811" s="1"/>
      <c r="V811" s="32" t="s">
        <v>3225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11" s="15" t="str">
        <f>_xlfn.TEXTBEFORE(_xlfn.TEXTAFTER(CantoralDB[[#This Row],[index.html]],"&gt;"),"&gt;")&amp;"&gt;"</f>
        <v>&lt;a href="canciones/ixcis/amad_a_vuestros_enemigos.html"&gt;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3204</v>
      </c>
      <c r="C812" s="1"/>
      <c r="H812" s="1" t="s">
        <v>530</v>
      </c>
      <c r="J812" s="1" t="s">
        <v>607</v>
      </c>
      <c r="M812" s="15" t="s">
        <v>520</v>
      </c>
      <c r="N812" s="1" t="s">
        <v>3189</v>
      </c>
      <c r="O812" s="15">
        <v>19</v>
      </c>
      <c r="P812" s="15">
        <v>2016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12" s="1"/>
      <c r="U812" s="1"/>
      <c r="V812" s="32" t="s">
        <v>3226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12" s="15" t="str">
        <f>_xlfn.TEXTBEFORE(_xlfn.TEXTAFTER(CantoralDB[[#This Row],[index.html]],"&gt;"),"&gt;")&amp;"&gt;"</f>
        <v>&lt;a href="canciones/ixcis/tu_lluvia_desciende.html"&gt;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3205</v>
      </c>
      <c r="C813" s="1"/>
      <c r="H813" s="1" t="s">
        <v>1029</v>
      </c>
      <c r="I813" s="1" t="s">
        <v>2950</v>
      </c>
      <c r="J813" s="1" t="s">
        <v>607</v>
      </c>
      <c r="M813" s="15" t="s">
        <v>520</v>
      </c>
      <c r="N813" s="1" t="s">
        <v>3189</v>
      </c>
      <c r="O813" s="15">
        <v>21</v>
      </c>
      <c r="P813" s="15">
        <v>2016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13" s="1"/>
      <c r="U813" s="1"/>
      <c r="V813" s="32" t="s">
        <v>3227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13" s="15" t="str">
        <f>_xlfn.TEXTBEFORE(_xlfn.TEXTAFTER(CantoralDB[[#This Row],[index.html]],"&gt;"),"&gt;")&amp;"&gt;"</f>
        <v>&lt;a href="canciones/ixcis/mirad_los_lirios.html"&gt;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3206</v>
      </c>
      <c r="C814" s="1"/>
      <c r="H814" s="1" t="s">
        <v>1026</v>
      </c>
      <c r="I814" s="1" t="s">
        <v>2952</v>
      </c>
      <c r="J814" s="1" t="s">
        <v>607</v>
      </c>
      <c r="M814" s="15" t="s">
        <v>520</v>
      </c>
      <c r="N814" s="1" t="s">
        <v>3189</v>
      </c>
      <c r="O814" s="15">
        <v>22</v>
      </c>
      <c r="P814" s="15">
        <v>2016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14" s="1"/>
      <c r="U814" s="1"/>
      <c r="V814" s="32" t="s">
        <v>3228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14" s="15" t="str">
        <f>_xlfn.TEXTBEFORE(_xlfn.TEXTAFTER(CantoralDB[[#This Row],[index.html]],"&gt;"),"&gt;")&amp;"&gt;"</f>
        <v>&lt;a href="canciones/ixcis/por_todos.html"&gt;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1705</v>
      </c>
      <c r="C815" s="1"/>
      <c r="H815" s="1" t="s">
        <v>1029</v>
      </c>
      <c r="I815" s="1" t="s">
        <v>2952</v>
      </c>
      <c r="J815" s="1" t="s">
        <v>607</v>
      </c>
      <c r="M815" s="15" t="s">
        <v>520</v>
      </c>
      <c r="N815" s="1" t="s">
        <v>3189</v>
      </c>
      <c r="O815" s="15">
        <v>23</v>
      </c>
      <c r="P815" s="15">
        <v>2016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15" s="1"/>
      <c r="U815" s="1"/>
      <c r="V815" s="32" t="s">
        <v>3229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15" s="15" t="str">
        <f>_xlfn.TEXTBEFORE(_xlfn.TEXTAFTER(CantoralDB[[#This Row],[index.html]],"&gt;"),"&gt;")&amp;"&gt;"</f>
        <v>&lt;a href="canciones/ixcis/te_seguire.html"&gt;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3207</v>
      </c>
      <c r="C816" s="1"/>
      <c r="H816" s="1" t="s">
        <v>530</v>
      </c>
      <c r="I816" s="1" t="s">
        <v>2949</v>
      </c>
      <c r="J816" s="1" t="s">
        <v>607</v>
      </c>
      <c r="M816" s="15" t="s">
        <v>520</v>
      </c>
      <c r="N816" s="1" t="s">
        <v>3189</v>
      </c>
      <c r="O816" s="15">
        <v>24</v>
      </c>
      <c r="P816" s="15">
        <v>2016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16" s="1"/>
      <c r="U816" s="1"/>
      <c r="V816" s="32" t="s">
        <v>3230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16" s="15" t="str">
        <f>_xlfn.TEXTBEFORE(_xlfn.TEXTAFTER(CantoralDB[[#This Row],[index.html]],"&gt;"),"&gt;")&amp;"&gt;"</f>
        <v>&lt;a href="canciones/ixcis/proclama_mi_alma.html"&gt;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3153</v>
      </c>
      <c r="C817" s="1"/>
      <c r="H817" s="1" t="s">
        <v>530</v>
      </c>
      <c r="J817" s="1" t="s">
        <v>607</v>
      </c>
      <c r="M817" s="15" t="s">
        <v>520</v>
      </c>
      <c r="N817" s="1" t="s">
        <v>3152</v>
      </c>
      <c r="O817" s="15">
        <v>1</v>
      </c>
      <c r="P817" s="15">
        <v>2019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17" s="1"/>
      <c r="U817" s="1"/>
      <c r="V817" s="32" t="s">
        <v>3154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17" s="15" t="str">
        <f>_xlfn.TEXTBEFORE(_xlfn.TEXTAFTER(CantoralDB[[#This Row],[index.html]],"&gt;"),"&gt;")&amp;"&gt;"</f>
        <v>&lt;a href="canciones/ixcis/tanto_tiempo.html"&gt;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3155</v>
      </c>
      <c r="C818" s="1"/>
      <c r="H818" s="1" t="s">
        <v>530</v>
      </c>
      <c r="J818" s="1" t="s">
        <v>607</v>
      </c>
      <c r="M818" s="15" t="s">
        <v>520</v>
      </c>
      <c r="N818" s="1" t="s">
        <v>3152</v>
      </c>
      <c r="O818" s="15">
        <v>2</v>
      </c>
      <c r="P818" s="15">
        <v>2019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18" s="1"/>
      <c r="U818" s="1"/>
      <c r="V818" s="32" t="s">
        <v>3169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18" s="15" t="str">
        <f>_xlfn.TEXTBEFORE(_xlfn.TEXTAFTER(CantoralDB[[#This Row],[index.html]],"&gt;"),"&gt;")&amp;"&gt;"</f>
        <v>&lt;a href="canciones/ixcis/tu_en_mi_yo_en_todos.html"&gt;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3156</v>
      </c>
      <c r="C819" s="1"/>
      <c r="H819" s="1" t="s">
        <v>1029</v>
      </c>
      <c r="J819" s="1" t="s">
        <v>607</v>
      </c>
      <c r="M819" s="15" t="s">
        <v>520</v>
      </c>
      <c r="N819" s="1" t="s">
        <v>3152</v>
      </c>
      <c r="O819" s="15">
        <v>3</v>
      </c>
      <c r="P819" s="15">
        <v>2019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19" s="1"/>
      <c r="U819" s="1"/>
      <c r="V819" s="32" t="s">
        <v>3170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19" s="15" t="str">
        <f>_xlfn.TEXTBEFORE(_xlfn.TEXTAFTER(CantoralDB[[#This Row],[index.html]],"&gt;"),"&gt;")&amp;"&gt;"</f>
        <v>&lt;a href="canciones/ixcis/padre_me_ofrezco.html"&gt;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3157</v>
      </c>
      <c r="C820" s="1"/>
      <c r="H820" s="1" t="s">
        <v>1027</v>
      </c>
      <c r="J820" s="1" t="s">
        <v>607</v>
      </c>
      <c r="M820" s="15" t="s">
        <v>520</v>
      </c>
      <c r="N820" s="1" t="s">
        <v>3152</v>
      </c>
      <c r="O820" s="15">
        <v>4</v>
      </c>
      <c r="P820" s="15">
        <v>2019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20" s="1"/>
      <c r="U820" s="1"/>
      <c r="V820" s="32" t="s">
        <v>3171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20" s="15" t="str">
        <f>_xlfn.TEXTBEFORE(_xlfn.TEXTAFTER(CantoralDB[[#This Row],[index.html]],"&gt;"),"&gt;")&amp;"&gt;"</f>
        <v>&lt;a href="canciones/ixcis/dios_padre_y_madre.html"&gt;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3158</v>
      </c>
      <c r="C821" s="1"/>
      <c r="H821" s="1" t="s">
        <v>530</v>
      </c>
      <c r="J821" s="1" t="s">
        <v>607</v>
      </c>
      <c r="M821" s="15" t="s">
        <v>520</v>
      </c>
      <c r="N821" s="1" t="s">
        <v>3152</v>
      </c>
      <c r="O821" s="15">
        <v>5</v>
      </c>
      <c r="P821" s="15">
        <v>2019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21" s="1"/>
      <c r="U821" s="1"/>
      <c r="V821" s="32" t="s">
        <v>3172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21" s="15" t="str">
        <f>_xlfn.TEXTBEFORE(_xlfn.TEXTAFTER(CantoralDB[[#This Row],[index.html]],"&gt;"),"&gt;")&amp;"&gt;"</f>
        <v>&lt;a href="canciones/ixcis/dios_del_cielo.html"&gt;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3159</v>
      </c>
      <c r="C822" s="1"/>
      <c r="H822" s="1" t="s">
        <v>1029</v>
      </c>
      <c r="J822" s="1" t="s">
        <v>607</v>
      </c>
      <c r="M822" s="15" t="s">
        <v>520</v>
      </c>
      <c r="N822" s="1" t="s">
        <v>3152</v>
      </c>
      <c r="O822" s="15">
        <v>6</v>
      </c>
      <c r="P822" s="15">
        <v>2019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22" s="1"/>
      <c r="U822" s="1"/>
      <c r="V822" s="32" t="s">
        <v>3173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22" s="15" t="str">
        <f>_xlfn.TEXTBEFORE(_xlfn.TEXTAFTER(CantoralDB[[#This Row],[index.html]],"&gt;"),"&gt;")&amp;"&gt;"</f>
        <v>&lt;a href="canciones/ixcis/santificare_tu_nombre.html"&gt;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3160</v>
      </c>
      <c r="C823" s="1"/>
      <c r="H823" s="1" t="s">
        <v>530</v>
      </c>
      <c r="J823" s="1" t="s">
        <v>607</v>
      </c>
      <c r="M823" s="15" t="s">
        <v>520</v>
      </c>
      <c r="N823" s="1" t="s">
        <v>3152</v>
      </c>
      <c r="O823" s="15">
        <v>7</v>
      </c>
      <c r="P823" s="15">
        <v>2019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23" s="1"/>
      <c r="U823" s="1"/>
      <c r="V823" s="32" t="s">
        <v>3174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23" s="15" t="str">
        <f>_xlfn.TEXTBEFORE(_xlfn.TEXTAFTER(CantoralDB[[#This Row],[index.html]],"&gt;"),"&gt;")&amp;"&gt;"</f>
        <v>&lt;a href="canciones/ixcis/parabola_del_reino.html"&gt;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3161</v>
      </c>
      <c r="C824" s="1"/>
      <c r="H824" s="1" t="s">
        <v>472</v>
      </c>
      <c r="J824" s="1" t="s">
        <v>607</v>
      </c>
      <c r="M824" s="15" t="s">
        <v>520</v>
      </c>
      <c r="N824" s="1" t="s">
        <v>3152</v>
      </c>
      <c r="O824" s="15">
        <v>8</v>
      </c>
      <c r="P824" s="15">
        <v>2019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24" s="1"/>
      <c r="U824" s="1"/>
      <c r="V824" s="32" t="s">
        <v>3175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24" s="15" t="str">
        <f>_xlfn.TEXTBEFORE(_xlfn.TEXTAFTER(CantoralDB[[#This Row],[index.html]],"&gt;"),"&gt;")&amp;"&gt;"</f>
        <v>&lt;a href="canciones/ixcis/hacer_tu_voluntad.html"&gt;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3162</v>
      </c>
      <c r="C825" s="1"/>
      <c r="H825" s="1" t="s">
        <v>1026</v>
      </c>
      <c r="J825" s="1" t="s">
        <v>607</v>
      </c>
      <c r="M825" s="15" t="s">
        <v>520</v>
      </c>
      <c r="N825" s="1" t="s">
        <v>3152</v>
      </c>
      <c r="O825" s="15">
        <v>9</v>
      </c>
      <c r="P825" s="15">
        <v>2019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25" s="1"/>
      <c r="U825" s="1"/>
      <c r="V825" s="32" t="s">
        <v>3176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25" s="15" t="str">
        <f>_xlfn.TEXTBEFORE(_xlfn.TEXTAFTER(CantoralDB[[#This Row],[index.html]],"&gt;"),"&gt;")&amp;"&gt;"</f>
        <v>&lt;a href="canciones/ixcis/nueva_tierra.html"&gt;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3163</v>
      </c>
      <c r="C826" s="1"/>
      <c r="H826" s="1" t="s">
        <v>472</v>
      </c>
      <c r="J826" s="1" t="s">
        <v>607</v>
      </c>
      <c r="M826" s="15" t="s">
        <v>520</v>
      </c>
      <c r="N826" s="1" t="s">
        <v>3152</v>
      </c>
      <c r="O826" s="15">
        <v>10</v>
      </c>
      <c r="P826" s="15">
        <v>2019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26" s="1"/>
      <c r="U826" s="1"/>
      <c r="V826" s="32" t="s">
        <v>3177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26" s="15" t="str">
        <f>_xlfn.TEXTBEFORE(_xlfn.TEXTAFTER(CantoralDB[[#This Row],[index.html]],"&gt;"),"&gt;")&amp;"&gt;"</f>
        <v>&lt;a href="canciones/ixcis/danos_hoy.html"&gt;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3164</v>
      </c>
      <c r="C827" s="1"/>
      <c r="H827" s="1" t="s">
        <v>1026</v>
      </c>
      <c r="I827" s="1" t="s">
        <v>2949</v>
      </c>
      <c r="J827" s="1" t="s">
        <v>607</v>
      </c>
      <c r="M827" s="15" t="s">
        <v>520</v>
      </c>
      <c r="N827" s="1" t="s">
        <v>3152</v>
      </c>
      <c r="O827" s="15">
        <v>11</v>
      </c>
      <c r="P827" s="15">
        <v>2019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27" s="1"/>
      <c r="U827" s="1"/>
      <c r="V827" s="32" t="s">
        <v>3178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27" s="15" t="str">
        <f>_xlfn.TEXTBEFORE(_xlfn.TEXTAFTER(CantoralDB[[#This Row],[index.html]],"&gt;"),"&gt;")&amp;"&gt;"</f>
        <v>&lt;a href="canciones/ixcis/perdonanos.html"&gt;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3165</v>
      </c>
      <c r="C828" s="1"/>
      <c r="H828" s="1" t="s">
        <v>1029</v>
      </c>
      <c r="J828" s="1" t="s">
        <v>607</v>
      </c>
      <c r="M828" s="15" t="s">
        <v>520</v>
      </c>
      <c r="N828" s="1" t="s">
        <v>3152</v>
      </c>
      <c r="O828" s="15">
        <v>12</v>
      </c>
      <c r="P828" s="15">
        <v>2019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28" s="1"/>
      <c r="U828" s="1"/>
      <c r="V828" s="32" t="s">
        <v>3179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28" s="15" t="str">
        <f>_xlfn.TEXTBEFORE(_xlfn.TEXTAFTER(CantoralDB[[#This Row],[index.html]],"&gt;"),"&gt;")&amp;"&gt;"</f>
        <v>&lt;a href="canciones/ixcis/no_nos_dejes_caer.html"&gt;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3166</v>
      </c>
      <c r="C829" s="1"/>
      <c r="H829" s="1" t="s">
        <v>1026</v>
      </c>
      <c r="I829" s="1" t="s">
        <v>2949</v>
      </c>
      <c r="J829" s="1" t="s">
        <v>607</v>
      </c>
      <c r="M829" s="15" t="s">
        <v>520</v>
      </c>
      <c r="N829" s="1" t="s">
        <v>3152</v>
      </c>
      <c r="O829" s="15">
        <v>13</v>
      </c>
      <c r="P829" s="15">
        <v>2019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29" s="1"/>
      <c r="U829" s="1"/>
      <c r="V829" s="32" t="s">
        <v>3180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29" s="15" t="str">
        <f>_xlfn.TEXTBEFORE(_xlfn.TEXTAFTER(CantoralDB[[#This Row],[index.html]],"&gt;"),"&gt;")&amp;"&gt;"</f>
        <v>&lt;a href="canciones/ixcis/librame.html"&gt;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3167</v>
      </c>
      <c r="C830" s="1"/>
      <c r="H830" s="1" t="s">
        <v>1026</v>
      </c>
      <c r="J830" s="1" t="s">
        <v>607</v>
      </c>
      <c r="M830" s="15" t="s">
        <v>520</v>
      </c>
      <c r="N830" s="1" t="s">
        <v>3152</v>
      </c>
      <c r="O830" s="15">
        <v>14</v>
      </c>
      <c r="P830" s="15">
        <v>2019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30" s="1"/>
      <c r="U830" s="1"/>
      <c r="V830" s="32" t="s">
        <v>3181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30" s="15" t="str">
        <f>_xlfn.TEXTBEFORE(_xlfn.TEXTAFTER(CantoralDB[[#This Row],[index.html]],"&gt;"),"&gt;")&amp;"&gt;"</f>
        <v>&lt;a href="canciones/ixcis/tu_amen.html"&gt;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3168</v>
      </c>
      <c r="C831" s="1"/>
      <c r="H831" s="1" t="s">
        <v>1029</v>
      </c>
      <c r="J831" s="1" t="s">
        <v>607</v>
      </c>
      <c r="M831" s="15" t="s">
        <v>520</v>
      </c>
      <c r="N831" s="1" t="s">
        <v>3152</v>
      </c>
      <c r="O831" s="15">
        <v>15</v>
      </c>
      <c r="P831" s="15">
        <v>2019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31" s="1"/>
      <c r="U831" s="1"/>
      <c r="V831" s="32" t="s">
        <v>3182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31" s="15" t="str">
        <f>_xlfn.TEXTBEFORE(_xlfn.TEXTAFTER(CantoralDB[[#This Row],[index.html]],"&gt;"),"&gt;")&amp;"&gt;"</f>
        <v>&lt;a href="canciones/ixcis/somos_tu_pueblo.html"&gt;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3454</v>
      </c>
      <c r="C832" s="1"/>
      <c r="H832" s="1" t="s">
        <v>1026</v>
      </c>
      <c r="J832" s="1" t="s">
        <v>607</v>
      </c>
      <c r="M832" s="15" t="s">
        <v>520</v>
      </c>
      <c r="N832" s="1" t="s">
        <v>3152</v>
      </c>
      <c r="O832" s="15">
        <v>16</v>
      </c>
      <c r="P832" s="15">
        <v>2019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32" s="1"/>
      <c r="U832" s="1"/>
      <c r="V832" s="32" t="s">
        <v>3183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32" s="15" t="str">
        <f>_xlfn.TEXTBEFORE(_xlfn.TEXTAFTER(CantoralDB[[#This Row],[index.html]],"&gt;"),"&gt;")&amp;"&gt;"</f>
        <v>&lt;a href="canciones/ixcis/padrenuestro_ii.html"&gt;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3232</v>
      </c>
      <c r="C833" s="1"/>
      <c r="H833" s="1" t="s">
        <v>1029</v>
      </c>
      <c r="J833" s="1" t="s">
        <v>607</v>
      </c>
      <c r="M833" s="15" t="s">
        <v>520</v>
      </c>
      <c r="N833" s="1" t="s">
        <v>3231</v>
      </c>
      <c r="O833" s="15">
        <v>2</v>
      </c>
      <c r="P833" s="15">
        <v>2013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33" s="1"/>
      <c r="U833" s="1"/>
      <c r="V833" s="32" t="s">
        <v>3247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33" s="15" t="str">
        <f>_xlfn.TEXTBEFORE(_xlfn.TEXTAFTER(CantoralDB[[#This Row],[index.html]],"&gt;"),"&gt;")&amp;"&gt;"</f>
        <v>&lt;a href="canciones/ixcis/te_necesito.html"&gt;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3233</v>
      </c>
      <c r="C834" s="1"/>
      <c r="H834" s="1" t="s">
        <v>1029</v>
      </c>
      <c r="I834" s="1" t="s">
        <v>2953</v>
      </c>
      <c r="J834" s="1" t="s">
        <v>607</v>
      </c>
      <c r="M834" s="15" t="s">
        <v>520</v>
      </c>
      <c r="N834" s="1" t="s">
        <v>3231</v>
      </c>
      <c r="O834" s="15">
        <v>3</v>
      </c>
      <c r="P834" s="15">
        <v>2013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34" s="1"/>
      <c r="U834" s="1"/>
      <c r="V834" s="32" t="s">
        <v>3248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34" s="15" t="str">
        <f>_xlfn.TEXTBEFORE(_xlfn.TEXTAFTER(CantoralDB[[#This Row],[index.html]],"&gt;"),"&gt;")&amp;"&gt;"</f>
        <v>&lt;a href="canciones/ixcis/solo_quedas_tu.html"&gt;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3234</v>
      </c>
      <c r="C835" s="1"/>
      <c r="H835" s="1" t="s">
        <v>1029</v>
      </c>
      <c r="J835" s="1" t="s">
        <v>607</v>
      </c>
      <c r="M835" s="15" t="s">
        <v>520</v>
      </c>
      <c r="N835" s="1" t="s">
        <v>3231</v>
      </c>
      <c r="O835" s="15">
        <v>4</v>
      </c>
      <c r="P835" s="15">
        <v>2013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T835" s="1"/>
      <c r="U835" s="1"/>
      <c r="V835" s="32" t="s">
        <v>3249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X835" s="15" t="str">
        <f>_xlfn.TEXTBEFORE(_xlfn.TEXTAFTER(CantoralDB[[#This Row],[index.html]],"&gt;"),"&gt;")&amp;"&gt;"</f>
        <v>&lt;a href="canciones/ixcis/talihakum.html"&gt;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3235</v>
      </c>
      <c r="C836" s="1"/>
      <c r="H836" s="1" t="s">
        <v>1029</v>
      </c>
      <c r="I836" s="1" t="s">
        <v>2953</v>
      </c>
      <c r="J836" s="1" t="s">
        <v>607</v>
      </c>
      <c r="M836" s="15" t="s">
        <v>520</v>
      </c>
      <c r="N836" s="1" t="s">
        <v>3231</v>
      </c>
      <c r="O836" s="15">
        <v>5</v>
      </c>
      <c r="P836" s="15">
        <v>2013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836" s="1"/>
      <c r="U836" s="1"/>
      <c r="V836" s="32" t="s">
        <v>3250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836" s="15" t="str">
        <f>_xlfn.TEXTBEFORE(_xlfn.TEXTAFTER(CantoralDB[[#This Row],[index.html]],"&gt;"),"&gt;")&amp;"&gt;"</f>
        <v>&lt;a href="canciones/ixcis/cristianos_de_orilla.html"&gt;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3236</v>
      </c>
      <c r="C837" s="1"/>
      <c r="H837" s="1" t="s">
        <v>1026</v>
      </c>
      <c r="J837" s="1" t="s">
        <v>607</v>
      </c>
      <c r="M837" s="15" t="s">
        <v>520</v>
      </c>
      <c r="N837" s="1" t="s">
        <v>3231</v>
      </c>
      <c r="O837" s="15">
        <v>6</v>
      </c>
      <c r="P837" s="15">
        <v>2013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837" s="1"/>
      <c r="U837" s="1"/>
      <c r="V837" s="32" t="s">
        <v>3328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837" s="15" t="str">
        <f>_xlfn.TEXTBEFORE(_xlfn.TEXTAFTER(CantoralDB[[#This Row],[index.html]],"&gt;"),"&gt;")&amp;"&gt;"</f>
        <v>&lt;a href="canciones/ixcis/vive_lo_que_cantas.html"&gt;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3237</v>
      </c>
      <c r="C838" s="1"/>
      <c r="H838" s="1" t="s">
        <v>1029</v>
      </c>
      <c r="I838" s="1" t="s">
        <v>2952</v>
      </c>
      <c r="J838" s="1" t="s">
        <v>607</v>
      </c>
      <c r="M838" s="15" t="s">
        <v>520</v>
      </c>
      <c r="N838" s="1" t="s">
        <v>3231</v>
      </c>
      <c r="O838" s="15">
        <v>7</v>
      </c>
      <c r="P838" s="15">
        <v>2013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838" s="1"/>
      <c r="U838" s="1"/>
      <c r="V838" s="32" t="s">
        <v>3329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838" s="15" t="str">
        <f>_xlfn.TEXTBEFORE(_xlfn.TEXTAFTER(CantoralDB[[#This Row],[index.html]],"&gt;"),"&gt;")&amp;"&gt;"</f>
        <v>&lt;a href="canciones/ixcis/culpable.html"&gt;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3238</v>
      </c>
      <c r="C839" s="1"/>
      <c r="H839" s="1" t="s">
        <v>1028</v>
      </c>
      <c r="J839" s="1" t="s">
        <v>607</v>
      </c>
      <c r="M839" s="15" t="s">
        <v>520</v>
      </c>
      <c r="N839" s="1" t="s">
        <v>3231</v>
      </c>
      <c r="O839" s="15">
        <v>8</v>
      </c>
      <c r="P839" s="15">
        <v>2013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839" s="1"/>
      <c r="U839" s="1"/>
      <c r="V839" s="32" t="s">
        <v>3330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839" s="15" t="str">
        <f>_xlfn.TEXTBEFORE(_xlfn.TEXTAFTER(CantoralDB[[#This Row],[index.html]],"&gt;"),"&gt;")&amp;"&gt;"</f>
        <v>&lt;a href="canciones/ixcis/me_siento_perdonado.html"&gt;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3239</v>
      </c>
      <c r="C840" s="1"/>
      <c r="H840" s="1" t="s">
        <v>1026</v>
      </c>
      <c r="J840" s="1" t="s">
        <v>607</v>
      </c>
      <c r="M840" s="15" t="s">
        <v>520</v>
      </c>
      <c r="N840" s="1" t="s">
        <v>3231</v>
      </c>
      <c r="O840" s="15">
        <v>9</v>
      </c>
      <c r="P840" s="15">
        <v>2013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840" s="1"/>
      <c r="U840" s="1"/>
      <c r="V840" s="32" t="s">
        <v>3331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840" s="15" t="str">
        <f>_xlfn.TEXTBEFORE(_xlfn.TEXTAFTER(CantoralDB[[#This Row],[index.html]],"&gt;"),"&gt;")&amp;"&gt;"</f>
        <v>&lt;a href="canciones/ixcis/yo_te_alabo.html"&gt;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3240</v>
      </c>
      <c r="C841" s="1"/>
      <c r="H841" s="1" t="s">
        <v>472</v>
      </c>
      <c r="J841" s="1" t="s">
        <v>607</v>
      </c>
      <c r="M841" s="15" t="s">
        <v>520</v>
      </c>
      <c r="N841" s="1" t="s">
        <v>3231</v>
      </c>
      <c r="O841" s="15">
        <v>11</v>
      </c>
      <c r="P841" s="15">
        <v>2013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841" s="1"/>
      <c r="U841" s="1"/>
      <c r="V841" s="32" t="s">
        <v>3332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841" s="15" t="str">
        <f>_xlfn.TEXTBEFORE(_xlfn.TEXTAFTER(CantoralDB[[#This Row],[index.html]],"&gt;"),"&gt;")&amp;"&gt;"</f>
        <v>&lt;a href="canciones/ixcis/gracias_amigo_del_alma.html"&gt;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3241</v>
      </c>
      <c r="C842" s="1"/>
      <c r="H842" s="1" t="s">
        <v>1026</v>
      </c>
      <c r="J842" s="1" t="s">
        <v>607</v>
      </c>
      <c r="M842" s="15" t="s">
        <v>520</v>
      </c>
      <c r="N842" s="1" t="s">
        <v>3231</v>
      </c>
      <c r="O842" s="15">
        <v>12</v>
      </c>
      <c r="P842" s="15">
        <v>2013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842" s="1"/>
      <c r="U842" s="1"/>
      <c r="V842" s="32" t="s">
        <v>3333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842" s="15" t="str">
        <f>_xlfn.TEXTBEFORE(_xlfn.TEXTAFTER(CantoralDB[[#This Row],[index.html]],"&gt;"),"&gt;")&amp;"&gt;"</f>
        <v>&lt;a href="canciones/ixcis/adonde_vayas.html"&gt;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3242</v>
      </c>
      <c r="C843" s="1"/>
      <c r="H843" s="1" t="s">
        <v>530</v>
      </c>
      <c r="J843" s="1" t="s">
        <v>607</v>
      </c>
      <c r="M843" s="15" t="s">
        <v>520</v>
      </c>
      <c r="N843" s="1" t="s">
        <v>3231</v>
      </c>
      <c r="O843" s="15">
        <v>13</v>
      </c>
      <c r="P843" s="15">
        <v>2013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843" s="1"/>
      <c r="U843" s="1"/>
      <c r="V843" s="32" t="s">
        <v>3334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843" s="15" t="str">
        <f>_xlfn.TEXTBEFORE(_xlfn.TEXTAFTER(CantoralDB[[#This Row],[index.html]],"&gt;"),"&gt;")&amp;"&gt;"</f>
        <v>&lt;a href="canciones/ixcis/contigo.html"&gt;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3243</v>
      </c>
      <c r="C844" s="1"/>
      <c r="H844" s="1" t="s">
        <v>1028</v>
      </c>
      <c r="J844" s="1" t="s">
        <v>607</v>
      </c>
      <c r="M844" s="15" t="s">
        <v>520</v>
      </c>
      <c r="N844" s="1" t="s">
        <v>3231</v>
      </c>
      <c r="O844" s="15">
        <v>14</v>
      </c>
      <c r="P844" s="15">
        <v>2013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844" s="1"/>
      <c r="U844" s="1"/>
      <c r="V844" s="32" t="s">
        <v>3335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844" s="15" t="str">
        <f>_xlfn.TEXTBEFORE(_xlfn.TEXTAFTER(CantoralDB[[#This Row],[index.html]],"&gt;"),"&gt;")&amp;"&gt;"</f>
        <v>&lt;a href="canciones/ixcis/tu_mi_raiz.html"&gt;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3244</v>
      </c>
      <c r="C845" s="1"/>
      <c r="H845" s="1" t="s">
        <v>1027</v>
      </c>
      <c r="J845" s="1" t="s">
        <v>607</v>
      </c>
      <c r="M845" s="15" t="s">
        <v>520</v>
      </c>
      <c r="N845" s="1" t="s">
        <v>3231</v>
      </c>
      <c r="O845" s="15">
        <v>15</v>
      </c>
      <c r="P845" s="15">
        <v>2013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845" s="1"/>
      <c r="U845" s="1"/>
      <c r="V845" s="32" t="s">
        <v>3336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845" s="15" t="str">
        <f>_xlfn.TEXTBEFORE(_xlfn.TEXTAFTER(CantoralDB[[#This Row],[index.html]],"&gt;"),"&gt;")&amp;"&gt;"</f>
        <v>&lt;a href="canciones/ixcis/cuando_dos_se_aman.html"&gt;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3245</v>
      </c>
      <c r="C846" s="1"/>
      <c r="H846" s="1" t="s">
        <v>472</v>
      </c>
      <c r="I846" s="1" t="s">
        <v>2951</v>
      </c>
      <c r="J846" s="1" t="s">
        <v>607</v>
      </c>
      <c r="M846" s="15" t="s">
        <v>520</v>
      </c>
      <c r="N846" s="1" t="s">
        <v>3231</v>
      </c>
      <c r="O846" s="15">
        <v>16</v>
      </c>
      <c r="P846" s="15">
        <v>2013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846" s="1"/>
      <c r="U846" s="1"/>
      <c r="V846" s="32" t="s">
        <v>3337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846" s="15" t="str">
        <f>_xlfn.TEXTBEFORE(_xlfn.TEXTAFTER(CantoralDB[[#This Row],[index.html]],"&gt;"),"&gt;")&amp;"&gt;"</f>
        <v>&lt;a href="canciones/ixcis/un_poco_de_fe.html"&gt;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3246</v>
      </c>
      <c r="C847" s="1"/>
      <c r="H847" s="1" t="s">
        <v>530</v>
      </c>
      <c r="J847" s="1" t="s">
        <v>607</v>
      </c>
      <c r="M847" s="15" t="s">
        <v>520</v>
      </c>
      <c r="N847" s="1" t="s">
        <v>3231</v>
      </c>
      <c r="O847" s="15">
        <v>17</v>
      </c>
      <c r="P847" s="15">
        <v>2013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847" s="1"/>
      <c r="U847" s="1"/>
      <c r="V847" s="32" t="s">
        <v>3338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847" s="15" t="str">
        <f>_xlfn.TEXTBEFORE(_xlfn.TEXTAFTER(CantoralDB[[#This Row],[index.html]],"&gt;"),"&gt;")&amp;"&gt;"</f>
        <v>&lt;a href="canciones/ixcis/no_me_rendire.html"&gt;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213</v>
      </c>
      <c r="C848" s="1"/>
      <c r="H848" s="1" t="s">
        <v>472</v>
      </c>
      <c r="J848" s="1" t="s">
        <v>607</v>
      </c>
      <c r="M848" s="15" t="s">
        <v>520</v>
      </c>
      <c r="N848" s="1" t="s">
        <v>3231</v>
      </c>
      <c r="O848" s="15">
        <v>19</v>
      </c>
      <c r="P848" s="15">
        <v>2013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848" s="1"/>
      <c r="U848" s="1"/>
      <c r="V848" s="32" t="s">
        <v>3339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848" s="15" t="str">
        <f>_xlfn.TEXTBEFORE(_xlfn.TEXTAFTER(CantoralDB[[#This Row],[index.html]],"&gt;"),"&gt;")&amp;"&gt;"</f>
        <v>&lt;a href="canciones/ixcis/enviame.html"&gt;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10</v>
      </c>
      <c r="C849" s="1" t="s">
        <v>992</v>
      </c>
      <c r="D849" s="1" t="s">
        <v>1035</v>
      </c>
      <c r="E849" s="1">
        <v>12</v>
      </c>
      <c r="G849" s="1" t="s">
        <v>208</v>
      </c>
      <c r="H849" s="1" t="s">
        <v>530</v>
      </c>
      <c r="J849" s="1" t="s">
        <v>607</v>
      </c>
      <c r="M849" s="15" t="s">
        <v>484</v>
      </c>
      <c r="O849" s="15"/>
      <c r="P849" s="15"/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849" s="1" t="s">
        <v>799</v>
      </c>
      <c r="U849" s="1"/>
      <c r="V849" s="32" t="s">
        <v>3069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849" s="15" t="str">
        <f>_xlfn.TEXTBEFORE(_xlfn.TEXTAFTER(CantoralDB[[#This Row],[index.html]],"&gt;"),"&gt;")&amp;"&gt;"</f>
        <v>&lt;a href="canciones/joaquin_madurga/al_ver_jesus.html"&gt;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230</v>
      </c>
      <c r="C850" s="1" t="s">
        <v>193</v>
      </c>
      <c r="D850" s="1" t="s">
        <v>646</v>
      </c>
      <c r="G850" s="1" t="s">
        <v>208</v>
      </c>
      <c r="H850" s="1" t="s">
        <v>1028</v>
      </c>
      <c r="J850" s="1" t="s">
        <v>607</v>
      </c>
      <c r="M850" s="15" t="s">
        <v>484</v>
      </c>
      <c r="O850" s="15"/>
      <c r="P850" s="15"/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850" s="1"/>
      <c r="U850" s="1"/>
      <c r="V850" s="32" t="s">
        <v>3665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850" s="15" t="str">
        <f>_xlfn.TEXTBEFORE(_xlfn.TEXTAFTER(CantoralDB[[#This Row],[index.html]],"&gt;"),"&gt;")&amp;"&gt;"</f>
        <v>&lt;a href="canciones/joaquin_madurga/aleluya_ha_nacido_el_salvador.html"&gt;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25</v>
      </c>
      <c r="C851" s="1" t="s">
        <v>194</v>
      </c>
      <c r="D851" s="1" t="s">
        <v>1382</v>
      </c>
      <c r="E851" s="1">
        <v>26</v>
      </c>
      <c r="G851" s="1" t="s">
        <v>208</v>
      </c>
      <c r="H851" s="1" t="s">
        <v>530</v>
      </c>
      <c r="I851" s="1" t="s">
        <v>2952</v>
      </c>
      <c r="J851" s="1" t="s">
        <v>607</v>
      </c>
      <c r="M851" s="15" t="s">
        <v>484</v>
      </c>
      <c r="O851" s="15"/>
      <c r="P851" s="15"/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851" s="1" t="s">
        <v>804</v>
      </c>
      <c r="U851" s="1"/>
      <c r="V851" s="32" t="s">
        <v>3070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851" s="15" t="str">
        <f>_xlfn.TEXTBEFORE(_xlfn.TEXTAFTER(CantoralDB[[#This Row],[index.html]],"&gt;"),"&gt;")&amp;"&gt;"</f>
        <v>&lt;a href="canciones/joaquin_madurga/andando_por_el_camino.html"&gt;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1178</v>
      </c>
      <c r="C852" s="1"/>
      <c r="E852" s="1">
        <v>48</v>
      </c>
      <c r="H852" s="1" t="s">
        <v>1029</v>
      </c>
      <c r="J852" s="1" t="s">
        <v>607</v>
      </c>
      <c r="M852" s="15" t="s">
        <v>484</v>
      </c>
      <c r="O852" s="15"/>
      <c r="P852" s="15"/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852" s="1"/>
      <c r="U852" s="1"/>
      <c r="V852" s="32" t="s">
        <v>3072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852" s="15" t="str">
        <f>_xlfn.TEXTBEFORE(_xlfn.TEXTAFTER(CantoralDB[[#This Row],[index.html]],"&gt;"),"&gt;")&amp;"&gt;"</f>
        <v>&lt;a href="canciones/joaquin_madurga/comiendo_del_mismo_pan.html"&gt;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47</v>
      </c>
      <c r="C853" s="1" t="s">
        <v>194</v>
      </c>
      <c r="D853" s="1" t="s">
        <v>1409</v>
      </c>
      <c r="E853" s="1">
        <v>84</v>
      </c>
      <c r="G853" s="1" t="s">
        <v>208</v>
      </c>
      <c r="H853" s="1" t="s">
        <v>530</v>
      </c>
      <c r="I853" s="1" t="s">
        <v>2951</v>
      </c>
      <c r="J853" s="1" t="s">
        <v>607</v>
      </c>
      <c r="M853" s="15" t="s">
        <v>484</v>
      </c>
      <c r="O853" s="15"/>
      <c r="P853" s="15"/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853" s="1"/>
      <c r="U853" s="1"/>
      <c r="V853" s="32" t="s">
        <v>3073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853" s="15" t="str">
        <f>_xlfn.TEXTBEFORE(_xlfn.TEXTAFTER(CantoralDB[[#This Row],[index.html]],"&gt;"),"&gt;")&amp;"&gt;"</f>
        <v>&lt;a href="canciones/joaquin_madurga/donde_hay_caridad_y_amor.html"&gt;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223</v>
      </c>
      <c r="C854" s="1" t="s">
        <v>190</v>
      </c>
      <c r="D854" s="1" t="s">
        <v>735</v>
      </c>
      <c r="G854" s="1" t="s">
        <v>215</v>
      </c>
      <c r="H854" s="1" t="s">
        <v>1027</v>
      </c>
      <c r="J854" s="1" t="s">
        <v>607</v>
      </c>
      <c r="M854" s="15" t="s">
        <v>484</v>
      </c>
      <c r="O854" s="15"/>
      <c r="P854" s="15"/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854" s="1"/>
      <c r="U854" s="1"/>
      <c r="V854" s="32" t="s">
        <v>3071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854" s="15" t="str">
        <f>_xlfn.TEXTBEFORE(_xlfn.TEXTAFTER(CantoralDB[[#This Row],[index.html]],"&gt;"),"&gt;")&amp;"&gt;"</f>
        <v>&lt;a href="canciones/joaquin_madurga/el_señor_resucito.html"&gt;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65</v>
      </c>
      <c r="C855" s="1" t="s">
        <v>190</v>
      </c>
      <c r="D855" s="1" t="s">
        <v>739</v>
      </c>
      <c r="E855" s="1">
        <v>122</v>
      </c>
      <c r="G855" s="1" t="s">
        <v>208</v>
      </c>
      <c r="H855" s="1" t="s">
        <v>530</v>
      </c>
      <c r="J855" s="1" t="s">
        <v>607</v>
      </c>
      <c r="M855" s="15" t="s">
        <v>484</v>
      </c>
      <c r="O855" s="15"/>
      <c r="P855" s="15"/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855" s="1"/>
      <c r="U855" s="1"/>
      <c r="V855" s="32" t="s">
        <v>3074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855" s="15" t="str">
        <f>_xlfn.TEXTBEFORE(_xlfn.TEXTAFTER(CantoralDB[[#This Row],[index.html]],"&gt;"),"&gt;")&amp;"&gt;"</f>
        <v>&lt;a href="canciones/joaquin_madurga/esta_es_tu_fiesta.html"&gt;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155</v>
      </c>
      <c r="C856" s="1" t="s">
        <v>190</v>
      </c>
      <c r="D856" s="1" t="s">
        <v>754</v>
      </c>
      <c r="E856" s="1">
        <v>275</v>
      </c>
      <c r="G856" s="1" t="s">
        <v>208</v>
      </c>
      <c r="H856" s="1" t="s">
        <v>1029</v>
      </c>
      <c r="I856" s="1" t="s">
        <v>2952</v>
      </c>
      <c r="J856" s="1" t="s">
        <v>607</v>
      </c>
      <c r="M856" s="15" t="s">
        <v>484</v>
      </c>
      <c r="O856" s="15"/>
      <c r="P856" s="15"/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856" s="1"/>
      <c r="U856" s="1"/>
      <c r="V856" s="32" t="s">
        <v>3075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856" s="15" t="str">
        <f>_xlfn.TEXTBEFORE(_xlfn.TEXTAFTER(CantoralDB[[#This Row],[index.html]],"&gt;"),"&gt;")&amp;"&gt;"</f>
        <v>&lt;a href="canciones/joaquin_madurga/unidos_en_la_fiesta.html"&gt;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1343</v>
      </c>
      <c r="C857" s="1"/>
      <c r="E857" s="1">
        <v>287</v>
      </c>
      <c r="H857" s="1" t="s">
        <v>1027</v>
      </c>
      <c r="J857" s="1" t="s">
        <v>607</v>
      </c>
      <c r="M857" s="15" t="s">
        <v>484</v>
      </c>
      <c r="O857" s="15"/>
      <c r="P857" s="15"/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857" s="1"/>
      <c r="U857" s="1"/>
      <c r="V857" s="32" t="s">
        <v>3076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857" s="15" t="str">
        <f>_xlfn.TEXTBEFORE(_xlfn.TEXTAFTER(CantoralDB[[#This Row],[index.html]],"&gt;"),"&gt;")&amp;"&gt;"</f>
        <v>&lt;a href="canciones/joaquin_madurga/vamos_buscando_la_verdad.html"&gt;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171</v>
      </c>
      <c r="C858" s="1" t="s">
        <v>992</v>
      </c>
      <c r="D858" s="1" t="s">
        <v>1032</v>
      </c>
      <c r="F858" s="1">
        <v>400</v>
      </c>
      <c r="G858" s="1" t="s">
        <v>208</v>
      </c>
      <c r="H858" s="1" t="s">
        <v>1029</v>
      </c>
      <c r="J858" s="1" t="s">
        <v>607</v>
      </c>
      <c r="M858" s="15" t="s">
        <v>538</v>
      </c>
      <c r="O858" s="15"/>
      <c r="P858" s="15"/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858" s="1"/>
      <c r="U858" s="1"/>
      <c r="V858" s="15"/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X858" s="15" t="str">
        <f>_xlfn.TEXTBEFORE(_xlfn.TEXTAFTER(CantoralDB[[#This Row],[index.html]],"&gt;"),"&gt;")&amp;"&gt;"</f>
        <v>&lt;a href="canciones/josep_asuncion/adorare_tu_cuerpo_herido.html"&gt;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2665</v>
      </c>
      <c r="C859" s="1"/>
      <c r="F859" s="1">
        <v>291</v>
      </c>
      <c r="J859" s="1"/>
      <c r="M859" s="15" t="s">
        <v>538</v>
      </c>
      <c r="O859" s="15"/>
      <c r="P859" s="15"/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859" s="1"/>
      <c r="U859" s="1"/>
      <c r="V859" s="15"/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X859" s="15" t="str">
        <f>_xlfn.TEXTBEFORE(_xlfn.TEXTAFTER(CantoralDB[[#This Row],[index.html]],"&gt;"),"&gt;")&amp;"&gt;"</f>
        <v>&lt;a href="canciones/josep_asuncion/alabandote.html"&gt;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2476</v>
      </c>
      <c r="C860" s="1"/>
      <c r="F860" s="1">
        <v>94</v>
      </c>
      <c r="J860" s="1"/>
      <c r="M860" s="15" t="s">
        <v>538</v>
      </c>
      <c r="O860" s="15"/>
      <c r="P860" s="15"/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860" s="1"/>
      <c r="U860" s="1"/>
      <c r="V860" s="15"/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X860" s="15" t="str">
        <f>_xlfn.TEXTBEFORE(_xlfn.TEXTAFTER(CantoralDB[[#This Row],[index.html]],"&gt;"),"&gt;")&amp;"&gt;"</f>
        <v>&lt;a href="canciones/josep_asuncion/amor_loco.html"&gt;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2527</v>
      </c>
      <c r="C861" s="1"/>
      <c r="F861" s="1">
        <v>141</v>
      </c>
      <c r="J861" s="1"/>
      <c r="M861" s="15" t="s">
        <v>538</v>
      </c>
      <c r="O861" s="15"/>
      <c r="P861" s="15"/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861" s="1"/>
      <c r="U861" s="1"/>
      <c r="V861" s="15"/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X861" s="15" t="str">
        <f>_xlfn.TEXTBEFORE(_xlfn.TEXTAFTER(CantoralDB[[#This Row],[index.html]],"&gt;"),"&gt;")&amp;"&gt;"</f>
        <v>&lt;a href="canciones/josep_asuncion/como_las_tiendas_de_quedar.html"&gt;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2553</v>
      </c>
      <c r="C862" s="1"/>
      <c r="F862" s="1">
        <v>165</v>
      </c>
      <c r="J862" s="1"/>
      <c r="M862" s="15" t="s">
        <v>538</v>
      </c>
      <c r="O862" s="15"/>
      <c r="P862" s="15"/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862" s="1"/>
      <c r="U862" s="1"/>
      <c r="V862" s="32" t="s">
        <v>4592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X862" s="15" t="str">
        <f>_xlfn.TEXTBEFORE(_xlfn.TEXTAFTER(CantoralDB[[#This Row],[index.html]],"&gt;"),"&gt;")&amp;"&gt;"</f>
        <v>&lt;a href="canciones/josep_asuncion/dos_mil_años_de_luz.html"&gt;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2411</v>
      </c>
      <c r="C863" s="1"/>
      <c r="F863" s="1">
        <v>34</v>
      </c>
      <c r="J863" s="1"/>
      <c r="M863" s="15" t="s">
        <v>538</v>
      </c>
      <c r="O863" s="15"/>
      <c r="P863" s="15"/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863" s="1"/>
      <c r="U863" s="1"/>
      <c r="V863" s="15"/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X863" s="15" t="str">
        <f>_xlfn.TEXTBEFORE(_xlfn.TEXTAFTER(CantoralDB[[#This Row],[index.html]],"&gt;"),"&gt;")&amp;"&gt;"</f>
        <v>&lt;a href="canciones/josep_asuncion/en_quien_me_fijare.html"&gt;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2658</v>
      </c>
      <c r="C864" s="1"/>
      <c r="F864" s="1">
        <v>282</v>
      </c>
      <c r="J864" s="1"/>
      <c r="M864" s="15" t="s">
        <v>538</v>
      </c>
      <c r="O864" s="15"/>
      <c r="P864" s="15"/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864" s="1"/>
      <c r="U864" s="1"/>
      <c r="V864" s="15"/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X864" s="15" t="str">
        <f>_xlfn.TEXTBEFORE(_xlfn.TEXTAFTER(CantoralDB[[#This Row],[index.html]],"&gt;"),"&gt;")&amp;"&gt;"</f>
        <v>&lt;a href="canciones/josep_asuncion/gloriosa_luz_de_dios.html"&gt;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2669</v>
      </c>
      <c r="C865" s="1"/>
      <c r="F865" s="1">
        <v>295</v>
      </c>
      <c r="J865" s="1"/>
      <c r="M865" s="15" t="s">
        <v>538</v>
      </c>
      <c r="O865" s="15"/>
      <c r="P865" s="15"/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865" s="1"/>
      <c r="U865" s="1"/>
      <c r="V865" s="15"/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X865" s="15" t="str">
        <f>_xlfn.TEXTBEFORE(_xlfn.TEXTAFTER(CantoralDB[[#This Row],[index.html]],"&gt;"),"&gt;")&amp;"&gt;"</f>
        <v>&lt;a href="canciones/josep_asuncion/me_basta_tu_presencia_y_tu_figura.html"&gt;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2498</v>
      </c>
      <c r="C866" s="1"/>
      <c r="F866" s="1">
        <v>118</v>
      </c>
      <c r="J866" s="1"/>
      <c r="M866" s="15" t="s">
        <v>538</v>
      </c>
      <c r="O866" s="15"/>
      <c r="P866" s="15"/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866" s="1"/>
      <c r="U866" s="1"/>
      <c r="V866" s="32" t="s">
        <v>4587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X866" s="15" t="str">
        <f>_xlfn.TEXTBEFORE(_xlfn.TEXTAFTER(CantoralDB[[#This Row],[index.html]],"&gt;"),"&gt;")&amp;"&gt;"</f>
        <v>&lt;a href="canciones/josep_asuncion/te_cubrire.html"&gt;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2458</v>
      </c>
      <c r="C867" s="1"/>
      <c r="F867" s="1">
        <v>77</v>
      </c>
      <c r="J867" s="1"/>
      <c r="M867" s="15" t="s">
        <v>538</v>
      </c>
      <c r="O867" s="15"/>
      <c r="P867" s="15"/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867" s="1"/>
      <c r="U867" s="1"/>
      <c r="V867" s="15"/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X867" s="15" t="str">
        <f>_xlfn.TEXTBEFORE(_xlfn.TEXTAFTER(CantoralDB[[#This Row],[index.html]],"&gt;"),"&gt;")&amp;"&gt;"</f>
        <v>&lt;a href="canciones/josep_asuncion/ven_y_dejate_llevar.html"&gt;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592</v>
      </c>
      <c r="C868" s="1" t="s">
        <v>200</v>
      </c>
      <c r="D868" s="1" t="s">
        <v>676</v>
      </c>
      <c r="F868" s="1">
        <v>368</v>
      </c>
      <c r="G868" s="1" t="s">
        <v>212</v>
      </c>
      <c r="H868" s="1" t="s">
        <v>530</v>
      </c>
      <c r="J868" s="1" t="s">
        <v>607</v>
      </c>
      <c r="M868" s="15" t="s">
        <v>538</v>
      </c>
      <c r="O868" s="15"/>
      <c r="P868" s="15"/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868" s="1"/>
      <c r="U868" s="1"/>
      <c r="V868" s="15"/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X868" s="15" t="str">
        <f>_xlfn.TEXTBEFORE(_xlfn.TEXTAFTER(CantoralDB[[#This Row],[index.html]],"&gt;"),"&gt;")&amp;"&gt;"</f>
        <v>&lt;a href="canciones/josep_asuncion/ven_y_descansate.html"&gt;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228</v>
      </c>
      <c r="C869" s="1" t="s">
        <v>200</v>
      </c>
      <c r="D869" s="1" t="s">
        <v>1358</v>
      </c>
      <c r="E869" s="1">
        <v>4</v>
      </c>
      <c r="G869" s="1" t="s">
        <v>215</v>
      </c>
      <c r="H869" s="1" t="s">
        <v>1029</v>
      </c>
      <c r="J869" s="1" t="s">
        <v>607</v>
      </c>
      <c r="M869" s="15" t="s">
        <v>490</v>
      </c>
      <c r="O869" s="15"/>
      <c r="P869" s="15"/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869" s="1"/>
      <c r="U869" s="1"/>
      <c r="V869" s="32" t="s">
        <v>3036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869" s="15" t="str">
        <f>_xlfn.TEXTBEFORE(_xlfn.TEXTAFTER(CantoralDB[[#This Row],[index.html]],"&gt;"),"&gt;")&amp;"&gt;"</f>
        <v>&lt;a href="canciones/juan_antonio_espinosa/a_dios_den_gracias_los_pueblos.html"&gt;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11</v>
      </c>
      <c r="C870" s="1" t="s">
        <v>190</v>
      </c>
      <c r="D870" s="1" t="s">
        <v>1367</v>
      </c>
      <c r="E870" s="1">
        <v>16</v>
      </c>
      <c r="F870" s="1">
        <v>301</v>
      </c>
      <c r="G870" s="1" t="s">
        <v>208</v>
      </c>
      <c r="H870" s="1" t="s">
        <v>1026</v>
      </c>
      <c r="I870" s="1" t="s">
        <v>2952</v>
      </c>
      <c r="J870" s="1" t="s">
        <v>607</v>
      </c>
      <c r="M870" s="15" t="s">
        <v>490</v>
      </c>
      <c r="O870" s="15"/>
      <c r="P870" s="15"/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870" s="1"/>
      <c r="U870" s="1"/>
      <c r="V870" s="32" t="s">
        <v>3077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X870" s="15" t="str">
        <f>_xlfn.TEXTBEFORE(_xlfn.TEXTAFTER(CantoralDB[[#This Row],[index.html]],"&gt;"),"&gt;")&amp;"&gt;"</f>
        <v>&lt;a href="canciones/juan_antonio_espinosa/alegre_la_mañana.html"&gt;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1170</v>
      </c>
      <c r="C871" s="1" t="s">
        <v>190</v>
      </c>
      <c r="D871" s="1" t="s">
        <v>1391</v>
      </c>
      <c r="E871" s="1">
        <v>35</v>
      </c>
      <c r="G871" s="1" t="s">
        <v>208</v>
      </c>
      <c r="H871" s="1" t="s">
        <v>1029</v>
      </c>
      <c r="I871" s="1" t="s">
        <v>2952</v>
      </c>
      <c r="J871" s="1" t="s">
        <v>607</v>
      </c>
      <c r="M871" s="15" t="s">
        <v>490</v>
      </c>
      <c r="O871" s="15"/>
      <c r="P871" s="15"/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871" s="1"/>
      <c r="U871" s="1"/>
      <c r="V871" s="32" t="s">
        <v>3078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871" s="15" t="str">
        <f>_xlfn.TEXTBEFORE(_xlfn.TEXTAFTER(CantoralDB[[#This Row],[index.html]],"&gt;"),"&gt;")&amp;"&gt;"</f>
        <v>&lt;a href="canciones/juan_antonio_espinosa/caminamos_hacia_el_sol.html"&gt;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1171</v>
      </c>
      <c r="C872" s="1"/>
      <c r="E872" s="1">
        <v>39</v>
      </c>
      <c r="H872" s="1" t="s">
        <v>1029</v>
      </c>
      <c r="J872" s="1" t="s">
        <v>607</v>
      </c>
      <c r="M872" s="15" t="s">
        <v>490</v>
      </c>
      <c r="O872" s="15"/>
      <c r="P872" s="15"/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T872" s="1"/>
      <c r="U872" s="1"/>
      <c r="V872" s="32" t="s">
        <v>3079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X872" s="15" t="str">
        <f>_xlfn.TEXTBEFORE(_xlfn.TEXTAFTER(CantoralDB[[#This Row],[index.html]],"&gt;"),"&gt;")&amp;"&gt;"</f>
        <v>&lt;a href="canciones/juan_antonio_espinosa/caminare_en_presencia_del_señor.html"&gt;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1196</v>
      </c>
      <c r="C873" s="1"/>
      <c r="E873" s="1">
        <v>73</v>
      </c>
      <c r="H873" s="1" t="s">
        <v>1029</v>
      </c>
      <c r="J873" s="1" t="s">
        <v>607</v>
      </c>
      <c r="M873" s="15" t="s">
        <v>490</v>
      </c>
      <c r="O873" s="15"/>
      <c r="P873" s="15"/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873" s="1"/>
      <c r="U873" s="1"/>
      <c r="V873" s="32" t="s">
        <v>3080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873" s="15" t="str">
        <f>_xlfn.TEXTBEFORE(_xlfn.TEXTAFTER(CantoralDB[[#This Row],[index.html]],"&gt;"),"&gt;")&amp;"&gt;"</f>
        <v>&lt;a href="canciones/juan_antonio_espinosa/dad_gracias_al_señor_porque_es_bueno.html"&gt;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43</v>
      </c>
      <c r="C874" s="1" t="s">
        <v>992</v>
      </c>
      <c r="D874" s="1" t="s">
        <v>693</v>
      </c>
      <c r="E874" s="1">
        <v>75</v>
      </c>
      <c r="G874" s="1" t="s">
        <v>208</v>
      </c>
      <c r="H874" s="1" t="s">
        <v>530</v>
      </c>
      <c r="I874" s="1" t="s">
        <v>2951</v>
      </c>
      <c r="J874" s="1" t="s">
        <v>607</v>
      </c>
      <c r="M874" s="15" t="s">
        <v>490</v>
      </c>
      <c r="O874" s="15"/>
      <c r="P874" s="15"/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874" s="1" t="s">
        <v>818</v>
      </c>
      <c r="U874" s="1"/>
      <c r="V874" s="32" t="s">
        <v>3081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874" s="15" t="str">
        <f>_xlfn.TEXTBEFORE(_xlfn.TEXTAFTER(CantoralDB[[#This Row],[index.html]],"&gt;"),"&gt;")&amp;"&gt;"</f>
        <v>&lt;a href="canciones/juan_antonio_espinosa/danos_un_corazon.html"&gt;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46</v>
      </c>
      <c r="C875" s="1" t="s">
        <v>992</v>
      </c>
      <c r="D875" s="1" t="s">
        <v>695</v>
      </c>
      <c r="E875" s="1">
        <v>77</v>
      </c>
      <c r="G875" s="1" t="s">
        <v>208</v>
      </c>
      <c r="H875" s="1" t="s">
        <v>530</v>
      </c>
      <c r="I875" s="1" t="s">
        <v>2953</v>
      </c>
      <c r="J875" s="1" t="s">
        <v>607</v>
      </c>
      <c r="M875" s="15" t="s">
        <v>490</v>
      </c>
      <c r="O875" s="15"/>
      <c r="P875" s="15"/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875" s="1" t="s">
        <v>820</v>
      </c>
      <c r="U875" s="1"/>
      <c r="V875" s="32" t="s">
        <v>3082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875" s="15" t="str">
        <f>_xlfn.TEXTBEFORE(_xlfn.TEXTAFTER(CantoralDB[[#This Row],[index.html]],"&gt;"),"&gt;")&amp;"&gt;"</f>
        <v>&lt;a href="canciones/juan_antonio_espinosa/dolorosa.html"&gt;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1217</v>
      </c>
      <c r="C876" s="1"/>
      <c r="E876" s="1">
        <v>102</v>
      </c>
      <c r="H876" s="1" t="s">
        <v>530</v>
      </c>
      <c r="J876" s="1" t="s">
        <v>607</v>
      </c>
      <c r="M876" s="15" t="s">
        <v>490</v>
      </c>
      <c r="O876" s="15"/>
      <c r="P876" s="15"/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876" s="1"/>
      <c r="U876" s="1"/>
      <c r="V876" s="32" t="s">
        <v>2975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876" s="15" t="str">
        <f>_xlfn.TEXTBEFORE(_xlfn.TEXTAFTER(CantoralDB[[#This Row],[index.html]],"&gt;"),"&gt;")&amp;"&gt;"</f>
        <v>&lt;a href="canciones/juan_antonio_espinosa/el_señor_es_mi_fuerza.html"&gt;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58</v>
      </c>
      <c r="C877" s="1" t="s">
        <v>194</v>
      </c>
      <c r="D877" s="1" t="s">
        <v>1417</v>
      </c>
      <c r="E877" s="1">
        <v>94</v>
      </c>
      <c r="G877" s="1" t="s">
        <v>208</v>
      </c>
      <c r="H877" s="1" t="s">
        <v>530</v>
      </c>
      <c r="I877" s="1" t="s">
        <v>2952</v>
      </c>
      <c r="J877" s="1" t="s">
        <v>607</v>
      </c>
      <c r="M877" s="15" t="s">
        <v>490</v>
      </c>
      <c r="O877" s="15"/>
      <c r="P877" s="15"/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877" s="1"/>
      <c r="U877" s="1"/>
      <c r="V877" s="32" t="s">
        <v>3083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877" s="15" t="str">
        <f>_xlfn.TEXTBEFORE(_xlfn.TEXTAFTER(CantoralDB[[#This Row],[index.html]],"&gt;"),"&gt;")&amp;"&gt;"</f>
        <v>&lt;a href="canciones/juan_antonio_espinosa/en_la_comida_que_cristo_nos_da.html"&gt;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2114</v>
      </c>
      <c r="C878" s="1"/>
      <c r="E878" s="1">
        <v>108</v>
      </c>
      <c r="H878" s="1" t="s">
        <v>530</v>
      </c>
      <c r="J878" s="1" t="s">
        <v>607</v>
      </c>
      <c r="M878" s="15" t="s">
        <v>490</v>
      </c>
      <c r="O878" s="15"/>
      <c r="P878" s="15"/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878" s="1"/>
      <c r="U878" s="1"/>
      <c r="V878" s="32" t="s">
        <v>3084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878" s="15" t="str">
        <f>_xlfn.TEXTBEFORE(_xlfn.TEXTAFTER(CantoralDB[[#This Row],[index.html]],"&gt;"),"&gt;")&amp;"&gt;"</f>
        <v>&lt;a href="canciones/juan_antonio_espinosa/errante_voy.html"&gt;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2899</v>
      </c>
      <c r="C879" s="1"/>
      <c r="E879" s="1">
        <v>117</v>
      </c>
      <c r="H879" s="1" t="s">
        <v>1042</v>
      </c>
      <c r="J879" s="1" t="s">
        <v>607</v>
      </c>
      <c r="M879" s="15" t="s">
        <v>490</v>
      </c>
      <c r="O879" s="15"/>
      <c r="P879" s="15"/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879" s="1"/>
      <c r="U879" s="1"/>
      <c r="V879" s="15"/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879" s="15" t="str">
        <f>_xlfn.TEXTBEFORE(_xlfn.TEXTAFTER(CantoralDB[[#This Row],[index.html]],"&gt;"),"&gt;")&amp;"&gt;"</f>
        <v>&lt;a href="canciones/juan_antonio_espinosa/escucha_nuestros_gritos_en_la_noche.html"&gt;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932</v>
      </c>
      <c r="C880" s="1"/>
      <c r="E880" s="1">
        <v>121</v>
      </c>
      <c r="H880" s="1" t="s">
        <v>1026</v>
      </c>
      <c r="J880" s="1" t="s">
        <v>607</v>
      </c>
      <c r="M880" s="15" t="s">
        <v>490</v>
      </c>
      <c r="O880" s="15"/>
      <c r="P880" s="15"/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880" s="1"/>
      <c r="U880" s="1"/>
      <c r="V880" s="15"/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880" s="15" t="str">
        <f>_xlfn.TEXTBEFORE(_xlfn.TEXTAFTER(CantoralDB[[#This Row],[index.html]],"&gt;"),"&gt;")&amp;"&gt;"</f>
        <v>&lt;a href="canciones/juan_antonio_espinosa/este_es_el_dia_del_señor.html"&gt;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1255</v>
      </c>
      <c r="C881" s="1"/>
      <c r="E881" s="1">
        <v>125</v>
      </c>
      <c r="H881" s="1" t="s">
        <v>1027</v>
      </c>
      <c r="J881" s="1" t="s">
        <v>607</v>
      </c>
      <c r="M881" s="15" t="s">
        <v>490</v>
      </c>
      <c r="O881" s="15"/>
      <c r="P881" s="15"/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881" s="1"/>
      <c r="U881" s="1"/>
      <c r="V881" s="15"/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881" s="15" t="str">
        <f>_xlfn.TEXTBEFORE(_xlfn.TEXTAFTER(CantoralDB[[#This Row],[index.html]],"&gt;"),"&gt;")&amp;"&gt;"</f>
        <v>&lt;a href="canciones/juan_antonio_espinosa/feliz_el_hombre.html"&gt;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88</v>
      </c>
      <c r="C882" s="1" t="s">
        <v>199</v>
      </c>
      <c r="D882" s="1" t="s">
        <v>1439</v>
      </c>
      <c r="E882" s="1">
        <v>163</v>
      </c>
      <c r="G882" s="1" t="s">
        <v>208</v>
      </c>
      <c r="H882" s="1" t="s">
        <v>530</v>
      </c>
      <c r="I882" s="1" t="s">
        <v>2951</v>
      </c>
      <c r="J882" s="1" t="s">
        <v>607</v>
      </c>
      <c r="M882" s="15" t="s">
        <v>490</v>
      </c>
      <c r="O882" s="15"/>
      <c r="P882" s="15"/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882" s="1"/>
      <c r="U882" s="1"/>
      <c r="V882" s="15"/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882" s="15" t="str">
        <f>_xlfn.TEXTBEFORE(_xlfn.TEXTAFTER(CantoralDB[[#This Row],[index.html]],"&gt;"),"&gt;")&amp;"&gt;"</f>
        <v>&lt;a href="canciones/juan_antonio_espinosa/madre_de_todos_los_hombres.html"&gt;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1283</v>
      </c>
      <c r="C883" s="1"/>
      <c r="E883" s="1">
        <v>174</v>
      </c>
      <c r="H883" s="1" t="s">
        <v>1026</v>
      </c>
      <c r="J883" s="1" t="s">
        <v>607</v>
      </c>
      <c r="M883" s="15" t="s">
        <v>490</v>
      </c>
      <c r="O883" s="15"/>
      <c r="P883" s="15"/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883" s="1"/>
      <c r="U883" s="1"/>
      <c r="V883" s="15"/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883" s="15" t="str">
        <f>_xlfn.TEXTBEFORE(_xlfn.TEXTAFTER(CantoralDB[[#This Row],[index.html]],"&gt;"),"&gt;")&amp;"&gt;"</f>
        <v>&lt;a href="canciones/juan_antonio_espinosa/nacidos_de_la_luz.html"&gt;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637</v>
      </c>
      <c r="C884" s="1" t="s">
        <v>992</v>
      </c>
      <c r="D884" s="1" t="s">
        <v>722</v>
      </c>
      <c r="G884" s="1" t="s">
        <v>247</v>
      </c>
      <c r="H884" s="1" t="s">
        <v>1028</v>
      </c>
      <c r="J884" s="1" t="s">
        <v>607</v>
      </c>
      <c r="M884" s="15" t="s">
        <v>490</v>
      </c>
      <c r="O884" s="15"/>
      <c r="P884" s="15"/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884" s="1"/>
      <c r="U884" s="1"/>
      <c r="V884" s="15"/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884" s="15" t="str">
        <f>_xlfn.TEXTBEFORE(_xlfn.TEXTAFTER(CantoralDB[[#This Row],[index.html]],"&gt;"),"&gt;")&amp;"&gt;"</f>
        <v>&lt;a href="canciones/juan_antonio_espinosa/no_podemos_caminar_(hambre_de_dios).html"&gt;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1287</v>
      </c>
      <c r="C885" s="1"/>
      <c r="E885" s="1">
        <v>178</v>
      </c>
      <c r="H885" s="1" t="s">
        <v>1027</v>
      </c>
      <c r="J885" s="1" t="s">
        <v>607</v>
      </c>
      <c r="M885" s="15" t="s">
        <v>490</v>
      </c>
      <c r="O885" s="15"/>
      <c r="P885" s="15"/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885" s="1"/>
      <c r="U885" s="1"/>
      <c r="V885" s="15"/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885" s="15" t="str">
        <f>_xlfn.TEXTBEFORE(_xlfn.TEXTAFTER(CantoralDB[[#This Row],[index.html]],"&gt;"),"&gt;")&amp;"&gt;"</f>
        <v>&lt;a href="canciones/juan_antonio_espinosa/no_yo_no_dejo_la_tierra.html"&gt;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1303</v>
      </c>
      <c r="C886" s="1"/>
      <c r="E886" s="1">
        <v>212</v>
      </c>
      <c r="H886" s="1" t="s">
        <v>1029</v>
      </c>
      <c r="J886" s="1" t="s">
        <v>607</v>
      </c>
      <c r="M886" s="15" t="s">
        <v>490</v>
      </c>
      <c r="O886" s="15"/>
      <c r="P886" s="15"/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886" s="1"/>
      <c r="U886" s="1"/>
      <c r="V886" s="32" t="s">
        <v>2976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886" s="15" t="str">
        <f>_xlfn.TEXTBEFORE(_xlfn.TEXTAFTER(CantoralDB[[#This Row],[index.html]],"&gt;"),"&gt;")&amp;"&gt;"</f>
        <v>&lt;a href="canciones/juan_antonio_espinosa/perdon_señor_perdon.html"&gt;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114</v>
      </c>
      <c r="C887" s="1" t="s">
        <v>198</v>
      </c>
      <c r="D887" s="1" t="s">
        <v>1454</v>
      </c>
      <c r="E887" s="1">
        <v>203</v>
      </c>
      <c r="G887" s="1" t="s">
        <v>208</v>
      </c>
      <c r="H887" s="1" t="s">
        <v>472</v>
      </c>
      <c r="J887" s="1" t="s">
        <v>607</v>
      </c>
      <c r="M887" s="15" t="s">
        <v>490</v>
      </c>
      <c r="O887" s="15"/>
      <c r="P887" s="15"/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887" s="1" t="s">
        <v>853</v>
      </c>
      <c r="U887" s="1"/>
      <c r="V887" s="15"/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887" s="15" t="str">
        <f>_xlfn.TEXTBEFORE(_xlfn.TEXTAFTER(CantoralDB[[#This Row],[index.html]],"&gt;"),"&gt;")&amp;"&gt;"</f>
        <v>&lt;a href="canciones/juan_antonio_espinosa/por_ti_mi_dios.html"&gt;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122</v>
      </c>
      <c r="C888" s="1" t="s">
        <v>190</v>
      </c>
      <c r="D888" s="1" t="s">
        <v>748</v>
      </c>
      <c r="E888" s="1">
        <v>220</v>
      </c>
      <c r="G888" s="1" t="s">
        <v>208</v>
      </c>
      <c r="H888" s="1" t="s">
        <v>1029</v>
      </c>
      <c r="J888" s="1" t="s">
        <v>607</v>
      </c>
      <c r="M888" s="15" t="s">
        <v>490</v>
      </c>
      <c r="O888" s="15"/>
      <c r="P888" s="15"/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888" s="1" t="s">
        <v>857</v>
      </c>
      <c r="U888" s="1"/>
      <c r="V888" s="15"/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888" s="15" t="str">
        <f>_xlfn.TEXTBEFORE(_xlfn.TEXTAFTER(CantoralDB[[#This Row],[index.html]],"&gt;"),"&gt;")&amp;"&gt;"</f>
        <v>&lt;a href="canciones/juan_antonio_espinosa/que_ves_en_la_noche.html"&gt;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123</v>
      </c>
      <c r="C889" s="1" t="s">
        <v>992</v>
      </c>
      <c r="D889" s="1" t="s">
        <v>997</v>
      </c>
      <c r="E889" s="1">
        <v>222</v>
      </c>
      <c r="G889" s="1" t="s">
        <v>208</v>
      </c>
      <c r="H889" s="1" t="s">
        <v>1029</v>
      </c>
      <c r="J889" s="1" t="s">
        <v>607</v>
      </c>
      <c r="M889" s="15" t="s">
        <v>490</v>
      </c>
      <c r="O889" s="15"/>
      <c r="P889" s="15"/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889" s="1" t="s">
        <v>804</v>
      </c>
      <c r="U889" s="1"/>
      <c r="V889" s="15"/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889" s="15" t="str">
        <f>_xlfn.TEXTBEFORE(_xlfn.TEXTAFTER(CantoralDB[[#This Row],[index.html]],"&gt;"),"&gt;")&amp;"&gt;"</f>
        <v>&lt;a href="canciones/juan_antonio_espinosa/quedate_con_nosotros.html"&gt;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128</v>
      </c>
      <c r="C890" s="1" t="s">
        <v>199</v>
      </c>
      <c r="D890" s="1" t="s">
        <v>1054</v>
      </c>
      <c r="E890" s="1">
        <v>164</v>
      </c>
      <c r="G890" s="1" t="s">
        <v>208</v>
      </c>
      <c r="H890" s="1" t="s">
        <v>530</v>
      </c>
      <c r="J890" s="1" t="s">
        <v>607</v>
      </c>
      <c r="M890" s="15" t="s">
        <v>490</v>
      </c>
      <c r="O890" s="15"/>
      <c r="P890" s="15"/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890" s="1"/>
      <c r="U890" s="1"/>
      <c r="V890" s="15"/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890" s="15" t="str">
        <f>_xlfn.TEXTBEFORE(_xlfn.TEXTAFTER(CantoralDB[[#This Row],[index.html]],"&gt;"),"&gt;")&amp;"&gt;"</f>
        <v>&lt;a href="canciones/juan_antonio_espinosa/santa_maria_del_camino.html"&gt;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1321</v>
      </c>
      <c r="C891" s="1"/>
      <c r="E891" s="1">
        <v>243</v>
      </c>
      <c r="H891" s="1" t="s">
        <v>1029</v>
      </c>
      <c r="J891" s="1" t="s">
        <v>607</v>
      </c>
      <c r="M891" s="15" t="s">
        <v>490</v>
      </c>
      <c r="O891" s="15"/>
      <c r="P891" s="15"/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891" s="1"/>
      <c r="U891" s="1"/>
      <c r="V891" s="32" t="s">
        <v>2977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891" s="15" t="str">
        <f>_xlfn.TEXTBEFORE(_xlfn.TEXTAFTER(CantoralDB[[#This Row],[index.html]],"&gt;"),"&gt;")&amp;"&gt;"</f>
        <v>&lt;a href="canciones/juan_antonio_espinosa/señor_tu_que_brillas.html"&gt;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140</v>
      </c>
      <c r="C892" s="1"/>
      <c r="E892" s="1">
        <v>258</v>
      </c>
      <c r="G892" s="1" t="s">
        <v>208</v>
      </c>
      <c r="H892" s="1" t="s">
        <v>530</v>
      </c>
      <c r="J892" s="1" t="s">
        <v>607</v>
      </c>
      <c r="M892" s="15" t="s">
        <v>490</v>
      </c>
      <c r="O892" s="15"/>
      <c r="P892" s="15"/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892" s="1"/>
      <c r="U892" s="1"/>
      <c r="V892" s="32" t="s">
        <v>2978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892" s="15" t="str">
        <f>_xlfn.TEXTBEFORE(_xlfn.TEXTAFTER(CantoralDB[[#This Row],[index.html]],"&gt;"),"&gt;")&amp;"&gt;"</f>
        <v>&lt;a href="canciones/juan_antonio_espinosa/te_damos_gracias_señor.html"&gt;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147</v>
      </c>
      <c r="C893" s="1" t="s">
        <v>992</v>
      </c>
      <c r="D893" s="1" t="s">
        <v>1013</v>
      </c>
      <c r="E893" s="1">
        <v>262</v>
      </c>
      <c r="G893" s="1" t="s">
        <v>208</v>
      </c>
      <c r="H893" s="1" t="s">
        <v>1026</v>
      </c>
      <c r="J893" s="1" t="s">
        <v>607</v>
      </c>
      <c r="M893" s="15" t="s">
        <v>490</v>
      </c>
      <c r="O893" s="15"/>
      <c r="P893" s="15"/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893" s="1"/>
      <c r="U893" s="1"/>
      <c r="V893" s="32" t="s">
        <v>3462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893" s="15" t="str">
        <f>_xlfn.TEXTBEFORE(_xlfn.TEXTAFTER(CantoralDB[[#This Row],[index.html]],"&gt;"),"&gt;")&amp;"&gt;"</f>
        <v>&lt;a href="canciones/juan_antonio_espinosa/tu_eres_el_dios_que_nos_salva.html"&gt;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148</v>
      </c>
      <c r="C894" s="1" t="s">
        <v>200</v>
      </c>
      <c r="D894" s="1" t="s">
        <v>674</v>
      </c>
      <c r="E894" s="1">
        <v>254</v>
      </c>
      <c r="G894" s="1" t="s">
        <v>208</v>
      </c>
      <c r="H894" s="1" t="s">
        <v>530</v>
      </c>
      <c r="I894" s="1" t="s">
        <v>2952</v>
      </c>
      <c r="J894" s="1" t="s">
        <v>607</v>
      </c>
      <c r="M894" s="15" t="s">
        <v>490</v>
      </c>
      <c r="O894" s="15"/>
      <c r="P894" s="15"/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894" s="1"/>
      <c r="U894" s="1"/>
      <c r="V894" s="15"/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894" s="15" t="str">
        <f>_xlfn.TEXTBEFORE(_xlfn.TEXTAFTER(CantoralDB[[#This Row],[index.html]],"&gt;"),"&gt;")&amp;"&gt;"</f>
        <v>&lt;a href="canciones/juan_antonio_espinosa/tu_palabra_me_da_vida.html"&gt;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476</v>
      </c>
      <c r="C895" s="1" t="s">
        <v>190</v>
      </c>
      <c r="D895" s="1" t="s">
        <v>752</v>
      </c>
      <c r="E895" s="1">
        <v>272</v>
      </c>
      <c r="G895" s="1" t="s">
        <v>215</v>
      </c>
      <c r="H895" s="1" t="s">
        <v>1029</v>
      </c>
      <c r="J895" s="1" t="s">
        <v>607</v>
      </c>
      <c r="M895" s="15" t="s">
        <v>490</v>
      </c>
      <c r="O895" s="15"/>
      <c r="P895" s="15"/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895" s="1"/>
      <c r="U895" s="1"/>
      <c r="V895" s="15"/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895" s="15" t="str">
        <f>_xlfn.TEXTBEFORE(_xlfn.TEXTAFTER(CantoralDB[[#This Row],[index.html]],"&gt;"),"&gt;")&amp;"&gt;"</f>
        <v>&lt;a href="canciones/juan_antonio_espinosa/un_pueblo_que_camina_por_el_mundo.html"&gt;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1337</v>
      </c>
      <c r="C896" s="1"/>
      <c r="E896" s="1">
        <v>269</v>
      </c>
      <c r="H896" s="1" t="s">
        <v>472</v>
      </c>
      <c r="J896" s="1" t="s">
        <v>607</v>
      </c>
      <c r="M896" s="15" t="s">
        <v>490</v>
      </c>
      <c r="O896" s="15"/>
      <c r="P896" s="15"/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896" s="1"/>
      <c r="U896" s="1"/>
      <c r="V896" s="32" t="s">
        <v>2979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896" s="15" t="str">
        <f>_xlfn.TEXTBEFORE(_xlfn.TEXTAFTER(CantoralDB[[#This Row],[index.html]],"&gt;"),"&gt;")&amp;"&gt;"</f>
        <v>&lt;a href="canciones/juan_antonio_espinosa/una_ciudad_para_todos.html"&gt;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211</v>
      </c>
      <c r="C897" s="1" t="s">
        <v>199</v>
      </c>
      <c r="D897" s="1" t="s">
        <v>1056</v>
      </c>
      <c r="E897" s="1">
        <v>297</v>
      </c>
      <c r="G897" s="1" t="s">
        <v>208</v>
      </c>
      <c r="H897" s="1" t="s">
        <v>1026</v>
      </c>
      <c r="J897" s="1" t="s">
        <v>607</v>
      </c>
      <c r="M897" s="15" t="s">
        <v>490</v>
      </c>
      <c r="O897" s="15"/>
      <c r="P897" s="15"/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897" s="1"/>
      <c r="U897" s="1"/>
      <c r="V897" s="15"/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897" s="15" t="str">
        <f>_xlfn.TEXTBEFORE(_xlfn.TEXTAFTER(CantoralDB[[#This Row],[index.html]],"&gt;"),"&gt;")&amp;"&gt;"</f>
        <v>&lt;a href="canciones/juan_antonio_espinosa/unidos_a_todos_los_pueblos.html"&gt;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157</v>
      </c>
      <c r="C898" s="1" t="s">
        <v>190</v>
      </c>
      <c r="D898" s="1" t="s">
        <v>756</v>
      </c>
      <c r="E898" s="1">
        <v>277</v>
      </c>
      <c r="G898" s="1" t="s">
        <v>208</v>
      </c>
      <c r="H898" s="1" t="s">
        <v>1026</v>
      </c>
      <c r="J898" s="1" t="s">
        <v>607</v>
      </c>
      <c r="M898" s="15" t="s">
        <v>490</v>
      </c>
      <c r="O898" s="15"/>
      <c r="P898" s="15"/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898" s="1"/>
      <c r="U898" s="1"/>
      <c r="V898" s="15"/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898" s="15" t="str">
        <f>_xlfn.TEXTBEFORE(_xlfn.TEXTAFTER(CantoralDB[[#This Row],[index.html]],"&gt;"),"&gt;")&amp;"&gt;"</f>
        <v>&lt;a href="canciones/juan_antonio_espinosa/vamos_cantando_al_señor.html"&gt;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</v>
      </c>
      <c r="C899" s="1" t="s">
        <v>190</v>
      </c>
      <c r="D899" s="1" t="s">
        <v>1360</v>
      </c>
      <c r="E899" s="1">
        <v>32</v>
      </c>
      <c r="G899" s="1" t="s">
        <v>208</v>
      </c>
      <c r="H899" s="1" t="s">
        <v>530</v>
      </c>
      <c r="J899" s="1" t="s">
        <v>607</v>
      </c>
      <c r="M899" s="15" t="s">
        <v>479</v>
      </c>
      <c r="O899" s="15"/>
      <c r="P899" s="15"/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899" s="1"/>
      <c r="U899" s="1"/>
      <c r="V899" s="15"/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899" s="15" t="str">
        <f>_xlfn.TEXTBEFORE(_xlfn.TEXTAFTER(CantoralDB[[#This Row],[index.html]],"&gt;"),"&gt;")&amp;"&gt;"</f>
        <v>&lt;a href="canciones/juanjo_elezkano/a_la_fiesta_del_señor.html"&gt;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34</v>
      </c>
      <c r="C900" s="1" t="s">
        <v>190</v>
      </c>
      <c r="D900" s="1" t="s">
        <v>730</v>
      </c>
      <c r="E900" s="1" t="s">
        <v>1191</v>
      </c>
      <c r="G900" s="1" t="s">
        <v>208</v>
      </c>
      <c r="H900" s="1" t="s">
        <v>472</v>
      </c>
      <c r="J900" s="1" t="s">
        <v>607</v>
      </c>
      <c r="M900" s="15" t="s">
        <v>479</v>
      </c>
      <c r="O900" s="15"/>
      <c r="P900" s="15"/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00" s="1"/>
      <c r="U900" s="1"/>
      <c r="V900" s="15"/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00" s="15" t="str">
        <f>_xlfn.TEXTBEFORE(_xlfn.TEXTAFTER(CantoralDB[[#This Row],[index.html]],"&gt;"),"&gt;")&amp;"&gt;"</f>
        <v>&lt;a href="canciones/juanjo_elezkano/comeremos_de_la_mesa.html"&gt;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1258</v>
      </c>
      <c r="C901" s="1"/>
      <c r="E901" s="1">
        <v>130</v>
      </c>
      <c r="J901" s="1"/>
      <c r="M901" s="15" t="s">
        <v>479</v>
      </c>
      <c r="O901" s="15"/>
      <c r="P901" s="15"/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01" s="1"/>
      <c r="U901" s="1"/>
      <c r="V901" s="15"/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01" s="15" t="str">
        <f>_xlfn.TEXTBEFORE(_xlfn.TEXTAFTER(CantoralDB[[#This Row],[index.html]],"&gt;"),"&gt;")&amp;"&gt;"</f>
        <v>&lt;a href="canciones/juanjo_elezkano/hoy_cantamos_a_dios.html"&gt;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1266</v>
      </c>
      <c r="C902" s="1"/>
      <c r="E902" s="1">
        <v>147</v>
      </c>
      <c r="J902" s="1"/>
      <c r="M902" s="15" t="s">
        <v>479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02" s="1"/>
      <c r="U902" s="1"/>
      <c r="V902" s="15"/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02" s="15" t="str">
        <f>_xlfn.TEXTBEFORE(_xlfn.TEXTAFTER(CantoralDB[[#This Row],[index.html]],"&gt;"),"&gt;")&amp;"&gt;"</f>
        <v>&lt;a href="canciones/juanjo_elezkano/juventud_de_todos_los_paises.html"&gt;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1268</v>
      </c>
      <c r="C903" s="1"/>
      <c r="E903" s="1">
        <v>149</v>
      </c>
      <c r="J903" s="1"/>
      <c r="M903" s="15" t="s">
        <v>479</v>
      </c>
      <c r="O903" s="15"/>
      <c r="P903" s="15"/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03" s="1"/>
      <c r="U903" s="1"/>
      <c r="V903" s="15"/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03" s="15" t="str">
        <f>_xlfn.TEXTBEFORE(_xlfn.TEXTAFTER(CantoralDB[[#This Row],[index.html]],"&gt;"),"&gt;")&amp;"&gt;"</f>
        <v>&lt;a href="canciones/juanjo_elezkano/los_pobres_de_la_tierra.html"&gt;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1284</v>
      </c>
      <c r="C904" s="1" t="s">
        <v>992</v>
      </c>
      <c r="D904" s="1" t="s">
        <v>719</v>
      </c>
      <c r="E904" s="1">
        <v>175</v>
      </c>
      <c r="G904" s="1" t="s">
        <v>247</v>
      </c>
      <c r="H904" s="1" t="s">
        <v>1028</v>
      </c>
      <c r="J904" s="1" t="s">
        <v>607</v>
      </c>
      <c r="M904" s="15" t="s">
        <v>479</v>
      </c>
      <c r="O904" s="15"/>
      <c r="P904" s="15"/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04" s="1"/>
      <c r="U904" s="1"/>
      <c r="V904" s="32" t="s">
        <v>2980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04" s="15" t="str">
        <f>_xlfn.TEXTBEFORE(_xlfn.TEXTAFTER(CantoralDB[[#This Row],[index.html]],"&gt;"),"&gt;")&amp;"&gt;"</f>
        <v>&lt;a href="canciones/juanjo_elezkano/necesitamos_comer_tu_pan.html"&gt;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1305</v>
      </c>
      <c r="C905" s="1"/>
      <c r="E905" s="1">
        <v>215</v>
      </c>
      <c r="J905" s="1"/>
      <c r="M905" s="15" t="s">
        <v>479</v>
      </c>
      <c r="O905" s="15"/>
      <c r="P905" s="15"/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05" s="1"/>
      <c r="U905" s="1"/>
      <c r="V905" s="15"/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05" s="15" t="str">
        <f>_xlfn.TEXTBEFORE(_xlfn.TEXTAFTER(CantoralDB[[#This Row],[index.html]],"&gt;"),"&gt;")&amp;"&gt;"</f>
        <v>&lt;a href="canciones/juanjo_elezkano/perdoname_señor.html"&gt;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2396</v>
      </c>
      <c r="C906" s="1"/>
      <c r="F906" s="1">
        <v>18</v>
      </c>
      <c r="H906" s="1" t="s">
        <v>530</v>
      </c>
      <c r="J906" s="1" t="s">
        <v>607</v>
      </c>
      <c r="M906" s="15" t="s">
        <v>479</v>
      </c>
      <c r="O906" s="15"/>
      <c r="P906" s="15"/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06" s="1"/>
      <c r="U906" s="1"/>
      <c r="V906" s="32" t="s">
        <v>3039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X906" s="15" t="str">
        <f>_xlfn.TEXTBEFORE(_xlfn.TEXTAFTER(CantoralDB[[#This Row],[index.html]],"&gt;"),"&gt;")&amp;"&gt;"</f>
        <v>&lt;a href="canciones/juanjo_elezkano/santo_tu_eres_señor.html"&gt;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1325</v>
      </c>
      <c r="C907" s="1"/>
      <c r="E907" s="1">
        <v>247</v>
      </c>
      <c r="J907" s="1"/>
      <c r="M907" s="15" t="s">
        <v>479</v>
      </c>
      <c r="O907" s="15"/>
      <c r="P907" s="15"/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07" s="1"/>
      <c r="U907" s="1"/>
      <c r="V907" s="15"/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07" s="15" t="str">
        <f>_xlfn.TEXTBEFORE(_xlfn.TEXTAFTER(CantoralDB[[#This Row],[index.html]],"&gt;"),"&gt;")&amp;"&gt;"</f>
        <v>&lt;a href="canciones/juanjo_elezkano/siempre_que_es_navidad.html"&gt;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2100</v>
      </c>
      <c r="C908" s="1"/>
      <c r="E908" s="1">
        <v>276</v>
      </c>
      <c r="J908" s="1"/>
      <c r="M908" s="15" t="s">
        <v>479</v>
      </c>
      <c r="O908" s="15"/>
      <c r="P908" s="15"/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08" s="1"/>
      <c r="U908" s="1"/>
      <c r="V908" s="15"/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08" s="15" t="str">
        <f>_xlfn.TEXTBEFORE(_xlfn.TEXTAFTER(CantoralDB[[#This Row],[index.html]],"&gt;"),"&gt;")&amp;"&gt;"</f>
        <v>&lt;a href="canciones/juanjo_elezkano/un_corazon_arrepentido.html"&gt;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161</v>
      </c>
      <c r="C909" s="1" t="s">
        <v>200</v>
      </c>
      <c r="D909" s="1" t="s">
        <v>679</v>
      </c>
      <c r="E909" s="1">
        <v>471</v>
      </c>
      <c r="G909" s="1" t="s">
        <v>208</v>
      </c>
      <c r="H909" s="1" t="s">
        <v>1029</v>
      </c>
      <c r="J909" s="1" t="s">
        <v>607</v>
      </c>
      <c r="M909" s="15" t="s">
        <v>479</v>
      </c>
      <c r="O909" s="15"/>
      <c r="P909" s="15"/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09" s="1"/>
      <c r="U909" s="1"/>
      <c r="V909" s="15"/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09" s="15" t="str">
        <f>_xlfn.TEXTBEFORE(_xlfn.TEXTAFTER(CantoralDB[[#This Row],[index.html]],"&gt;"),"&gt;")&amp;"&gt;"</f>
        <v>&lt;a href="canciones/juanjo_elezkano/venimos_a_escuchar_tu_voz.html"&gt;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1707</v>
      </c>
      <c r="C910" s="1"/>
      <c r="J910" s="1"/>
      <c r="M910" s="15" t="s">
        <v>483</v>
      </c>
      <c r="N910" s="1" t="s">
        <v>1500</v>
      </c>
      <c r="O910" s="15">
        <v>1</v>
      </c>
      <c r="P910" s="15">
        <v>2004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10" s="1"/>
      <c r="U910" s="1"/>
      <c r="V910" s="32" t="s">
        <v>3710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10" s="15" t="str">
        <f>_xlfn.TEXTBEFORE(_xlfn.TEXTAFTER(CantoralDB[[#This Row],[index.html]],"&gt;"),"&gt;")&amp;"&gt;"</f>
        <v>&lt;a href="canciones/kairoi/desde_tu_gesto.html"&gt;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1708</v>
      </c>
      <c r="C911" s="1"/>
      <c r="J911" s="1"/>
      <c r="M911" s="15" t="s">
        <v>483</v>
      </c>
      <c r="N911" s="1" t="s">
        <v>1500</v>
      </c>
      <c r="O911" s="15">
        <v>2</v>
      </c>
      <c r="P911" s="15">
        <v>2004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11" s="1"/>
      <c r="U911" s="1"/>
      <c r="V911" s="32" t="s">
        <v>3711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11" s="15" t="str">
        <f>_xlfn.TEXTBEFORE(_xlfn.TEXTAFTER(CantoralDB[[#This Row],[index.html]],"&gt;"),"&gt;")&amp;"&gt;"</f>
        <v>&lt;a href="canciones/kairoi/el_silencio_de_mi_corazon.html"&gt;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2356</v>
      </c>
      <c r="C912" s="1"/>
      <c r="J912" s="1"/>
      <c r="M912" s="15" t="s">
        <v>483</v>
      </c>
      <c r="N912" s="1" t="s">
        <v>1500</v>
      </c>
      <c r="O912" s="15">
        <v>3</v>
      </c>
      <c r="P912" s="15">
        <v>2004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12" s="1"/>
      <c r="U912" s="1"/>
      <c r="V912" s="32" t="s">
        <v>3712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12" s="15" t="str">
        <f>_xlfn.TEXTBEFORE(_xlfn.TEXTAFTER(CantoralDB[[#This Row],[index.html]],"&gt;"),"&gt;")&amp;"&gt;"</f>
        <v>&lt;a href="canciones/kairoi/venid_a_mi.html"&gt;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2874</v>
      </c>
      <c r="C913" s="1"/>
      <c r="J913" s="1"/>
      <c r="M913" s="15" t="s">
        <v>483</v>
      </c>
      <c r="N913" s="1" t="s">
        <v>1500</v>
      </c>
      <c r="O913" s="15">
        <v>4</v>
      </c>
      <c r="P913" s="15">
        <v>2004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13" s="1"/>
      <c r="U913" s="1"/>
      <c r="V913" s="32" t="s">
        <v>3713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13" s="15" t="str">
        <f>_xlfn.TEXTBEFORE(_xlfn.TEXTAFTER(CantoralDB[[#This Row],[index.html]],"&gt;"),"&gt;")&amp;"&gt;"</f>
        <v>&lt;a href="canciones/kairoi/ave_maria_ii.html"&gt;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1709</v>
      </c>
      <c r="C914" s="1"/>
      <c r="J914" s="1"/>
      <c r="M914" s="15" t="s">
        <v>483</v>
      </c>
      <c r="N914" s="1" t="s">
        <v>1500</v>
      </c>
      <c r="O914" s="15">
        <v>5</v>
      </c>
      <c r="P914" s="15">
        <v>2004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14" s="1"/>
      <c r="U914" s="1"/>
      <c r="V914" s="32" t="s">
        <v>3714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14" s="15" t="str">
        <f>_xlfn.TEXTBEFORE(_xlfn.TEXTAFTER(CantoralDB[[#This Row],[index.html]],"&gt;"),"&gt;")&amp;"&gt;"</f>
        <v>&lt;a href="canciones/kairoi/si_tu_sabes.html"&gt;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1710</v>
      </c>
      <c r="C915" s="1"/>
      <c r="J915" s="1"/>
      <c r="M915" s="15" t="s">
        <v>483</v>
      </c>
      <c r="N915" s="1" t="s">
        <v>1500</v>
      </c>
      <c r="O915" s="15">
        <v>6</v>
      </c>
      <c r="P915" s="15">
        <v>2004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15" s="1"/>
      <c r="U915" s="1"/>
      <c r="V915" s="32" t="s">
        <v>3715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15" s="15" t="str">
        <f>_xlfn.TEXTBEFORE(_xlfn.TEXTAFTER(CantoralDB[[#This Row],[index.html]],"&gt;"),"&gt;")&amp;"&gt;"</f>
        <v>&lt;a href="canciones/kairoi/la_utopia_es_posible.html"&gt;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2943</v>
      </c>
      <c r="C916" s="1"/>
      <c r="J916" s="1"/>
      <c r="M916" s="15" t="s">
        <v>483</v>
      </c>
      <c r="N916" s="1" t="s">
        <v>1500</v>
      </c>
      <c r="O916" s="15">
        <v>7</v>
      </c>
      <c r="P916" s="15">
        <v>2004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16" s="1"/>
      <c r="U916" s="1"/>
      <c r="V916" s="32" t="s">
        <v>3716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16" s="15" t="str">
        <f>_xlfn.TEXTBEFORE(_xlfn.TEXTAFTER(CantoralDB[[#This Row],[index.html]],"&gt;"),"&gt;")&amp;"&gt;"</f>
        <v>&lt;a href="canciones/kairoi/padre_nuestro_iii.html"&gt;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1711</v>
      </c>
      <c r="C917" s="1"/>
      <c r="J917" s="1"/>
      <c r="M917" s="15" t="s">
        <v>483</v>
      </c>
      <c r="N917" s="1" t="s">
        <v>1500</v>
      </c>
      <c r="O917" s="15">
        <v>8</v>
      </c>
      <c r="P917" s="15">
        <v>2004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17" s="1"/>
      <c r="U917" s="1"/>
      <c r="V917" s="32" t="s">
        <v>3717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17" s="15" t="str">
        <f>_xlfn.TEXTBEFORE(_xlfn.TEXTAFTER(CantoralDB[[#This Row],[index.html]],"&gt;"),"&gt;")&amp;"&gt;"</f>
        <v>&lt;a href="canciones/kairoi/que_vuestro_corazon_no_se_turbe.html"&gt;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1712</v>
      </c>
      <c r="C918" s="1"/>
      <c r="J918" s="1"/>
      <c r="M918" s="15" t="s">
        <v>483</v>
      </c>
      <c r="N918" s="1" t="s">
        <v>1500</v>
      </c>
      <c r="O918" s="15">
        <v>9</v>
      </c>
      <c r="P918" s="15">
        <v>2004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18" s="1"/>
      <c r="U918" s="1"/>
      <c r="V918" s="32" t="s">
        <v>3718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18" s="15" t="str">
        <f>_xlfn.TEXTBEFORE(_xlfn.TEXTAFTER(CantoralDB[[#This Row],[index.html]],"&gt;"),"&gt;")&amp;"&gt;"</f>
        <v>&lt;a href="canciones/kairoi/decid_si.html"&gt;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1713</v>
      </c>
      <c r="C919" s="1"/>
      <c r="J919" s="1"/>
      <c r="M919" s="15" t="s">
        <v>483</v>
      </c>
      <c r="N919" s="1" t="s">
        <v>1500</v>
      </c>
      <c r="O919" s="15">
        <v>10</v>
      </c>
      <c r="P919" s="15">
        <v>2004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19" s="1"/>
      <c r="U919" s="1"/>
      <c r="V919" s="32" t="s">
        <v>3719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19" s="15" t="str">
        <f>_xlfn.TEXTBEFORE(_xlfn.TEXTAFTER(CantoralDB[[#This Row],[index.html]],"&gt;"),"&gt;")&amp;"&gt;"</f>
        <v>&lt;a href="canciones/kairoi/estrellas_en_el_mar.html"&gt;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2357</v>
      </c>
      <c r="C920" s="1"/>
      <c r="J920" s="1"/>
      <c r="M920" s="15" t="s">
        <v>483</v>
      </c>
      <c r="N920" s="1" t="s">
        <v>1500</v>
      </c>
      <c r="O920" s="15">
        <v>11</v>
      </c>
      <c r="P920" s="15">
        <v>2004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20" s="1"/>
      <c r="U920" s="1"/>
      <c r="V920" s="32" t="s">
        <v>3720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20" s="15" t="str">
        <f>_xlfn.TEXTBEFORE(_xlfn.TEXTAFTER(CantoralDB[[#This Row],[index.html]],"&gt;"),"&gt;")&amp;"&gt;"</f>
        <v>&lt;a href="canciones/kairoi/quien_eres_jesus_para_mi.html"&gt;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1714</v>
      </c>
      <c r="C921" s="1"/>
      <c r="J921" s="1"/>
      <c r="M921" s="15" t="s">
        <v>483</v>
      </c>
      <c r="N921" s="1" t="s">
        <v>1500</v>
      </c>
      <c r="O921" s="15">
        <v>12</v>
      </c>
      <c r="P921" s="15">
        <v>2004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21" s="1"/>
      <c r="U921" s="1"/>
      <c r="V921" s="32" t="s">
        <v>3721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21" s="15" t="str">
        <f>_xlfn.TEXTBEFORE(_xlfn.TEXTAFTER(CantoralDB[[#This Row],[index.html]],"&gt;"),"&gt;")&amp;"&gt;"</f>
        <v>&lt;a href="canciones/kairoi/venimos_ante_ti.html"&gt;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1715</v>
      </c>
      <c r="C922" s="1"/>
      <c r="J922" s="1"/>
      <c r="M922" s="15" t="s">
        <v>483</v>
      </c>
      <c r="N922" s="1" t="s">
        <v>1500</v>
      </c>
      <c r="O922" s="15">
        <v>13</v>
      </c>
      <c r="P922" s="15">
        <v>2004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22" s="1"/>
      <c r="U922" s="1"/>
      <c r="V922" s="32" t="s">
        <v>3722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22" s="15" t="str">
        <f>_xlfn.TEXTBEFORE(_xlfn.TEXTAFTER(CantoralDB[[#This Row],[index.html]],"&gt;"),"&gt;")&amp;"&gt;"</f>
        <v>&lt;a href="canciones/kairoi/en_la_oscuridad_de_la_noche.html"&gt;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1716</v>
      </c>
      <c r="C923" s="1"/>
      <c r="J923" s="1"/>
      <c r="M923" s="15" t="s">
        <v>483</v>
      </c>
      <c r="N923" s="1" t="s">
        <v>1500</v>
      </c>
      <c r="O923" s="15">
        <v>14</v>
      </c>
      <c r="P923" s="15">
        <v>2004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23" s="1"/>
      <c r="U923" s="1"/>
      <c r="V923" s="32" t="s">
        <v>3723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23" s="15" t="str">
        <f>_xlfn.TEXTBEFORE(_xlfn.TEXTAFTER(CantoralDB[[#This Row],[index.html]],"&gt;"),"&gt;")&amp;"&gt;"</f>
        <v>&lt;a href="canciones/kairoi/padre.html"&gt;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602</v>
      </c>
      <c r="C924" s="1" t="s">
        <v>200</v>
      </c>
      <c r="D924" s="1" t="s">
        <v>658</v>
      </c>
      <c r="G924" s="1" t="s">
        <v>552</v>
      </c>
      <c r="H924" s="1" t="s">
        <v>1026</v>
      </c>
      <c r="J924" s="1" t="s">
        <v>607</v>
      </c>
      <c r="M924" s="15" t="s">
        <v>483</v>
      </c>
      <c r="N924" s="1" t="s">
        <v>1489</v>
      </c>
      <c r="O924" s="15">
        <v>1</v>
      </c>
      <c r="P924" s="15">
        <v>1987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24" s="1" t="s">
        <v>840</v>
      </c>
      <c r="U924" s="1"/>
      <c r="V924" s="32" t="s">
        <v>3724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24" s="15" t="str">
        <f>_xlfn.TEXTBEFORE(_xlfn.TEXTAFTER(CantoralDB[[#This Row],[index.html]],"&gt;"),"&gt;")&amp;"&gt;"</f>
        <v>&lt;a href="canciones/kairoi/la_bondad_y_el_amor_del_señor.html"&gt;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2025</v>
      </c>
      <c r="C925" s="1"/>
      <c r="H925" s="1" t="s">
        <v>1026</v>
      </c>
      <c r="J925" s="1" t="s">
        <v>607</v>
      </c>
      <c r="M925" s="15" t="s">
        <v>483</v>
      </c>
      <c r="N925" s="1" t="s">
        <v>1489</v>
      </c>
      <c r="O925" s="15">
        <v>2</v>
      </c>
      <c r="P925" s="15">
        <v>1987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25" s="1"/>
      <c r="U925" s="1"/>
      <c r="V925" s="32" t="s">
        <v>3725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25" s="15" t="str">
        <f>_xlfn.TEXTBEFORE(_xlfn.TEXTAFTER(CantoralDB[[#This Row],[index.html]],"&gt;"),"&gt;")&amp;"&gt;"</f>
        <v>&lt;a href="canciones/kairoi/vamos_hacia_ti_(gloria_a_dios).html"&gt;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1570</v>
      </c>
      <c r="C926" s="1"/>
      <c r="H926" s="1" t="s">
        <v>1028</v>
      </c>
      <c r="J926" s="1" t="s">
        <v>607</v>
      </c>
      <c r="M926" s="15" t="s">
        <v>483</v>
      </c>
      <c r="N926" s="1" t="s">
        <v>1489</v>
      </c>
      <c r="O926" s="15">
        <v>3</v>
      </c>
      <c r="P926" s="15">
        <v>1987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26" s="1"/>
      <c r="U926" s="1"/>
      <c r="V926" s="32" t="s">
        <v>3726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26" s="15" t="str">
        <f>_xlfn.TEXTBEFORE(_xlfn.TEXTAFTER(CantoralDB[[#This Row],[index.html]],"&gt;"),"&gt;")&amp;"&gt;"</f>
        <v>&lt;a href="canciones/kairoi/quedate_aqui_señor.html"&gt;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557</v>
      </c>
      <c r="C927" s="1" t="s">
        <v>191</v>
      </c>
      <c r="D927" s="1" t="s">
        <v>1449</v>
      </c>
      <c r="G927" s="1" t="s">
        <v>552</v>
      </c>
      <c r="H927" s="1" t="s">
        <v>1029</v>
      </c>
      <c r="I927" s="1" t="s">
        <v>2953</v>
      </c>
      <c r="J927" s="1" t="s">
        <v>607</v>
      </c>
      <c r="M927" s="15" t="s">
        <v>483</v>
      </c>
      <c r="N927" s="1" t="s">
        <v>1489</v>
      </c>
      <c r="O927" s="15">
        <v>4</v>
      </c>
      <c r="P927" s="15">
        <v>1987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27" s="1" t="s">
        <v>851</v>
      </c>
      <c r="U927" s="1"/>
      <c r="V927" s="32" t="s">
        <v>3727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27" s="15" t="str">
        <f>_xlfn.TEXTBEFORE(_xlfn.TEXTAFTER(CantoralDB[[#This Row],[index.html]],"&gt;"),"&gt;")&amp;"&gt;"</f>
        <v>&lt;a href="canciones/kairoi/padre_vuelvo_a_ti.html"&gt;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89</v>
      </c>
      <c r="C928" s="1" t="s">
        <v>199</v>
      </c>
      <c r="D928" s="1" t="s">
        <v>1044</v>
      </c>
      <c r="E928" s="1">
        <v>433</v>
      </c>
      <c r="G928" s="1" t="s">
        <v>208</v>
      </c>
      <c r="H928" s="1" t="s">
        <v>530</v>
      </c>
      <c r="I928" s="1" t="s">
        <v>2952</v>
      </c>
      <c r="J928" s="1" t="s">
        <v>607</v>
      </c>
      <c r="M928" s="15" t="s">
        <v>483</v>
      </c>
      <c r="N928" s="1" t="s">
        <v>1489</v>
      </c>
      <c r="O928" s="15">
        <v>5</v>
      </c>
      <c r="P928" s="15">
        <v>1987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28" s="1"/>
      <c r="U928" s="1"/>
      <c r="V928" s="32" t="s">
        <v>3728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28" s="15" t="str">
        <f>_xlfn.TEXTBEFORE(_xlfn.TEXTAFTER(CantoralDB[[#This Row],[index.html]],"&gt;"),"&gt;")&amp;"&gt;"</f>
        <v>&lt;a href="canciones/kairoi/maria_la_madre_buena.html"&gt;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234</v>
      </c>
      <c r="C929" s="1" t="s">
        <v>218</v>
      </c>
      <c r="D929" s="1" t="s">
        <v>1414</v>
      </c>
      <c r="F929" s="1">
        <v>210</v>
      </c>
      <c r="G929" s="1" t="s">
        <v>208</v>
      </c>
      <c r="H929" s="1" t="s">
        <v>1026</v>
      </c>
      <c r="J929" s="1" t="s">
        <v>607</v>
      </c>
      <c r="M929" s="15" t="s">
        <v>483</v>
      </c>
      <c r="N929" s="1" t="s">
        <v>1489</v>
      </c>
      <c r="O929" s="15">
        <v>7</v>
      </c>
      <c r="P929" s="15">
        <v>1987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29" s="1" t="s">
        <v>827</v>
      </c>
      <c r="U929" s="1"/>
      <c r="V929" s="32" t="s">
        <v>3729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X929" s="15" t="str">
        <f>_xlfn.TEXTBEFORE(_xlfn.TEXTAFTER(CantoralDB[[#This Row],[index.html]],"&gt;"),"&gt;")&amp;"&gt;"</f>
        <v>&lt;a href="canciones/kairoi/el_señor_os_dara_su_espiritu_santo.html"&gt;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553</v>
      </c>
      <c r="C930" s="1" t="s">
        <v>193</v>
      </c>
      <c r="D930" s="1" t="s">
        <v>1371</v>
      </c>
      <c r="G930" s="1" t="s">
        <v>208</v>
      </c>
      <c r="H930" s="1" t="s">
        <v>530</v>
      </c>
      <c r="I930" s="1" t="s">
        <v>2952</v>
      </c>
      <c r="J930" s="1" t="s">
        <v>607</v>
      </c>
      <c r="M930" s="15" t="s">
        <v>483</v>
      </c>
      <c r="N930" s="1" t="s">
        <v>1489</v>
      </c>
      <c r="O930" s="15">
        <v>8</v>
      </c>
      <c r="P930" s="15">
        <v>1987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30" s="1"/>
      <c r="U930" s="1"/>
      <c r="V930" s="32" t="s">
        <v>3730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30" s="15" t="str">
        <f>_xlfn.TEXTBEFORE(_xlfn.TEXTAFTER(CantoralDB[[#This Row],[index.html]],"&gt;"),"&gt;")&amp;"&gt;"</f>
        <v>&lt;a href="canciones/kairoi/aleluya_(junto_a_ti_jesus).html"&gt;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1489</v>
      </c>
      <c r="C931" s="1"/>
      <c r="H931" s="1" t="s">
        <v>530</v>
      </c>
      <c r="J931" s="1" t="s">
        <v>607</v>
      </c>
      <c r="M931" s="15" t="s">
        <v>483</v>
      </c>
      <c r="N931" s="1" t="s">
        <v>1489</v>
      </c>
      <c r="O931" s="15">
        <v>9</v>
      </c>
      <c r="P931" s="15">
        <v>1987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31" s="1"/>
      <c r="U931" s="1"/>
      <c r="V931" s="32" t="s">
        <v>3731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31" s="15" t="str">
        <f>_xlfn.TEXTBEFORE(_xlfn.TEXTAFTER(CantoralDB[[#This Row],[index.html]],"&gt;"),"&gt;")&amp;"&gt;"</f>
        <v>&lt;a href="canciones/kairoi/a_tu_lado_señor.html"&gt;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1571</v>
      </c>
      <c r="C932" s="1"/>
      <c r="H932" s="1" t="s">
        <v>530</v>
      </c>
      <c r="J932" s="1" t="s">
        <v>607</v>
      </c>
      <c r="M932" s="15" t="s">
        <v>483</v>
      </c>
      <c r="N932" s="1" t="s">
        <v>1489</v>
      </c>
      <c r="O932" s="15">
        <v>10</v>
      </c>
      <c r="P932" s="15">
        <v>1987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32" s="1"/>
      <c r="U932" s="1"/>
      <c r="V932" s="32" t="s">
        <v>3732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32" s="15" t="str">
        <f>_xlfn.TEXTBEFORE(_xlfn.TEXTAFTER(CantoralDB[[#This Row],[index.html]],"&gt;"),"&gt;")&amp;"&gt;"</f>
        <v>&lt;a href="canciones/kairoi/canto_de_maria.html"&gt;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1572</v>
      </c>
      <c r="C933" s="1"/>
      <c r="H933" s="1" t="s">
        <v>1029</v>
      </c>
      <c r="J933" s="1" t="s">
        <v>607</v>
      </c>
      <c r="M933" s="15" t="s">
        <v>483</v>
      </c>
      <c r="N933" s="1" t="s">
        <v>1489</v>
      </c>
      <c r="O933" s="15">
        <v>11</v>
      </c>
      <c r="P933" s="15">
        <v>1987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33" s="1"/>
      <c r="U933" s="1"/>
      <c r="V933" s="32" t="s">
        <v>3733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33" s="15" t="str">
        <f>_xlfn.TEXTBEFORE(_xlfn.TEXTAFTER(CantoralDB[[#This Row],[index.html]],"&gt;"),"&gt;")&amp;"&gt;"</f>
        <v>&lt;a href="canciones/kairoi/tu_jesus.html"&gt;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1625</v>
      </c>
      <c r="C934" s="1"/>
      <c r="J934" s="1"/>
      <c r="M934" s="15" t="s">
        <v>483</v>
      </c>
      <c r="N934" s="1" t="s">
        <v>1489</v>
      </c>
      <c r="O934" s="15">
        <v>12</v>
      </c>
      <c r="P934" s="15">
        <v>1987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34" s="1"/>
      <c r="U934" s="1"/>
      <c r="V934" s="32" t="s">
        <v>3734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34" s="15" t="str">
        <f>_xlfn.TEXTBEFORE(_xlfn.TEXTAFTER(CantoralDB[[#This Row],[index.html]],"&gt;"),"&gt;")&amp;"&gt;"</f>
        <v>&lt;a href="canciones/kairoi/ven_conmigo_amigo.html"&gt;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1613</v>
      </c>
      <c r="C935" s="1"/>
      <c r="J935" s="1"/>
      <c r="M935" s="15" t="s">
        <v>483</v>
      </c>
      <c r="N935" s="1" t="s">
        <v>1488</v>
      </c>
      <c r="O935" s="15">
        <v>1</v>
      </c>
      <c r="P935" s="15">
        <v>1986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35" s="1"/>
      <c r="U935" s="1"/>
      <c r="V935" s="32" t="s">
        <v>3735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35" s="15" t="str">
        <f>_xlfn.TEXTBEFORE(_xlfn.TEXTAFTER(CantoralDB[[#This Row],[index.html]],"&gt;"),"&gt;")&amp;"&gt;"</f>
        <v>&lt;a href="canciones/kairoi/es_tu_amigo_es.html"&gt;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1614</v>
      </c>
      <c r="C936" s="1"/>
      <c r="J936" s="1"/>
      <c r="M936" s="15" t="s">
        <v>483</v>
      </c>
      <c r="N936" s="1" t="s">
        <v>1488</v>
      </c>
      <c r="O936" s="15">
        <v>2</v>
      </c>
      <c r="P936" s="15">
        <v>1986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936" s="1"/>
      <c r="U936" s="1"/>
      <c r="V936" s="32" t="s">
        <v>3736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936" s="15" t="str">
        <f>_xlfn.TEXTBEFORE(_xlfn.TEXTAFTER(CantoralDB[[#This Row],[index.html]],"&gt;"),"&gt;")&amp;"&gt;"</f>
        <v>&lt;a href="canciones/kairoi/rock_de_paz.html"&gt;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1488</v>
      </c>
      <c r="C937" s="1"/>
      <c r="J937" s="1"/>
      <c r="M937" s="15" t="s">
        <v>483</v>
      </c>
      <c r="N937" s="1" t="s">
        <v>1488</v>
      </c>
      <c r="O937" s="15">
        <v>3</v>
      </c>
      <c r="P937" s="15">
        <v>1986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937" s="1"/>
      <c r="U937" s="1"/>
      <c r="V937" s="32" t="s">
        <v>3737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937" s="15" t="str">
        <f>_xlfn.TEXTBEFORE(_xlfn.TEXTAFTER(CantoralDB[[#This Row],[index.html]],"&gt;"),"&gt;")&amp;"&gt;"</f>
        <v>&lt;a href="canciones/kairoi/amigos.html"&gt;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1615</v>
      </c>
      <c r="C938" s="1"/>
      <c r="J938" s="1"/>
      <c r="M938" s="15" t="s">
        <v>483</v>
      </c>
      <c r="N938" s="1" t="s">
        <v>1488</v>
      </c>
      <c r="O938" s="15">
        <v>4</v>
      </c>
      <c r="P938" s="15">
        <v>1986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938" s="1"/>
      <c r="U938" s="1"/>
      <c r="V938" s="32" t="s">
        <v>3738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938" s="15" t="str">
        <f>_xlfn.TEXTBEFORE(_xlfn.TEXTAFTER(CantoralDB[[#This Row],[index.html]],"&gt;"),"&gt;")&amp;"&gt;"</f>
        <v>&lt;a href="canciones/kairoi/kua_kua_kua.html"&gt;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1616</v>
      </c>
      <c r="C939" s="1"/>
      <c r="J939" s="1"/>
      <c r="M939" s="15" t="s">
        <v>483</v>
      </c>
      <c r="N939" s="1" t="s">
        <v>1488</v>
      </c>
      <c r="O939" s="15">
        <v>5</v>
      </c>
      <c r="P939" s="15">
        <v>1986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939" s="1"/>
      <c r="U939" s="1"/>
      <c r="V939" s="32" t="s">
        <v>3739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939" s="15" t="str">
        <f>_xlfn.TEXTBEFORE(_xlfn.TEXTAFTER(CantoralDB[[#This Row],[index.html]],"&gt;"),"&gt;")&amp;"&gt;"</f>
        <v>&lt;a href="canciones/kairoi/el_dinosaurio.html"&gt;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1617</v>
      </c>
      <c r="C940" s="1"/>
      <c r="J940" s="1"/>
      <c r="M940" s="15" t="s">
        <v>483</v>
      </c>
      <c r="N940" s="1" t="s">
        <v>1488</v>
      </c>
      <c r="O940" s="15">
        <v>6</v>
      </c>
      <c r="P940" s="15">
        <v>1986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940" s="1"/>
      <c r="U940" s="1"/>
      <c r="V940" s="32" t="s">
        <v>3740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940" s="15" t="str">
        <f>_xlfn.TEXTBEFORE(_xlfn.TEXTAFTER(CantoralDB[[#This Row],[index.html]],"&gt;"),"&gt;")&amp;"&gt;"</f>
        <v>&lt;a href="canciones/kairoi/noche_silenciosa.html"&gt;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1618</v>
      </c>
      <c r="C941" s="1"/>
      <c r="J941" s="1"/>
      <c r="M941" s="15" t="s">
        <v>483</v>
      </c>
      <c r="N941" s="1" t="s">
        <v>1488</v>
      </c>
      <c r="O941" s="15">
        <v>7</v>
      </c>
      <c r="P941" s="15">
        <v>1986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941" s="1"/>
      <c r="U941" s="1"/>
      <c r="V941" s="32" t="s">
        <v>3741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941" s="15" t="str">
        <f>_xlfn.TEXTBEFORE(_xlfn.TEXTAFTER(CantoralDB[[#This Row],[index.html]],"&gt;"),"&gt;")&amp;"&gt;"</f>
        <v>&lt;a href="canciones/kairoi/con_los_niños.html"&gt;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1619</v>
      </c>
      <c r="C942" s="1"/>
      <c r="J942" s="1"/>
      <c r="M942" s="15" t="s">
        <v>483</v>
      </c>
      <c r="N942" s="1" t="s">
        <v>1488</v>
      </c>
      <c r="O942" s="15">
        <v>8</v>
      </c>
      <c r="P942" s="15">
        <v>1986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942" s="1"/>
      <c r="U942" s="1"/>
      <c r="V942" s="32" t="s">
        <v>3742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942" s="15" t="str">
        <f>_xlfn.TEXTBEFORE(_xlfn.TEXTAFTER(CantoralDB[[#This Row],[index.html]],"&gt;"),"&gt;")&amp;"&gt;"</f>
        <v>&lt;a href="canciones/kairoi/kenee_chineke_nna.html"&gt;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1620</v>
      </c>
      <c r="C943" s="1"/>
      <c r="J943" s="1"/>
      <c r="M943" s="15" t="s">
        <v>483</v>
      </c>
      <c r="N943" s="1" t="s">
        <v>1488</v>
      </c>
      <c r="O943" s="15">
        <v>9</v>
      </c>
      <c r="P943" s="15">
        <v>1986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943" s="1"/>
      <c r="U943" s="1"/>
      <c r="V943" s="32" t="s">
        <v>3743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943" s="15" t="str">
        <f>_xlfn.TEXTBEFORE(_xlfn.TEXTAFTER(CantoralDB[[#This Row],[index.html]],"&gt;"),"&gt;")&amp;"&gt;"</f>
        <v>&lt;a href="canciones/kairoi/al_nacer_el_nuevo_dia.html"&gt;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1621</v>
      </c>
      <c r="C944" s="1"/>
      <c r="J944" s="1"/>
      <c r="M944" s="15" t="s">
        <v>483</v>
      </c>
      <c r="N944" s="1" t="s">
        <v>1488</v>
      </c>
      <c r="O944" s="15">
        <v>10</v>
      </c>
      <c r="P944" s="15">
        <v>1986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944" s="1"/>
      <c r="U944" s="1"/>
      <c r="V944" s="32" t="s">
        <v>3744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944" s="15" t="str">
        <f>_xlfn.TEXTBEFORE(_xlfn.TEXTAFTER(CantoralDB[[#This Row],[index.html]],"&gt;"),"&gt;")&amp;"&gt;"</f>
        <v>&lt;a href="canciones/kairoi/ki_ki_ki.html"&gt;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1622</v>
      </c>
      <c r="C945" s="1"/>
      <c r="J945" s="1"/>
      <c r="M945" s="15" t="s">
        <v>483</v>
      </c>
      <c r="N945" s="1" t="s">
        <v>1488</v>
      </c>
      <c r="O945" s="15">
        <v>11</v>
      </c>
      <c r="P945" s="15">
        <v>1986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945" s="1"/>
      <c r="U945" s="1"/>
      <c r="V945" s="32" t="s">
        <v>3745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945" s="15" t="str">
        <f>_xlfn.TEXTBEFORE(_xlfn.TEXTAFTER(CantoralDB[[#This Row],[index.html]],"&gt;"),"&gt;")&amp;"&gt;"</f>
        <v>&lt;a href="canciones/kairoi/al_señor_cantad.html"&gt;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1623</v>
      </c>
      <c r="C946" s="1"/>
      <c r="J946" s="1"/>
      <c r="M946" s="15" t="s">
        <v>483</v>
      </c>
      <c r="N946" s="1" t="s">
        <v>1488</v>
      </c>
      <c r="O946" s="15">
        <v>12</v>
      </c>
      <c r="P946" s="15">
        <v>1986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946" s="1"/>
      <c r="U946" s="1"/>
      <c r="V946" s="32" t="s">
        <v>3746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946" s="15" t="str">
        <f>_xlfn.TEXTBEFORE(_xlfn.TEXTAFTER(CantoralDB[[#This Row],[index.html]],"&gt;"),"&gt;")&amp;"&gt;"</f>
        <v>&lt;a href="canciones/kairoi/xerinola.html"&gt;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1666</v>
      </c>
      <c r="C947" s="1"/>
      <c r="J947" s="1"/>
      <c r="M947" s="15" t="s">
        <v>483</v>
      </c>
      <c r="N947" s="1" t="s">
        <v>1495</v>
      </c>
      <c r="O947" s="15">
        <v>1</v>
      </c>
      <c r="P947" s="15">
        <v>1998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947" s="1"/>
      <c r="U947" s="1"/>
      <c r="V947" s="32" t="s">
        <v>3747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947" s="15" t="str">
        <f>_xlfn.TEXTBEFORE(_xlfn.TEXTAFTER(CantoralDB[[#This Row],[index.html]],"&gt;"),"&gt;")&amp;"&gt;"</f>
        <v>&lt;a href="canciones/kairoi/testigos_del_señor.html"&gt;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1667</v>
      </c>
      <c r="C948" s="1"/>
      <c r="H948" s="1" t="s">
        <v>2957</v>
      </c>
      <c r="J948" s="1" t="s">
        <v>607</v>
      </c>
      <c r="M948" s="15" t="s">
        <v>483</v>
      </c>
      <c r="N948" s="1" t="s">
        <v>1495</v>
      </c>
      <c r="O948" s="15">
        <v>2</v>
      </c>
      <c r="P948" s="15">
        <v>1998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948" s="1"/>
      <c r="U948" s="1"/>
      <c r="V948" s="32" t="s">
        <v>3748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948" s="15" t="str">
        <f>_xlfn.TEXTBEFORE(_xlfn.TEXTAFTER(CantoralDB[[#This Row],[index.html]],"&gt;"),"&gt;")&amp;"&gt;"</f>
        <v>&lt;a href="canciones/kairoi/confianza_en_dios.html"&gt;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1668</v>
      </c>
      <c r="C949" s="1"/>
      <c r="H949" s="1" t="s">
        <v>1028</v>
      </c>
      <c r="J949" s="1" t="s">
        <v>607</v>
      </c>
      <c r="M949" s="15" t="s">
        <v>483</v>
      </c>
      <c r="N949" s="1" t="s">
        <v>1495</v>
      </c>
      <c r="O949" s="15">
        <v>3</v>
      </c>
      <c r="P949" s="15">
        <v>1998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949" s="1"/>
      <c r="U949" s="1"/>
      <c r="V949" s="32" t="s">
        <v>3749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949" s="15" t="str">
        <f>_xlfn.TEXTBEFORE(_xlfn.TEXTAFTER(CantoralDB[[#This Row],[index.html]],"&gt;"),"&gt;")&amp;"&gt;"</f>
        <v>&lt;a href="canciones/kairoi/en_la_esperanza_madre.html"&gt;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1669</v>
      </c>
      <c r="C950" s="1"/>
      <c r="H950" s="1" t="s">
        <v>530</v>
      </c>
      <c r="J950" s="1" t="s">
        <v>607</v>
      </c>
      <c r="M950" s="15" t="s">
        <v>483</v>
      </c>
      <c r="N950" s="1" t="s">
        <v>1495</v>
      </c>
      <c r="O950" s="15">
        <v>4</v>
      </c>
      <c r="P950" s="15">
        <v>1998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950" s="1"/>
      <c r="U950" s="1"/>
      <c r="V950" s="32" t="s">
        <v>3750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950" s="15" t="str">
        <f>_xlfn.TEXTBEFORE(_xlfn.TEXTAFTER(CantoralDB[[#This Row],[index.html]],"&gt;"),"&gt;")&amp;"&gt;"</f>
        <v>&lt;a href="canciones/kairoi/con_sencillo_corazon.html"&gt;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1670</v>
      </c>
      <c r="C951" s="1"/>
      <c r="H951" s="1" t="s">
        <v>1028</v>
      </c>
      <c r="J951" s="1" t="s">
        <v>607</v>
      </c>
      <c r="M951" s="15" t="s">
        <v>483</v>
      </c>
      <c r="N951" s="1" t="s">
        <v>1495</v>
      </c>
      <c r="O951" s="15">
        <v>5</v>
      </c>
      <c r="P951" s="15">
        <v>1998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951" s="1"/>
      <c r="U951" s="1"/>
      <c r="V951" s="32" t="s">
        <v>3751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951" s="15" t="str">
        <f>_xlfn.TEXTBEFORE(_xlfn.TEXTAFTER(CantoralDB[[#This Row],[index.html]],"&gt;"),"&gt;")&amp;"&gt;"</f>
        <v>&lt;a href="canciones/kairoi/fraternidad.html"&gt;</v>
      </c>
      <c r="Y951"/>
      <c r="AC951" s="1"/>
    </row>
    <row r="952" spans="1:29" x14ac:dyDescent="0.3">
      <c r="A952" s="1">
        <f>ROW(CantoralDB[[#This Row],[Título]])-1</f>
        <v>951</v>
      </c>
      <c r="B952" s="1" t="s">
        <v>1671</v>
      </c>
      <c r="C952" s="1"/>
      <c r="J952" s="1"/>
      <c r="M952" s="15" t="s">
        <v>483</v>
      </c>
      <c r="N952" s="1" t="s">
        <v>1495</v>
      </c>
      <c r="O952" s="15">
        <v>6</v>
      </c>
      <c r="P952" s="15">
        <v>1998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952" s="1"/>
      <c r="U952" s="1"/>
      <c r="V952" s="32" t="s">
        <v>3752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952" s="15" t="str">
        <f>_xlfn.TEXTBEFORE(_xlfn.TEXTAFTER(CantoralDB[[#This Row],[index.html]],"&gt;"),"&gt;")&amp;"&gt;"</f>
        <v>&lt;a href="canciones/kairoi/teresa_toda.html"&gt;</v>
      </c>
      <c r="Y952"/>
      <c r="AC952" s="1"/>
    </row>
    <row r="953" spans="1:29" x14ac:dyDescent="0.3">
      <c r="A953" s="1">
        <f>ROW(CantoralDB[[#This Row],[Título]])-1</f>
        <v>952</v>
      </c>
      <c r="B953" s="1" t="s">
        <v>1672</v>
      </c>
      <c r="C953" s="1"/>
      <c r="J953" s="1"/>
      <c r="M953" s="15" t="s">
        <v>483</v>
      </c>
      <c r="N953" s="1" t="s">
        <v>1495</v>
      </c>
      <c r="O953" s="15">
        <v>7</v>
      </c>
      <c r="P953" s="15">
        <v>1998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953" s="1"/>
      <c r="U953" s="1"/>
      <c r="V953" s="32" t="s">
        <v>3753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953" s="15" t="str">
        <f>_xlfn.TEXTBEFORE(_xlfn.TEXTAFTER(CantoralDB[[#This Row],[index.html]],"&gt;"),"&gt;")&amp;"&gt;"</f>
        <v>&lt;a href="canciones/kairoi/pinta_de_luz.html"&gt;</v>
      </c>
      <c r="Y953"/>
      <c r="AC953" s="1"/>
    </row>
    <row r="954" spans="1:29" x14ac:dyDescent="0.3">
      <c r="A954" s="1">
        <f>ROW(CantoralDB[[#This Row],[Título]])-1</f>
        <v>953</v>
      </c>
      <c r="B954" s="1" t="s">
        <v>1673</v>
      </c>
      <c r="C954" s="1"/>
      <c r="H954" s="1" t="s">
        <v>1029</v>
      </c>
      <c r="J954" s="1" t="s">
        <v>607</v>
      </c>
      <c r="M954" s="15" t="s">
        <v>483</v>
      </c>
      <c r="N954" s="1" t="s">
        <v>1495</v>
      </c>
      <c r="O954" s="15">
        <v>8</v>
      </c>
      <c r="P954" s="15">
        <v>1998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954" s="1"/>
      <c r="U954" s="1"/>
      <c r="V954" s="32" t="s">
        <v>3754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954" s="15" t="str">
        <f>_xlfn.TEXTBEFORE(_xlfn.TEXTAFTER(CantoralDB[[#This Row],[index.html]],"&gt;"),"&gt;")&amp;"&gt;"</f>
        <v>&lt;a href="canciones/kairoi/mantas_de_carton.html"&gt;</v>
      </c>
      <c r="Y954"/>
      <c r="AC954" s="1"/>
    </row>
    <row r="955" spans="1:29" x14ac:dyDescent="0.3">
      <c r="A955" s="1">
        <f>ROW(CantoralDB[[#This Row],[Título]])-1</f>
        <v>954</v>
      </c>
      <c r="B955" s="1" t="s">
        <v>1674</v>
      </c>
      <c r="C955" s="1"/>
      <c r="H955" s="1" t="s">
        <v>1028</v>
      </c>
      <c r="J955" s="1" t="s">
        <v>607</v>
      </c>
      <c r="M955" s="15" t="s">
        <v>483</v>
      </c>
      <c r="N955" s="1" t="s">
        <v>1495</v>
      </c>
      <c r="O955" s="15">
        <v>9</v>
      </c>
      <c r="P955" s="15">
        <v>1998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955" s="1"/>
      <c r="U955" s="1"/>
      <c r="V955" s="32" t="s">
        <v>3755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955" s="15" t="str">
        <f>_xlfn.TEXTBEFORE(_xlfn.TEXTAFTER(CantoralDB[[#This Row],[index.html]],"&gt;"),"&gt;")&amp;"&gt;"</f>
        <v>&lt;a href="canciones/kairoi/soñar_un_mundo_mas_feliz.html"&gt;</v>
      </c>
      <c r="Y955"/>
      <c r="AC955" s="1"/>
    </row>
    <row r="956" spans="1:29" x14ac:dyDescent="0.3">
      <c r="A956" s="1">
        <f>ROW(CantoralDB[[#This Row],[Título]])-1</f>
        <v>955</v>
      </c>
      <c r="B956" s="1" t="s">
        <v>1675</v>
      </c>
      <c r="C956" s="1"/>
      <c r="J956" s="1"/>
      <c r="M956" s="15" t="s">
        <v>483</v>
      </c>
      <c r="N956" s="1" t="s">
        <v>1495</v>
      </c>
      <c r="O956" s="15">
        <v>10</v>
      </c>
      <c r="P956" s="15">
        <v>1998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956" s="1"/>
      <c r="U956" s="1"/>
      <c r="V956" s="32" t="s">
        <v>3756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956" s="15" t="str">
        <f>_xlfn.TEXTBEFORE(_xlfn.TEXTAFTER(CantoralDB[[#This Row],[index.html]],"&gt;"),"&gt;")&amp;"&gt;"</f>
        <v>&lt;a href="canciones/kairoi/hacia_la_luz.html"&gt;</v>
      </c>
      <c r="Y956"/>
      <c r="AC956" s="1"/>
    </row>
    <row r="957" spans="1:29" x14ac:dyDescent="0.3">
      <c r="A957" s="1">
        <f>ROW(CantoralDB[[#This Row],[Título]])-1</f>
        <v>956</v>
      </c>
      <c r="B957" s="1" t="s">
        <v>1730</v>
      </c>
      <c r="C957" s="1"/>
      <c r="J957" s="1"/>
      <c r="M957" s="15" t="s">
        <v>483</v>
      </c>
      <c r="N957" s="1" t="s">
        <v>1502</v>
      </c>
      <c r="O957" s="15">
        <v>1</v>
      </c>
      <c r="P957" s="15">
        <v>2010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957" s="1"/>
      <c r="U957" s="1"/>
      <c r="V957" s="32" t="s">
        <v>3757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957" s="15" t="str">
        <f>_xlfn.TEXTBEFORE(_xlfn.TEXTAFTER(CantoralDB[[#This Row],[index.html]],"&gt;"),"&gt;")&amp;"&gt;"</f>
        <v>&lt;a href="canciones/kairoi/corazones_nomadas.html"&gt;</v>
      </c>
      <c r="Y957"/>
      <c r="AC957" s="1"/>
    </row>
    <row r="958" spans="1:29" x14ac:dyDescent="0.3">
      <c r="A958" s="1">
        <f>ROW(CantoralDB[[#This Row],[Título]])-1</f>
        <v>957</v>
      </c>
      <c r="B958" s="1" t="s">
        <v>1731</v>
      </c>
      <c r="C958" s="1"/>
      <c r="J958" s="1"/>
      <c r="M958" s="15" t="s">
        <v>483</v>
      </c>
      <c r="N958" s="1" t="s">
        <v>1502</v>
      </c>
      <c r="O958" s="15">
        <v>2</v>
      </c>
      <c r="P958" s="15">
        <v>2010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958" s="1"/>
      <c r="U958" s="1"/>
      <c r="V958" s="32" t="s">
        <v>3758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958" s="15" t="str">
        <f>_xlfn.TEXTBEFORE(_xlfn.TEXTAFTER(CantoralDB[[#This Row],[index.html]],"&gt;"),"&gt;")&amp;"&gt;"</f>
        <v>&lt;a href="canciones/kairoi/de_la_mano.html"&gt;</v>
      </c>
      <c r="Y958"/>
      <c r="AC958" s="1"/>
    </row>
    <row r="959" spans="1:29" x14ac:dyDescent="0.3">
      <c r="A959" s="1">
        <f>ROW(CantoralDB[[#This Row],[Título]])-1</f>
        <v>958</v>
      </c>
      <c r="B959" s="1" t="s">
        <v>1732</v>
      </c>
      <c r="C959" s="1"/>
      <c r="J959" s="1"/>
      <c r="M959" s="15" t="s">
        <v>483</v>
      </c>
      <c r="N959" s="1" t="s">
        <v>1502</v>
      </c>
      <c r="O959" s="15">
        <v>3</v>
      </c>
      <c r="P959" s="15">
        <v>2010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959" s="1"/>
      <c r="U959" s="1"/>
      <c r="V959" s="32" t="s">
        <v>3760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959" s="15" t="str">
        <f>_xlfn.TEXTBEFORE(_xlfn.TEXTAFTER(CantoralDB[[#This Row],[index.html]],"&gt;"),"&gt;")&amp;"&gt;"</f>
        <v>&lt;a href="canciones/kairoi/plegaria.html"&gt;</v>
      </c>
      <c r="Y959"/>
      <c r="AC959" s="1"/>
    </row>
    <row r="960" spans="1:29" x14ac:dyDescent="0.3">
      <c r="A960" s="1">
        <f>ROW(CantoralDB[[#This Row],[Título]])-1</f>
        <v>959</v>
      </c>
      <c r="B960" s="1" t="s">
        <v>1733</v>
      </c>
      <c r="C960" s="1"/>
      <c r="J960" s="1"/>
      <c r="M960" s="15" t="s">
        <v>483</v>
      </c>
      <c r="N960" s="1" t="s">
        <v>1502</v>
      </c>
      <c r="O960" s="15">
        <v>4</v>
      </c>
      <c r="P960" s="15">
        <v>2010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960" s="1"/>
      <c r="U960" s="1"/>
      <c r="V960" s="32" t="s">
        <v>3761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960" s="15" t="str">
        <f>_xlfn.TEXTBEFORE(_xlfn.TEXTAFTER(CantoralDB[[#This Row],[index.html]],"&gt;"),"&gt;")&amp;"&gt;"</f>
        <v>&lt;a href="canciones/kairoi/somos_iglesia.html"&gt;</v>
      </c>
      <c r="Y960"/>
      <c r="AC960" s="1"/>
    </row>
    <row r="961" spans="1:29" x14ac:dyDescent="0.3">
      <c r="A961" s="1">
        <f>ROW(CantoralDB[[#This Row],[Título]])-1</f>
        <v>960</v>
      </c>
      <c r="B961" s="1" t="s">
        <v>1734</v>
      </c>
      <c r="C961" s="1"/>
      <c r="J961" s="1"/>
      <c r="M961" s="15" t="s">
        <v>483</v>
      </c>
      <c r="N961" s="1" t="s">
        <v>1502</v>
      </c>
      <c r="O961" s="15">
        <v>5</v>
      </c>
      <c r="P961" s="15">
        <v>2010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961" s="1"/>
      <c r="U961" s="1"/>
      <c r="V961" s="32" t="s">
        <v>3762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961" s="15" t="str">
        <f>_xlfn.TEXTBEFORE(_xlfn.TEXTAFTER(CantoralDB[[#This Row],[index.html]],"&gt;"),"&gt;")&amp;"&gt;"</f>
        <v>&lt;a href="canciones/kairoi/decir_tu_nombre_maria.html"&gt;</v>
      </c>
      <c r="Y961"/>
      <c r="AC961" s="1"/>
    </row>
    <row r="962" spans="1:29" x14ac:dyDescent="0.3">
      <c r="A962" s="1">
        <f>ROW(CantoralDB[[#This Row],[Título]])-1</f>
        <v>961</v>
      </c>
      <c r="B962" s="1" t="s">
        <v>1735</v>
      </c>
      <c r="C962" s="1"/>
      <c r="J962" s="1"/>
      <c r="M962" s="15" t="s">
        <v>483</v>
      </c>
      <c r="N962" s="1" t="s">
        <v>1502</v>
      </c>
      <c r="O962" s="15">
        <v>6</v>
      </c>
      <c r="P962" s="15">
        <v>2010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962" s="1"/>
      <c r="U962" s="1"/>
      <c r="V962" s="32" t="s">
        <v>3763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962" s="15" t="str">
        <f>_xlfn.TEXTBEFORE(_xlfn.TEXTAFTER(CantoralDB[[#This Row],[index.html]],"&gt;"),"&gt;")&amp;"&gt;"</f>
        <v>&lt;a href="canciones/kairoi/rebosando_nombres.html"&gt;</v>
      </c>
      <c r="Y962"/>
      <c r="AC962" s="1"/>
    </row>
    <row r="963" spans="1:29" x14ac:dyDescent="0.3">
      <c r="A963" s="1">
        <f>ROW(CantoralDB[[#This Row],[Título]])-1</f>
        <v>962</v>
      </c>
      <c r="B963" s="1" t="s">
        <v>1736</v>
      </c>
      <c r="C963" s="1"/>
      <c r="J963" s="1"/>
      <c r="M963" s="15" t="s">
        <v>483</v>
      </c>
      <c r="N963" s="1" t="s">
        <v>1502</v>
      </c>
      <c r="O963" s="15">
        <v>7</v>
      </c>
      <c r="P963" s="15">
        <v>2010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963" s="1"/>
      <c r="U963" s="1"/>
      <c r="V963" s="32" t="s">
        <v>3764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963" s="15" t="str">
        <f>_xlfn.TEXTBEFORE(_xlfn.TEXTAFTER(CantoralDB[[#This Row],[index.html]],"&gt;"),"&gt;")&amp;"&gt;"</f>
        <v>&lt;a href="canciones/kairoi/perdona_que_te_lo_diga.html"&gt;</v>
      </c>
      <c r="Y963"/>
      <c r="AC963" s="1"/>
    </row>
    <row r="964" spans="1:29" x14ac:dyDescent="0.3">
      <c r="A964" s="1">
        <f>ROW(CantoralDB[[#This Row],[Título]])-1</f>
        <v>963</v>
      </c>
      <c r="B964" s="1" t="s">
        <v>1737</v>
      </c>
      <c r="C964" s="1"/>
      <c r="J964" s="1"/>
      <c r="M964" s="15" t="s">
        <v>483</v>
      </c>
      <c r="N964" s="1" t="s">
        <v>1502</v>
      </c>
      <c r="O964" s="15">
        <v>8</v>
      </c>
      <c r="P964" s="15">
        <v>2010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964" s="1"/>
      <c r="U964" s="1"/>
      <c r="V964" s="32" t="s">
        <v>3765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964" s="15" t="str">
        <f>_xlfn.TEXTBEFORE(_xlfn.TEXTAFTER(CantoralDB[[#This Row],[index.html]],"&gt;"),"&gt;")&amp;"&gt;"</f>
        <v>&lt;a href="canciones/kairoi/padre_del_hombre.html"&gt;</v>
      </c>
      <c r="Y964"/>
      <c r="AC964" s="1"/>
    </row>
    <row r="965" spans="1:29" x14ac:dyDescent="0.3">
      <c r="A965" s="1">
        <f>ROW(CantoralDB[[#This Row],[Título]])-1</f>
        <v>964</v>
      </c>
      <c r="B965" s="1" t="s">
        <v>1738</v>
      </c>
      <c r="C965" s="1"/>
      <c r="J965" s="1"/>
      <c r="M965" s="15" t="s">
        <v>483</v>
      </c>
      <c r="N965" s="1" t="s">
        <v>1502</v>
      </c>
      <c r="O965" s="15">
        <v>9</v>
      </c>
      <c r="P965" s="15">
        <v>2010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965" s="1"/>
      <c r="U965" s="1"/>
      <c r="V965" s="32" t="s">
        <v>3766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965" s="15" t="str">
        <f>_xlfn.TEXTBEFORE(_xlfn.TEXTAFTER(CantoralDB[[#This Row],[index.html]],"&gt;"),"&gt;")&amp;"&gt;"</f>
        <v>&lt;a href="canciones/kairoi/marcelino.html"&gt;</v>
      </c>
      <c r="Y965"/>
      <c r="AC965" s="1"/>
    </row>
    <row r="966" spans="1:29" x14ac:dyDescent="0.3">
      <c r="A966" s="1">
        <f>ROW(CantoralDB[[#This Row],[Título]])-1</f>
        <v>965</v>
      </c>
      <c r="B966" s="1" t="s">
        <v>1739</v>
      </c>
      <c r="C966" s="1"/>
      <c r="J966" s="1"/>
      <c r="M966" s="15" t="s">
        <v>483</v>
      </c>
      <c r="N966" s="1" t="s">
        <v>1502</v>
      </c>
      <c r="O966" s="15">
        <v>10</v>
      </c>
      <c r="P966" s="15">
        <v>2010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966" s="1"/>
      <c r="U966" s="1"/>
      <c r="V966" s="32" t="s">
        <v>3767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966" s="15" t="str">
        <f>_xlfn.TEXTBEFORE(_xlfn.TEXTAFTER(CantoralDB[[#This Row],[index.html]],"&gt;"),"&gt;")&amp;"&gt;"</f>
        <v>&lt;a href="canciones/kairoi/siento_tu_dolor.html"&gt;</v>
      </c>
      <c r="Y966"/>
      <c r="AC966" s="1"/>
    </row>
    <row r="967" spans="1:29" x14ac:dyDescent="0.3">
      <c r="A967" s="1">
        <f>ROW(CantoralDB[[#This Row],[Título]])-1</f>
        <v>966</v>
      </c>
      <c r="B967" s="1" t="s">
        <v>1740</v>
      </c>
      <c r="C967" s="1"/>
      <c r="J967" s="1"/>
      <c r="M967" s="15" t="s">
        <v>483</v>
      </c>
      <c r="N967" s="1" t="s">
        <v>1502</v>
      </c>
      <c r="O967" s="15">
        <v>11</v>
      </c>
      <c r="P967" s="15">
        <v>2010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967" s="1"/>
      <c r="U967" s="1"/>
      <c r="V967" s="32" t="s">
        <v>3768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967" s="15" t="str">
        <f>_xlfn.TEXTBEFORE(_xlfn.TEXTAFTER(CantoralDB[[#This Row],[index.html]],"&gt;"),"&gt;")&amp;"&gt;"</f>
        <v>&lt;a href="canciones/kairoi/si_yo_cambiara.html"&gt;</v>
      </c>
      <c r="Y967"/>
      <c r="AC967" s="1"/>
    </row>
    <row r="968" spans="1:29" x14ac:dyDescent="0.3">
      <c r="A968" s="1">
        <f>ROW(CantoralDB[[#This Row],[Título]])-1</f>
        <v>967</v>
      </c>
      <c r="B968" s="1" t="s">
        <v>3759</v>
      </c>
      <c r="C968" s="1"/>
      <c r="J968" s="1"/>
      <c r="M968" s="15" t="s">
        <v>483</v>
      </c>
      <c r="N968" s="1" t="s">
        <v>1502</v>
      </c>
      <c r="O968" s="15">
        <v>12</v>
      </c>
      <c r="P968" s="15">
        <v>2010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968" s="1"/>
      <c r="U968" s="1"/>
      <c r="V968" s="32" t="s">
        <v>3769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968" s="15" t="str">
        <f>_xlfn.TEXTBEFORE(_xlfn.TEXTAFTER(CantoralDB[[#This Row],[index.html]],"&gt;"),"&gt;")&amp;"&gt;"</f>
        <v>&lt;a href="canciones/kairoi/no_pasa_nada.html"&gt;</v>
      </c>
      <c r="Y968"/>
      <c r="AC968" s="1"/>
    </row>
    <row r="969" spans="1:29" x14ac:dyDescent="0.3">
      <c r="A969" s="1">
        <f>ROW(CantoralDB[[#This Row],[Título]])-1</f>
        <v>968</v>
      </c>
      <c r="B969" s="1" t="s">
        <v>1717</v>
      </c>
      <c r="C969" s="1"/>
      <c r="J969" s="1"/>
      <c r="M969" s="15" t="s">
        <v>483</v>
      </c>
      <c r="N969" s="1" t="s">
        <v>1501</v>
      </c>
      <c r="O969" s="15">
        <v>1</v>
      </c>
      <c r="P969" s="15">
        <v>2004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969" s="1"/>
      <c r="U969" s="1"/>
      <c r="V969" s="32" t="s">
        <v>3770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969" s="15" t="str">
        <f>_xlfn.TEXTBEFORE(_xlfn.TEXTAFTER(CantoralDB[[#This Row],[index.html]],"&gt;"),"&gt;")&amp;"&gt;"</f>
        <v>&lt;a href="canciones/kairoi/mundo_de_ensueño.html"&gt;</v>
      </c>
      <c r="Y969"/>
      <c r="AC969" s="1"/>
    </row>
    <row r="970" spans="1:29" x14ac:dyDescent="0.3">
      <c r="A970" s="1">
        <f>ROW(CantoralDB[[#This Row],[Título]])-1</f>
        <v>969</v>
      </c>
      <c r="B970" s="1" t="s">
        <v>1718</v>
      </c>
      <c r="C970" s="1"/>
      <c r="J970" s="1"/>
      <c r="M970" s="15" t="s">
        <v>483</v>
      </c>
      <c r="N970" s="1" t="s">
        <v>1501</v>
      </c>
      <c r="O970" s="15">
        <v>2</v>
      </c>
      <c r="P970" s="15">
        <v>2004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970" s="1"/>
      <c r="U970" s="1"/>
      <c r="V970" s="32" t="s">
        <v>3771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970" s="15" t="str">
        <f>_xlfn.TEXTBEFORE(_xlfn.TEXTAFTER(CantoralDB[[#This Row],[index.html]],"&gt;"),"&gt;")&amp;"&gt;"</f>
        <v>&lt;a href="canciones/kairoi/tras_el_cristal.html"&gt;</v>
      </c>
      <c r="Y970"/>
      <c r="AC970" s="1"/>
    </row>
    <row r="971" spans="1:29" x14ac:dyDescent="0.3">
      <c r="A971" s="1">
        <f>ROW(CantoralDB[[#This Row],[Título]])-1</f>
        <v>970</v>
      </c>
      <c r="B971" s="1" t="s">
        <v>1719</v>
      </c>
      <c r="C971" s="1"/>
      <c r="J971" s="1"/>
      <c r="M971" s="15" t="s">
        <v>483</v>
      </c>
      <c r="N971" s="1" t="s">
        <v>1501</v>
      </c>
      <c r="O971" s="15">
        <v>3</v>
      </c>
      <c r="P971" s="15">
        <v>2004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971" s="1"/>
      <c r="U971" s="1"/>
      <c r="V971" s="32" t="s">
        <v>3772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971" s="15" t="str">
        <f>_xlfn.TEXTBEFORE(_xlfn.TEXTAFTER(CantoralDB[[#This Row],[index.html]],"&gt;"),"&gt;")&amp;"&gt;"</f>
        <v>&lt;a href="canciones/kairoi/carta_a_un_general.html"&gt;</v>
      </c>
      <c r="Y971"/>
      <c r="AC971" s="1"/>
    </row>
    <row r="972" spans="1:29" x14ac:dyDescent="0.3">
      <c r="A972" s="1">
        <f>ROW(CantoralDB[[#This Row],[Título]])-1</f>
        <v>971</v>
      </c>
      <c r="B972" s="1" t="s">
        <v>1720</v>
      </c>
      <c r="C972" s="1"/>
      <c r="J972" s="1"/>
      <c r="M972" s="15" t="s">
        <v>483</v>
      </c>
      <c r="N972" s="1" t="s">
        <v>1501</v>
      </c>
      <c r="O972" s="15">
        <v>4</v>
      </c>
      <c r="P972" s="15">
        <v>2004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972" s="1"/>
      <c r="U972" s="1"/>
      <c r="V972" s="32" t="s">
        <v>3773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972" s="15" t="str">
        <f>_xlfn.TEXTBEFORE(_xlfn.TEXTAFTER(CantoralDB[[#This Row],[index.html]],"&gt;"),"&gt;")&amp;"&gt;"</f>
        <v>&lt;a href="canciones/kairoi/un_gesto.html"&gt;</v>
      </c>
      <c r="Y972"/>
      <c r="AC972" s="1"/>
    </row>
    <row r="973" spans="1:29" x14ac:dyDescent="0.3">
      <c r="A973" s="1">
        <f>ROW(CantoralDB[[#This Row],[Título]])-1</f>
        <v>972</v>
      </c>
      <c r="B973" s="1" t="s">
        <v>1721</v>
      </c>
      <c r="C973" s="1"/>
      <c r="J973" s="1"/>
      <c r="M973" s="15" t="s">
        <v>483</v>
      </c>
      <c r="N973" s="1" t="s">
        <v>1501</v>
      </c>
      <c r="O973" s="15">
        <v>5</v>
      </c>
      <c r="P973" s="15">
        <v>2004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973" s="1"/>
      <c r="U973" s="1"/>
      <c r="V973" s="32" t="s">
        <v>3774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973" s="15" t="str">
        <f>_xlfn.TEXTBEFORE(_xlfn.TEXTAFTER(CantoralDB[[#This Row],[index.html]],"&gt;"),"&gt;")&amp;"&gt;"</f>
        <v>&lt;a href="canciones/kairoi/angel.html"&gt;</v>
      </c>
      <c r="Y973"/>
      <c r="AC973" s="1"/>
    </row>
    <row r="974" spans="1:29" x14ac:dyDescent="0.3">
      <c r="A974" s="1">
        <f>ROW(CantoralDB[[#This Row],[Título]])-1</f>
        <v>973</v>
      </c>
      <c r="B974" s="1" t="s">
        <v>1722</v>
      </c>
      <c r="C974" s="1"/>
      <c r="J974" s="1"/>
      <c r="M974" s="15" t="s">
        <v>483</v>
      </c>
      <c r="N974" s="1" t="s">
        <v>1501</v>
      </c>
      <c r="O974" s="15">
        <v>6</v>
      </c>
      <c r="P974" s="15">
        <v>2004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974" s="1"/>
      <c r="U974" s="1"/>
      <c r="V974" s="32" t="s">
        <v>3775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974" s="15" t="str">
        <f>_xlfn.TEXTBEFORE(_xlfn.TEXTAFTER(CantoralDB[[#This Row],[index.html]],"&gt;"),"&gt;")&amp;"&gt;"</f>
        <v>&lt;a href="canciones/kairoi/scaramouche.html"&gt;</v>
      </c>
      <c r="Y974"/>
      <c r="AC974" s="1"/>
    </row>
    <row r="975" spans="1:29" x14ac:dyDescent="0.3">
      <c r="A975" s="1">
        <f>ROW(CantoralDB[[#This Row],[Título]])-1</f>
        <v>974</v>
      </c>
      <c r="B975" s="1" t="s">
        <v>1724</v>
      </c>
      <c r="C975" s="1"/>
      <c r="J975" s="1"/>
      <c r="M975" s="15" t="s">
        <v>483</v>
      </c>
      <c r="N975" s="1" t="s">
        <v>1501</v>
      </c>
      <c r="O975" s="15">
        <v>8</v>
      </c>
      <c r="P975" s="15">
        <v>2004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975" s="1"/>
      <c r="U975" s="1"/>
      <c r="V975" s="32" t="s">
        <v>3776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975" s="15" t="str">
        <f>_xlfn.TEXTBEFORE(_xlfn.TEXTAFTER(CantoralDB[[#This Row],[index.html]],"&gt;"),"&gt;")&amp;"&gt;"</f>
        <v>&lt;a href="canciones/kairoi/en_que_mundo_vives.html"&gt;</v>
      </c>
      <c r="Y975"/>
      <c r="AC975" s="1"/>
    </row>
    <row r="976" spans="1:29" x14ac:dyDescent="0.3">
      <c r="A976" s="1">
        <f>ROW(CantoralDB[[#This Row],[Título]])-1</f>
        <v>975</v>
      </c>
      <c r="B976" s="1" t="s">
        <v>1725</v>
      </c>
      <c r="C976" s="1"/>
      <c r="J976" s="1"/>
      <c r="M976" s="15" t="s">
        <v>483</v>
      </c>
      <c r="N976" s="1" t="s">
        <v>1501</v>
      </c>
      <c r="O976" s="15">
        <v>9</v>
      </c>
      <c r="P976" s="15">
        <v>2004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976" s="1"/>
      <c r="U976" s="1"/>
      <c r="V976" s="32" t="s">
        <v>3777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976" s="15" t="str">
        <f>_xlfn.TEXTBEFORE(_xlfn.TEXTAFTER(CantoralDB[[#This Row],[index.html]],"&gt;"),"&gt;")&amp;"&gt;"</f>
        <v>&lt;a href="canciones/kairoi/una_iglesia_de_excluidos.html"&gt;</v>
      </c>
      <c r="Y976"/>
      <c r="AC976" s="1"/>
    </row>
    <row r="977" spans="1:29" x14ac:dyDescent="0.3">
      <c r="A977" s="1">
        <f>ROW(CantoralDB[[#This Row],[Título]])-1</f>
        <v>976</v>
      </c>
      <c r="B977" s="1" t="s">
        <v>1726</v>
      </c>
      <c r="C977" s="1"/>
      <c r="J977" s="1"/>
      <c r="M977" s="15" t="s">
        <v>483</v>
      </c>
      <c r="N977" s="1" t="s">
        <v>1501</v>
      </c>
      <c r="O977" s="15">
        <v>10</v>
      </c>
      <c r="P977" s="15">
        <v>2004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977" s="1"/>
      <c r="U977" s="1"/>
      <c r="V977" s="32" t="s">
        <v>3778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977" s="15" t="str">
        <f>_xlfn.TEXTBEFORE(_xlfn.TEXTAFTER(CantoralDB[[#This Row],[index.html]],"&gt;"),"&gt;")&amp;"&gt;"</f>
        <v>&lt;a href="canciones/kairoi/un_dios_que_huele.html"&gt;</v>
      </c>
      <c r="Y977"/>
      <c r="AC977" s="1"/>
    </row>
    <row r="978" spans="1:29" x14ac:dyDescent="0.3">
      <c r="A978" s="1">
        <f>ROW(CantoralDB[[#This Row],[Título]])-1</f>
        <v>977</v>
      </c>
      <c r="B978" s="1" t="s">
        <v>1727</v>
      </c>
      <c r="C978" s="1"/>
      <c r="J978" s="1"/>
      <c r="M978" s="15" t="s">
        <v>483</v>
      </c>
      <c r="N978" s="1" t="s">
        <v>1501</v>
      </c>
      <c r="O978" s="15">
        <v>11</v>
      </c>
      <c r="P978" s="15">
        <v>2004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978" s="1"/>
      <c r="U978" s="1"/>
      <c r="V978" s="32" t="s">
        <v>3779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978" s="15" t="str">
        <f>_xlfn.TEXTBEFORE(_xlfn.TEXTAFTER(CantoralDB[[#This Row],[index.html]],"&gt;"),"&gt;")&amp;"&gt;"</f>
        <v>&lt;a href="canciones/kairoi/a_su_imagen_y_semejanza.html"&gt;</v>
      </c>
      <c r="Y978"/>
      <c r="AC978" s="1"/>
    </row>
    <row r="979" spans="1:29" x14ac:dyDescent="0.3">
      <c r="A979" s="1">
        <f>ROW(CantoralDB[[#This Row],[Título]])-1</f>
        <v>978</v>
      </c>
      <c r="B979" s="1" t="s">
        <v>1728</v>
      </c>
      <c r="C979" s="1"/>
      <c r="J979" s="1"/>
      <c r="M979" s="15" t="s">
        <v>483</v>
      </c>
      <c r="N979" s="1" t="s">
        <v>1501</v>
      </c>
      <c r="O979" s="15">
        <v>12</v>
      </c>
      <c r="P979" s="15">
        <v>2004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979" s="1"/>
      <c r="U979" s="1"/>
      <c r="V979" s="32" t="s">
        <v>3780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979" s="15" t="str">
        <f>_xlfn.TEXTBEFORE(_xlfn.TEXTAFTER(CantoralDB[[#This Row],[index.html]],"&gt;"),"&gt;")&amp;"&gt;"</f>
        <v>&lt;a href="canciones/kairoi/ante_el_espejo.html"&gt;</v>
      </c>
      <c r="Y979"/>
      <c r="AC979" s="1"/>
    </row>
    <row r="980" spans="1:29" x14ac:dyDescent="0.3">
      <c r="A980" s="1">
        <f>ROW(CantoralDB[[#This Row],[Título]])-1</f>
        <v>979</v>
      </c>
      <c r="B980" s="1" t="s">
        <v>1729</v>
      </c>
      <c r="C980" s="1"/>
      <c r="J980" s="1"/>
      <c r="M980" s="15" t="s">
        <v>483</v>
      </c>
      <c r="N980" s="1" t="s">
        <v>1501</v>
      </c>
      <c r="O980" s="15">
        <v>13</v>
      </c>
      <c r="P980" s="15">
        <v>2004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980" s="1"/>
      <c r="U980" s="1"/>
      <c r="V980" s="32" t="s">
        <v>3781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980" s="15" t="str">
        <f>_xlfn.TEXTBEFORE(_xlfn.TEXTAFTER(CantoralDB[[#This Row],[index.html]],"&gt;"),"&gt;")&amp;"&gt;"</f>
        <v>&lt;a href="canciones/kairoi/angel_remix.html"&gt;</v>
      </c>
      <c r="Y980"/>
      <c r="AC980" s="1"/>
    </row>
    <row r="981" spans="1:29" x14ac:dyDescent="0.3">
      <c r="A981" s="1">
        <f>ROW(CantoralDB[[#This Row],[Título]])-1</f>
        <v>980</v>
      </c>
      <c r="B981" s="1" t="s">
        <v>1906</v>
      </c>
      <c r="C981" s="1"/>
      <c r="H981" s="1" t="s">
        <v>472</v>
      </c>
      <c r="J981" s="1" t="s">
        <v>607</v>
      </c>
      <c r="M981" s="15" t="s">
        <v>483</v>
      </c>
      <c r="N981" s="1" t="s">
        <v>1494</v>
      </c>
      <c r="O981" s="15">
        <v>1</v>
      </c>
      <c r="P981" s="15">
        <v>1998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981" s="1"/>
      <c r="U981" s="1"/>
      <c r="V981" s="32" t="s">
        <v>3782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981" s="15" t="str">
        <f>_xlfn.TEXTBEFORE(_xlfn.TEXTAFTER(CantoralDB[[#This Row],[index.html]],"&gt;"),"&gt;")&amp;"&gt;"</f>
        <v>&lt;a href="canciones/kairoi/somos_cancion.html"&gt;</v>
      </c>
      <c r="Y981"/>
      <c r="AC981" s="1"/>
    </row>
    <row r="982" spans="1:29" x14ac:dyDescent="0.3">
      <c r="A982" s="1">
        <f>ROW(CantoralDB[[#This Row],[Título]])-1</f>
        <v>981</v>
      </c>
      <c r="B982" s="1" t="s">
        <v>2026</v>
      </c>
      <c r="C982" s="1"/>
      <c r="H982" s="1" t="s">
        <v>530</v>
      </c>
      <c r="J982" s="1" t="s">
        <v>607</v>
      </c>
      <c r="M982" s="15" t="s">
        <v>483</v>
      </c>
      <c r="N982" s="1" t="s">
        <v>1494</v>
      </c>
      <c r="O982" s="15">
        <v>2</v>
      </c>
      <c r="P982" s="15">
        <v>1998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982" s="1"/>
      <c r="U982" s="1"/>
      <c r="V982" s="32" t="s">
        <v>3783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982" s="15" t="str">
        <f>_xlfn.TEXTBEFORE(_xlfn.TEXTAFTER(CantoralDB[[#This Row],[index.html]],"&gt;"),"&gt;")&amp;"&gt;"</f>
        <v>&lt;a href="canciones/kairoi/ten_piedad_de_mi.html"&gt;</v>
      </c>
      <c r="Y982"/>
      <c r="AC982" s="1"/>
    </row>
    <row r="983" spans="1:29" x14ac:dyDescent="0.3">
      <c r="A983" s="1">
        <f>ROW(CantoralDB[[#This Row],[Título]])-1</f>
        <v>982</v>
      </c>
      <c r="B983" s="1" t="s">
        <v>192</v>
      </c>
      <c r="C983" s="1"/>
      <c r="H983" s="1" t="s">
        <v>1028</v>
      </c>
      <c r="J983" s="1" t="s">
        <v>607</v>
      </c>
      <c r="M983" s="15" t="s">
        <v>483</v>
      </c>
      <c r="N983" s="1" t="s">
        <v>1494</v>
      </c>
      <c r="O983" s="15">
        <v>3</v>
      </c>
      <c r="P983" s="15">
        <v>1998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983" s="1"/>
      <c r="U983" s="1"/>
      <c r="V983" s="32" t="s">
        <v>3784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983" s="15" t="str">
        <f>_xlfn.TEXTBEFORE(_xlfn.TEXTAFTER(CantoralDB[[#This Row],[index.html]],"&gt;"),"&gt;")&amp;"&gt;"</f>
        <v>&lt;a href="canciones/kairoi/gloria.html"&gt;</v>
      </c>
      <c r="Y983"/>
      <c r="AC983" s="1"/>
    </row>
    <row r="984" spans="1:29" x14ac:dyDescent="0.3">
      <c r="A984" s="1">
        <f>ROW(CantoralDB[[#This Row],[Título]])-1</f>
        <v>983</v>
      </c>
      <c r="B984" s="1" t="s">
        <v>1662</v>
      </c>
      <c r="C984" s="1"/>
      <c r="J984" s="1"/>
      <c r="M984" s="15" t="s">
        <v>483</v>
      </c>
      <c r="N984" s="1" t="s">
        <v>1494</v>
      </c>
      <c r="O984" s="15">
        <v>4</v>
      </c>
      <c r="P984" s="15">
        <v>1998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984" s="1"/>
      <c r="U984" s="1"/>
      <c r="V984" s="32" t="s">
        <v>3785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984" s="15" t="str">
        <f>_xlfn.TEXTBEFORE(_xlfn.TEXTAFTER(CantoralDB[[#This Row],[index.html]],"&gt;"),"&gt;")&amp;"&gt;"</f>
        <v>&lt;a href="canciones/kairoi/salmo.html"&gt;</v>
      </c>
      <c r="Y984"/>
      <c r="AC984" s="1"/>
    </row>
    <row r="985" spans="1:29" x14ac:dyDescent="0.3">
      <c r="A985" s="1">
        <f>ROW(CantoralDB[[#This Row],[Título]])-1</f>
        <v>984</v>
      </c>
      <c r="B985" s="1" t="s">
        <v>193</v>
      </c>
      <c r="C985" s="1"/>
      <c r="H985" s="1" t="s">
        <v>1028</v>
      </c>
      <c r="J985" s="1" t="s">
        <v>607</v>
      </c>
      <c r="M985" s="15" t="s">
        <v>483</v>
      </c>
      <c r="N985" s="1" t="s">
        <v>1494</v>
      </c>
      <c r="O985" s="15">
        <v>5</v>
      </c>
      <c r="P985" s="15">
        <v>1998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985" s="1"/>
      <c r="U985" s="1"/>
      <c r="V985" s="32" t="s">
        <v>3786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985" s="15" t="str">
        <f>_xlfn.TEXTBEFORE(_xlfn.TEXTAFTER(CantoralDB[[#This Row],[index.html]],"&gt;"),"&gt;")&amp;"&gt;"</f>
        <v>&lt;a href="canciones/kairoi/aleluya.html"&gt;</v>
      </c>
      <c r="Y985"/>
      <c r="AC985" s="1"/>
    </row>
    <row r="986" spans="1:29" x14ac:dyDescent="0.3">
      <c r="A986" s="1">
        <f>ROW(CantoralDB[[#This Row],[Título]])-1</f>
        <v>985</v>
      </c>
      <c r="B986" s="1" t="s">
        <v>1913</v>
      </c>
      <c r="C986" s="1"/>
      <c r="H986" s="1" t="s">
        <v>1029</v>
      </c>
      <c r="J986" s="1" t="s">
        <v>607</v>
      </c>
      <c r="M986" s="15" t="s">
        <v>483</v>
      </c>
      <c r="N986" s="1" t="s">
        <v>1494</v>
      </c>
      <c r="O986" s="15">
        <v>6</v>
      </c>
      <c r="P986" s="15">
        <v>1998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986" s="1"/>
      <c r="U986" s="1"/>
      <c r="V986" s="32" t="s">
        <v>3787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986" s="15" t="str">
        <f>_xlfn.TEXTBEFORE(_xlfn.TEXTAFTER(CantoralDB[[#This Row],[index.html]],"&gt;"),"&gt;")&amp;"&gt;"</f>
        <v>&lt;a href="canciones/kairoi/estoy_creyendo_en_ti_(credo).html"&gt;</v>
      </c>
      <c r="Y986"/>
      <c r="AC986" s="1"/>
    </row>
    <row r="987" spans="1:29" x14ac:dyDescent="0.3">
      <c r="A987" s="1">
        <f>ROW(CantoralDB[[#This Row],[Título]])-1</f>
        <v>986</v>
      </c>
      <c r="B987" s="1" t="s">
        <v>1914</v>
      </c>
      <c r="C987" s="1"/>
      <c r="H987" s="1" t="s">
        <v>1029</v>
      </c>
      <c r="J987" s="1" t="s">
        <v>607</v>
      </c>
      <c r="M987" s="15" t="s">
        <v>483</v>
      </c>
      <c r="N987" s="1" t="s">
        <v>1494</v>
      </c>
      <c r="O987" s="15">
        <v>7</v>
      </c>
      <c r="P987" s="15">
        <v>1998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987" s="1"/>
      <c r="U987" s="1"/>
      <c r="V987" s="32" t="s">
        <v>3789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987" s="15" t="str">
        <f>_xlfn.TEXTBEFORE(_xlfn.TEXTAFTER(CantoralDB[[#This Row],[index.html]],"&gt;"),"&gt;")&amp;"&gt;"</f>
        <v>&lt;a href="canciones/kairoi/conviviendo_en_armonia.html"&gt;</v>
      </c>
      <c r="Y987"/>
      <c r="AC987" s="1"/>
    </row>
    <row r="988" spans="1:29" x14ac:dyDescent="0.3">
      <c r="A988" s="1">
        <f>ROW(CantoralDB[[#This Row],[Título]])-1</f>
        <v>987</v>
      </c>
      <c r="B988" s="1" t="s">
        <v>195</v>
      </c>
      <c r="C988" s="1"/>
      <c r="J988" s="1"/>
      <c r="M988" s="15" t="s">
        <v>483</v>
      </c>
      <c r="N988" s="1" t="s">
        <v>1494</v>
      </c>
      <c r="O988" s="15">
        <v>8</v>
      </c>
      <c r="P988" s="15">
        <v>1998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988" s="1"/>
      <c r="U988" s="1"/>
      <c r="V988" s="32" t="s">
        <v>3788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988" s="15" t="str">
        <f>_xlfn.TEXTBEFORE(_xlfn.TEXTAFTER(CantoralDB[[#This Row],[index.html]],"&gt;"),"&gt;")&amp;"&gt;"</f>
        <v>&lt;a href="canciones/kairoi/santo.html"&gt;</v>
      </c>
      <c r="Y988"/>
      <c r="AC988" s="1"/>
    </row>
    <row r="989" spans="1:29" x14ac:dyDescent="0.3">
      <c r="A989" s="1">
        <f>ROW(CantoralDB[[#This Row],[Título]])-1</f>
        <v>988</v>
      </c>
      <c r="B989" s="1" t="s">
        <v>2141</v>
      </c>
      <c r="C989" s="1"/>
      <c r="H989" s="1" t="s">
        <v>1029</v>
      </c>
      <c r="J989" s="1" t="s">
        <v>607</v>
      </c>
      <c r="M989" s="15" t="s">
        <v>483</v>
      </c>
      <c r="N989" s="1" t="s">
        <v>1494</v>
      </c>
      <c r="O989" s="15">
        <v>9</v>
      </c>
      <c r="P989" s="15">
        <v>1998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989" s="1"/>
      <c r="U989" s="1"/>
      <c r="V989" s="32" t="s">
        <v>3791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989" s="15" t="str">
        <f>_xlfn.TEXTBEFORE(_xlfn.TEXTAFTER(CantoralDB[[#This Row],[index.html]],"&gt;"),"&gt;")&amp;"&gt;"</f>
        <v>&lt;a href="canciones/kairoi/padre_nuestro_ii.html"&gt;</v>
      </c>
      <c r="Y989"/>
      <c r="AC989" s="1"/>
    </row>
    <row r="990" spans="1:29" x14ac:dyDescent="0.3">
      <c r="A990" s="1">
        <f>ROW(CantoralDB[[#This Row],[Título]])-1</f>
        <v>989</v>
      </c>
      <c r="B990" s="1" t="s">
        <v>1664</v>
      </c>
      <c r="C990" s="1"/>
      <c r="J990" s="1"/>
      <c r="M990" s="15" t="s">
        <v>483</v>
      </c>
      <c r="N990" s="1" t="s">
        <v>1494</v>
      </c>
      <c r="O990" s="15">
        <v>10</v>
      </c>
      <c r="P990" s="15">
        <v>1998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990" s="1"/>
      <c r="U990" s="1"/>
      <c r="V990" s="32" t="s">
        <v>3790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990" s="15" t="str">
        <f>_xlfn.TEXTBEFORE(_xlfn.TEXTAFTER(CantoralDB[[#This Row],[index.html]],"&gt;"),"&gt;")&amp;"&gt;"</f>
        <v>&lt;a href="canciones/kairoi/cancion_de_paz.html"&gt;</v>
      </c>
      <c r="Y990"/>
      <c r="AC990" s="1"/>
    </row>
    <row r="991" spans="1:29" x14ac:dyDescent="0.3">
      <c r="A991" s="1">
        <f>ROW(CantoralDB[[#This Row],[Título]])-1</f>
        <v>990</v>
      </c>
      <c r="B991" s="1" t="s">
        <v>1665</v>
      </c>
      <c r="C991" s="1"/>
      <c r="H991" s="1" t="s">
        <v>472</v>
      </c>
      <c r="I991" s="1" t="s">
        <v>2949</v>
      </c>
      <c r="J991" s="1" t="s">
        <v>607</v>
      </c>
      <c r="M991" s="15" t="s">
        <v>483</v>
      </c>
      <c r="N991" s="1" t="s">
        <v>1494</v>
      </c>
      <c r="O991" s="15">
        <v>11</v>
      </c>
      <c r="P991" s="15">
        <v>1998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991" s="1"/>
      <c r="U991" s="1"/>
      <c r="V991" s="32" t="s">
        <v>3792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991" s="15" t="str">
        <f>_xlfn.TEXTBEFORE(_xlfn.TEXTAFTER(CantoralDB[[#This Row],[index.html]],"&gt;"),"&gt;")&amp;"&gt;"</f>
        <v>&lt;a href="canciones/kairoi/te_agradezco.html"&gt;</v>
      </c>
      <c r="Y991"/>
      <c r="AC991" s="1"/>
    </row>
    <row r="992" spans="1:29" x14ac:dyDescent="0.3">
      <c r="A992" s="1">
        <f>ROW(CantoralDB[[#This Row],[Título]])-1</f>
        <v>991</v>
      </c>
      <c r="B992" s="1" t="s">
        <v>2882</v>
      </c>
      <c r="C992" s="1"/>
      <c r="H992" s="1" t="s">
        <v>1029</v>
      </c>
      <c r="J992" s="1" t="s">
        <v>607</v>
      </c>
      <c r="M992" s="15" t="s">
        <v>483</v>
      </c>
      <c r="N992" s="1" t="s">
        <v>1494</v>
      </c>
      <c r="O992" s="15">
        <v>12</v>
      </c>
      <c r="P992" s="15">
        <v>1998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992" s="1"/>
      <c r="U992" s="1"/>
      <c r="V992" s="32" t="s">
        <v>3793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992" s="15" t="str">
        <f>_xlfn.TEXTBEFORE(_xlfn.TEXTAFTER(CantoralDB[[#This Row],[index.html]],"&gt;"),"&gt;")&amp;"&gt;"</f>
        <v>&lt;a href="canciones/kairoi/escucha_maria.html"&gt;</v>
      </c>
      <c r="Y992"/>
      <c r="AC992" s="1"/>
    </row>
    <row r="993" spans="1:29" x14ac:dyDescent="0.3">
      <c r="A993" s="1">
        <f>ROW(CantoralDB[[#This Row],[Título]])-1</f>
        <v>992</v>
      </c>
      <c r="B993" s="1" t="s">
        <v>1642</v>
      </c>
      <c r="C993" s="1"/>
      <c r="J993" s="1"/>
      <c r="M993" s="15" t="s">
        <v>483</v>
      </c>
      <c r="N993" s="1" t="s">
        <v>1492</v>
      </c>
      <c r="O993" s="15">
        <v>1</v>
      </c>
      <c r="P993" s="15">
        <v>1993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993" s="1"/>
      <c r="U993" s="1"/>
      <c r="V993" s="32" t="s">
        <v>3794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993" s="15" t="str">
        <f>_xlfn.TEXTBEFORE(_xlfn.TEXTAFTER(CantoralDB[[#This Row],[index.html]],"&gt;"),"&gt;")&amp;"&gt;"</f>
        <v>&lt;a href="canciones/kairoi/clara_hija_de_la_luz.html"&gt;</v>
      </c>
      <c r="Y993"/>
      <c r="AC993" s="1"/>
    </row>
    <row r="994" spans="1:29" x14ac:dyDescent="0.3">
      <c r="A994" s="1">
        <f>ROW(CantoralDB[[#This Row],[Título]])-1</f>
        <v>993</v>
      </c>
      <c r="B994" s="1" t="s">
        <v>1643</v>
      </c>
      <c r="C994" s="1"/>
      <c r="J994" s="1"/>
      <c r="M994" s="15" t="s">
        <v>483</v>
      </c>
      <c r="N994" s="1" t="s">
        <v>1492</v>
      </c>
      <c r="O994" s="15">
        <v>2</v>
      </c>
      <c r="P994" s="15">
        <v>1993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994" s="1"/>
      <c r="U994" s="1"/>
      <c r="V994" s="32" t="s">
        <v>3795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994" s="15" t="str">
        <f>_xlfn.TEXTBEFORE(_xlfn.TEXTAFTER(CantoralDB[[#This Row],[index.html]],"&gt;"),"&gt;")&amp;"&gt;"</f>
        <v>&lt;a href="canciones/kairoi/clara_imagen_de_dios.html"&gt;</v>
      </c>
      <c r="Y994"/>
      <c r="AC994" s="1"/>
    </row>
    <row r="995" spans="1:29" x14ac:dyDescent="0.3">
      <c r="A995" s="1">
        <f>ROW(CantoralDB[[#This Row],[Título]])-1</f>
        <v>994</v>
      </c>
      <c r="B995" s="1" t="s">
        <v>1311</v>
      </c>
      <c r="C995" s="1"/>
      <c r="E995" s="1">
        <v>226</v>
      </c>
      <c r="H995" s="1" t="s">
        <v>1029</v>
      </c>
      <c r="J995" s="1" t="s">
        <v>607</v>
      </c>
      <c r="M995" s="15" t="s">
        <v>483</v>
      </c>
      <c r="N995" s="1" t="s">
        <v>1492</v>
      </c>
      <c r="O995" s="15">
        <v>3</v>
      </c>
      <c r="P995" s="15">
        <v>1993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995" s="1"/>
      <c r="U995" s="1"/>
      <c r="V995" s="32" t="s">
        <v>3796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995" s="15" t="str">
        <f>_xlfn.TEXTBEFORE(_xlfn.TEXTAFTER(CantoralDB[[#This Row],[index.html]],"&gt;"),"&gt;")&amp;"&gt;"</f>
        <v>&lt;a href="canciones/kairoi/rezar_no_es_otra_cosa.html"&gt;</v>
      </c>
      <c r="Y995"/>
      <c r="AC995" s="1"/>
    </row>
    <row r="996" spans="1:29" x14ac:dyDescent="0.3">
      <c r="A996" s="1">
        <f>ROW(CantoralDB[[#This Row],[Título]])-1</f>
        <v>995</v>
      </c>
      <c r="B996" s="1" t="s">
        <v>1644</v>
      </c>
      <c r="C996" s="1"/>
      <c r="H996" s="1" t="s">
        <v>472</v>
      </c>
      <c r="J996" s="1" t="s">
        <v>607</v>
      </c>
      <c r="M996" s="15" t="s">
        <v>483</v>
      </c>
      <c r="N996" s="1" t="s">
        <v>1492</v>
      </c>
      <c r="O996" s="15">
        <v>4</v>
      </c>
      <c r="P996" s="15">
        <v>1993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996" s="1"/>
      <c r="U996" s="1"/>
      <c r="V996" s="32" t="s">
        <v>3797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996" s="15" t="str">
        <f>_xlfn.TEXTBEFORE(_xlfn.TEXTAFTER(CantoralDB[[#This Row],[index.html]],"&gt;"),"&gt;")&amp;"&gt;"</f>
        <v>&lt;a href="canciones/kairoi/jesus_te_ama.html"&gt;</v>
      </c>
      <c r="Y996"/>
      <c r="AC996" s="1"/>
    </row>
    <row r="997" spans="1:29" x14ac:dyDescent="0.3">
      <c r="A997" s="1">
        <f>ROW(CantoralDB[[#This Row],[Título]])-1</f>
        <v>996</v>
      </c>
      <c r="B997" s="1" t="s">
        <v>1645</v>
      </c>
      <c r="C997" s="1"/>
      <c r="H997" s="1" t="s">
        <v>530</v>
      </c>
      <c r="J997" s="1" t="s">
        <v>607</v>
      </c>
      <c r="M997" s="15" t="s">
        <v>483</v>
      </c>
      <c r="N997" s="1" t="s">
        <v>1492</v>
      </c>
      <c r="O997" s="15">
        <v>5</v>
      </c>
      <c r="P997" s="15">
        <v>1993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997" s="1"/>
      <c r="U997" s="1"/>
      <c r="V997" s="32" t="s">
        <v>3798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997" s="15" t="str">
        <f>_xlfn.TEXTBEFORE(_xlfn.TEXTAFTER(CantoralDB[[#This Row],[index.html]],"&gt;"),"&gt;")&amp;"&gt;"</f>
        <v>&lt;a href="canciones/kairoi/cantico_de_las_criaturas.html"&gt;</v>
      </c>
      <c r="Y997"/>
      <c r="AC997" s="1"/>
    </row>
    <row r="998" spans="1:29" x14ac:dyDescent="0.3">
      <c r="A998" s="1">
        <f>ROW(CantoralDB[[#This Row],[Título]])-1</f>
        <v>997</v>
      </c>
      <c r="B998" s="1" t="s">
        <v>1910</v>
      </c>
      <c r="C998" s="1"/>
      <c r="H998" s="1" t="s">
        <v>472</v>
      </c>
      <c r="J998" s="1" t="s">
        <v>607</v>
      </c>
      <c r="M998" s="15" t="s">
        <v>483</v>
      </c>
      <c r="N998" s="1" t="s">
        <v>1492</v>
      </c>
      <c r="O998" s="15">
        <v>6</v>
      </c>
      <c r="P998" s="15">
        <v>1993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998" s="1"/>
      <c r="U998" s="1"/>
      <c r="V998" s="32" t="s">
        <v>3799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998" s="15" t="str">
        <f>_xlfn.TEXTBEFORE(_xlfn.TEXTAFTER(CantoralDB[[#This Row],[index.html]],"&gt;"),"&gt;")&amp;"&gt;"</f>
        <v>&lt;a href="canciones/kairoi/ya_no_te_queda_tiempo.html"&gt;</v>
      </c>
      <c r="Y998"/>
      <c r="AC998" s="1"/>
    </row>
    <row r="999" spans="1:29" x14ac:dyDescent="0.3">
      <c r="A999" s="1">
        <f>ROW(CantoralDB[[#This Row],[Título]])-1</f>
        <v>998</v>
      </c>
      <c r="B999" s="1" t="s">
        <v>1646</v>
      </c>
      <c r="C999" s="1"/>
      <c r="J999" s="1"/>
      <c r="M999" s="15" t="s">
        <v>483</v>
      </c>
      <c r="N999" s="1" t="s">
        <v>1492</v>
      </c>
      <c r="O999" s="15">
        <v>7</v>
      </c>
      <c r="P999" s="15">
        <v>1993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999" s="1"/>
      <c r="U999" s="1"/>
      <c r="V999" s="32" t="s">
        <v>3800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999" s="15" t="str">
        <f>_xlfn.TEXTBEFORE(_xlfn.TEXTAFTER(CantoralDB[[#This Row],[index.html]],"&gt;"),"&gt;")&amp;"&gt;"</f>
        <v>&lt;a href="canciones/kairoi/oracion_a_san_francisco.html"&gt;</v>
      </c>
      <c r="Y999"/>
      <c r="AC999" s="1"/>
    </row>
    <row r="1000" spans="1:29" x14ac:dyDescent="0.3">
      <c r="A1000" s="1">
        <f>ROW(CantoralDB[[#This Row],[Título]])-1</f>
        <v>999</v>
      </c>
      <c r="B1000" s="1" t="s">
        <v>1297</v>
      </c>
      <c r="C1000" s="1"/>
      <c r="E1000" s="1">
        <v>196</v>
      </c>
      <c r="H1000" s="1" t="s">
        <v>1028</v>
      </c>
      <c r="J1000" s="1" t="s">
        <v>607</v>
      </c>
      <c r="M1000" s="15" t="s">
        <v>483</v>
      </c>
      <c r="N1000" s="1" t="s">
        <v>1492</v>
      </c>
      <c r="O1000" s="15">
        <v>8</v>
      </c>
      <c r="P1000" s="15">
        <v>1993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00" s="1"/>
      <c r="U1000" s="1"/>
      <c r="V1000" s="32" t="s">
        <v>3801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00" s="15" t="str">
        <f>_xlfn.TEXTBEFORE(_xlfn.TEXTAFTER(CantoralDB[[#This Row],[index.html]],"&gt;"),"&gt;")&amp;"&gt;"</f>
        <v>&lt;a href="canciones/kairoi/padre_de_las_misericordias.html"&gt;</v>
      </c>
      <c r="Y1000"/>
      <c r="AC1000" s="1"/>
    </row>
    <row r="1001" spans="1:29" x14ac:dyDescent="0.3">
      <c r="A1001" s="1">
        <f>ROW(CantoralDB[[#This Row],[Título]])-1</f>
        <v>1000</v>
      </c>
      <c r="B1001" s="1" t="s">
        <v>1328</v>
      </c>
      <c r="C1001" s="1"/>
      <c r="E1001" s="1">
        <v>252</v>
      </c>
      <c r="H1001" s="1" t="s">
        <v>1026</v>
      </c>
      <c r="J1001" s="1" t="s">
        <v>607</v>
      </c>
      <c r="M1001" s="15" t="s">
        <v>483</v>
      </c>
      <c r="N1001" s="1" t="s">
        <v>1492</v>
      </c>
      <c r="O1001" s="15">
        <v>9</v>
      </c>
      <c r="P1001" s="15">
        <v>1993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01" s="1"/>
      <c r="U1001" s="1"/>
      <c r="V1001" s="32" t="s">
        <v>3802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01" s="15" t="str">
        <f>_xlfn.TEXTBEFORE(_xlfn.TEXTAFTER(CantoralDB[[#This Row],[index.html]],"&gt;"),"&gt;")&amp;"&gt;"</f>
        <v>&lt;a href="canciones/kairoi/te_alabo_señor.html"&gt;</v>
      </c>
      <c r="Y1001"/>
      <c r="AC1001" s="1"/>
    </row>
    <row r="1002" spans="1:29" x14ac:dyDescent="0.3">
      <c r="A1002" s="1">
        <f>ROW(CantoralDB[[#This Row],[Título]])-1</f>
        <v>1001</v>
      </c>
      <c r="B1002" s="1" t="s">
        <v>1647</v>
      </c>
      <c r="C1002" s="1"/>
      <c r="J1002" s="1"/>
      <c r="M1002" s="15" t="s">
        <v>483</v>
      </c>
      <c r="N1002" s="1" t="s">
        <v>1492</v>
      </c>
      <c r="O1002" s="15">
        <v>10</v>
      </c>
      <c r="P1002" s="15">
        <v>1993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02" s="1"/>
      <c r="U1002" s="1"/>
      <c r="V1002" s="32" t="s">
        <v>3803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02" s="15" t="str">
        <f>_xlfn.TEXTBEFORE(_xlfn.TEXTAFTER(CantoralDB[[#This Row],[index.html]],"&gt;"),"&gt;")&amp;"&gt;"</f>
        <v>&lt;a href="canciones/kairoi/si_vamos_desnudos_por_cristo.html"&gt;</v>
      </c>
      <c r="Y1002"/>
      <c r="AC1002" s="1"/>
    </row>
    <row r="1003" spans="1:29" x14ac:dyDescent="0.3">
      <c r="A1003" s="1">
        <f>ROW(CantoralDB[[#This Row],[Título]])-1</f>
        <v>1002</v>
      </c>
      <c r="B1003" s="1" t="s">
        <v>1648</v>
      </c>
      <c r="C1003" s="1"/>
      <c r="H1003" s="1" t="s">
        <v>1029</v>
      </c>
      <c r="J1003" s="1" t="s">
        <v>607</v>
      </c>
      <c r="M1003" s="15" t="s">
        <v>483</v>
      </c>
      <c r="N1003" s="1" t="s">
        <v>1492</v>
      </c>
      <c r="O1003" s="15">
        <v>11</v>
      </c>
      <c r="P1003" s="15">
        <v>1993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03" s="1"/>
      <c r="U1003" s="1"/>
      <c r="V1003" s="32" t="s">
        <v>3804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03" s="15" t="str">
        <f>_xlfn.TEXTBEFORE(_xlfn.TEXTAFTER(CantoralDB[[#This Row],[index.html]],"&gt;"),"&gt;")&amp;"&gt;"</f>
        <v>&lt;a href="canciones/kairoi/el_don_de_la_fraternidad.html"&gt;</v>
      </c>
      <c r="Y1003"/>
      <c r="AC1003" s="1"/>
    </row>
    <row r="1004" spans="1:29" x14ac:dyDescent="0.3">
      <c r="A1004" s="1">
        <f>ROW(CantoralDB[[#This Row],[Título]])-1</f>
        <v>1003</v>
      </c>
      <c r="B1004" s="1" t="s">
        <v>1568</v>
      </c>
      <c r="C1004" s="1"/>
      <c r="H1004" s="1" t="s">
        <v>1026</v>
      </c>
      <c r="J1004" s="1" t="s">
        <v>607</v>
      </c>
      <c r="M1004" s="15" t="s">
        <v>483</v>
      </c>
      <c r="N1004" s="1" t="s">
        <v>1487</v>
      </c>
      <c r="O1004" s="15">
        <v>1</v>
      </c>
      <c r="P1004" s="15">
        <v>1986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04" s="1"/>
      <c r="U1004" s="1"/>
      <c r="V1004" s="32" t="s">
        <v>3805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04" s="15" t="str">
        <f>_xlfn.TEXTBEFORE(_xlfn.TEXTAFTER(CantoralDB[[#This Row],[index.html]],"&gt;"),"&gt;")&amp;"&gt;"</f>
        <v>&lt;a href="canciones/kairoi/jesus_es_verdad.html"&gt;</v>
      </c>
      <c r="Y1004"/>
      <c r="AC1004" s="1"/>
    </row>
    <row r="1005" spans="1:29" x14ac:dyDescent="0.3">
      <c r="A1005" s="1">
        <f>ROW(CantoralDB[[#This Row],[Título]])-1</f>
        <v>1004</v>
      </c>
      <c r="B1005" s="1" t="s">
        <v>1603</v>
      </c>
      <c r="C1005" s="1"/>
      <c r="J1005" s="1"/>
      <c r="M1005" s="15" t="s">
        <v>483</v>
      </c>
      <c r="N1005" s="1" t="s">
        <v>1487</v>
      </c>
      <c r="O1005" s="15">
        <v>3</v>
      </c>
      <c r="P1005" s="15">
        <v>1986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05" s="1"/>
      <c r="U1005" s="1"/>
      <c r="V1005" s="32" t="s">
        <v>3806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05" s="15" t="str">
        <f>_xlfn.TEXTBEFORE(_xlfn.TEXTAFTER(CantoralDB[[#This Row],[index.html]],"&gt;"),"&gt;")&amp;"&gt;"</f>
        <v>&lt;a href="canciones/kairoi/como_marcelino.html"&gt;</v>
      </c>
      <c r="Y1005"/>
      <c r="AC1005" s="1"/>
    </row>
    <row r="1006" spans="1:29" x14ac:dyDescent="0.3">
      <c r="A1006" s="1">
        <f>ROW(CantoralDB[[#This Row],[Título]])-1</f>
        <v>1005</v>
      </c>
      <c r="B1006" s="1" t="s">
        <v>1604</v>
      </c>
      <c r="C1006" s="1"/>
      <c r="H1006" s="1" t="s">
        <v>1029</v>
      </c>
      <c r="J1006" s="1" t="s">
        <v>607</v>
      </c>
      <c r="M1006" s="15" t="s">
        <v>483</v>
      </c>
      <c r="N1006" s="1" t="s">
        <v>1487</v>
      </c>
      <c r="O1006" s="15">
        <v>4</v>
      </c>
      <c r="P1006" s="15">
        <v>1986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06" s="1"/>
      <c r="U1006" s="1"/>
      <c r="V1006" s="32" t="s">
        <v>3807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06" s="15" t="str">
        <f>_xlfn.TEXTBEFORE(_xlfn.TEXTAFTER(CantoralDB[[#This Row],[index.html]],"&gt;"),"&gt;")&amp;"&gt;"</f>
        <v>&lt;a href="canciones/kairoi/niño.html"&gt;</v>
      </c>
      <c r="Y1006"/>
      <c r="AC1006" s="1"/>
    </row>
    <row r="1007" spans="1:29" x14ac:dyDescent="0.3">
      <c r="A1007" s="1">
        <f>ROW(CantoralDB[[#This Row],[Título]])-1</f>
        <v>1006</v>
      </c>
      <c r="B1007" s="1" t="s">
        <v>1606</v>
      </c>
      <c r="C1007" s="1"/>
      <c r="H1007" s="1" t="s">
        <v>1026</v>
      </c>
      <c r="J1007" s="1" t="s">
        <v>607</v>
      </c>
      <c r="M1007" s="15" t="s">
        <v>483</v>
      </c>
      <c r="N1007" s="1" t="s">
        <v>1487</v>
      </c>
      <c r="O1007" s="15">
        <v>6</v>
      </c>
      <c r="P1007" s="15">
        <v>1986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07" s="1"/>
      <c r="U1007" s="1"/>
      <c r="V1007" s="32" t="s">
        <v>3808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07" s="15" t="str">
        <f>_xlfn.TEXTBEFORE(_xlfn.TEXTAFTER(CantoralDB[[#This Row],[index.html]],"&gt;"),"&gt;")&amp;"&gt;"</f>
        <v>&lt;a href="canciones/kairoi/una_vida.html"&gt;</v>
      </c>
      <c r="Y1007"/>
      <c r="AC1007" s="1"/>
    </row>
    <row r="1008" spans="1:29" x14ac:dyDescent="0.3">
      <c r="A1008" s="1">
        <f>ROW(CantoralDB[[#This Row],[Título]])-1</f>
        <v>1007</v>
      </c>
      <c r="B1008" s="1" t="s">
        <v>1609</v>
      </c>
      <c r="C1008" s="1"/>
      <c r="H1008" s="1" t="s">
        <v>472</v>
      </c>
      <c r="J1008" s="1" t="s">
        <v>607</v>
      </c>
      <c r="M1008" s="15" t="s">
        <v>483</v>
      </c>
      <c r="N1008" s="1" t="s">
        <v>1487</v>
      </c>
      <c r="O1008" s="15">
        <v>9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08" s="1"/>
      <c r="U1008" s="1"/>
      <c r="V1008" s="32" t="s">
        <v>3809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08" s="15" t="str">
        <f>_xlfn.TEXTBEFORE(_xlfn.TEXTAFTER(CantoralDB[[#This Row],[index.html]],"&gt;"),"&gt;")&amp;"&gt;"</f>
        <v>&lt;a href="canciones/kairoi/dios_en_la_ciudad.html"&gt;</v>
      </c>
      <c r="Y1008"/>
      <c r="AC1008" s="1"/>
    </row>
    <row r="1009" spans="1:29" x14ac:dyDescent="0.3">
      <c r="A1009" s="1">
        <f>ROW(CantoralDB[[#This Row],[Título]])-1</f>
        <v>1008</v>
      </c>
      <c r="B1009" s="1" t="s">
        <v>1611</v>
      </c>
      <c r="C1009" s="1"/>
      <c r="H1009" s="1" t="s">
        <v>530</v>
      </c>
      <c r="J1009" s="1" t="s">
        <v>607</v>
      </c>
      <c r="M1009" s="15" t="s">
        <v>483</v>
      </c>
      <c r="N1009" s="1" t="s">
        <v>1487</v>
      </c>
      <c r="O1009" s="15">
        <v>11</v>
      </c>
      <c r="P1009" s="15">
        <v>1986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09" s="1"/>
      <c r="U1009" s="1"/>
      <c r="V1009" s="32" t="s">
        <v>3810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09" s="15" t="str">
        <f>_xlfn.TEXTBEFORE(_xlfn.TEXTAFTER(CantoralDB[[#This Row],[index.html]],"&gt;"),"&gt;")&amp;"&gt;"</f>
        <v>&lt;a href="canciones/kairoi/somos_una_familia.html"&gt;</v>
      </c>
      <c r="Y1009"/>
      <c r="AC1009" s="1"/>
    </row>
    <row r="1010" spans="1:29" x14ac:dyDescent="0.3">
      <c r="A1010" s="1">
        <f>ROW(CantoralDB[[#This Row],[Título]])-1</f>
        <v>1009</v>
      </c>
      <c r="B1010" s="1" t="s">
        <v>61</v>
      </c>
      <c r="C1010" s="1" t="s">
        <v>190</v>
      </c>
      <c r="D1010" s="1" t="s">
        <v>738</v>
      </c>
      <c r="E1010" s="1">
        <v>111</v>
      </c>
      <c r="G1010" s="1" t="s">
        <v>208</v>
      </c>
      <c r="H1010" s="1" t="s">
        <v>530</v>
      </c>
      <c r="I1010" s="1" t="s">
        <v>2953</v>
      </c>
      <c r="J1010" s="1" t="s">
        <v>607</v>
      </c>
      <c r="M1010" s="15" t="s">
        <v>483</v>
      </c>
      <c r="N1010" s="1" t="s">
        <v>1491</v>
      </c>
      <c r="O1010" s="15">
        <v>1</v>
      </c>
      <c r="P1010" s="15">
        <v>1992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10" s="1" t="s">
        <v>831</v>
      </c>
      <c r="U1010" s="1"/>
      <c r="V1010" s="32" t="s">
        <v>3811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10" s="15" t="str">
        <f>_xlfn.TEXTBEFORE(_xlfn.TEXTAFTER(CantoralDB[[#This Row],[index.html]],"&gt;"),"&gt;")&amp;"&gt;"</f>
        <v>&lt;a href="canciones/kairoi/eres_el_fuego_el_amor.html"&gt;</v>
      </c>
      <c r="Y1010"/>
      <c r="AC1010" s="1"/>
    </row>
    <row r="1011" spans="1:29" x14ac:dyDescent="0.3">
      <c r="A1011" s="1">
        <f>ROW(CantoralDB[[#This Row],[Título]])-1</f>
        <v>1010</v>
      </c>
      <c r="B1011" s="1" t="s">
        <v>1573</v>
      </c>
      <c r="C1011" s="1"/>
      <c r="H1011" s="1" t="s">
        <v>1026</v>
      </c>
      <c r="J1011" s="1" t="s">
        <v>607</v>
      </c>
      <c r="M1011" s="15" t="s">
        <v>483</v>
      </c>
      <c r="N1011" s="1" t="s">
        <v>1491</v>
      </c>
      <c r="O1011" s="15">
        <v>2</v>
      </c>
      <c r="P1011" s="15">
        <v>1992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11" s="1"/>
      <c r="U1011" s="1"/>
      <c r="V1011" s="32" t="s">
        <v>3812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11" s="15" t="str">
        <f>_xlfn.TEXTBEFORE(_xlfn.TEXTAFTER(CantoralDB[[#This Row],[index.html]],"&gt;"),"&gt;")&amp;"&gt;"</f>
        <v>&lt;a href="canciones/kairoi/me_has_seducido_señor.html"&gt;</v>
      </c>
      <c r="Y1011"/>
      <c r="AC1011" s="1"/>
    </row>
    <row r="1012" spans="1:29" x14ac:dyDescent="0.3">
      <c r="A1012" s="1">
        <f>ROW(CantoralDB[[#This Row],[Título]])-1</f>
        <v>1011</v>
      </c>
      <c r="B1012" s="1" t="s">
        <v>1636</v>
      </c>
      <c r="C1012" s="1"/>
      <c r="J1012" s="1"/>
      <c r="M1012" s="15" t="s">
        <v>483</v>
      </c>
      <c r="N1012" s="1" t="s">
        <v>1491</v>
      </c>
      <c r="O1012" s="15">
        <v>3</v>
      </c>
      <c r="P1012" s="15">
        <v>1992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12" s="1"/>
      <c r="U1012" s="1"/>
      <c r="V1012" s="32" t="s">
        <v>3813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12" s="15" t="str">
        <f>_xlfn.TEXTBEFORE(_xlfn.TEXTAFTER(CantoralDB[[#This Row],[index.html]],"&gt;"),"&gt;")&amp;"&gt;"</f>
        <v>&lt;a href="canciones/kairoi/deseo_paz.html"&gt;</v>
      </c>
      <c r="Y1012"/>
      <c r="AC1012" s="1"/>
    </row>
    <row r="1013" spans="1:29" x14ac:dyDescent="0.3">
      <c r="A1013" s="1">
        <f>ROW(CantoralDB[[#This Row],[Título]])-1</f>
        <v>1012</v>
      </c>
      <c r="B1013" s="1" t="s">
        <v>1574</v>
      </c>
      <c r="C1013" s="1"/>
      <c r="H1013" s="1" t="s">
        <v>472</v>
      </c>
      <c r="J1013" s="1" t="s">
        <v>607</v>
      </c>
      <c r="M1013" s="15" t="s">
        <v>483</v>
      </c>
      <c r="N1013" s="1" t="s">
        <v>1491</v>
      </c>
      <c r="O1013" s="15">
        <v>4</v>
      </c>
      <c r="P1013" s="15">
        <v>1992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13" s="1"/>
      <c r="U1013" s="1"/>
      <c r="V1013" s="32" t="s">
        <v>3814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13" s="15" t="str">
        <f>_xlfn.TEXTBEFORE(_xlfn.TEXTAFTER(CantoralDB[[#This Row],[index.html]],"&gt;"),"&gt;")&amp;"&gt;"</f>
        <v>&lt;a href="canciones/kairoi/una_vida_que_busca_libertad.html"&gt;</v>
      </c>
      <c r="Y1013"/>
      <c r="AC1013" s="1"/>
    </row>
    <row r="1014" spans="1:29" x14ac:dyDescent="0.3">
      <c r="A1014" s="1">
        <f>ROW(CantoralDB[[#This Row],[Título]])-1</f>
        <v>1013</v>
      </c>
      <c r="B1014" s="1" t="s">
        <v>1637</v>
      </c>
      <c r="C1014" s="1"/>
      <c r="H1014" s="1" t="s">
        <v>1027</v>
      </c>
      <c r="J1014" s="1" t="s">
        <v>607</v>
      </c>
      <c r="M1014" s="15" t="s">
        <v>483</v>
      </c>
      <c r="N1014" s="1" t="s">
        <v>1491</v>
      </c>
      <c r="O1014" s="15">
        <v>5</v>
      </c>
      <c r="P1014" s="15">
        <v>1992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14" s="1"/>
      <c r="U1014" s="1"/>
      <c r="V1014" s="32" t="s">
        <v>3815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14" s="15" t="str">
        <f>_xlfn.TEXTBEFORE(_xlfn.TEXTAFTER(CantoralDB[[#This Row],[index.html]],"&gt;"),"&gt;")&amp;"&gt;"</f>
        <v>&lt;a href="canciones/kairoi/nuestra_buena_madre.html"&gt;</v>
      </c>
      <c r="Y1014"/>
      <c r="AC1014" s="1"/>
    </row>
    <row r="1015" spans="1:29" x14ac:dyDescent="0.3">
      <c r="A1015" s="1">
        <f>ROW(CantoralDB[[#This Row],[Título]])-1</f>
        <v>1014</v>
      </c>
      <c r="B1015" s="1" t="s">
        <v>1575</v>
      </c>
      <c r="C1015" s="1"/>
      <c r="H1015" s="1" t="s">
        <v>1026</v>
      </c>
      <c r="J1015" s="1" t="s">
        <v>607</v>
      </c>
      <c r="M1015" s="15" t="s">
        <v>483</v>
      </c>
      <c r="N1015" s="1" t="s">
        <v>1491</v>
      </c>
      <c r="O1015" s="15">
        <v>6</v>
      </c>
      <c r="P1015" s="15">
        <v>1992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15" s="1"/>
      <c r="U1015" s="1"/>
      <c r="V1015" s="32" t="s">
        <v>3816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15" s="15" t="str">
        <f>_xlfn.TEXTBEFORE(_xlfn.TEXTAFTER(CantoralDB[[#This Row],[index.html]],"&gt;"),"&gt;")&amp;"&gt;"</f>
        <v>&lt;a href="canciones/kairoi/señor_yo_no_soy_digno.html"&gt;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1638</v>
      </c>
      <c r="C1016" s="1"/>
      <c r="H1016" s="1" t="s">
        <v>472</v>
      </c>
      <c r="J1016" s="1" t="s">
        <v>607</v>
      </c>
      <c r="M1016" s="15" t="s">
        <v>483</v>
      </c>
      <c r="N1016" s="1" t="s">
        <v>1491</v>
      </c>
      <c r="O1016" s="15">
        <v>7</v>
      </c>
      <c r="P1016" s="15">
        <v>1992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16" s="1"/>
      <c r="U1016" s="1"/>
      <c r="V1016" s="32" t="s">
        <v>3817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16" s="15" t="str">
        <f>_xlfn.TEXTBEFORE(_xlfn.TEXTAFTER(CantoralDB[[#This Row],[index.html]],"&gt;"),"&gt;")&amp;"&gt;"</f>
        <v>&lt;a href="canciones/kairoi/no_durmais.html"&gt;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1909</v>
      </c>
      <c r="C1017" s="1"/>
      <c r="H1017" s="1" t="s">
        <v>1029</v>
      </c>
      <c r="J1017" s="1" t="s">
        <v>607</v>
      </c>
      <c r="M1017" s="15" t="s">
        <v>483</v>
      </c>
      <c r="N1017" s="1" t="s">
        <v>1491</v>
      </c>
      <c r="O1017" s="15">
        <v>8</v>
      </c>
      <c r="P1017" s="15">
        <v>1992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17" s="1"/>
      <c r="U1017" s="1"/>
      <c r="V1017" s="32" t="s">
        <v>3818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17" s="15" t="str">
        <f>_xlfn.TEXTBEFORE(_xlfn.TEXTAFTER(CantoralDB[[#This Row],[index.html]],"&gt;"),"&gt;")&amp;"&gt;"</f>
        <v>&lt;a href="canciones/kairoi/señor_dios_me_tienes_ante_ti.html"&gt;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174</v>
      </c>
      <c r="C1018" s="1" t="s">
        <v>992</v>
      </c>
      <c r="D1018" s="1" t="s">
        <v>684</v>
      </c>
      <c r="G1018" s="1" t="s">
        <v>208</v>
      </c>
      <c r="H1018" s="1" t="s">
        <v>1029</v>
      </c>
      <c r="J1018" s="1" t="s">
        <v>607</v>
      </c>
      <c r="M1018" s="15" t="s">
        <v>483</v>
      </c>
      <c r="N1018" s="1" t="s">
        <v>1491</v>
      </c>
      <c r="O1018" s="15">
        <v>9</v>
      </c>
      <c r="P1018" s="15">
        <v>1992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18" s="1" t="s">
        <v>809</v>
      </c>
      <c r="U1018" s="1"/>
      <c r="V1018" s="32" t="s">
        <v>3819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18" s="15" t="str">
        <f>_xlfn.TEXTBEFORE(_xlfn.TEXTAFTER(CantoralDB[[#This Row],[index.html]],"&gt;"),"&gt;")&amp;"&gt;"</f>
        <v>&lt;a href="canciones/kairoi/bienaventuranzas_(kairoi).html"&gt;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1639</v>
      </c>
      <c r="C1019" s="1"/>
      <c r="H1019" s="1" t="s">
        <v>472</v>
      </c>
      <c r="J1019" s="1" t="s">
        <v>607</v>
      </c>
      <c r="M1019" s="15" t="s">
        <v>483</v>
      </c>
      <c r="N1019" s="1" t="s">
        <v>1491</v>
      </c>
      <c r="O1019" s="15">
        <v>10</v>
      </c>
      <c r="P1019" s="15">
        <v>1992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19" s="1"/>
      <c r="U1019" s="1"/>
      <c r="V1019" s="32" t="s">
        <v>3820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19" s="15" t="str">
        <f>_xlfn.TEXTBEFORE(_xlfn.TEXTAFTER(CantoralDB[[#This Row],[index.html]],"&gt;"),"&gt;")&amp;"&gt;"</f>
        <v>&lt;a href="canciones/kairoi/tu_llamada.html"&gt;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1640</v>
      </c>
      <c r="C1020" s="1"/>
      <c r="H1020" s="1" t="s">
        <v>530</v>
      </c>
      <c r="J1020" s="1" t="s">
        <v>607</v>
      </c>
      <c r="M1020" s="15" t="s">
        <v>483</v>
      </c>
      <c r="N1020" s="1" t="s">
        <v>1491</v>
      </c>
      <c r="O1020" s="15">
        <v>11</v>
      </c>
      <c r="P1020" s="15">
        <v>1992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20" s="1"/>
      <c r="U1020" s="1"/>
      <c r="V1020" s="32" t="s">
        <v>3821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20" s="15" t="str">
        <f>_xlfn.TEXTBEFORE(_xlfn.TEXTAFTER(CantoralDB[[#This Row],[index.html]],"&gt;"),"&gt;")&amp;"&gt;"</f>
        <v>&lt;a href="canciones/kairoi/no_es_facil.html"&gt;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1641</v>
      </c>
      <c r="C1021" s="1"/>
      <c r="H1021" s="1" t="s">
        <v>1027</v>
      </c>
      <c r="J1021" s="1" t="s">
        <v>607</v>
      </c>
      <c r="M1021" s="15" t="s">
        <v>483</v>
      </c>
      <c r="N1021" s="1" t="s">
        <v>1491</v>
      </c>
      <c r="O1021" s="15">
        <v>12</v>
      </c>
      <c r="P1021" s="15">
        <v>1992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21" s="1"/>
      <c r="U1021" s="1"/>
      <c r="V1021" s="32" t="s">
        <v>3822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21" s="15" t="str">
        <f>_xlfn.TEXTBEFORE(_xlfn.TEXTAFTER(CantoralDB[[#This Row],[index.html]],"&gt;"),"&gt;")&amp;"&gt;"</f>
        <v>&lt;a href="canciones/kairoi/nacidos_de_la_cruz.html"&gt;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258</v>
      </c>
      <c r="C1022" s="1" t="s">
        <v>190</v>
      </c>
      <c r="D1022" s="1" t="s">
        <v>740</v>
      </c>
      <c r="F1022" s="1">
        <v>1</v>
      </c>
      <c r="G1022" s="1" t="s">
        <v>212</v>
      </c>
      <c r="H1022" s="1" t="s">
        <v>530</v>
      </c>
      <c r="J1022" s="1" t="s">
        <v>607</v>
      </c>
      <c r="M1022" s="15" t="s">
        <v>483</v>
      </c>
      <c r="N1022" s="1" t="s">
        <v>1482</v>
      </c>
      <c r="O1022" s="15">
        <v>1</v>
      </c>
      <c r="P1022" s="15">
        <v>1979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22" s="1" t="s">
        <v>839</v>
      </c>
      <c r="U1022" s="1"/>
      <c r="V1022" s="32" t="s">
        <v>3823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X1022" s="15" t="str">
        <f>_xlfn.TEXTBEFORE(_xlfn.TEXTAFTER(CantoralDB[[#This Row],[index.html]],"&gt;"),"&gt;")&amp;"&gt;"</f>
        <v>&lt;a href="canciones/kairoi/jesus_es_señor.html"&gt;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166</v>
      </c>
      <c r="C1023" s="1" t="s">
        <v>199</v>
      </c>
      <c r="D1023" s="1" t="s">
        <v>1057</v>
      </c>
      <c r="E1023" s="1">
        <v>474</v>
      </c>
      <c r="F1023" s="1">
        <v>60</v>
      </c>
      <c r="G1023" s="1" t="s">
        <v>208</v>
      </c>
      <c r="H1023" s="1" t="s">
        <v>1026</v>
      </c>
      <c r="J1023" s="1" t="s">
        <v>607</v>
      </c>
      <c r="M1023" s="15" t="s">
        <v>483</v>
      </c>
      <c r="N1023" s="1" t="s">
        <v>1482</v>
      </c>
      <c r="O1023" s="15">
        <v>2</v>
      </c>
      <c r="P1023" s="15">
        <v>1979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23" s="1" t="s">
        <v>867</v>
      </c>
      <c r="U1023" s="1"/>
      <c r="V1023" s="32" t="s">
        <v>3824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X1023" s="15" t="str">
        <f>_xlfn.TEXTBEFORE(_xlfn.TEXTAFTER(CantoralDB[[#This Row],[index.html]],"&gt;"),"&gt;")&amp;"&gt;"</f>
        <v>&lt;a href="canciones/kairoi/yo_cantare_(magnificat).html"&gt;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224</v>
      </c>
      <c r="C1024" s="1" t="s">
        <v>190</v>
      </c>
      <c r="D1024" s="1" t="s">
        <v>741</v>
      </c>
      <c r="F1024" s="1">
        <v>11</v>
      </c>
      <c r="G1024" s="1" t="s">
        <v>215</v>
      </c>
      <c r="H1024" s="1" t="s">
        <v>530</v>
      </c>
      <c r="J1024" s="1" t="s">
        <v>607</v>
      </c>
      <c r="M1024" s="15" t="s">
        <v>483</v>
      </c>
      <c r="N1024" s="1" t="s">
        <v>1482</v>
      </c>
      <c r="O1024" s="15">
        <v>3</v>
      </c>
      <c r="P1024" s="15">
        <v>1979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24" s="1"/>
      <c r="U1024" s="1"/>
      <c r="V1024" s="32" t="s">
        <v>3825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X1024" s="15" t="str">
        <f>_xlfn.TEXTBEFORE(_xlfn.TEXTAFTER(CantoralDB[[#This Row],[index.html]],"&gt;"),"&gt;")&amp;"&gt;"</f>
        <v>&lt;a href="canciones/kairoi/jesus_esta_entre_nosotros.html"&gt;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603</v>
      </c>
      <c r="C1025" s="1" t="s">
        <v>992</v>
      </c>
      <c r="D1025" s="1" t="s">
        <v>706</v>
      </c>
      <c r="F1025" s="1">
        <v>172</v>
      </c>
      <c r="G1025" s="1" t="s">
        <v>212</v>
      </c>
      <c r="H1025" s="1" t="s">
        <v>530</v>
      </c>
      <c r="J1025" s="1" t="s">
        <v>607</v>
      </c>
      <c r="M1025" s="15" t="s">
        <v>483</v>
      </c>
      <c r="N1025" s="1" t="s">
        <v>1482</v>
      </c>
      <c r="O1025" s="15">
        <v>4</v>
      </c>
      <c r="P1025" s="15">
        <v>1979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25" s="1"/>
      <c r="U1025" s="1"/>
      <c r="V1025" s="32" t="s">
        <v>3826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X1025" s="15" t="str">
        <f>_xlfn.TEXTBEFORE(_xlfn.TEXTAFTER(CantoralDB[[#This Row],[index.html]],"&gt;"),"&gt;")&amp;"&gt;"</f>
        <v>&lt;a href="canciones/kairoi/hablame.html"&gt;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103</v>
      </c>
      <c r="C1026" s="1" t="s">
        <v>992</v>
      </c>
      <c r="D1026" s="1" t="s">
        <v>724</v>
      </c>
      <c r="E1026" s="1">
        <v>443</v>
      </c>
      <c r="F1026" s="1">
        <v>208</v>
      </c>
      <c r="G1026" s="1" t="s">
        <v>208</v>
      </c>
      <c r="H1026" s="1" t="s">
        <v>530</v>
      </c>
      <c r="I1026" s="1" t="s">
        <v>2952</v>
      </c>
      <c r="J1026" s="1" t="s">
        <v>607</v>
      </c>
      <c r="M1026" s="15" t="s">
        <v>483</v>
      </c>
      <c r="N1026" s="1" t="s">
        <v>1482</v>
      </c>
      <c r="O1026" s="15">
        <v>5</v>
      </c>
      <c r="P1026" s="15">
        <v>1979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26" s="1"/>
      <c r="U1026" s="1"/>
      <c r="V1026" s="32" t="s">
        <v>3827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X1026" s="15" t="str">
        <f>_xlfn.TEXTBEFORE(_xlfn.TEXTAFTER(CantoralDB[[#This Row],[index.html]],"&gt;"),"&gt;")&amp;"&gt;"</f>
        <v>&lt;a href="canciones/kairoi/oracion_del_pobre.html"&gt;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1536</v>
      </c>
      <c r="C1027" s="1"/>
      <c r="F1027" s="1">
        <v>232</v>
      </c>
      <c r="H1027" s="1" t="s">
        <v>1026</v>
      </c>
      <c r="J1027" s="1" t="s">
        <v>607</v>
      </c>
      <c r="M1027" s="15" t="s">
        <v>483</v>
      </c>
      <c r="N1027" s="1" t="s">
        <v>1482</v>
      </c>
      <c r="O1027" s="15">
        <v>6</v>
      </c>
      <c r="P1027" s="15">
        <v>1979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27" s="1"/>
      <c r="U1027" s="1"/>
      <c r="V1027" s="32" t="s">
        <v>3828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X1027" s="15" t="str">
        <f>_xlfn.TEXTBEFORE(_xlfn.TEXTAFTER(CantoralDB[[#This Row],[index.html]],"&gt;"),"&gt;")&amp;"&gt;"</f>
        <v>&lt;a href="canciones/kairoi/himno_a_dios.html"&gt;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1537</v>
      </c>
      <c r="C1028" s="1"/>
      <c r="H1028" s="1" t="s">
        <v>1028</v>
      </c>
      <c r="J1028" s="1" t="s">
        <v>607</v>
      </c>
      <c r="M1028" s="15" t="s">
        <v>483</v>
      </c>
      <c r="N1028" s="1" t="s">
        <v>1482</v>
      </c>
      <c r="O1028" s="15">
        <v>7</v>
      </c>
      <c r="P1028" s="15">
        <v>1979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28" s="1"/>
      <c r="U1028" s="1"/>
      <c r="V1028" s="32" t="s">
        <v>3829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28" s="15" t="str">
        <f>_xlfn.TEXTBEFORE(_xlfn.TEXTAFTER(CantoralDB[[#This Row],[index.html]],"&gt;"),"&gt;")&amp;"&gt;"</f>
        <v>&lt;a href="canciones/kairoi/ven_señor_jesus.html"&gt;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1298</v>
      </c>
      <c r="C1029" s="1"/>
      <c r="F1029" s="1">
        <v>137</v>
      </c>
      <c r="H1029" s="1" t="s">
        <v>530</v>
      </c>
      <c r="J1029" s="1" t="s">
        <v>607</v>
      </c>
      <c r="M1029" s="15" t="s">
        <v>483</v>
      </c>
      <c r="N1029" s="1" t="s">
        <v>1482</v>
      </c>
      <c r="O1029" s="15">
        <v>8</v>
      </c>
      <c r="P1029" s="15">
        <v>1979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29" s="1"/>
      <c r="U1029" s="1"/>
      <c r="V1029" s="32" t="s">
        <v>3830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X1029" s="15" t="str">
        <f>_xlfn.TEXTBEFORE(_xlfn.TEXTAFTER(CantoralDB[[#This Row],[index.html]],"&gt;"),"&gt;")&amp;"&gt;"</f>
        <v>&lt;a href="canciones/kairoi/padre_me_pongo_en_tus_manos.html"&gt;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608</v>
      </c>
      <c r="C1030" s="1" t="s">
        <v>192</v>
      </c>
      <c r="D1030" s="1" t="s">
        <v>1420</v>
      </c>
      <c r="F1030" s="1">
        <v>241</v>
      </c>
      <c r="G1030" s="1" t="s">
        <v>212</v>
      </c>
      <c r="H1030" s="1" t="s">
        <v>530</v>
      </c>
      <c r="I1030" s="1" t="s">
        <v>2952</v>
      </c>
      <c r="J1030" s="1" t="s">
        <v>607</v>
      </c>
      <c r="M1030" s="15" t="s">
        <v>483</v>
      </c>
      <c r="N1030" s="1" t="s">
        <v>1482</v>
      </c>
      <c r="O1030" s="15">
        <v>9</v>
      </c>
      <c r="P1030" s="15">
        <v>1979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30" s="1"/>
      <c r="U1030" s="1"/>
      <c r="V1030" s="32" t="s">
        <v>3831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X1030" s="15" t="str">
        <f>_xlfn.TEXTBEFORE(_xlfn.TEXTAFTER(CantoralDB[[#This Row],[index.html]],"&gt;"),"&gt;")&amp;"&gt;"</f>
        <v>&lt;a href="canciones/kairoi/gloria_a_dios_(no_se_como_alabarte).html"&gt;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1538</v>
      </c>
      <c r="C1031" s="1"/>
      <c r="F1031" s="1">
        <v>265</v>
      </c>
      <c r="H1031" s="1" t="s">
        <v>1026</v>
      </c>
      <c r="J1031" s="1" t="s">
        <v>607</v>
      </c>
      <c r="M1031" s="15" t="s">
        <v>483</v>
      </c>
      <c r="N1031" s="1" t="s">
        <v>1482</v>
      </c>
      <c r="O1031" s="15">
        <v>10</v>
      </c>
      <c r="P1031" s="15">
        <v>1979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31" s="1"/>
      <c r="U1031" s="1"/>
      <c r="V1031" s="32" t="s">
        <v>3832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X1031" s="15" t="str">
        <f>_xlfn.TEXTBEFORE(_xlfn.TEXTAFTER(CantoralDB[[#This Row],[index.html]],"&gt;"),"&gt;")&amp;"&gt;"</f>
        <v>&lt;a href="canciones/kairoi/tu_me_sondeas.html"&gt;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1539</v>
      </c>
      <c r="C1032" s="1"/>
      <c r="F1032" s="1">
        <v>22</v>
      </c>
      <c r="H1032" s="1" t="s">
        <v>1028</v>
      </c>
      <c r="J1032" s="1" t="s">
        <v>607</v>
      </c>
      <c r="M1032" s="15" t="s">
        <v>483</v>
      </c>
      <c r="N1032" s="1" t="s">
        <v>1482</v>
      </c>
      <c r="O1032" s="15">
        <v>11</v>
      </c>
      <c r="P1032" s="15">
        <v>1979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32" s="1"/>
      <c r="U1032" s="1"/>
      <c r="V1032" s="32" t="s">
        <v>3833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X1032" s="15" t="str">
        <f>_xlfn.TEXTBEFORE(_xlfn.TEXTAFTER(CantoralDB[[#This Row],[index.html]],"&gt;"),"&gt;")&amp;"&gt;"</f>
        <v>&lt;a href="canciones/kairoi/el_agua_del_señor.html"&gt;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1540</v>
      </c>
      <c r="C1033" s="1"/>
      <c r="H1033" s="1" t="s">
        <v>530</v>
      </c>
      <c r="J1033" s="1" t="s">
        <v>607</v>
      </c>
      <c r="M1033" s="15" t="s">
        <v>483</v>
      </c>
      <c r="N1033" s="1" t="s">
        <v>1482</v>
      </c>
      <c r="O1033" s="15">
        <v>12</v>
      </c>
      <c r="P1033" s="15">
        <v>1979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33" s="1"/>
      <c r="U1033" s="1"/>
      <c r="V1033" s="32" t="s">
        <v>3834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33" s="15" t="str">
        <f>_xlfn.TEXTBEFORE(_xlfn.TEXTAFTER(CantoralDB[[#This Row],[index.html]],"&gt;"),"&gt;")&amp;"&gt;"</f>
        <v>&lt;a href="canciones/kairoi/canta_jerusalen.html"&gt;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1741</v>
      </c>
      <c r="C1034" s="1"/>
      <c r="J1034" s="1"/>
      <c r="M1034" s="15" t="s">
        <v>483</v>
      </c>
      <c r="N1034" s="1" t="s">
        <v>1503</v>
      </c>
      <c r="O1034" s="15">
        <v>3</v>
      </c>
      <c r="P1034" s="15">
        <v>2020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34" s="1"/>
      <c r="U1034" s="1"/>
      <c r="V1034" s="32" t="s">
        <v>3835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34" s="15" t="str">
        <f>_xlfn.TEXTBEFORE(_xlfn.TEXTAFTER(CantoralDB[[#This Row],[index.html]],"&gt;"),"&gt;")&amp;"&gt;"</f>
        <v>&lt;a href="canciones/kairoi/entorno_al_pan.html"&gt;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1624</v>
      </c>
      <c r="C1035" s="1"/>
      <c r="H1035" s="1" t="s">
        <v>1026</v>
      </c>
      <c r="J1035" s="1" t="s">
        <v>607</v>
      </c>
      <c r="M1035" s="15" t="s">
        <v>483</v>
      </c>
      <c r="N1035" s="1" t="s">
        <v>1503</v>
      </c>
      <c r="O1035" s="15">
        <v>5</v>
      </c>
      <c r="P1035" s="15">
        <v>2020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35" s="1"/>
      <c r="U1035" s="1"/>
      <c r="V1035" s="32" t="s">
        <v>3836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35" s="15" t="str">
        <f>_xlfn.TEXTBEFORE(_xlfn.TEXTAFTER(CantoralDB[[#This Row],[index.html]],"&gt;"),"&gt;")&amp;"&gt;"</f>
        <v>&lt;a href="canciones/kairoi/diremos_que_si.html"&gt;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1723</v>
      </c>
      <c r="C1036" s="1"/>
      <c r="J1036" s="1"/>
      <c r="M1036" s="15" t="s">
        <v>483</v>
      </c>
      <c r="N1036" s="1" t="s">
        <v>1503</v>
      </c>
      <c r="O1036" s="15">
        <v>6</v>
      </c>
      <c r="P1036" s="15">
        <v>2020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036" s="1"/>
      <c r="U1036" s="1"/>
      <c r="V1036" s="32" t="s">
        <v>3837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036" s="15" t="str">
        <f>_xlfn.TEXTBEFORE(_xlfn.TEXTAFTER(CantoralDB[[#This Row],[index.html]],"&gt;"),"&gt;")&amp;"&gt;"</f>
        <v>&lt;a href="canciones/kairoi/caminar.html"&gt;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1569</v>
      </c>
      <c r="C1037" s="1"/>
      <c r="H1037" s="1" t="s">
        <v>530</v>
      </c>
      <c r="J1037" s="1" t="s">
        <v>607</v>
      </c>
      <c r="M1037" s="15" t="s">
        <v>483</v>
      </c>
      <c r="N1037" s="1" t="s">
        <v>1503</v>
      </c>
      <c r="O1037" s="15">
        <v>7</v>
      </c>
      <c r="P1037" s="15">
        <v>2020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037" s="1"/>
      <c r="U1037" s="1"/>
      <c r="V1037" s="32" t="s">
        <v>3838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037" s="15" t="str">
        <f>_xlfn.TEXTBEFORE(_xlfn.TEXTAFTER(CantoralDB[[#This Row],[index.html]],"&gt;"),"&gt;")&amp;"&gt;"</f>
        <v>&lt;a href="canciones/kairoi/gracias_por_tu_don.html"&gt;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1742</v>
      </c>
      <c r="C1038" s="1"/>
      <c r="J1038" s="1"/>
      <c r="M1038" s="15" t="s">
        <v>483</v>
      </c>
      <c r="N1038" s="1" t="s">
        <v>1503</v>
      </c>
      <c r="O1038" s="15">
        <v>9</v>
      </c>
      <c r="P1038" s="15">
        <v>2020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038" s="1"/>
      <c r="U1038" s="1"/>
      <c r="V1038" s="32" t="s">
        <v>3839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038" s="15" t="str">
        <f>_xlfn.TEXTBEFORE(_xlfn.TEXTAFTER(CantoralDB[[#This Row],[index.html]],"&gt;"),"&gt;")&amp;"&gt;"</f>
        <v>&lt;a href="canciones/kairoi/somos.html"&gt;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1592</v>
      </c>
      <c r="C1039" s="1"/>
      <c r="J1039" s="1"/>
      <c r="M1039" s="15" t="s">
        <v>483</v>
      </c>
      <c r="N1039" s="1" t="s">
        <v>1484</v>
      </c>
      <c r="O1039" s="15">
        <v>1</v>
      </c>
      <c r="P1039" s="15">
        <v>1981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039" s="1"/>
      <c r="U1039" s="1"/>
      <c r="V1039" s="32" t="s">
        <v>3840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039" s="15" t="str">
        <f>_xlfn.TEXTBEFORE(_xlfn.TEXTAFTER(CantoralDB[[#This Row],[index.html]],"&gt;"),"&gt;")&amp;"&gt;"</f>
        <v>&lt;a href="canciones/kairoi/un_himno_surgira.html"&gt;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1593</v>
      </c>
      <c r="C1040" s="1"/>
      <c r="J1040" s="1"/>
      <c r="M1040" s="15" t="s">
        <v>483</v>
      </c>
      <c r="N1040" s="1" t="s">
        <v>1484</v>
      </c>
      <c r="O1040" s="15">
        <v>3</v>
      </c>
      <c r="P1040" s="15">
        <v>1981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040" s="1"/>
      <c r="U1040" s="1"/>
      <c r="V1040" s="32" t="s">
        <v>3841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040" s="15" t="str">
        <f>_xlfn.TEXTBEFORE(_xlfn.TEXTAFTER(CantoralDB[[#This Row],[index.html]],"&gt;"),"&gt;")&amp;"&gt;"</f>
        <v>&lt;a href="canciones/kairoi/hermitage_casa_del_señor.html"&gt;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1594</v>
      </c>
      <c r="C1041" s="1"/>
      <c r="J1041" s="1"/>
      <c r="M1041" s="15" t="s">
        <v>483</v>
      </c>
      <c r="N1041" s="1" t="s">
        <v>1484</v>
      </c>
      <c r="O1041" s="15">
        <v>5</v>
      </c>
      <c r="P1041" s="15">
        <v>1981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041" s="1"/>
      <c r="U1041" s="1"/>
      <c r="V1041" s="32" t="s">
        <v>3842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041" s="15" t="str">
        <f>_xlfn.TEXTBEFORE(_xlfn.TEXTAFTER(CantoralDB[[#This Row],[index.html]],"&gt;"),"&gt;")&amp;"&gt;"</f>
        <v>&lt;a href="canciones/kairoi/donde_haya_un_niño.html"&gt;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1595</v>
      </c>
      <c r="C1042" s="1"/>
      <c r="J1042" s="1"/>
      <c r="M1042" s="15" t="s">
        <v>483</v>
      </c>
      <c r="N1042" s="1" t="s">
        <v>1484</v>
      </c>
      <c r="O1042" s="15">
        <v>6</v>
      </c>
      <c r="P1042" s="15">
        <v>1981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042" s="1"/>
      <c r="U1042" s="1"/>
      <c r="V1042" s="32" t="s">
        <v>3843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042" s="15" t="str">
        <f>_xlfn.TEXTBEFORE(_xlfn.TEXTAFTER(CantoralDB[[#This Row],[index.html]],"&gt;"),"&gt;")&amp;"&gt;"</f>
        <v>&lt;a href="canciones/kairoi/pienso_en_usted.html"&gt;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1597</v>
      </c>
      <c r="C1043" s="1"/>
      <c r="J1043" s="1"/>
      <c r="M1043" s="15" t="s">
        <v>483</v>
      </c>
      <c r="N1043" s="1" t="s">
        <v>1484</v>
      </c>
      <c r="O1043" s="15">
        <v>8</v>
      </c>
      <c r="P1043" s="15">
        <v>1981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043" s="1"/>
      <c r="U1043" s="1"/>
      <c r="V1043" s="32" t="s">
        <v>3844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043" s="15" t="str">
        <f>_xlfn.TEXTBEFORE(_xlfn.TEXTAFTER(CantoralDB[[#This Row],[index.html]],"&gt;"),"&gt;")&amp;"&gt;"</f>
        <v>&lt;a href="canciones/kairoi/confiad_recurrid.html"&gt;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1598</v>
      </c>
      <c r="C1044" s="1"/>
      <c r="J1044" s="1"/>
      <c r="M1044" s="15" t="s">
        <v>483</v>
      </c>
      <c r="N1044" s="1" t="s">
        <v>1484</v>
      </c>
      <c r="O1044" s="15">
        <v>9</v>
      </c>
      <c r="P1044" s="15">
        <v>1981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044" s="1"/>
      <c r="U1044" s="1"/>
      <c r="V1044" s="32" t="s">
        <v>3845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044" s="15" t="str">
        <f>_xlfn.TEXTBEFORE(_xlfn.TEXTAFTER(CantoralDB[[#This Row],[index.html]],"&gt;"),"&gt;")&amp;"&gt;"</f>
        <v>&lt;a href="canciones/kairoi/hermanitos_de_maria.html"&gt;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1549</v>
      </c>
      <c r="C1045" s="1"/>
      <c r="H1045" s="1" t="s">
        <v>530</v>
      </c>
      <c r="J1045" s="1" t="s">
        <v>607</v>
      </c>
      <c r="M1045" s="15" t="s">
        <v>483</v>
      </c>
      <c r="N1045" s="1" t="s">
        <v>1484</v>
      </c>
      <c r="O1045" s="15">
        <v>10</v>
      </c>
      <c r="P1045" s="15">
        <v>1981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045" s="1"/>
      <c r="U1045" s="1"/>
      <c r="V1045" s="32" t="s">
        <v>3846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045" s="15" t="str">
        <f>_xlfn.TEXTBEFORE(_xlfn.TEXTAFTER(CantoralDB[[#This Row],[index.html]],"&gt;"),"&gt;")&amp;"&gt;"</f>
        <v>&lt;a href="canciones/kairoi/corto_la_roca.html"&gt;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1599</v>
      </c>
      <c r="C1046" s="1"/>
      <c r="J1046" s="1"/>
      <c r="M1046" s="15" t="s">
        <v>483</v>
      </c>
      <c r="N1046" s="1" t="s">
        <v>1484</v>
      </c>
      <c r="O1046" s="15">
        <v>11</v>
      </c>
      <c r="P1046" s="15">
        <v>1981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046" s="1"/>
      <c r="U1046" s="1"/>
      <c r="V1046" s="32" t="s">
        <v>3847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046" s="15" t="str">
        <f>_xlfn.TEXTBEFORE(_xlfn.TEXTAFTER(CantoralDB[[#This Row],[index.html]],"&gt;"),"&gt;")&amp;"&gt;"</f>
        <v>&lt;a href="canciones/kairoi/testamento_espiritual.html"&gt;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1600</v>
      </c>
      <c r="C1047" s="1"/>
      <c r="J1047" s="1"/>
      <c r="M1047" s="15" t="s">
        <v>483</v>
      </c>
      <c r="N1047" s="1" t="s">
        <v>1484</v>
      </c>
      <c r="O1047" s="15">
        <v>12</v>
      </c>
      <c r="P1047" s="15">
        <v>1981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047" s="1"/>
      <c r="U1047" s="1"/>
      <c r="V1047" s="32" t="s">
        <v>3848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047" s="15" t="str">
        <f>_xlfn.TEXTBEFORE(_xlfn.TEXTAFTER(CantoralDB[[#This Row],[index.html]],"&gt;"),"&gt;")&amp;"&gt;"</f>
        <v>&lt;a href="canciones/kairoi/nuestras_voces_cantan.html"&gt;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2875</v>
      </c>
      <c r="C1048" s="1"/>
      <c r="H1048" s="1" t="s">
        <v>530</v>
      </c>
      <c r="J1048" s="1" t="s">
        <v>607</v>
      </c>
      <c r="M1048" s="15" t="s">
        <v>483</v>
      </c>
      <c r="N1048" s="1" t="s">
        <v>92</v>
      </c>
      <c r="O1048" s="15">
        <v>1</v>
      </c>
      <c r="P1048" s="15">
        <v>1980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048" s="1"/>
      <c r="U1048" s="1"/>
      <c r="V1048" s="32" t="s">
        <v>3849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048" s="15" t="str">
        <f>_xlfn.TEXTBEFORE(_xlfn.TEXTAFTER(CantoralDB[[#This Row],[index.html]],"&gt;"),"&gt;")&amp;"&gt;"</f>
        <v>&lt;a href="canciones/kairoi/ave_maria_i.html"&gt;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1541</v>
      </c>
      <c r="C1049" s="1"/>
      <c r="H1049" s="1" t="s">
        <v>1027</v>
      </c>
      <c r="J1049" s="1" t="s">
        <v>607</v>
      </c>
      <c r="M1049" s="15" t="s">
        <v>483</v>
      </c>
      <c r="N1049" s="1" t="s">
        <v>92</v>
      </c>
      <c r="O1049" s="15">
        <v>2</v>
      </c>
      <c r="P1049" s="15">
        <v>1980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049" s="1"/>
      <c r="U1049" s="1"/>
      <c r="V1049" s="32" t="s">
        <v>3850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049" s="15" t="str">
        <f>_xlfn.TEXTBEFORE(_xlfn.TEXTAFTER(CantoralDB[[#This Row],[index.html]],"&gt;"),"&gt;")&amp;"&gt;"</f>
        <v>&lt;a href="canciones/kairoi/tu_estas_cerca.html"&gt;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1542</v>
      </c>
      <c r="C1050" s="1"/>
      <c r="H1050" s="1" t="s">
        <v>530</v>
      </c>
      <c r="J1050" s="1" t="s">
        <v>607</v>
      </c>
      <c r="M1050" s="15" t="s">
        <v>483</v>
      </c>
      <c r="N1050" s="1" t="s">
        <v>92</v>
      </c>
      <c r="O1050" s="15">
        <v>3</v>
      </c>
      <c r="P1050" s="15">
        <v>1980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050" s="1"/>
      <c r="U1050" s="1"/>
      <c r="V1050" s="32" t="s">
        <v>3851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050" s="15" t="str">
        <f>_xlfn.TEXTBEFORE(_xlfn.TEXTAFTER(CantoralDB[[#This Row],[index.html]],"&gt;"),"&gt;")&amp;"&gt;"</f>
        <v>&lt;a href="canciones/kairoi/madre_de_los_hijos_pobres.html"&gt;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1543</v>
      </c>
      <c r="C1051" s="1"/>
      <c r="H1051" s="1" t="s">
        <v>1028</v>
      </c>
      <c r="J1051" s="1" t="s">
        <v>607</v>
      </c>
      <c r="M1051" s="15" t="s">
        <v>483</v>
      </c>
      <c r="N1051" s="1" t="s">
        <v>92</v>
      </c>
      <c r="O1051" s="15">
        <v>4</v>
      </c>
      <c r="P1051" s="15">
        <v>1980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051" s="1"/>
      <c r="U1051" s="1"/>
      <c r="V1051" s="32" t="s">
        <v>3852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051" s="15" t="str">
        <f>_xlfn.TEXTBEFORE(_xlfn.TEXTAFTER(CantoralDB[[#This Row],[index.html]],"&gt;"),"&gt;")&amp;"&gt;"</f>
        <v>&lt;a href="canciones/kairoi/magnificat.html"&gt;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1544</v>
      </c>
      <c r="C1052" s="1"/>
      <c r="H1052" s="1" t="s">
        <v>1029</v>
      </c>
      <c r="J1052" s="1" t="s">
        <v>607</v>
      </c>
      <c r="M1052" s="15" t="s">
        <v>483</v>
      </c>
      <c r="N1052" s="1" t="s">
        <v>92</v>
      </c>
      <c r="O1052" s="15">
        <v>5</v>
      </c>
      <c r="P1052" s="15">
        <v>1980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052" s="1"/>
      <c r="U1052" s="1"/>
      <c r="V1052" s="32" t="s">
        <v>3853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052" s="15" t="str">
        <f>_xlfn.TEXTBEFORE(_xlfn.TEXTAFTER(CantoralDB[[#This Row],[index.html]],"&gt;"),"&gt;")&amp;"&gt;"</f>
        <v>&lt;a href="canciones/kairoi/angelus.html"&gt;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2883</v>
      </c>
      <c r="C1053" s="1"/>
      <c r="H1053" s="1" t="s">
        <v>1026</v>
      </c>
      <c r="J1053" s="1" t="s">
        <v>607</v>
      </c>
      <c r="M1053" s="15" t="s">
        <v>483</v>
      </c>
      <c r="N1053" s="1" t="s">
        <v>92</v>
      </c>
      <c r="O1053" s="15">
        <v>6</v>
      </c>
      <c r="P1053" s="15">
        <v>1980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053" s="1"/>
      <c r="U1053" s="1"/>
      <c r="V1053" s="32" t="s">
        <v>3854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053" s="15" t="str">
        <f>_xlfn.TEXTBEFORE(_xlfn.TEXTAFTER(CantoralDB[[#This Row],[index.html]],"&gt;"),"&gt;")&amp;"&gt;"</f>
        <v>&lt;a href="canciones/kairoi/gracias_madre.html"&gt;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92</v>
      </c>
      <c r="C1054" s="1" t="s">
        <v>199</v>
      </c>
      <c r="D1054" s="1" t="s">
        <v>1048</v>
      </c>
      <c r="E1054" s="1">
        <v>436</v>
      </c>
      <c r="F1054" s="1">
        <v>31</v>
      </c>
      <c r="G1054" s="1" t="s">
        <v>208</v>
      </c>
      <c r="H1054" s="1" t="s">
        <v>530</v>
      </c>
      <c r="I1054" s="1" t="s">
        <v>2952</v>
      </c>
      <c r="J1054" s="1" t="s">
        <v>607</v>
      </c>
      <c r="M1054" s="15" t="s">
        <v>483</v>
      </c>
      <c r="N1054" s="1" t="s">
        <v>92</v>
      </c>
      <c r="O1054" s="15">
        <v>7</v>
      </c>
      <c r="P1054" s="15">
        <v>1980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054" s="1"/>
      <c r="U1054" s="1"/>
      <c r="V1054" s="32" t="s">
        <v>3855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X1054" s="15" t="str">
        <f>_xlfn.TEXTBEFORE(_xlfn.TEXTAFTER(CantoralDB[[#This Row],[index.html]],"&gt;"),"&gt;")&amp;"&gt;"</f>
        <v>&lt;a href="canciones/kairoi/maria_musica_de_dios.html"&gt;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1545</v>
      </c>
      <c r="C1055" s="1"/>
      <c r="H1055" s="1" t="s">
        <v>530</v>
      </c>
      <c r="J1055" s="1" t="s">
        <v>607</v>
      </c>
      <c r="M1055" s="15" t="s">
        <v>483</v>
      </c>
      <c r="N1055" s="1" t="s">
        <v>92</v>
      </c>
      <c r="O1055" s="15">
        <v>9</v>
      </c>
      <c r="P1055" s="15">
        <v>1980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055" s="1"/>
      <c r="U1055" s="1"/>
      <c r="V1055" s="32" t="s">
        <v>3856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055" s="15" t="str">
        <f>_xlfn.TEXTBEFORE(_xlfn.TEXTAFTER(CantoralDB[[#This Row],[index.html]],"&gt;"),"&gt;")&amp;"&gt;"</f>
        <v>&lt;a href="canciones/kairoi/arcilla_entre_sus_manos.html"&gt;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1546</v>
      </c>
      <c r="C1056" s="1"/>
      <c r="H1056" s="1" t="s">
        <v>1027</v>
      </c>
      <c r="J1056" s="1" t="s">
        <v>607</v>
      </c>
      <c r="M1056" s="15" t="s">
        <v>483</v>
      </c>
      <c r="N1056" s="1" t="s">
        <v>92</v>
      </c>
      <c r="O1056" s="15">
        <v>10</v>
      </c>
      <c r="P1056" s="15">
        <v>1980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056" s="1"/>
      <c r="U1056" s="1"/>
      <c r="V1056" s="32" t="s">
        <v>3857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056" s="15" t="str">
        <f>_xlfn.TEXTBEFORE(_xlfn.TEXTAFTER(CantoralDB[[#This Row],[index.html]],"&gt;"),"&gt;")&amp;"&gt;"</f>
        <v>&lt;a href="canciones/kairoi/tu_eres_del_señor.html"&gt;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2146</v>
      </c>
      <c r="C1057" s="1" t="s">
        <v>199</v>
      </c>
      <c r="D1057" s="1" t="s">
        <v>1432</v>
      </c>
      <c r="G1057" s="1" t="s">
        <v>215</v>
      </c>
      <c r="H1057" s="1" t="s">
        <v>1026</v>
      </c>
      <c r="J1057" s="1" t="s">
        <v>607</v>
      </c>
      <c r="M1057" s="15" t="s">
        <v>483</v>
      </c>
      <c r="N1057" s="1" t="s">
        <v>92</v>
      </c>
      <c r="O1057" s="15">
        <v>11</v>
      </c>
      <c r="P1057" s="15">
        <v>1980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057" s="1"/>
      <c r="U1057" s="1"/>
      <c r="V1057" s="32" t="s">
        <v>3858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057" s="15" t="str">
        <f>_xlfn.TEXTBEFORE(_xlfn.TEXTAFTER(CantoralDB[[#This Row],[index.html]],"&gt;"),"&gt;")&amp;"&gt;"</f>
        <v>&lt;a href="canciones/kairoi/junto_a_ti_maria.html"&gt;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1547</v>
      </c>
      <c r="C1058" s="1"/>
      <c r="H1058" s="1" t="s">
        <v>472</v>
      </c>
      <c r="J1058" s="1" t="s">
        <v>607</v>
      </c>
      <c r="M1058" s="15" t="s">
        <v>483</v>
      </c>
      <c r="N1058" s="1" t="s">
        <v>92</v>
      </c>
      <c r="O1058" s="15">
        <v>12</v>
      </c>
      <c r="P1058" s="15">
        <v>1980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058" s="1"/>
      <c r="U1058" s="1"/>
      <c r="V1058" s="32" t="s">
        <v>3859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058" s="15" t="str">
        <f>_xlfn.TEXTBEFORE(_xlfn.TEXTAFTER(CantoralDB[[#This Row],[index.html]],"&gt;"),"&gt;")&amp;"&gt;"</f>
        <v>&lt;a href="canciones/kairoi/tu_eres_maria.html"&gt;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1911</v>
      </c>
      <c r="C1059" s="1"/>
      <c r="H1059" s="1" t="s">
        <v>1026</v>
      </c>
      <c r="J1059" s="1" t="s">
        <v>607</v>
      </c>
      <c r="M1059" s="15" t="s">
        <v>483</v>
      </c>
      <c r="N1059" s="1" t="s">
        <v>1535</v>
      </c>
      <c r="O1059" s="15">
        <v>1</v>
      </c>
      <c r="P1059" s="15">
        <v>1996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059" s="1"/>
      <c r="U1059" s="1"/>
      <c r="V1059" s="32" t="s">
        <v>3860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059" s="15" t="str">
        <f>_xlfn.TEXTBEFORE(_xlfn.TEXTAFTER(CantoralDB[[#This Row],[index.html]],"&gt;"),"&gt;")&amp;"&gt;"</f>
        <v>&lt;a href="canciones/kairoi/pregon_pascual_(aleluya).html"&gt;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1651</v>
      </c>
      <c r="C1060" s="1"/>
      <c r="J1060" s="1"/>
      <c r="M1060" s="15" t="s">
        <v>483</v>
      </c>
      <c r="N1060" s="1" t="s">
        <v>1535</v>
      </c>
      <c r="O1060" s="15">
        <v>2</v>
      </c>
      <c r="P1060" s="15">
        <v>1996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060" s="1"/>
      <c r="U1060" s="1"/>
      <c r="V1060" s="32" t="s">
        <v>3861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060" s="15" t="str">
        <f>_xlfn.TEXTBEFORE(_xlfn.TEXTAFTER(CantoralDB[[#This Row],[index.html]],"&gt;"),"&gt;")&amp;"&gt;"</f>
        <v>&lt;a href="canciones/kairoi/latinoamerica.html"&gt;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1652</v>
      </c>
      <c r="C1061" s="1"/>
      <c r="J1061" s="1"/>
      <c r="M1061" s="15" t="s">
        <v>483</v>
      </c>
      <c r="N1061" s="1" t="s">
        <v>1535</v>
      </c>
      <c r="O1061" s="15">
        <v>3</v>
      </c>
      <c r="P1061" s="15">
        <v>1996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061" s="1"/>
      <c r="U1061" s="1"/>
      <c r="V1061" s="32" t="s">
        <v>3862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061" s="15" t="str">
        <f>_xlfn.TEXTBEFORE(_xlfn.TEXTAFTER(CantoralDB[[#This Row],[index.html]],"&gt;"),"&gt;")&amp;"&gt;"</f>
        <v>&lt;a href="canciones/kairoi/indigena.html"&gt;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1653</v>
      </c>
      <c r="C1062" s="1"/>
      <c r="J1062" s="1"/>
      <c r="M1062" s="15" t="s">
        <v>483</v>
      </c>
      <c r="N1062" s="1" t="s">
        <v>1535</v>
      </c>
      <c r="O1062" s="15">
        <v>4</v>
      </c>
      <c r="P1062" s="15">
        <v>1996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062" s="1"/>
      <c r="U1062" s="1"/>
      <c r="V1062" s="32" t="s">
        <v>3863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062" s="15" t="str">
        <f>_xlfn.TEXTBEFORE(_xlfn.TEXTAFTER(CantoralDB[[#This Row],[index.html]],"&gt;"),"&gt;")&amp;"&gt;"</f>
        <v>&lt;a href="canciones/kairoi/nos_precederan.html"&gt;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1654</v>
      </c>
      <c r="C1063" s="1"/>
      <c r="J1063" s="1"/>
      <c r="M1063" s="15" t="s">
        <v>483</v>
      </c>
      <c r="N1063" s="1" t="s">
        <v>1535</v>
      </c>
      <c r="O1063" s="15">
        <v>5</v>
      </c>
      <c r="P1063" s="15">
        <v>1996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063" s="1"/>
      <c r="U1063" s="1"/>
      <c r="V1063" s="32" t="s">
        <v>3864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063" s="15" t="str">
        <f>_xlfn.TEXTBEFORE(_xlfn.TEXTAFTER(CantoralDB[[#This Row],[index.html]],"&gt;"),"&gt;")&amp;"&gt;"</f>
        <v>&lt;a href="canciones/kairoi/un_kirie_mas.html"&gt;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1655</v>
      </c>
      <c r="C1064" s="1"/>
      <c r="J1064" s="1"/>
      <c r="M1064" s="15" t="s">
        <v>483</v>
      </c>
      <c r="N1064" s="1" t="s">
        <v>1535</v>
      </c>
      <c r="O1064" s="15">
        <v>6</v>
      </c>
      <c r="P1064" s="15">
        <v>1996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064" s="1"/>
      <c r="U1064" s="1"/>
      <c r="V1064" s="32" t="s">
        <v>3865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064" s="15" t="str">
        <f>_xlfn.TEXTBEFORE(_xlfn.TEXTAFTER(CantoralDB[[#This Row],[index.html]],"&gt;"),"&gt;")&amp;"&gt;"</f>
        <v>&lt;a href="canciones/kairoi/la_mula.html"&gt;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1535</v>
      </c>
      <c r="C1065" s="1"/>
      <c r="J1065" s="1"/>
      <c r="M1065" s="15" t="s">
        <v>483</v>
      </c>
      <c r="N1065" s="1" t="s">
        <v>1535</v>
      </c>
      <c r="O1065" s="15">
        <v>7</v>
      </c>
      <c r="P1065" s="15">
        <v>1996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065" s="1"/>
      <c r="U1065" s="1"/>
      <c r="V1065" s="32" t="s">
        <v>3866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065" s="15" t="str">
        <f>_xlfn.TEXTBEFORE(_xlfn.TEXTAFTER(CantoralDB[[#This Row],[index.html]],"&gt;"),"&gt;")&amp;"&gt;"</f>
        <v>&lt;a href="canciones/kairoi/mas_cerca_del_sol.html"&gt;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1656</v>
      </c>
      <c r="C1066" s="1"/>
      <c r="J1066" s="1"/>
      <c r="M1066" s="15" t="s">
        <v>483</v>
      </c>
      <c r="N1066" s="1" t="s">
        <v>1535</v>
      </c>
      <c r="O1066" s="15">
        <v>8</v>
      </c>
      <c r="P1066" s="15">
        <v>1996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066" s="1"/>
      <c r="U1066" s="1"/>
      <c r="V1066" s="32" t="s">
        <v>3867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066" s="15" t="str">
        <f>_xlfn.TEXTBEFORE(_xlfn.TEXTAFTER(CantoralDB[[#This Row],[index.html]],"&gt;"),"&gt;")&amp;"&gt;"</f>
        <v>&lt;a href="canciones/kairoi/el_brujo_mugandino.html"&gt;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1657</v>
      </c>
      <c r="C1067" s="1"/>
      <c r="J1067" s="1"/>
      <c r="M1067" s="15" t="s">
        <v>483</v>
      </c>
      <c r="N1067" s="1" t="s">
        <v>1535</v>
      </c>
      <c r="O1067" s="15">
        <v>9</v>
      </c>
      <c r="P1067" s="15">
        <v>1996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067" s="1"/>
      <c r="U1067" s="1"/>
      <c r="V1067" s="32" t="s">
        <v>3868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067" s="15" t="str">
        <f>_xlfn.TEXTBEFORE(_xlfn.TEXTAFTER(CantoralDB[[#This Row],[index.html]],"&gt;"),"&gt;")&amp;"&gt;"</f>
        <v>&lt;a href="canciones/kairoi/que_no_nos_den_el_pan_bañado_en_sangre.html"&gt;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1658</v>
      </c>
      <c r="C1068" s="1"/>
      <c r="J1068" s="1"/>
      <c r="M1068" s="15" t="s">
        <v>483</v>
      </c>
      <c r="N1068" s="1" t="s">
        <v>1535</v>
      </c>
      <c r="O1068" s="15">
        <v>10</v>
      </c>
      <c r="P1068" s="15">
        <v>1996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068" s="1"/>
      <c r="U1068" s="1"/>
      <c r="V1068" s="32" t="s">
        <v>3869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068" s="15" t="str">
        <f>_xlfn.TEXTBEFORE(_xlfn.TEXTAFTER(CantoralDB[[#This Row],[index.html]],"&gt;"),"&gt;")&amp;"&gt;"</f>
        <v>&lt;a href="canciones/kairoi/salve_compañera_nuestra.html"&gt;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1659</v>
      </c>
      <c r="C1069" s="1"/>
      <c r="J1069" s="1"/>
      <c r="M1069" s="15" t="s">
        <v>483</v>
      </c>
      <c r="N1069" s="1" t="s">
        <v>1535</v>
      </c>
      <c r="O1069" s="15">
        <v>11</v>
      </c>
      <c r="P1069" s="15">
        <v>1996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069" s="1"/>
      <c r="U1069" s="1"/>
      <c r="V1069" s="32" t="s">
        <v>3870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069" s="15" t="str">
        <f>_xlfn.TEXTBEFORE(_xlfn.TEXTAFTER(CantoralDB[[#This Row],[index.html]],"&gt;"),"&gt;")&amp;"&gt;"</f>
        <v>&lt;a href="canciones/kairoi/el_bar_del_bosnio.html"&gt;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1660</v>
      </c>
      <c r="C1070" s="1"/>
      <c r="J1070" s="1"/>
      <c r="M1070" s="15" t="s">
        <v>483</v>
      </c>
      <c r="N1070" s="1" t="s">
        <v>1535</v>
      </c>
      <c r="O1070" s="15">
        <v>12</v>
      </c>
      <c r="P1070" s="15">
        <v>1996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070" s="1"/>
      <c r="U1070" s="1"/>
      <c r="V1070" s="32" t="s">
        <v>3871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070" s="15" t="str">
        <f>_xlfn.TEXTBEFORE(_xlfn.TEXTAFTER(CantoralDB[[#This Row],[index.html]],"&gt;"),"&gt;")&amp;"&gt;"</f>
        <v>&lt;a href="canciones/kairoi/mi_mamita_buena.html"&gt;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1661</v>
      </c>
      <c r="C1071" s="1"/>
      <c r="J1071" s="1"/>
      <c r="M1071" s="15" t="s">
        <v>483</v>
      </c>
      <c r="N1071" s="1" t="s">
        <v>1535</v>
      </c>
      <c r="O1071" s="15">
        <v>13</v>
      </c>
      <c r="P1071" s="15">
        <v>1996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071" s="1"/>
      <c r="U1071" s="1"/>
      <c r="V1071" s="32" t="s">
        <v>3872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071" s="15" t="str">
        <f>_xlfn.TEXTBEFORE(_xlfn.TEXTAFTER(CantoralDB[[#This Row],[index.html]],"&gt;"),"&gt;")&amp;"&gt;"</f>
        <v>&lt;a href="canciones/kairoi/de_pura_raza.html"&gt;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1499</v>
      </c>
      <c r="C1072" s="1"/>
      <c r="H1072" s="1" t="s">
        <v>1028</v>
      </c>
      <c r="J1072" s="1" t="s">
        <v>607</v>
      </c>
      <c r="M1072" s="15" t="s">
        <v>483</v>
      </c>
      <c r="N1072" s="1" t="s">
        <v>1499</v>
      </c>
      <c r="O1072" s="15">
        <v>1</v>
      </c>
      <c r="P1072" s="15">
        <v>2001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072" s="1"/>
      <c r="U1072" s="1"/>
      <c r="V1072" s="32" t="s">
        <v>3873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072" s="15" t="str">
        <f>_xlfn.TEXTBEFORE(_xlfn.TEXTAFTER(CantoralDB[[#This Row],[index.html]],"&gt;"),"&gt;")&amp;"&gt;"</f>
        <v>&lt;a href="canciones/kairoi/nacidos_de_mujer.html"&gt;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1696</v>
      </c>
      <c r="C1073" s="1"/>
      <c r="H1073" s="1" t="s">
        <v>1027</v>
      </c>
      <c r="J1073" s="1" t="s">
        <v>607</v>
      </c>
      <c r="M1073" s="15" t="s">
        <v>483</v>
      </c>
      <c r="N1073" s="1" t="s">
        <v>1499</v>
      </c>
      <c r="O1073" s="15">
        <v>2</v>
      </c>
      <c r="P1073" s="15">
        <v>2001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073" s="1"/>
      <c r="U1073" s="1"/>
      <c r="V1073" s="32" t="s">
        <v>3874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073" s="15" t="str">
        <f>_xlfn.TEXTBEFORE(_xlfn.TEXTAFTER(CantoralDB[[#This Row],[index.html]],"&gt;"),"&gt;")&amp;"&gt;"</f>
        <v>&lt;a href="canciones/kairoi/haced_lo_que_el_os_diga.html"&gt;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1697</v>
      </c>
      <c r="C1074" s="1"/>
      <c r="H1074" s="1" t="s">
        <v>472</v>
      </c>
      <c r="J1074" s="1" t="s">
        <v>607</v>
      </c>
      <c r="M1074" s="15" t="s">
        <v>483</v>
      </c>
      <c r="N1074" s="1" t="s">
        <v>1499</v>
      </c>
      <c r="O1074" s="15">
        <v>3</v>
      </c>
      <c r="P1074" s="15">
        <v>2001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074" s="1"/>
      <c r="U1074" s="1"/>
      <c r="V1074" s="32" t="s">
        <v>3875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074" s="15" t="str">
        <f>_xlfn.TEXTBEFORE(_xlfn.TEXTAFTER(CantoralDB[[#This Row],[index.html]],"&gt;"),"&gt;")&amp;"&gt;"</f>
        <v>&lt;a href="canciones/kairoi/en_comunidad.html"&gt;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1698</v>
      </c>
      <c r="C1075" s="1"/>
      <c r="H1075" s="1" t="s">
        <v>1029</v>
      </c>
      <c r="J1075" s="1" t="s">
        <v>607</v>
      </c>
      <c r="M1075" s="15" t="s">
        <v>483</v>
      </c>
      <c r="N1075" s="1" t="s">
        <v>1499</v>
      </c>
      <c r="O1075" s="15">
        <v>4</v>
      </c>
      <c r="P1075" s="15">
        <v>2001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075" s="1"/>
      <c r="U1075" s="1"/>
      <c r="V1075" s="32" t="s">
        <v>3876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075" s="15" t="str">
        <f>_xlfn.TEXTBEFORE(_xlfn.TEXTAFTER(CantoralDB[[#This Row],[index.html]],"&gt;"),"&gt;")&amp;"&gt;"</f>
        <v>&lt;a href="canciones/kairoi/danos_tu_espiritu.html"&gt;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1699</v>
      </c>
      <c r="C1076" s="1"/>
      <c r="J1076" s="1"/>
      <c r="M1076" s="15" t="s">
        <v>483</v>
      </c>
      <c r="N1076" s="1" t="s">
        <v>1499</v>
      </c>
      <c r="O1076" s="15">
        <v>5</v>
      </c>
      <c r="P1076" s="15">
        <v>2001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076" s="1"/>
      <c r="U1076" s="1"/>
      <c r="V1076" s="32" t="s">
        <v>3877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076" s="15" t="str">
        <f>_xlfn.TEXTBEFORE(_xlfn.TEXTAFTER(CantoralDB[[#This Row],[index.html]],"&gt;"),"&gt;")&amp;"&gt;"</f>
        <v>&lt;a href="canciones/kairoi/adela.html"&gt;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2023</v>
      </c>
      <c r="C1077" s="1"/>
      <c r="H1077" s="1" t="s">
        <v>1028</v>
      </c>
      <c r="J1077" s="1" t="s">
        <v>607</v>
      </c>
      <c r="M1077" s="15" t="s">
        <v>483</v>
      </c>
      <c r="N1077" s="1" t="s">
        <v>1499</v>
      </c>
      <c r="O1077" s="15">
        <v>6</v>
      </c>
      <c r="P1077" s="15">
        <v>2001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077" s="1"/>
      <c r="U1077" s="1"/>
      <c r="V1077" s="32" t="s">
        <v>3878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077" s="15" t="str">
        <f>_xlfn.TEXTBEFORE(_xlfn.TEXTAFTER(CantoralDB[[#This Row],[index.html]],"&gt;"),"&gt;")&amp;"&gt;"</f>
        <v>&lt;a href="canciones/kairoi/gloria_(por_maria).html"&gt;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1700</v>
      </c>
      <c r="C1078" s="1"/>
      <c r="H1078" s="1" t="s">
        <v>1026</v>
      </c>
      <c r="J1078" s="1" t="s">
        <v>607</v>
      </c>
      <c r="M1078" s="15" t="s">
        <v>483</v>
      </c>
      <c r="N1078" s="1" t="s">
        <v>1499</v>
      </c>
      <c r="O1078" s="15">
        <v>7</v>
      </c>
      <c r="P1078" s="15">
        <v>2001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078" s="1"/>
      <c r="U1078" s="1"/>
      <c r="V1078" s="32" t="s">
        <v>3879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078" s="15" t="str">
        <f>_xlfn.TEXTBEFORE(_xlfn.TEXTAFTER(CantoralDB[[#This Row],[index.html]],"&gt;"),"&gt;")&amp;"&gt;"</f>
        <v>&lt;a href="canciones/kairoi/pequeño_corazon.html"&gt;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1701</v>
      </c>
      <c r="C1079" s="1"/>
      <c r="J1079" s="1"/>
      <c r="M1079" s="15" t="s">
        <v>483</v>
      </c>
      <c r="N1079" s="1" t="s">
        <v>1499</v>
      </c>
      <c r="O1079" s="15">
        <v>8</v>
      </c>
      <c r="P1079" s="15">
        <v>2001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079" s="1"/>
      <c r="U1079" s="1"/>
      <c r="V1079" s="32" t="s">
        <v>3880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079" s="15" t="str">
        <f>_xlfn.TEXTBEFORE(_xlfn.TEXTAFTER(CantoralDB[[#This Row],[index.html]],"&gt;"),"&gt;")&amp;"&gt;"</f>
        <v>&lt;a href="canciones/kairoi/chaminade.html"&gt;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1663</v>
      </c>
      <c r="C1080" s="1"/>
      <c r="H1080" s="1" t="s">
        <v>1029</v>
      </c>
      <c r="J1080" s="1" t="s">
        <v>607</v>
      </c>
      <c r="M1080" s="15" t="s">
        <v>483</v>
      </c>
      <c r="N1080" s="1" t="s">
        <v>1499</v>
      </c>
      <c r="O1080" s="15">
        <v>9</v>
      </c>
      <c r="P1080" s="15">
        <v>2001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080" s="1"/>
      <c r="U1080" s="1"/>
      <c r="V1080" s="32" t="s">
        <v>3881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080" s="15" t="str">
        <f>_xlfn.TEXTBEFORE(_xlfn.TEXTAFTER(CantoralDB[[#This Row],[index.html]],"&gt;"),"&gt;")&amp;"&gt;"</f>
        <v>&lt;a href="canciones/kairoi/credo.html"&gt;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1702</v>
      </c>
      <c r="C1081" s="1"/>
      <c r="H1081" s="1" t="s">
        <v>530</v>
      </c>
      <c r="J1081" s="1" t="s">
        <v>607</v>
      </c>
      <c r="M1081" s="15" t="s">
        <v>483</v>
      </c>
      <c r="N1081" s="1" t="s">
        <v>1499</v>
      </c>
      <c r="O1081" s="15">
        <v>10</v>
      </c>
      <c r="P1081" s="15">
        <v>2001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081" s="1"/>
      <c r="U1081" s="1"/>
      <c r="V1081" s="32" t="s">
        <v>3882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081" s="15" t="str">
        <f>_xlfn.TEXTBEFORE(_xlfn.TEXTAFTER(CantoralDB[[#This Row],[index.html]],"&gt;"),"&gt;")&amp;"&gt;"</f>
        <v>&lt;a href="canciones/kairoi/creo_en_ti.html"&gt;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1703</v>
      </c>
      <c r="C1082" s="1"/>
      <c r="H1082" s="1" t="s">
        <v>1028</v>
      </c>
      <c r="J1082" s="1" t="s">
        <v>607</v>
      </c>
      <c r="M1082" s="15" t="s">
        <v>483</v>
      </c>
      <c r="N1082" s="1" t="s">
        <v>1499</v>
      </c>
      <c r="O1082" s="15">
        <v>11</v>
      </c>
      <c r="P1082" s="15">
        <v>2001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082" s="1"/>
      <c r="U1082" s="1"/>
      <c r="V1082" s="32" t="s">
        <v>3883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082" s="15" t="str">
        <f>_xlfn.TEXTBEFORE(_xlfn.TEXTAFTER(CantoralDB[[#This Row],[index.html]],"&gt;"),"&gt;")&amp;"&gt;"</f>
        <v>&lt;a href="canciones/kairoi/a_las_tres_de_la_tarde.html"&gt;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1704</v>
      </c>
      <c r="C1083" s="1"/>
      <c r="H1083" s="1" t="s">
        <v>1026</v>
      </c>
      <c r="J1083" s="1" t="s">
        <v>607</v>
      </c>
      <c r="M1083" s="15" t="s">
        <v>483</v>
      </c>
      <c r="N1083" s="1" t="s">
        <v>1499</v>
      </c>
      <c r="O1083" s="15">
        <v>12</v>
      </c>
      <c r="P1083" s="15">
        <v>2001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083" s="1"/>
      <c r="U1083" s="1"/>
      <c r="V1083" s="32" t="s">
        <v>3884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083" s="15" t="str">
        <f>_xlfn.TEXTBEFORE(_xlfn.TEXTAFTER(CantoralDB[[#This Row],[index.html]],"&gt;"),"&gt;")&amp;"&gt;"</f>
        <v>&lt;a href="canciones/kairoi/vino_nuevo.html"&gt;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1705</v>
      </c>
      <c r="C1084" s="1"/>
      <c r="H1084" s="1" t="s">
        <v>530</v>
      </c>
      <c r="J1084" s="1" t="s">
        <v>607</v>
      </c>
      <c r="M1084" s="15" t="s">
        <v>483</v>
      </c>
      <c r="N1084" s="1" t="s">
        <v>1499</v>
      </c>
      <c r="O1084" s="15">
        <v>13</v>
      </c>
      <c r="P1084" s="15">
        <v>2001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084" s="1"/>
      <c r="U1084" s="1"/>
      <c r="V1084" s="32" t="s">
        <v>3885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084" s="15" t="str">
        <f>_xlfn.TEXTBEFORE(_xlfn.TEXTAFTER(CantoralDB[[#This Row],[index.html]],"&gt;"),"&gt;")&amp;"&gt;"</f>
        <v>&lt;a href="canciones/kairoi/te_seguire.html"&gt;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1706</v>
      </c>
      <c r="C1085" s="1"/>
      <c r="H1085" s="1" t="s">
        <v>1028</v>
      </c>
      <c r="J1085" s="1" t="s">
        <v>607</v>
      </c>
      <c r="M1085" s="15" t="s">
        <v>483</v>
      </c>
      <c r="N1085" s="1" t="s">
        <v>1499</v>
      </c>
      <c r="O1085" s="15">
        <v>14</v>
      </c>
      <c r="P1085" s="15">
        <v>2001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085" s="1"/>
      <c r="U1085" s="1"/>
      <c r="V1085" s="32" t="s">
        <v>3886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085" s="15" t="str">
        <f>_xlfn.TEXTBEFORE(_xlfn.TEXTAFTER(CantoralDB[[#This Row],[index.html]],"&gt;"),"&gt;")&amp;"&gt;"</f>
        <v>&lt;a href="canciones/kairoi/un_solo_corazon.html"&gt;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1687</v>
      </c>
      <c r="C1086" s="1"/>
      <c r="J1086" s="1"/>
      <c r="M1086" s="15" t="s">
        <v>483</v>
      </c>
      <c r="N1086" s="1" t="s">
        <v>1498</v>
      </c>
      <c r="O1086" s="15">
        <v>1</v>
      </c>
      <c r="P1086" s="15">
        <v>2001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086" s="1"/>
      <c r="U1086" s="1"/>
      <c r="V1086" s="32" t="s">
        <v>3887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086" s="15" t="str">
        <f>_xlfn.TEXTBEFORE(_xlfn.TEXTAFTER(CantoralDB[[#This Row],[index.html]],"&gt;"),"&gt;")&amp;"&gt;"</f>
        <v>&lt;a href="canciones/kairoi/y_fuiste_hogar.html"&gt;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1498</v>
      </c>
      <c r="C1087" s="1"/>
      <c r="J1087" s="1"/>
      <c r="M1087" s="15" t="s">
        <v>483</v>
      </c>
      <c r="N1087" s="1" t="s">
        <v>1498</v>
      </c>
      <c r="O1087" s="15">
        <v>2</v>
      </c>
      <c r="P1087" s="15">
        <v>2001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087" s="1"/>
      <c r="U1087" s="1"/>
      <c r="V1087" s="32" t="s">
        <v>3888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087" s="15" t="str">
        <f>_xlfn.TEXTBEFORE(_xlfn.TEXTAFTER(CantoralDB[[#This Row],[index.html]],"&gt;"),"&gt;")&amp;"&gt;"</f>
        <v>&lt;a href="canciones/kairoi/profeta_de_la_familia.html"&gt;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1688</v>
      </c>
      <c r="C1088" s="1"/>
      <c r="J1088" s="1"/>
      <c r="M1088" s="15" t="s">
        <v>483</v>
      </c>
      <c r="N1088" s="1" t="s">
        <v>1498</v>
      </c>
      <c r="O1088" s="15">
        <v>3</v>
      </c>
      <c r="P1088" s="15">
        <v>2001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088" s="1"/>
      <c r="U1088" s="1"/>
      <c r="V1088" s="32" t="s">
        <v>3889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088" s="15" t="str">
        <f>_xlfn.TEXTBEFORE(_xlfn.TEXTAFTER(CantoralDB[[#This Row],[index.html]],"&gt;"),"&gt;")&amp;"&gt;"</f>
        <v>&lt;a href="canciones/kairoi/como_tu.html"&gt;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1689</v>
      </c>
      <c r="C1089" s="1"/>
      <c r="J1089" s="1"/>
      <c r="M1089" s="15" t="s">
        <v>483</v>
      </c>
      <c r="N1089" s="1" t="s">
        <v>1498</v>
      </c>
      <c r="O1089" s="15">
        <v>4</v>
      </c>
      <c r="P1089" s="15">
        <v>2001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089" s="1"/>
      <c r="U1089" s="1"/>
      <c r="V1089" s="32" t="s">
        <v>3890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089" s="15" t="str">
        <f>_xlfn.TEXTBEFORE(_xlfn.TEXTAFTER(CantoralDB[[#This Row],[index.html]],"&gt;"),"&gt;")&amp;"&gt;"</f>
        <v>&lt;a href="canciones/kairoi/siempre_si_celebrare.html"&gt;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1690</v>
      </c>
      <c r="C1090" s="1"/>
      <c r="J1090" s="1"/>
      <c r="M1090" s="15" t="s">
        <v>483</v>
      </c>
      <c r="N1090" s="1" t="s">
        <v>1498</v>
      </c>
      <c r="O1090" s="15">
        <v>5</v>
      </c>
      <c r="P1090" s="15">
        <v>2001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090" s="1"/>
      <c r="U1090" s="1"/>
      <c r="V1090" s="32" t="s">
        <v>3891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090" s="15" t="str">
        <f>_xlfn.TEXTBEFORE(_xlfn.TEXTAFTER(CantoralDB[[#This Row],[index.html]],"&gt;"),"&gt;")&amp;"&gt;"</f>
        <v>&lt;a href="canciones/kairoi/su_palabra.html"&gt;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1691</v>
      </c>
      <c r="C1091" s="1"/>
      <c r="J1091" s="1"/>
      <c r="M1091" s="15" t="s">
        <v>483</v>
      </c>
      <c r="N1091" s="1" t="s">
        <v>1498</v>
      </c>
      <c r="O1091" s="15">
        <v>6</v>
      </c>
      <c r="P1091" s="15">
        <v>2001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091" s="1"/>
      <c r="U1091" s="1"/>
      <c r="V1091" s="32" t="s">
        <v>3892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091" s="15" t="str">
        <f>_xlfn.TEXTBEFORE(_xlfn.TEXTAFTER(CantoralDB[[#This Row],[index.html]],"&gt;"),"&gt;")&amp;"&gt;"</f>
        <v>&lt;a href="canciones/kairoi/santa_familia.html"&gt;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1692</v>
      </c>
      <c r="C1092" s="1"/>
      <c r="J1092" s="1"/>
      <c r="M1092" s="15" t="s">
        <v>483</v>
      </c>
      <c r="N1092" s="1" t="s">
        <v>1498</v>
      </c>
      <c r="O1092" s="15">
        <v>7</v>
      </c>
      <c r="P1092" s="15">
        <v>2001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092" s="1"/>
      <c r="U1092" s="1"/>
      <c r="V1092" s="32" t="s">
        <v>3893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092" s="15" t="str">
        <f>_xlfn.TEXTBEFORE(_xlfn.TEXTAFTER(CantoralDB[[#This Row],[index.html]],"&gt;"),"&gt;")&amp;"&gt;"</f>
        <v>&lt;a href="canciones/kairoi/jesus_maria_y_jose.html"&gt;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1693</v>
      </c>
      <c r="C1093" s="1"/>
      <c r="J1093" s="1"/>
      <c r="M1093" s="15" t="s">
        <v>483</v>
      </c>
      <c r="N1093" s="1" t="s">
        <v>1498</v>
      </c>
      <c r="O1093" s="15">
        <v>8</v>
      </c>
      <c r="P1093" s="15">
        <v>2001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093" s="1"/>
      <c r="U1093" s="1"/>
      <c r="V1093" s="32" t="s">
        <v>3894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093" s="15" t="str">
        <f>_xlfn.TEXTBEFORE(_xlfn.TEXTAFTER(CantoralDB[[#This Row],[index.html]],"&gt;"),"&gt;")&amp;"&gt;"</f>
        <v>&lt;a href="canciones/kairoi/tu_mirada.html"&gt;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1694</v>
      </c>
      <c r="C1094" s="1"/>
      <c r="J1094" s="1"/>
      <c r="M1094" s="15" t="s">
        <v>483</v>
      </c>
      <c r="N1094" s="1" t="s">
        <v>1498</v>
      </c>
      <c r="O1094" s="15">
        <v>9</v>
      </c>
      <c r="P1094" s="15">
        <v>2001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094" s="1"/>
      <c r="U1094" s="1"/>
      <c r="V1094" s="32" t="s">
        <v>3895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094" s="15" t="str">
        <f>_xlfn.TEXTBEFORE(_xlfn.TEXTAFTER(CantoralDB[[#This Row],[index.html]],"&gt;"),"&gt;")&amp;"&gt;"</f>
        <v>&lt;a href="canciones/kairoi/familias.html"&gt;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1695</v>
      </c>
      <c r="C1095" s="1"/>
      <c r="J1095" s="1"/>
      <c r="M1095" s="15" t="s">
        <v>483</v>
      </c>
      <c r="N1095" s="1" t="s">
        <v>1498</v>
      </c>
      <c r="O1095" s="15">
        <v>10</v>
      </c>
      <c r="P1095" s="15">
        <v>2001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095" s="1"/>
      <c r="U1095" s="1"/>
      <c r="V1095" s="32" t="s">
        <v>3896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095" s="15" t="str">
        <f>_xlfn.TEXTBEFORE(_xlfn.TEXTAFTER(CantoralDB[[#This Row],[index.html]],"&gt;"),"&gt;")&amp;"&gt;"</f>
        <v>&lt;a href="canciones/kairoi/el_poema_de_la_piedra.html"&gt;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2880</v>
      </c>
      <c r="C1096" s="1"/>
      <c r="H1096" s="1" t="s">
        <v>1029</v>
      </c>
      <c r="J1096" s="1" t="s">
        <v>607</v>
      </c>
      <c r="M1096" s="15" t="s">
        <v>483</v>
      </c>
      <c r="N1096" s="1" t="s">
        <v>1490</v>
      </c>
      <c r="O1096" s="15">
        <v>1</v>
      </c>
      <c r="P1096" s="15">
        <v>1991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096" s="1"/>
      <c r="U1096" s="1"/>
      <c r="V1096" s="32" t="s">
        <v>3897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096" s="15" t="str">
        <f>_xlfn.TEXTBEFORE(_xlfn.TEXTAFTER(CantoralDB[[#This Row],[index.html]],"&gt;"),"&gt;")&amp;"&gt;"</f>
        <v>&lt;a href="canciones/kairoi/cristo_señor.html"&gt;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1626</v>
      </c>
      <c r="C1097" s="1"/>
      <c r="H1097" s="1" t="s">
        <v>1029</v>
      </c>
      <c r="J1097" s="1" t="s">
        <v>607</v>
      </c>
      <c r="M1097" s="15" t="s">
        <v>483</v>
      </c>
      <c r="N1097" s="1" t="s">
        <v>1490</v>
      </c>
      <c r="O1097" s="15">
        <v>2</v>
      </c>
      <c r="P1097" s="15">
        <v>1991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097" s="1"/>
      <c r="U1097" s="1"/>
      <c r="V1097" s="32" t="s">
        <v>3898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097" s="15" t="str">
        <f>_xlfn.TEXTBEFORE(_xlfn.TEXTAFTER(CantoralDB[[#This Row],[index.html]],"&gt;"),"&gt;")&amp;"&gt;"</f>
        <v>&lt;a href="canciones/kairoi/tu_seras_mi_hermano.html"&gt;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1627</v>
      </c>
      <c r="C1098" s="1"/>
      <c r="H1098" s="1" t="s">
        <v>1029</v>
      </c>
      <c r="J1098" s="1" t="s">
        <v>607</v>
      </c>
      <c r="M1098" s="15" t="s">
        <v>483</v>
      </c>
      <c r="N1098" s="1" t="s">
        <v>1490</v>
      </c>
      <c r="O1098" s="15">
        <v>3</v>
      </c>
      <c r="P1098" s="15">
        <v>1991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098" s="1"/>
      <c r="U1098" s="1"/>
      <c r="V1098" s="32" t="s">
        <v>3899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098" s="15" t="str">
        <f>_xlfn.TEXTBEFORE(_xlfn.TEXTAFTER(CantoralDB[[#This Row],[index.html]],"&gt;"),"&gt;")&amp;"&gt;"</f>
        <v>&lt;a href="canciones/kairoi/cristo.html"&gt;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1628</v>
      </c>
      <c r="C1099" s="1"/>
      <c r="H1099" s="1" t="s">
        <v>1028</v>
      </c>
      <c r="J1099" s="1" t="s">
        <v>607</v>
      </c>
      <c r="M1099" s="15" t="s">
        <v>483</v>
      </c>
      <c r="N1099" s="1" t="s">
        <v>1490</v>
      </c>
      <c r="O1099" s="15">
        <v>4</v>
      </c>
      <c r="P1099" s="15">
        <v>1991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099" s="1"/>
      <c r="U1099" s="1"/>
      <c r="V1099" s="32" t="s">
        <v>3900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099" s="15" t="str">
        <f>_xlfn.TEXTBEFORE(_xlfn.TEXTAFTER(CantoralDB[[#This Row],[index.html]],"&gt;"),"&gt;")&amp;"&gt;"</f>
        <v>&lt;a href="canciones/kairoi/alli_estas_tu.html"&gt;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1629</v>
      </c>
      <c r="C1100" s="1"/>
      <c r="J1100" s="1"/>
      <c r="M1100" s="15" t="s">
        <v>483</v>
      </c>
      <c r="N1100" s="1" t="s">
        <v>1490</v>
      </c>
      <c r="O1100" s="15">
        <v>5</v>
      </c>
      <c r="P1100" s="15">
        <v>1991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00" s="1"/>
      <c r="U1100" s="1"/>
      <c r="V1100" s="32" t="s">
        <v>3901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00" s="15" t="str">
        <f>_xlfn.TEXTBEFORE(_xlfn.TEXTAFTER(CantoralDB[[#This Row],[index.html]],"&gt;"),"&gt;")&amp;"&gt;"</f>
        <v>&lt;a href="canciones/kairoi/no_hay_lloros_por_un_niño_muerto.html"&gt;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1630</v>
      </c>
      <c r="C1101" s="1"/>
      <c r="H1101" s="1" t="s">
        <v>1029</v>
      </c>
      <c r="J1101" s="1" t="s">
        <v>607</v>
      </c>
      <c r="M1101" s="15" t="s">
        <v>483</v>
      </c>
      <c r="N1101" s="1" t="s">
        <v>1490</v>
      </c>
      <c r="O1101" s="15">
        <v>6</v>
      </c>
      <c r="P1101" s="15">
        <v>1991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01" s="1"/>
      <c r="U1101" s="1"/>
      <c r="V1101" s="32" t="s">
        <v>3902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01" s="15" t="str">
        <f>_xlfn.TEXTBEFORE(_xlfn.TEXTAFTER(CantoralDB[[#This Row],[index.html]],"&gt;"),"&gt;")&amp;"&gt;"</f>
        <v>&lt;a href="canciones/kairoi/deja_que_en_tu_vida_cante_el.html"&gt;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1631</v>
      </c>
      <c r="C1102" s="1"/>
      <c r="J1102" s="1"/>
      <c r="M1102" s="15" t="s">
        <v>483</v>
      </c>
      <c r="N1102" s="1" t="s">
        <v>1490</v>
      </c>
      <c r="O1102" s="15">
        <v>7</v>
      </c>
      <c r="P1102" s="15">
        <v>1991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02" s="1"/>
      <c r="U1102" s="1"/>
      <c r="V1102" s="32" t="s">
        <v>3903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02" s="15" t="str">
        <f>_xlfn.TEXTBEFORE(_xlfn.TEXTAFTER(CantoralDB[[#This Row],[index.html]],"&gt;"),"&gt;")&amp;"&gt;"</f>
        <v>&lt;a href="canciones/kairoi/tiene_el_sida.html"&gt;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1632</v>
      </c>
      <c r="C1103" s="1"/>
      <c r="H1103" s="1" t="s">
        <v>1028</v>
      </c>
      <c r="J1103" s="1" t="s">
        <v>607</v>
      </c>
      <c r="M1103" s="15" t="s">
        <v>483</v>
      </c>
      <c r="N1103" s="1" t="s">
        <v>1490</v>
      </c>
      <c r="O1103" s="15">
        <v>8</v>
      </c>
      <c r="P1103" s="15">
        <v>1991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03" s="1"/>
      <c r="U1103" s="1"/>
      <c r="V1103" s="32" t="s">
        <v>3904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03" s="15" t="str">
        <f>_xlfn.TEXTBEFORE(_xlfn.TEXTAFTER(CantoralDB[[#This Row],[index.html]],"&gt;"),"&gt;")&amp;"&gt;"</f>
        <v>&lt;a href="canciones/kairoi/grito_libertad.html"&gt;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1633</v>
      </c>
      <c r="C1104" s="1"/>
      <c r="J1104" s="1"/>
      <c r="M1104" s="15" t="s">
        <v>483</v>
      </c>
      <c r="N1104" s="1" t="s">
        <v>1490</v>
      </c>
      <c r="O1104" s="15">
        <v>9</v>
      </c>
      <c r="P1104" s="15">
        <v>1991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04" s="1"/>
      <c r="U1104" s="1"/>
      <c r="V1104" s="32" t="s">
        <v>3905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04" s="15" t="str">
        <f>_xlfn.TEXTBEFORE(_xlfn.TEXTAFTER(CantoralDB[[#This Row],[index.html]],"&gt;"),"&gt;")&amp;"&gt;"</f>
        <v>&lt;a href="canciones/kairoi/tu_sonrisa_no_la_vi.html"&gt;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1490</v>
      </c>
      <c r="C1105" s="1"/>
      <c r="J1105" s="1"/>
      <c r="M1105" s="15" t="s">
        <v>483</v>
      </c>
      <c r="N1105" s="1" t="s">
        <v>1490</v>
      </c>
      <c r="O1105" s="15">
        <v>10</v>
      </c>
      <c r="P1105" s="15">
        <v>1991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05" s="1"/>
      <c r="U1105" s="1"/>
      <c r="V1105" s="32" t="s">
        <v>3906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05" s="15" t="str">
        <f>_xlfn.TEXTBEFORE(_xlfn.TEXTAFTER(CantoralDB[[#This Row],[index.html]],"&gt;"),"&gt;")&amp;"&gt;"</f>
        <v>&lt;a href="canciones/kairoi/señor_de_la_historia.html"&gt;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1634</v>
      </c>
      <c r="C1106" s="1"/>
      <c r="J1106" s="1"/>
      <c r="M1106" s="15" t="s">
        <v>483</v>
      </c>
      <c r="N1106" s="1" t="s">
        <v>1490</v>
      </c>
      <c r="O1106" s="15">
        <v>11</v>
      </c>
      <c r="P1106" s="15">
        <v>1991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06" s="1"/>
      <c r="U1106" s="1"/>
      <c r="V1106" s="32" t="s">
        <v>3907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06" s="15" t="str">
        <f>_xlfn.TEXTBEFORE(_xlfn.TEXTAFTER(CantoralDB[[#This Row],[index.html]],"&gt;"),"&gt;")&amp;"&gt;"</f>
        <v>&lt;a href="canciones/kairoi/me_muero_de_hambre.html"&gt;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1635</v>
      </c>
      <c r="C1107" s="1"/>
      <c r="J1107" s="1"/>
      <c r="M1107" s="15" t="s">
        <v>483</v>
      </c>
      <c r="N1107" s="1" t="s">
        <v>1490</v>
      </c>
      <c r="O1107" s="15">
        <v>12</v>
      </c>
      <c r="P1107" s="15">
        <v>1991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07" s="1"/>
      <c r="U1107" s="1"/>
      <c r="V1107" s="32" t="s">
        <v>3908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07" s="15" t="str">
        <f>_xlfn.TEXTBEFORE(_xlfn.TEXTAFTER(CantoralDB[[#This Row],[index.html]],"&gt;"),"&gt;")&amp;"&gt;"</f>
        <v>&lt;a href="canciones/kairoi/yo_no_he_podido_ser_bueno.html"&gt;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1576</v>
      </c>
      <c r="C1108" s="1"/>
      <c r="H1108" s="1" t="s">
        <v>1028</v>
      </c>
      <c r="J1108" s="1" t="s">
        <v>607</v>
      </c>
      <c r="M1108" s="15" t="s">
        <v>483</v>
      </c>
      <c r="N1108" s="1" t="s">
        <v>1493</v>
      </c>
      <c r="O1108" s="15">
        <v>1</v>
      </c>
      <c r="P1108" s="15">
        <v>1995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08" s="1"/>
      <c r="U1108" s="1"/>
      <c r="V1108" s="32" t="s">
        <v>3909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08" s="15" t="str">
        <f>_xlfn.TEXTBEFORE(_xlfn.TEXTAFTER(CantoralDB[[#This Row],[index.html]],"&gt;"),"&gt;")&amp;"&gt;"</f>
        <v>&lt;a href="canciones/kairoi/si_jesus.html"&gt;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1649</v>
      </c>
      <c r="C1109" s="1"/>
      <c r="J1109" s="1"/>
      <c r="M1109" s="15" t="s">
        <v>483</v>
      </c>
      <c r="N1109" s="1" t="s">
        <v>1493</v>
      </c>
      <c r="O1109" s="15">
        <v>2</v>
      </c>
      <c r="P1109" s="15">
        <v>1995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09" s="1"/>
      <c r="U1109" s="1"/>
      <c r="V1109" s="32" t="s">
        <v>3910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09" s="15" t="str">
        <f>_xlfn.TEXTBEFORE(_xlfn.TEXTAFTER(CantoralDB[[#This Row],[index.html]],"&gt;"),"&gt;")&amp;"&gt;"</f>
        <v>&lt;a href="canciones/kairoi/cuando_la_muerte.html"&gt;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1577</v>
      </c>
      <c r="C1110" s="1"/>
      <c r="H1110" s="1" t="s">
        <v>530</v>
      </c>
      <c r="J1110" s="1" t="s">
        <v>607</v>
      </c>
      <c r="M1110" s="15" t="s">
        <v>483</v>
      </c>
      <c r="N1110" s="1" t="s">
        <v>1493</v>
      </c>
      <c r="O1110" s="15">
        <v>3</v>
      </c>
      <c r="P1110" s="15">
        <v>1995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10" s="1"/>
      <c r="U1110" s="1"/>
      <c r="V1110" s="32" t="s">
        <v>3911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10" s="15" t="str">
        <f>_xlfn.TEXTBEFORE(_xlfn.TEXTAFTER(CantoralDB[[#This Row],[index.html]],"&gt;"),"&gt;")&amp;"&gt;"</f>
        <v>&lt;a href="canciones/kairoi/no_temais.html"&gt;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1904</v>
      </c>
      <c r="C1111" s="1"/>
      <c r="H1111" s="1" t="s">
        <v>1029</v>
      </c>
      <c r="J1111" s="1" t="s">
        <v>607</v>
      </c>
      <c r="M1111" s="15" t="s">
        <v>483</v>
      </c>
      <c r="N1111" s="1" t="s">
        <v>1493</v>
      </c>
      <c r="O1111" s="15">
        <v>4</v>
      </c>
      <c r="P1111" s="15">
        <v>1995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11" s="1"/>
      <c r="U1111" s="1"/>
      <c r="V1111" s="32" t="s">
        <v>3912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11" s="15" t="str">
        <f>_xlfn.TEXTBEFORE(_xlfn.TEXTAFTER(CantoralDB[[#This Row],[index.html]],"&gt;"),"&gt;")&amp;"&gt;"</f>
        <v>&lt;a href="canciones/kairoi/la_libertad_del_espiritu.html"&gt;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1650</v>
      </c>
      <c r="C1112" s="1"/>
      <c r="J1112" s="1"/>
      <c r="M1112" s="15" t="s">
        <v>483</v>
      </c>
      <c r="N1112" s="1" t="s">
        <v>1493</v>
      </c>
      <c r="O1112" s="15">
        <v>5</v>
      </c>
      <c r="P1112" s="15">
        <v>1995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12" s="1"/>
      <c r="U1112" s="1"/>
      <c r="V1112" s="32" t="s">
        <v>3913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12" s="15" t="str">
        <f>_xlfn.TEXTBEFORE(_xlfn.TEXTAFTER(CantoralDB[[#This Row],[index.html]],"&gt;"),"&gt;")&amp;"&gt;"</f>
        <v>&lt;a href="canciones/kairoi/que_sepamos_estar.html"&gt;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1578</v>
      </c>
      <c r="C1113" s="1"/>
      <c r="H1113" s="1" t="s">
        <v>1028</v>
      </c>
      <c r="J1113" s="1" t="s">
        <v>607</v>
      </c>
      <c r="M1113" s="15" t="s">
        <v>483</v>
      </c>
      <c r="N1113" s="1" t="s">
        <v>1493</v>
      </c>
      <c r="O1113" s="15">
        <v>6</v>
      </c>
      <c r="P1113" s="15">
        <v>1995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13" s="1"/>
      <c r="U1113" s="1"/>
      <c r="V1113" s="32" t="s">
        <v>3914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13" s="15" t="str">
        <f>_xlfn.TEXTBEFORE(_xlfn.TEXTAFTER(CantoralDB[[#This Row],[index.html]],"&gt;"),"&gt;")&amp;"&gt;"</f>
        <v>&lt;a href="canciones/kairoi/quejate_si_puedes.html"&gt;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1903</v>
      </c>
      <c r="C1114" s="1"/>
      <c r="H1114" s="1" t="s">
        <v>472</v>
      </c>
      <c r="J1114" s="1" t="s">
        <v>607</v>
      </c>
      <c r="M1114" s="15" t="s">
        <v>483</v>
      </c>
      <c r="N1114" s="1" t="s">
        <v>1493</v>
      </c>
      <c r="O1114" s="15">
        <v>7</v>
      </c>
      <c r="P1114" s="15">
        <v>1995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14" s="1"/>
      <c r="U1114" s="1"/>
      <c r="V1114" s="32" t="s">
        <v>3915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14" s="15" t="str">
        <f>_xlfn.TEXTBEFORE(_xlfn.TEXTAFTER(CantoralDB[[#This Row],[index.html]],"&gt;"),"&gt;")&amp;"&gt;"</f>
        <v>&lt;a href="canciones/kairoi/lo_entregaron_todo.html"&gt;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2024</v>
      </c>
      <c r="C1115" s="1"/>
      <c r="H1115" s="1" t="s">
        <v>530</v>
      </c>
      <c r="J1115" s="1" t="s">
        <v>607</v>
      </c>
      <c r="M1115" s="15" t="s">
        <v>483</v>
      </c>
      <c r="N1115" s="1" t="s">
        <v>1493</v>
      </c>
      <c r="O1115" s="15">
        <v>8</v>
      </c>
      <c r="P1115" s="15">
        <v>1995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15" s="1"/>
      <c r="U1115" s="1"/>
      <c r="V1115" s="32" t="s">
        <v>3916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15" s="15" t="str">
        <f>_xlfn.TEXTBEFORE(_xlfn.TEXTAFTER(CantoralDB[[#This Row],[index.html]],"&gt;"),"&gt;")&amp;"&gt;"</f>
        <v>&lt;a href="canciones/kairoi/vale_mas_hablar_con_dios.html"&gt;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1579</v>
      </c>
      <c r="C1116" s="1"/>
      <c r="H1116" s="1" t="s">
        <v>472</v>
      </c>
      <c r="J1116" s="1" t="s">
        <v>607</v>
      </c>
      <c r="M1116" s="15" t="s">
        <v>483</v>
      </c>
      <c r="N1116" s="1" t="s">
        <v>1493</v>
      </c>
      <c r="O1116" s="15">
        <v>9</v>
      </c>
      <c r="P1116" s="15">
        <v>1995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16" s="1"/>
      <c r="U1116" s="1"/>
      <c r="V1116" s="32" t="s">
        <v>3917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16" s="15" t="str">
        <f>_xlfn.TEXTBEFORE(_xlfn.TEXTAFTER(CantoralDB[[#This Row],[index.html]],"&gt;"),"&gt;")&amp;"&gt;"</f>
        <v>&lt;a href="canciones/kairoi/de_lo_debil_saca_fuerzas_dios.html"&gt;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2182</v>
      </c>
      <c r="C1117" s="1"/>
      <c r="H1117" s="1" t="s">
        <v>1028</v>
      </c>
      <c r="J1117" s="1" t="s">
        <v>607</v>
      </c>
      <c r="M1117" s="15" t="s">
        <v>483</v>
      </c>
      <c r="N1117" s="1" t="s">
        <v>1493</v>
      </c>
      <c r="O1117" s="15">
        <v>10</v>
      </c>
      <c r="P1117" s="15">
        <v>1995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17" s="1"/>
      <c r="U1117" s="1"/>
      <c r="V1117" s="32" t="s">
        <v>3918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17" s="15" t="str">
        <f>_xlfn.TEXTBEFORE(_xlfn.TEXTAFTER(CantoralDB[[#This Row],[index.html]],"&gt;"),"&gt;")&amp;"&gt;"</f>
        <v>&lt;a href="canciones/kairoi/fueron_valientes.html"&gt;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1905</v>
      </c>
      <c r="C1118" s="1"/>
      <c r="H1118" s="1" t="s">
        <v>1029</v>
      </c>
      <c r="J1118" s="1" t="s">
        <v>607</v>
      </c>
      <c r="M1118" s="15" t="s">
        <v>483</v>
      </c>
      <c r="N1118" s="1" t="s">
        <v>1493</v>
      </c>
      <c r="O1118" s="15">
        <v>11</v>
      </c>
      <c r="P1118" s="15">
        <v>1995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18" s="1"/>
      <c r="U1118" s="1"/>
      <c r="V1118" s="32" t="s">
        <v>3919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18" s="15" t="str">
        <f>_xlfn.TEXTBEFORE(_xlfn.TEXTAFTER(CantoralDB[[#This Row],[index.html]],"&gt;"),"&gt;")&amp;"&gt;"</f>
        <v>&lt;a href="canciones/kairoi/te_reclamaran_la_vida.html"&gt;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1580</v>
      </c>
      <c r="C1119" s="1"/>
      <c r="H1119" s="1" t="s">
        <v>1027</v>
      </c>
      <c r="J1119" s="1" t="s">
        <v>607</v>
      </c>
      <c r="M1119" s="15" t="s">
        <v>483</v>
      </c>
      <c r="N1119" s="1" t="s">
        <v>1493</v>
      </c>
      <c r="O1119" s="15">
        <v>12</v>
      </c>
      <c r="P1119" s="15">
        <v>1995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19" s="1"/>
      <c r="U1119" s="1"/>
      <c r="V1119" s="32" t="s">
        <v>3920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19" s="15" t="str">
        <f>_xlfn.TEXTBEFORE(_xlfn.TEXTAFTER(CantoralDB[[#This Row],[index.html]],"&gt;"),"&gt;")&amp;"&gt;"</f>
        <v>&lt;a href="canciones/kairoi/esperad_al_señor.html"&gt;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1496</v>
      </c>
      <c r="C1120" s="1"/>
      <c r="J1120" s="1"/>
      <c r="M1120" s="15" t="s">
        <v>483</v>
      </c>
      <c r="N1120" s="1" t="s">
        <v>1496</v>
      </c>
      <c r="O1120" s="15">
        <v>1</v>
      </c>
      <c r="P1120" s="15">
        <v>1999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20" s="1"/>
      <c r="U1120" s="1"/>
      <c r="V1120" s="32" t="s">
        <v>3921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20" s="15" t="str">
        <f>_xlfn.TEXTBEFORE(_xlfn.TEXTAFTER(CantoralDB[[#This Row],[index.html]],"&gt;"),"&gt;")&amp;"&gt;"</f>
        <v>&lt;a href="canciones/kairoi/un_corazon_sin_fronteras.html"&gt;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1610</v>
      </c>
      <c r="C1121" s="1"/>
      <c r="H1121" s="1" t="s">
        <v>1026</v>
      </c>
      <c r="J1121" s="1" t="s">
        <v>607</v>
      </c>
      <c r="M1121" s="15" t="s">
        <v>483</v>
      </c>
      <c r="N1121" s="1" t="s">
        <v>1496</v>
      </c>
      <c r="O1121" s="15">
        <v>2</v>
      </c>
      <c r="P1121" s="15">
        <v>1999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21" s="1"/>
      <c r="U1121" s="1"/>
      <c r="V1121" s="32" t="s">
        <v>3922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21" s="15" t="str">
        <f>_xlfn.TEXTBEFORE(_xlfn.TEXTAFTER(CantoralDB[[#This Row],[index.html]],"&gt;"),"&gt;")&amp;"&gt;"</f>
        <v>&lt;a href="canciones/kairoi/buena_madre.html"&gt;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1548</v>
      </c>
      <c r="C1122" s="1"/>
      <c r="H1122" s="1" t="s">
        <v>1029</v>
      </c>
      <c r="J1122" s="1" t="s">
        <v>607</v>
      </c>
      <c r="M1122" s="15" t="s">
        <v>483</v>
      </c>
      <c r="N1122" s="1" t="s">
        <v>1496</v>
      </c>
      <c r="O1122" s="15">
        <v>3</v>
      </c>
      <c r="P1122" s="15">
        <v>1999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22" s="1"/>
      <c r="U1122" s="1"/>
      <c r="V1122" s="32" t="s">
        <v>3923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22" s="15" t="str">
        <f>_xlfn.TEXTBEFORE(_xlfn.TEXTAFTER(CantoralDB[[#This Row],[index.html]],"&gt;"),"&gt;")&amp;"&gt;"</f>
        <v>&lt;a href="canciones/kairoi/construyenos_la_casa.html"&gt;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1608</v>
      </c>
      <c r="C1123" s="1"/>
      <c r="H1123" s="1" t="s">
        <v>1026</v>
      </c>
      <c r="J1123" s="1" t="s">
        <v>607</v>
      </c>
      <c r="M1123" s="15" t="s">
        <v>483</v>
      </c>
      <c r="N1123" s="1" t="s">
        <v>1496</v>
      </c>
      <c r="O1123" s="15">
        <v>6</v>
      </c>
      <c r="P1123" s="15">
        <v>1999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23" s="1"/>
      <c r="U1123" s="1"/>
      <c r="V1123" s="32" t="s">
        <v>3924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23" s="15" t="str">
        <f>_xlfn.TEXTBEFORE(_xlfn.TEXTAFTER(CantoralDB[[#This Row],[index.html]],"&gt;"),"&gt;")&amp;"&gt;"</f>
        <v>&lt;a href="canciones/kairoi/hermano_entre_los_hombres.html"&gt;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1607</v>
      </c>
      <c r="C1124" s="1"/>
      <c r="H1124" s="1" t="s">
        <v>530</v>
      </c>
      <c r="J1124" s="1" t="s">
        <v>607</v>
      </c>
      <c r="M1124" s="15" t="s">
        <v>483</v>
      </c>
      <c r="N1124" s="1" t="s">
        <v>1496</v>
      </c>
      <c r="O1124" s="15">
        <v>7</v>
      </c>
      <c r="P1124" s="15">
        <v>1999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24" s="1"/>
      <c r="U1124" s="1"/>
      <c r="V1124" s="32" t="s">
        <v>3925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24" s="15" t="str">
        <f>_xlfn.TEXTBEFORE(_xlfn.TEXTAFTER(CantoralDB[[#This Row],[index.html]],"&gt;"),"&gt;")&amp;"&gt;"</f>
        <v>&lt;a href="canciones/kairoi/en_torno_al_pan.html"&gt;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1676</v>
      </c>
      <c r="C1125" s="1"/>
      <c r="J1125" s="1"/>
      <c r="M1125" s="15" t="s">
        <v>483</v>
      </c>
      <c r="N1125" s="1" t="s">
        <v>1496</v>
      </c>
      <c r="O1125" s="15">
        <v>8</v>
      </c>
      <c r="P1125" s="15">
        <v>1999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25" s="1"/>
      <c r="U1125" s="1"/>
      <c r="V1125" s="32" t="s">
        <v>3926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25" s="15" t="str">
        <f>_xlfn.TEXTBEFORE(_xlfn.TEXTAFTER(CantoralDB[[#This Row],[index.html]],"&gt;"),"&gt;")&amp;"&gt;"</f>
        <v>&lt;a href="canciones/kairoi/frases_marcelino.html"&gt;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1605</v>
      </c>
      <c r="C1126" s="1"/>
      <c r="J1126" s="1"/>
      <c r="M1126" s="15" t="s">
        <v>483</v>
      </c>
      <c r="N1126" s="1" t="s">
        <v>1496</v>
      </c>
      <c r="O1126" s="15">
        <v>9</v>
      </c>
      <c r="P1126" s="15">
        <v>1999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26" s="1"/>
      <c r="U1126" s="1"/>
      <c r="V1126" s="32" t="s">
        <v>3927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26" s="15" t="str">
        <f>_xlfn.TEXTBEFORE(_xlfn.TEXTAFTER(CantoralDB[[#This Row],[index.html]],"&gt;"),"&gt;")&amp;"&gt;"</f>
        <v>&lt;a href="canciones/kairoi/hermano_confia_en_dios.html"&gt;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1596</v>
      </c>
      <c r="C1127" s="1"/>
      <c r="J1127" s="1"/>
      <c r="M1127" s="15" t="s">
        <v>483</v>
      </c>
      <c r="N1127" s="1" t="s">
        <v>1496</v>
      </c>
      <c r="O1127" s="15">
        <v>10</v>
      </c>
      <c r="P1127" s="15">
        <v>1999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27" s="1"/>
      <c r="U1127" s="1"/>
      <c r="V1127" s="32" t="s">
        <v>3928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27" s="15" t="str">
        <f>_xlfn.TEXTBEFORE(_xlfn.TEXTAFTER(CantoralDB[[#This Row],[index.html]],"&gt;"),"&gt;")&amp;"&gt;"</f>
        <v>&lt;a href="canciones/kairoi/familia_marista.html"&gt;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1677</v>
      </c>
      <c r="C1128" s="1"/>
      <c r="H1128" s="1" t="s">
        <v>1026</v>
      </c>
      <c r="J1128" s="1" t="s">
        <v>607</v>
      </c>
      <c r="M1128" s="15" t="s">
        <v>483</v>
      </c>
      <c r="N1128" s="1" t="s">
        <v>1496</v>
      </c>
      <c r="O1128" s="15">
        <v>12</v>
      </c>
      <c r="P1128" s="15">
        <v>1999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28" s="1"/>
      <c r="U1128" s="1"/>
      <c r="V1128" s="32" t="s">
        <v>3929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28" s="15" t="str">
        <f>_xlfn.TEXTBEFORE(_xlfn.TEXTAFTER(CantoralDB[[#This Row],[index.html]],"&gt;"),"&gt;")&amp;"&gt;"</f>
        <v>&lt;a href="canciones/kairoi/acuerdate_maria.html"&gt;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1612</v>
      </c>
      <c r="C1129" s="1"/>
      <c r="H1129" s="1" t="s">
        <v>530</v>
      </c>
      <c r="J1129" s="1" t="s">
        <v>607</v>
      </c>
      <c r="M1129" s="15" t="s">
        <v>483</v>
      </c>
      <c r="N1129" s="1" t="s">
        <v>1496</v>
      </c>
      <c r="O1129" s="15">
        <v>13</v>
      </c>
      <c r="P1129" s="15">
        <v>1999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29" s="1"/>
      <c r="U1129" s="1"/>
      <c r="V1129" s="32" t="s">
        <v>3930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29" s="15" t="str">
        <f>_xlfn.TEXTBEFORE(_xlfn.TEXTAFTER(CantoralDB[[#This Row],[index.html]],"&gt;"),"&gt;")&amp;"&gt;"</f>
        <v>&lt;a href="canciones/kairoi/hermano_adios.html"&gt;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1678</v>
      </c>
      <c r="C1130" s="1"/>
      <c r="J1130" s="1"/>
      <c r="M1130" s="15" t="s">
        <v>483</v>
      </c>
      <c r="N1130" s="1" t="s">
        <v>1496</v>
      </c>
      <c r="O1130" s="15">
        <v>14</v>
      </c>
      <c r="P1130" s="15">
        <v>1999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30" s="1"/>
      <c r="U1130" s="1"/>
      <c r="V1130" s="32" t="s">
        <v>3931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30" s="15" t="str">
        <f>_xlfn.TEXTBEFORE(_xlfn.TEXTAFTER(CantoralDB[[#This Row],[index.html]],"&gt;"),"&gt;")&amp;"&gt;"</f>
        <v>&lt;a href="canciones/kairoi/tu_seras_hoy_champagnat.html"&gt;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1582</v>
      </c>
      <c r="C1131" s="1"/>
      <c r="J1131" s="1"/>
      <c r="M1131" s="15" t="s">
        <v>483</v>
      </c>
      <c r="N1131" s="1" t="s">
        <v>1483</v>
      </c>
      <c r="O1131" s="15">
        <v>1</v>
      </c>
      <c r="P1131" s="15">
        <v>1979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31" s="1"/>
      <c r="U1131" s="1"/>
      <c r="V1131" s="32" t="s">
        <v>3932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31" s="15" t="str">
        <f>_xlfn.TEXTBEFORE(_xlfn.TEXTAFTER(CantoralDB[[#This Row],[index.html]],"&gt;"),"&gt;")&amp;"&gt;"</f>
        <v>&lt;a href="canciones/kairoi/sintonia.html"&gt;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1583</v>
      </c>
      <c r="C1132" s="1"/>
      <c r="J1132" s="1"/>
      <c r="M1132" s="15" t="s">
        <v>483</v>
      </c>
      <c r="N1132" s="1" t="s">
        <v>1483</v>
      </c>
      <c r="O1132" s="15">
        <v>2</v>
      </c>
      <c r="P1132" s="15">
        <v>1979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32" s="1"/>
      <c r="U1132" s="1"/>
      <c r="V1132" s="32" t="s">
        <v>3933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32" s="15" t="str">
        <f>_xlfn.TEXTBEFORE(_xlfn.TEXTAFTER(CantoralDB[[#This Row],[index.html]],"&gt;"),"&gt;")&amp;"&gt;"</f>
        <v>&lt;a href="canciones/kairoi/mi_ciudad.html"&gt;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1584</v>
      </c>
      <c r="C1133" s="1"/>
      <c r="J1133" s="1"/>
      <c r="M1133" s="15" t="s">
        <v>483</v>
      </c>
      <c r="N1133" s="1" t="s">
        <v>1483</v>
      </c>
      <c r="O1133" s="15">
        <v>3</v>
      </c>
      <c r="P1133" s="15">
        <v>1979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33" s="1"/>
      <c r="U1133" s="1"/>
      <c r="V1133" s="32" t="s">
        <v>3934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33" s="15" t="str">
        <f>_xlfn.TEXTBEFORE(_xlfn.TEXTAFTER(CantoralDB[[#This Row],[index.html]],"&gt;"),"&gt;")&amp;"&gt;"</f>
        <v>&lt;a href="canciones/kairoi/mañana_quien_sabra.html"&gt;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1585</v>
      </c>
      <c r="C1134" s="1"/>
      <c r="J1134" s="1"/>
      <c r="M1134" s="15" t="s">
        <v>483</v>
      </c>
      <c r="N1134" s="1" t="s">
        <v>1483</v>
      </c>
      <c r="O1134" s="15">
        <v>4</v>
      </c>
      <c r="P1134" s="15">
        <v>1979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34" s="1"/>
      <c r="U1134" s="1"/>
      <c r="V1134" s="32" t="s">
        <v>3935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34" s="15" t="str">
        <f>_xlfn.TEXTBEFORE(_xlfn.TEXTAFTER(CantoralDB[[#This Row],[index.html]],"&gt;"),"&gt;")&amp;"&gt;"</f>
        <v>&lt;a href="canciones/kairoi/quisiera_haber_nacido.html"&gt;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1586</v>
      </c>
      <c r="C1135" s="1"/>
      <c r="J1135" s="1"/>
      <c r="M1135" s="15" t="s">
        <v>483</v>
      </c>
      <c r="N1135" s="1" t="s">
        <v>1483</v>
      </c>
      <c r="O1135" s="15">
        <v>5</v>
      </c>
      <c r="P1135" s="15">
        <v>1979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35" s="1"/>
      <c r="U1135" s="1"/>
      <c r="V1135" s="32" t="s">
        <v>3936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35" s="15" t="str">
        <f>_xlfn.TEXTBEFORE(_xlfn.TEXTAFTER(CantoralDB[[#This Row],[index.html]],"&gt;"),"&gt;")&amp;"&gt;"</f>
        <v>&lt;a href="canciones/kairoi/no_puedo_jugar.html"&gt;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1937</v>
      </c>
      <c r="C1136" s="1"/>
      <c r="J1136" s="1"/>
      <c r="M1136" s="15" t="s">
        <v>483</v>
      </c>
      <c r="N1136" s="1" t="s">
        <v>1483</v>
      </c>
      <c r="O1136" s="15">
        <v>6</v>
      </c>
      <c r="P1136" s="15">
        <v>1979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136" s="1"/>
      <c r="U1136" s="1"/>
      <c r="V1136" s="32" t="s">
        <v>3937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136" s="15" t="str">
        <f>_xlfn.TEXTBEFORE(_xlfn.TEXTAFTER(CantoralDB[[#This Row],[index.html]],"&gt;"),"&gt;")&amp;"&gt;"</f>
        <v>&lt;a href="canciones/kairoi/quien_me_ayuda.html"&gt;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1587</v>
      </c>
      <c r="C1137" s="1"/>
      <c r="J1137" s="1"/>
      <c r="M1137" s="15" t="s">
        <v>483</v>
      </c>
      <c r="N1137" s="1" t="s">
        <v>1483</v>
      </c>
      <c r="O1137" s="15">
        <v>7</v>
      </c>
      <c r="P1137" s="15">
        <v>1979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137" s="1"/>
      <c r="U1137" s="1"/>
      <c r="V1137" s="32" t="s">
        <v>3938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137" s="15" t="str">
        <f>_xlfn.TEXTBEFORE(_xlfn.TEXTAFTER(CantoralDB[[#This Row],[index.html]],"&gt;"),"&gt;")&amp;"&gt;"</f>
        <v>&lt;a href="canciones/kairoi/siempre_me_gusto_decirte_hola.html"&gt;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1588</v>
      </c>
      <c r="C1138" s="1"/>
      <c r="J1138" s="1"/>
      <c r="M1138" s="15" t="s">
        <v>483</v>
      </c>
      <c r="N1138" s="1" t="s">
        <v>1483</v>
      </c>
      <c r="O1138" s="15">
        <v>8</v>
      </c>
      <c r="P1138" s="15">
        <v>1979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138" s="1"/>
      <c r="U1138" s="1"/>
      <c r="V1138" s="32" t="s">
        <v>3939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138" s="15" t="str">
        <f>_xlfn.TEXTBEFORE(_xlfn.TEXTAFTER(CantoralDB[[#This Row],[index.html]],"&gt;"),"&gt;")&amp;"&gt;"</f>
        <v>&lt;a href="canciones/kairoi/solo_trabajar.html"&gt;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1589</v>
      </c>
      <c r="C1139" s="1"/>
      <c r="J1139" s="1"/>
      <c r="M1139" s="15" t="s">
        <v>483</v>
      </c>
      <c r="N1139" s="1" t="s">
        <v>1483</v>
      </c>
      <c r="O1139" s="15">
        <v>9</v>
      </c>
      <c r="P1139" s="15">
        <v>1979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139" s="1"/>
      <c r="U1139" s="1"/>
      <c r="V1139" s="32" t="s">
        <v>3940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139" s="15" t="str">
        <f>_xlfn.TEXTBEFORE(_xlfn.TEXTAFTER(CantoralDB[[#This Row],[index.html]],"&gt;"),"&gt;")&amp;"&gt;"</f>
        <v>&lt;a href="canciones/kairoi/no_tengo_a_nadie.html"&gt;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1590</v>
      </c>
      <c r="C1140" s="1"/>
      <c r="J1140" s="1"/>
      <c r="M1140" s="15" t="s">
        <v>483</v>
      </c>
      <c r="N1140" s="1" t="s">
        <v>1483</v>
      </c>
      <c r="O1140" s="15">
        <v>10</v>
      </c>
      <c r="P1140" s="15">
        <v>1979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140" s="1"/>
      <c r="U1140" s="1"/>
      <c r="V1140" s="32" t="s">
        <v>3941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140" s="15" t="str">
        <f>_xlfn.TEXTBEFORE(_xlfn.TEXTAFTER(CantoralDB[[#This Row],[index.html]],"&gt;"),"&gt;")&amp;"&gt;"</f>
        <v>&lt;a href="canciones/kairoi/me_hicieron_asi.html"&gt;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1591</v>
      </c>
      <c r="C1141" s="1"/>
      <c r="J1141" s="1"/>
      <c r="M1141" s="15" t="s">
        <v>483</v>
      </c>
      <c r="N1141" s="1" t="s">
        <v>1483</v>
      </c>
      <c r="O1141" s="15">
        <v>11</v>
      </c>
      <c r="P1141" s="15">
        <v>1979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141" s="1"/>
      <c r="U1141" s="1"/>
      <c r="V1141" s="32" t="s">
        <v>3942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141" s="15" t="str">
        <f>_xlfn.TEXTBEFORE(_xlfn.TEXTAFTER(CantoralDB[[#This Row],[index.html]],"&gt;"),"&gt;")&amp;"&gt;"</f>
        <v>&lt;a href="canciones/kairoi/tu_y_yo_este_aquel.html"&gt;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1602</v>
      </c>
      <c r="C1142" s="1"/>
      <c r="J1142" s="1"/>
      <c r="M1142" s="15" t="s">
        <v>483</v>
      </c>
      <c r="N1142" s="1" t="s">
        <v>1486</v>
      </c>
      <c r="O1142" s="15">
        <v>1</v>
      </c>
      <c r="P1142" s="15">
        <v>1986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142" s="1"/>
      <c r="U1142" s="1"/>
      <c r="V1142" s="32" t="s">
        <v>3943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142" s="15" t="str">
        <f>_xlfn.TEXTBEFORE(_xlfn.TEXTAFTER(CantoralDB[[#This Row],[index.html]],"&gt;"),"&gt;")&amp;"&gt;"</f>
        <v>&lt;a href="canciones/kairoi/gloria_hosana.html"&gt;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1556</v>
      </c>
      <c r="C1143" s="1"/>
      <c r="H1143" s="1" t="s">
        <v>1029</v>
      </c>
      <c r="J1143" s="1" t="s">
        <v>607</v>
      </c>
      <c r="M1143" s="15" t="s">
        <v>483</v>
      </c>
      <c r="N1143" s="1" t="s">
        <v>1486</v>
      </c>
      <c r="O1143" s="15">
        <v>2</v>
      </c>
      <c r="P1143" s="15">
        <v>1986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143" s="1"/>
      <c r="U1143" s="1"/>
      <c r="V1143" s="32" t="s">
        <v>3944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143" s="15" t="str">
        <f>_xlfn.TEXTBEFORE(_xlfn.TEXTAFTER(CantoralDB[[#This Row],[index.html]],"&gt;"),"&gt;")&amp;"&gt;"</f>
        <v>&lt;a href="canciones/kairoi/en_tu_cruz_sigues_hoy.html"&gt;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1557</v>
      </c>
      <c r="C1144" s="1"/>
      <c r="H1144" s="1" t="s">
        <v>1027</v>
      </c>
      <c r="J1144" s="1" t="s">
        <v>607</v>
      </c>
      <c r="M1144" s="15" t="s">
        <v>483</v>
      </c>
      <c r="N1144" s="1" t="s">
        <v>1486</v>
      </c>
      <c r="O1144" s="15">
        <v>3</v>
      </c>
      <c r="P1144" s="15">
        <v>1986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144" s="1"/>
      <c r="U1144" s="1"/>
      <c r="V1144" s="32" t="s">
        <v>3945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144" s="15" t="str">
        <f>_xlfn.TEXTBEFORE(_xlfn.TEXTAFTER(CantoralDB[[#This Row],[index.html]],"&gt;"),"&gt;")&amp;"&gt;"</f>
        <v>&lt;a href="canciones/kairoi/en_la_cruz_nos_das_la_vida.html"&gt;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1558</v>
      </c>
      <c r="C1145" s="1"/>
      <c r="H1145" s="1" t="s">
        <v>1026</v>
      </c>
      <c r="J1145" s="1" t="s">
        <v>607</v>
      </c>
      <c r="M1145" s="15" t="s">
        <v>483</v>
      </c>
      <c r="N1145" s="1" t="s">
        <v>1486</v>
      </c>
      <c r="O1145" s="15">
        <v>4</v>
      </c>
      <c r="P1145" s="15">
        <v>1986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145" s="1"/>
      <c r="U1145" s="1"/>
      <c r="V1145" s="32" t="s">
        <v>3946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145" s="15" t="str">
        <f>_xlfn.TEXTBEFORE(_xlfn.TEXTAFTER(CantoralDB[[#This Row],[index.html]],"&gt;"),"&gt;")&amp;"&gt;"</f>
        <v>&lt;a href="canciones/kairoi/siento_tu_llamada.html"&gt;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1559</v>
      </c>
      <c r="C1146" s="1"/>
      <c r="H1146" s="1" t="s">
        <v>530</v>
      </c>
      <c r="J1146" s="1" t="s">
        <v>607</v>
      </c>
      <c r="M1146" s="15" t="s">
        <v>483</v>
      </c>
      <c r="N1146" s="1" t="s">
        <v>1486</v>
      </c>
      <c r="O1146" s="15">
        <v>5</v>
      </c>
      <c r="P1146" s="15">
        <v>1986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146" s="1"/>
      <c r="U1146" s="1"/>
      <c r="V1146" s="32" t="s">
        <v>3946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146" s="15" t="str">
        <f>_xlfn.TEXTBEFORE(_xlfn.TEXTAFTER(CantoralDB[[#This Row],[index.html]],"&gt;"),"&gt;")&amp;"&gt;"</f>
        <v>&lt;a href="canciones/kairoi/el_señor_es_la_esperanza.html"&gt;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1560</v>
      </c>
      <c r="C1147" s="1"/>
      <c r="H1147" s="1" t="s">
        <v>530</v>
      </c>
      <c r="J1147" s="1" t="s">
        <v>607</v>
      </c>
      <c r="M1147" s="15" t="s">
        <v>483</v>
      </c>
      <c r="N1147" s="1" t="s">
        <v>1486</v>
      </c>
      <c r="O1147" s="15">
        <v>6</v>
      </c>
      <c r="P1147" s="15">
        <v>1986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147" s="1"/>
      <c r="U1147" s="1"/>
      <c r="V1147" s="32" t="s">
        <v>3946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147" s="15" t="str">
        <f>_xlfn.TEXTBEFORE(_xlfn.TEXTAFTER(CantoralDB[[#This Row],[index.html]],"&gt;"),"&gt;")&amp;"&gt;"</f>
        <v>&lt;a href="canciones/kairoi/el_señor_esta_aqui.html"&gt;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1561</v>
      </c>
      <c r="C1148" s="1"/>
      <c r="H1148" s="1" t="s">
        <v>1027</v>
      </c>
      <c r="J1148" s="1" t="s">
        <v>607</v>
      </c>
      <c r="M1148" s="15" t="s">
        <v>483</v>
      </c>
      <c r="N1148" s="1" t="s">
        <v>1486</v>
      </c>
      <c r="O1148" s="15">
        <v>7</v>
      </c>
      <c r="P1148" s="15">
        <v>1986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148" s="1"/>
      <c r="U1148" s="1"/>
      <c r="V1148" s="32" t="s">
        <v>3946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148" s="15" t="str">
        <f>_xlfn.TEXTBEFORE(_xlfn.TEXTAFTER(CantoralDB[[#This Row],[index.html]],"&gt;"),"&gt;")&amp;"&gt;"</f>
        <v>&lt;a href="canciones/kairoi/caminad.html"&gt;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1562</v>
      </c>
      <c r="C1149" s="1"/>
      <c r="H1149" s="1" t="s">
        <v>1027</v>
      </c>
      <c r="J1149" s="1" t="s">
        <v>607</v>
      </c>
      <c r="M1149" s="15" t="s">
        <v>483</v>
      </c>
      <c r="N1149" s="1" t="s">
        <v>1486</v>
      </c>
      <c r="O1149" s="15">
        <v>8</v>
      </c>
      <c r="P1149" s="15">
        <v>1986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149" s="1"/>
      <c r="U1149" s="1"/>
      <c r="V1149" s="32" t="s">
        <v>3946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149" s="15" t="str">
        <f>_xlfn.TEXTBEFORE(_xlfn.TEXTAFTER(CantoralDB[[#This Row],[index.html]],"&gt;"),"&gt;")&amp;"&gt;"</f>
        <v>&lt;a href="canciones/kairoi/acogeme_dios.html"&gt;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1563</v>
      </c>
      <c r="C1150" s="1"/>
      <c r="H1150" s="1" t="s">
        <v>1029</v>
      </c>
      <c r="J1150" s="1" t="s">
        <v>607</v>
      </c>
      <c r="M1150" s="15" t="s">
        <v>483</v>
      </c>
      <c r="N1150" s="1" t="s">
        <v>1486</v>
      </c>
      <c r="O1150" s="15">
        <v>9</v>
      </c>
      <c r="P1150" s="15">
        <v>1986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150" s="1"/>
      <c r="U1150" s="1"/>
      <c r="V1150" s="32" t="s">
        <v>3947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150" s="15" t="str">
        <f>_xlfn.TEXTBEFORE(_xlfn.TEXTAFTER(CantoralDB[[#This Row],[index.html]],"&gt;"),"&gt;")&amp;"&gt;"</f>
        <v>&lt;a href="canciones/kairoi/maria_madre_del_dolor.html"&gt;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222</v>
      </c>
      <c r="C1151" s="1" t="s">
        <v>190</v>
      </c>
      <c r="D1151" s="1" t="s">
        <v>734</v>
      </c>
      <c r="G1151" s="1" t="s">
        <v>215</v>
      </c>
      <c r="H1151" s="1" t="s">
        <v>530</v>
      </c>
      <c r="J1151" s="1" t="s">
        <v>607</v>
      </c>
      <c r="M1151" s="15" t="s">
        <v>483</v>
      </c>
      <c r="N1151" s="1" t="s">
        <v>1486</v>
      </c>
      <c r="O1151" s="15">
        <v>10</v>
      </c>
      <c r="P1151" s="15">
        <v>1986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151" s="1"/>
      <c r="U1151" s="1"/>
      <c r="V1151" s="32" t="s">
        <v>3948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151" s="15" t="str">
        <f>_xlfn.TEXTBEFORE(_xlfn.TEXTAFTER(CantoralDB[[#This Row],[index.html]],"&gt;"),"&gt;")&amp;"&gt;"</f>
        <v>&lt;a href="canciones/kairoi/el_señor_nos_ha_reunido.html"&gt;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1564</v>
      </c>
      <c r="C1152" s="1"/>
      <c r="H1152" s="1" t="s">
        <v>530</v>
      </c>
      <c r="J1152" s="1" t="s">
        <v>607</v>
      </c>
      <c r="M1152" s="15" t="s">
        <v>483</v>
      </c>
      <c r="N1152" s="1" t="s">
        <v>1486</v>
      </c>
      <c r="O1152" s="15">
        <v>11</v>
      </c>
      <c r="P1152" s="15">
        <v>1986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152" s="1"/>
      <c r="U1152" s="1"/>
      <c r="V1152" s="32" t="s">
        <v>3949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152" s="15" t="str">
        <f>_xlfn.TEXTBEFORE(_xlfn.TEXTAFTER(CantoralDB[[#This Row],[index.html]],"&gt;"),"&gt;")&amp;"&gt;"</f>
        <v>&lt;a href="canciones/kairoi/llama_de_vida.html"&gt;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1565</v>
      </c>
      <c r="C1153" s="1"/>
      <c r="H1153" s="1" t="s">
        <v>530</v>
      </c>
      <c r="J1153" s="1" t="s">
        <v>607</v>
      </c>
      <c r="M1153" s="15" t="s">
        <v>483</v>
      </c>
      <c r="N1153" s="1" t="s">
        <v>1486</v>
      </c>
      <c r="O1153" s="15">
        <v>12</v>
      </c>
      <c r="P1153" s="15">
        <v>1986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153" s="1"/>
      <c r="U1153" s="1"/>
      <c r="V1153" s="32" t="s">
        <v>3950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153" s="15" t="str">
        <f>_xlfn.TEXTBEFORE(_xlfn.TEXTAFTER(CantoralDB[[#This Row],[index.html]],"&gt;"),"&gt;")&amp;"&gt;"</f>
        <v>&lt;a href="canciones/kairoi/venga_tu_reino.html"&gt;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1912</v>
      </c>
      <c r="C1154" s="1" t="s">
        <v>210</v>
      </c>
      <c r="D1154" s="1" t="s">
        <v>1455</v>
      </c>
      <c r="G1154" s="1" t="s">
        <v>208</v>
      </c>
      <c r="H1154" s="1" t="s">
        <v>472</v>
      </c>
      <c r="I1154" s="1" t="s">
        <v>2949</v>
      </c>
      <c r="J1154" s="1" t="s">
        <v>607</v>
      </c>
      <c r="M1154" s="15" t="s">
        <v>483</v>
      </c>
      <c r="N1154" s="1" t="s">
        <v>1486</v>
      </c>
      <c r="O1154" s="15">
        <v>13</v>
      </c>
      <c r="P1154" s="15">
        <v>1986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154" s="1"/>
      <c r="U1154" s="1"/>
      <c r="V1154" s="32" t="s">
        <v>3951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154" s="15" t="str">
        <f>_xlfn.TEXTBEFORE(_xlfn.TEXTAFTER(CantoralDB[[#This Row],[index.html]],"&gt;"),"&gt;")&amp;"&gt;"</f>
        <v>&lt;a href="canciones/kairoi/pregon_pascual_(gloria).html"&gt;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558</v>
      </c>
      <c r="C1155" s="1" t="s">
        <v>190</v>
      </c>
      <c r="D1155" s="1" t="s">
        <v>743</v>
      </c>
      <c r="G1155" s="1" t="s">
        <v>552</v>
      </c>
      <c r="H1155" s="1" t="s">
        <v>1026</v>
      </c>
      <c r="J1155" s="1" t="s">
        <v>607</v>
      </c>
      <c r="M1155" s="15" t="s">
        <v>483</v>
      </c>
      <c r="N1155" s="1" t="s">
        <v>1486</v>
      </c>
      <c r="O1155" s="15">
        <v>14</v>
      </c>
      <c r="P1155" s="15">
        <v>1986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155" s="1"/>
      <c r="U1155" s="1"/>
      <c r="V1155" s="32" t="s">
        <v>3952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155" s="15" t="str">
        <f>_xlfn.TEXTBEFORE(_xlfn.TEXTAFTER(CantoralDB[[#This Row],[index.html]],"&gt;"),"&gt;")&amp;"&gt;"</f>
        <v>&lt;a href="canciones/kairoi/mirad_jesus_resucita_hoy.html"&gt;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1566</v>
      </c>
      <c r="C1156" s="1"/>
      <c r="H1156" s="1" t="s">
        <v>472</v>
      </c>
      <c r="J1156" s="1" t="s">
        <v>607</v>
      </c>
      <c r="M1156" s="15" t="s">
        <v>483</v>
      </c>
      <c r="N1156" s="1" t="s">
        <v>1486</v>
      </c>
      <c r="O1156" s="15">
        <v>15</v>
      </c>
      <c r="P1156" s="15">
        <v>1986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156" s="1"/>
      <c r="U1156" s="1"/>
      <c r="V1156" s="32" t="s">
        <v>3953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156" s="15" t="str">
        <f>_xlfn.TEXTBEFORE(_xlfn.TEXTAFTER(CantoralDB[[#This Row],[index.html]],"&gt;"),"&gt;")&amp;"&gt;"</f>
        <v>&lt;a href="canciones/kairoi/somos_testigos.html"&gt;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1567</v>
      </c>
      <c r="C1157" s="1"/>
      <c r="H1157" s="1" t="s">
        <v>1026</v>
      </c>
      <c r="J1157" s="1" t="s">
        <v>607</v>
      </c>
      <c r="M1157" s="15" t="s">
        <v>483</v>
      </c>
      <c r="N1157" s="1" t="s">
        <v>1486</v>
      </c>
      <c r="O1157" s="15">
        <v>16</v>
      </c>
      <c r="P1157" s="15">
        <v>1986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157" s="1"/>
      <c r="U1157" s="1"/>
      <c r="V1157" s="32" t="s">
        <v>3954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157" s="15" t="str">
        <f>_xlfn.TEXTBEFORE(_xlfn.TEXTAFTER(CantoralDB[[#This Row],[index.html]],"&gt;"),"&gt;")&amp;"&gt;"</f>
        <v>&lt;a href="canciones/kairoi/tu_camino_y_tu_verdad.html"&gt;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1679</v>
      </c>
      <c r="C1158" s="1"/>
      <c r="H1158" s="1" t="s">
        <v>1026</v>
      </c>
      <c r="J1158" s="1" t="s">
        <v>607</v>
      </c>
      <c r="M1158" s="15" t="s">
        <v>483</v>
      </c>
      <c r="N1158" s="1" t="s">
        <v>1497</v>
      </c>
      <c r="O1158" s="15">
        <v>1</v>
      </c>
      <c r="P1158" s="15">
        <v>1999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158" s="1"/>
      <c r="U1158" s="1"/>
      <c r="V1158" s="32" t="s">
        <v>3955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158" s="15" t="str">
        <f>_xlfn.TEXTBEFORE(_xlfn.TEXTAFTER(CantoralDB[[#This Row],[index.html]],"&gt;"),"&gt;")&amp;"&gt;"</f>
        <v>&lt;a href="canciones/kairoi/seguir_amando.html"&gt;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1497</v>
      </c>
      <c r="C1159" s="1"/>
      <c r="H1159" s="1" t="s">
        <v>472</v>
      </c>
      <c r="J1159" s="1" t="s">
        <v>607</v>
      </c>
      <c r="M1159" s="15" t="s">
        <v>483</v>
      </c>
      <c r="N1159" s="1" t="s">
        <v>1497</v>
      </c>
      <c r="O1159" s="15">
        <v>2</v>
      </c>
      <c r="P1159" s="15">
        <v>1999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159" s="1"/>
      <c r="U1159" s="1"/>
      <c r="V1159" s="32" t="s">
        <v>3956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159" s="15" t="str">
        <f>_xlfn.TEXTBEFORE(_xlfn.TEXTAFTER(CantoralDB[[#This Row],[index.html]],"&gt;"),"&gt;")&amp;"&gt;"</f>
        <v>&lt;a href="canciones/kairoi/y_se_vive_la_vida.html"&gt;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1680</v>
      </c>
      <c r="C1160" s="1"/>
      <c r="H1160" s="1" t="s">
        <v>1026</v>
      </c>
      <c r="J1160" s="1" t="s">
        <v>607</v>
      </c>
      <c r="M1160" s="15" t="s">
        <v>483</v>
      </c>
      <c r="N1160" s="1" t="s">
        <v>1497</v>
      </c>
      <c r="O1160" s="15">
        <v>3</v>
      </c>
      <c r="P1160" s="15">
        <v>1999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160" s="1"/>
      <c r="U1160" s="1"/>
      <c r="V1160" s="32" t="s">
        <v>3957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160" s="15" t="str">
        <f>_xlfn.TEXTBEFORE(_xlfn.TEXTAFTER(CantoralDB[[#This Row],[index.html]],"&gt;"),"&gt;")&amp;"&gt;"</f>
        <v>&lt;a href="canciones/kairoi/jesus_cambianos.html"&gt;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1681</v>
      </c>
      <c r="C1161" s="1"/>
      <c r="H1161" s="1" t="s">
        <v>530</v>
      </c>
      <c r="J1161" s="1" t="s">
        <v>607</v>
      </c>
      <c r="M1161" s="15" t="s">
        <v>483</v>
      </c>
      <c r="N1161" s="1" t="s">
        <v>1497</v>
      </c>
      <c r="O1161" s="15">
        <v>4</v>
      </c>
      <c r="P1161" s="15">
        <v>1999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161" s="1"/>
      <c r="U1161" s="1"/>
      <c r="V1161" s="32" t="s">
        <v>3958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161" s="15" t="str">
        <f>_xlfn.TEXTBEFORE(_xlfn.TEXTAFTER(CantoralDB[[#This Row],[index.html]],"&gt;"),"&gt;")&amp;"&gt;"</f>
        <v>&lt;a href="canciones/kairoi/como_maria.html"&gt;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1682</v>
      </c>
      <c r="C1162" s="1"/>
      <c r="H1162" s="1" t="s">
        <v>1027</v>
      </c>
      <c r="J1162" s="1" t="s">
        <v>607</v>
      </c>
      <c r="M1162" s="15" t="s">
        <v>483</v>
      </c>
      <c r="N1162" s="1" t="s">
        <v>1497</v>
      </c>
      <c r="O1162" s="15">
        <v>5</v>
      </c>
      <c r="P1162" s="15">
        <v>1999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162" s="1"/>
      <c r="U1162" s="1"/>
      <c r="V1162" s="32" t="s">
        <v>3959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162" s="15" t="str">
        <f>_xlfn.TEXTBEFORE(_xlfn.TEXTAFTER(CantoralDB[[#This Row],[index.html]],"&gt;"),"&gt;")&amp;"&gt;"</f>
        <v>&lt;a href="canciones/kairoi/nos_marca_el_caminar.html"&gt;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1683</v>
      </c>
      <c r="C1163" s="1"/>
      <c r="J1163" s="1"/>
      <c r="M1163" s="15" t="s">
        <v>483</v>
      </c>
      <c r="N1163" s="1" t="s">
        <v>1497</v>
      </c>
      <c r="O1163" s="15">
        <v>6</v>
      </c>
      <c r="P1163" s="15">
        <v>1999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163" s="1"/>
      <c r="U1163" s="1"/>
      <c r="V1163" s="32" t="s">
        <v>3960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163" s="15" t="str">
        <f>_xlfn.TEXTBEFORE(_xlfn.TEXTAFTER(CantoralDB[[#This Row],[index.html]],"&gt;"),"&gt;")&amp;"&gt;"</f>
        <v>&lt;a href="canciones/kairoi/alfonsa_hermana_y_amiga.html"&gt;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1684</v>
      </c>
      <c r="C1164" s="1"/>
      <c r="H1164" s="1" t="s">
        <v>1029</v>
      </c>
      <c r="J1164" s="1" t="s">
        <v>607</v>
      </c>
      <c r="M1164" s="15" t="s">
        <v>483</v>
      </c>
      <c r="N1164" s="1" t="s">
        <v>1497</v>
      </c>
      <c r="O1164" s="15">
        <v>7</v>
      </c>
      <c r="P1164" s="15">
        <v>1999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164" s="1"/>
      <c r="U1164" s="1"/>
      <c r="V1164" s="32" t="s">
        <v>3961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164" s="15" t="str">
        <f>_xlfn.TEXTBEFORE(_xlfn.TEXTAFTER(CantoralDB[[#This Row],[index.html]],"&gt;"),"&gt;")&amp;"&gt;"</f>
        <v>&lt;a href="canciones/kairoi/soy_mujer.html"&gt;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1685</v>
      </c>
      <c r="C1165" s="1"/>
      <c r="H1165" s="1" t="s">
        <v>530</v>
      </c>
      <c r="J1165" s="1" t="s">
        <v>607</v>
      </c>
      <c r="M1165" s="15" t="s">
        <v>483</v>
      </c>
      <c r="N1165" s="1" t="s">
        <v>1497</v>
      </c>
      <c r="O1165" s="15">
        <v>8</v>
      </c>
      <c r="P1165" s="15">
        <v>1999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165" s="1"/>
      <c r="U1165" s="1"/>
      <c r="V1165" s="32" t="s">
        <v>3962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165" s="15" t="str">
        <f>_xlfn.TEXTBEFORE(_xlfn.TEXTAFTER(CantoralDB[[#This Row],[index.html]],"&gt;"),"&gt;")&amp;"&gt;"</f>
        <v>&lt;a href="canciones/kairoi/en_ti_solo_descanso.html"&gt;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892</v>
      </c>
      <c r="C1166" s="1"/>
      <c r="H1166" s="1" t="s">
        <v>1029</v>
      </c>
      <c r="J1166" s="1" t="s">
        <v>607</v>
      </c>
      <c r="M1166" s="15" t="s">
        <v>483</v>
      </c>
      <c r="N1166" s="1" t="s">
        <v>1497</v>
      </c>
      <c r="O1166" s="15">
        <v>9</v>
      </c>
      <c r="P1166" s="15">
        <v>1999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166" s="1"/>
      <c r="U1166" s="1"/>
      <c r="V1166" s="32" t="s">
        <v>3963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166" s="15" t="str">
        <f>_xlfn.TEXTBEFORE(_xlfn.TEXTAFTER(CantoralDB[[#This Row],[index.html]],"&gt;"),"&gt;")&amp;"&gt;"</f>
        <v>&lt;a href="canciones/kairoi/dios_de_la_vida.html"&gt;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1686</v>
      </c>
      <c r="C1167" s="1"/>
      <c r="H1167" s="1" t="s">
        <v>472</v>
      </c>
      <c r="J1167" s="1" t="s">
        <v>607</v>
      </c>
      <c r="M1167" s="15" t="s">
        <v>483</v>
      </c>
      <c r="N1167" s="1" t="s">
        <v>1497</v>
      </c>
      <c r="O1167" s="15">
        <v>10</v>
      </c>
      <c r="P1167" s="15">
        <v>1999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167" s="1"/>
      <c r="U1167" s="1"/>
      <c r="V1167" s="32" t="s">
        <v>3964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167" s="15" t="str">
        <f>_xlfn.TEXTBEFORE(_xlfn.TEXTAFTER(CantoralDB[[#This Row],[index.html]],"&gt;"),"&gt;")&amp;"&gt;"</f>
        <v>&lt;a href="canciones/kairoi/sueña.html"&gt;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109</v>
      </c>
      <c r="C1168" s="1" t="s">
        <v>197</v>
      </c>
      <c r="D1168" s="1" t="s">
        <v>1450</v>
      </c>
      <c r="E1168" s="1">
        <v>201</v>
      </c>
      <c r="G1168" s="1" t="s">
        <v>208</v>
      </c>
      <c r="H1168" s="1" t="s">
        <v>530</v>
      </c>
      <c r="I1168" s="1" t="s">
        <v>2952</v>
      </c>
      <c r="J1168" s="1" t="s">
        <v>607</v>
      </c>
      <c r="M1168" s="15" t="s">
        <v>483</v>
      </c>
      <c r="N1168" s="1" t="s">
        <v>1485</v>
      </c>
      <c r="O1168" s="15">
        <v>1</v>
      </c>
      <c r="P1168" s="15">
        <v>1985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168" s="1"/>
      <c r="U1168" s="1"/>
      <c r="V1168" s="32" t="s">
        <v>3965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168" s="15" t="str">
        <f>_xlfn.TEXTBEFORE(_xlfn.TEXTAFTER(CantoralDB[[#This Row],[index.html]],"&gt;"),"&gt;")&amp;"&gt;"</f>
        <v>&lt;a href="canciones/kairoi/paz_en_la_tierra.html"&gt;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1550</v>
      </c>
      <c r="C1169" s="1"/>
      <c r="H1169" s="1" t="s">
        <v>530</v>
      </c>
      <c r="J1169" s="1" t="s">
        <v>607</v>
      </c>
      <c r="M1169" s="15" t="s">
        <v>483</v>
      </c>
      <c r="N1169" s="1" t="s">
        <v>1485</v>
      </c>
      <c r="O1169" s="15">
        <v>2</v>
      </c>
      <c r="P1169" s="15">
        <v>1985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169" s="1"/>
      <c r="U1169" s="1"/>
      <c r="V1169" s="32" t="s">
        <v>3966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169" s="15" t="str">
        <f>_xlfn.TEXTBEFORE(_xlfn.TEXTAFTER(CantoralDB[[#This Row],[index.html]],"&gt;"),"&gt;")&amp;"&gt;"</f>
        <v>&lt;a href="canciones/kairoi/me_estas_llamando.html"&gt;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503</v>
      </c>
      <c r="C1170" s="1" t="s">
        <v>192</v>
      </c>
      <c r="D1170" s="1" t="s">
        <v>1471</v>
      </c>
      <c r="G1170" s="1" t="s">
        <v>215</v>
      </c>
      <c r="H1170" s="1" t="s">
        <v>530</v>
      </c>
      <c r="J1170" s="1" t="s">
        <v>607</v>
      </c>
      <c r="M1170" s="15" t="s">
        <v>483</v>
      </c>
      <c r="N1170" s="1" t="s">
        <v>1485</v>
      </c>
      <c r="O1170" s="15">
        <v>3</v>
      </c>
      <c r="P1170" s="15">
        <v>1985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170" s="1"/>
      <c r="U1170" s="1"/>
      <c r="V1170" s="32" t="s">
        <v>3967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170" s="15" t="str">
        <f>_xlfn.TEXTBEFORE(_xlfn.TEXTAFTER(CantoralDB[[#This Row],[index.html]],"&gt;"),"&gt;")&amp;"&gt;"</f>
        <v>&lt;a href="canciones/kairoi/todo_mi_ser_(alabo_tu_bondad).html"&gt;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1551</v>
      </c>
      <c r="C1171" s="1"/>
      <c r="H1171" s="1" t="s">
        <v>1026</v>
      </c>
      <c r="J1171" s="1" t="s">
        <v>607</v>
      </c>
      <c r="M1171" s="15" t="s">
        <v>483</v>
      </c>
      <c r="N1171" s="1" t="s">
        <v>1485</v>
      </c>
      <c r="O1171" s="15">
        <v>4</v>
      </c>
      <c r="P1171" s="15">
        <v>1985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171" s="1"/>
      <c r="U1171" s="1"/>
      <c r="V1171" s="32" t="s">
        <v>3968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171" s="15" t="str">
        <f>_xlfn.TEXTBEFORE(_xlfn.TEXTAFTER(CantoralDB[[#This Row],[index.html]],"&gt;"),"&gt;")&amp;"&gt;"</f>
        <v>&lt;a href="canciones/kairoi/tocare_para_ti.html"&gt;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48</v>
      </c>
      <c r="C1172" s="1" t="s">
        <v>992</v>
      </c>
      <c r="D1172" s="1" t="s">
        <v>696</v>
      </c>
      <c r="E1172" s="1">
        <v>418</v>
      </c>
      <c r="G1172" s="1" t="s">
        <v>208</v>
      </c>
      <c r="H1172" s="1" t="s">
        <v>1026</v>
      </c>
      <c r="J1172" s="1" t="s">
        <v>607</v>
      </c>
      <c r="M1172" s="15" t="s">
        <v>483</v>
      </c>
      <c r="N1172" s="1" t="s">
        <v>1485</v>
      </c>
      <c r="O1172" s="15">
        <v>5</v>
      </c>
      <c r="P1172" s="15">
        <v>1985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172" s="1"/>
      <c r="U1172" s="1"/>
      <c r="V1172" s="32" t="s">
        <v>3969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172" s="15" t="str">
        <f>_xlfn.TEXTBEFORE(_xlfn.TEXTAFTER(CantoralDB[[#This Row],[index.html]],"&gt;"),"&gt;")&amp;"&gt;"</f>
        <v>&lt;a href="canciones/kairoi/el_amor_es_nuestro_canto.html"&gt;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1552</v>
      </c>
      <c r="C1173" s="1"/>
      <c r="H1173" s="1" t="s">
        <v>530</v>
      </c>
      <c r="J1173" s="1" t="s">
        <v>607</v>
      </c>
      <c r="M1173" s="15" t="s">
        <v>483</v>
      </c>
      <c r="N1173" s="1" t="s">
        <v>1485</v>
      </c>
      <c r="O1173" s="15">
        <v>6</v>
      </c>
      <c r="P1173" s="15">
        <v>1985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173" s="1"/>
      <c r="U1173" s="1"/>
      <c r="V1173" s="32" t="s">
        <v>3970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173" s="15" t="str">
        <f>_xlfn.TEXTBEFORE(_xlfn.TEXTAFTER(CantoralDB[[#This Row],[index.html]],"&gt;"),"&gt;")&amp;"&gt;"</f>
        <v>&lt;a href="canciones/kairoi/enseñanos_a_orar.html"&gt;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1553</v>
      </c>
      <c r="C1174" s="1"/>
      <c r="H1174" s="1" t="s">
        <v>1028</v>
      </c>
      <c r="J1174" s="1" t="s">
        <v>607</v>
      </c>
      <c r="M1174" s="15" t="s">
        <v>483</v>
      </c>
      <c r="N1174" s="1" t="s">
        <v>1485</v>
      </c>
      <c r="O1174" s="15">
        <v>7</v>
      </c>
      <c r="P1174" s="15">
        <v>1985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174" s="1"/>
      <c r="U1174" s="1"/>
      <c r="V1174" s="32" t="s">
        <v>3971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174" s="15" t="str">
        <f>_xlfn.TEXTBEFORE(_xlfn.TEXTAFTER(CantoralDB[[#This Row],[index.html]],"&gt;"),"&gt;")&amp;"&gt;"</f>
        <v>&lt;a href="canciones/kairoi/tu_señor.html"&gt;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1554</v>
      </c>
      <c r="C1175" s="1"/>
      <c r="H1175" s="1" t="s">
        <v>530</v>
      </c>
      <c r="J1175" s="1" t="s">
        <v>607</v>
      </c>
      <c r="M1175" s="15" t="s">
        <v>483</v>
      </c>
      <c r="N1175" s="1" t="s">
        <v>1485</v>
      </c>
      <c r="O1175" s="15">
        <v>8</v>
      </c>
      <c r="P1175" s="15">
        <v>1985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175" s="1"/>
      <c r="U1175" s="1"/>
      <c r="V1175" s="32" t="s">
        <v>3972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175" s="15" t="str">
        <f>_xlfn.TEXTBEFORE(_xlfn.TEXTAFTER(CantoralDB[[#This Row],[index.html]],"&gt;"),"&gt;")&amp;"&gt;"</f>
        <v>&lt;a href="canciones/kairoi/esperando_con_maria.html"&gt;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188</v>
      </c>
      <c r="C1176" s="1" t="s">
        <v>218</v>
      </c>
      <c r="D1176" s="1" t="s">
        <v>1475</v>
      </c>
      <c r="F1176" s="1">
        <v>135</v>
      </c>
      <c r="G1176" s="1" t="s">
        <v>208</v>
      </c>
      <c r="H1176" s="1" t="s">
        <v>530</v>
      </c>
      <c r="J1176" s="1" t="s">
        <v>607</v>
      </c>
      <c r="M1176" s="15" t="s">
        <v>483</v>
      </c>
      <c r="N1176" s="1" t="s">
        <v>1485</v>
      </c>
      <c r="O1176" s="15">
        <v>9</v>
      </c>
      <c r="P1176" s="15">
        <v>1985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176" s="1"/>
      <c r="U1176" s="1"/>
      <c r="V1176" s="32" t="s">
        <v>3973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X1176" s="15" t="str">
        <f>_xlfn.TEXTBEFORE(_xlfn.TEXTAFTER(CantoralDB[[#This Row],[index.html]],"&gt;"),"&gt;")&amp;"&gt;"</f>
        <v>&lt;a href="canciones/kairoi/ven_espiritu_de_dios_(kairoi).html"&gt;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2142</v>
      </c>
      <c r="C1177" s="1"/>
      <c r="F1177" s="1">
        <v>306</v>
      </c>
      <c r="H1177" s="1" t="s">
        <v>472</v>
      </c>
      <c r="J1177" s="1" t="s">
        <v>607</v>
      </c>
      <c r="M1177" s="15" t="s">
        <v>483</v>
      </c>
      <c r="N1177" s="1" t="s">
        <v>1485</v>
      </c>
      <c r="O1177" s="15">
        <v>10</v>
      </c>
      <c r="P1177" s="15">
        <v>1985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177" s="1"/>
      <c r="U1177" s="1"/>
      <c r="V1177" s="32" t="s">
        <v>3974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X1177" s="15" t="str">
        <f>_xlfn.TEXTBEFORE(_xlfn.TEXTAFTER(CantoralDB[[#This Row],[index.html]],"&gt;"),"&gt;")&amp;"&gt;"</f>
        <v>&lt;a href="canciones/kairoi/padre_nuestro_i.html"&gt;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23</v>
      </c>
      <c r="C1178" s="1" t="s">
        <v>992</v>
      </c>
      <c r="D1178" s="1" t="s">
        <v>682</v>
      </c>
      <c r="E1178" s="1">
        <v>409</v>
      </c>
      <c r="F1178" s="1">
        <v>239</v>
      </c>
      <c r="G1178" s="1" t="s">
        <v>208</v>
      </c>
      <c r="H1178" s="1" t="s">
        <v>530</v>
      </c>
      <c r="J1178" s="1" t="s">
        <v>607</v>
      </c>
      <c r="M1178" s="15" t="s">
        <v>483</v>
      </c>
      <c r="N1178" s="1" t="s">
        <v>1485</v>
      </c>
      <c r="O1178" s="15">
        <v>11</v>
      </c>
      <c r="P1178" s="15">
        <v>1985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178" s="1" t="s">
        <v>802</v>
      </c>
      <c r="U1178" s="1"/>
      <c r="V1178" s="32" t="s">
        <v>3975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X1178" s="15" t="str">
        <f>_xlfn.TEXTBEFORE(_xlfn.TEXTAFTER(CantoralDB[[#This Row],[index.html]],"&gt;"),"&gt;")&amp;"&gt;"</f>
        <v>&lt;a href="canciones/kairoi/amaos_(como_el_padre_me_amo).html"&gt;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1601</v>
      </c>
      <c r="C1179" s="1"/>
      <c r="J1179" s="1"/>
      <c r="M1179" s="15" t="s">
        <v>483</v>
      </c>
      <c r="N1179" s="1" t="s">
        <v>1485</v>
      </c>
      <c r="O1179" s="15">
        <v>12</v>
      </c>
      <c r="P1179" s="15">
        <v>1985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179" s="1"/>
      <c r="U1179" s="1"/>
      <c r="V1179" s="32" t="s">
        <v>3976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179" s="15" t="str">
        <f>_xlfn.TEXTBEFORE(_xlfn.TEXTAFTER(CantoralDB[[#This Row],[index.html]],"&gt;"),"&gt;")&amp;"&gt;"</f>
        <v>&lt;a href="canciones/kairoi/padre_perdon.html"&gt;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2412</v>
      </c>
      <c r="C1180" s="1"/>
      <c r="F1180" s="1">
        <v>35</v>
      </c>
      <c r="J1180" s="1"/>
      <c r="M1180" s="15" t="s">
        <v>2397</v>
      </c>
      <c r="O1180" s="15"/>
      <c r="P1180" s="15"/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180" s="1"/>
      <c r="U1180" s="1"/>
      <c r="V1180" s="32" t="s">
        <v>4486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X1180" s="15" t="str">
        <f>_xlfn.TEXTBEFORE(_xlfn.TEXTAFTER(CantoralDB[[#This Row],[index.html]],"&gt;"),"&gt;")&amp;"&gt;"</f>
        <v>&lt;a href="canciones/lazaro_iparraguirre/aleluya_mirad_la_muerte.html"&gt;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4444</v>
      </c>
      <c r="C1181" s="1"/>
      <c r="F1181" s="1">
        <v>133</v>
      </c>
      <c r="J1181" s="1"/>
      <c r="M1181" s="15" t="s">
        <v>2397</v>
      </c>
      <c r="O1181" s="15"/>
      <c r="P1181" s="15"/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181" s="1"/>
      <c r="U1181" s="1"/>
      <c r="V1181" s="32" t="s">
        <v>4432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href="canciones/lazaro_iparraguirre/bendecid_al_señor_proclamad_su_amor.html"&gt;Bendecid al Señor, proclamad su amor&lt;/a&gt;&lt;/li&gt;</v>
      </c>
      <c r="X1181" s="15" t="str">
        <f>_xlfn.TEXTBEFORE(_xlfn.TEXTAFTER(CantoralDB[[#This Row],[index.html]],"&gt;"),"&gt;")&amp;"&gt;"</f>
        <v>&lt;a href="canciones/lazaro_iparraguirre/bendecid_al_señor_proclamad_su_amor.html"&gt;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2528</v>
      </c>
      <c r="C1182" s="1"/>
      <c r="F1182" s="1">
        <v>142</v>
      </c>
      <c r="H1182" s="1" t="s">
        <v>1026</v>
      </c>
      <c r="J1182" s="1" t="s">
        <v>607</v>
      </c>
      <c r="M1182" s="15" t="s">
        <v>2397</v>
      </c>
      <c r="O1182" s="15"/>
      <c r="P1182" s="15"/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182" s="1"/>
      <c r="U1182" s="1"/>
      <c r="V1182" s="32" t="s">
        <v>2981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X1182" s="15" t="str">
        <f>_xlfn.TEXTBEFORE(_xlfn.TEXTAFTER(CantoralDB[[#This Row],[index.html]],"&gt;"),"&gt;")&amp;"&gt;"</f>
        <v>&lt;a href="canciones/lazaro_iparraguirre/caminaremos.html"&gt;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2610</v>
      </c>
      <c r="C1183" s="1"/>
      <c r="F1183" s="1">
        <v>229</v>
      </c>
      <c r="J1183" s="1"/>
      <c r="M1183" s="15" t="s">
        <v>2397</v>
      </c>
      <c r="O1183" s="15"/>
      <c r="P1183" s="15"/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183" s="1"/>
      <c r="U1183" s="1"/>
      <c r="V1183" s="15"/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X1183" s="15" t="str">
        <f>_xlfn.TEXTBEFORE(_xlfn.TEXTAFTER(CantoralDB[[#This Row],[index.html]],"&gt;"),"&gt;")&amp;"&gt;"</f>
        <v>&lt;a href="canciones/lazaro_iparraguirre/maestro.html"&gt;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2747</v>
      </c>
      <c r="C1184" s="1"/>
      <c r="F1184" s="1">
        <v>372</v>
      </c>
      <c r="J1184" s="1"/>
      <c r="M1184" s="15" t="s">
        <v>2397</v>
      </c>
      <c r="O1184" s="15"/>
      <c r="P1184" s="15"/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184" s="1"/>
      <c r="U1184" s="1"/>
      <c r="V1184" s="15"/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X1184" s="15" t="str">
        <f>_xlfn.TEXTBEFORE(_xlfn.TEXTAFTER(CantoralDB[[#This Row],[index.html]],"&gt;"),"&gt;")&amp;"&gt;"</f>
        <v>&lt;a href="canciones/lazaro_iparraguirre/mirad_levantad.html"&gt;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2762</v>
      </c>
      <c r="C1185" s="1"/>
      <c r="F1185" s="1">
        <v>384</v>
      </c>
      <c r="J1185" s="1"/>
      <c r="M1185" s="15" t="s">
        <v>2397</v>
      </c>
      <c r="O1185" s="15"/>
      <c r="P1185" s="15"/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185" s="1"/>
      <c r="U1185" s="1"/>
      <c r="V1185" s="32" t="s">
        <v>4445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X1185" s="15" t="str">
        <f>_xlfn.TEXTBEFORE(_xlfn.TEXTAFTER(CantoralDB[[#This Row],[index.html]],"&gt;"),"&gt;")&amp;"&gt;"</f>
        <v>&lt;a href="canciones/lazaro_iparraguirre/nos_dejaste_señor.html"&gt;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2526</v>
      </c>
      <c r="C1186" s="1"/>
      <c r="F1186" s="1">
        <v>140</v>
      </c>
      <c r="J1186" s="1"/>
      <c r="M1186" s="15" t="s">
        <v>2397</v>
      </c>
      <c r="O1186" s="15"/>
      <c r="P1186" s="15"/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186" s="1"/>
      <c r="U1186" s="1"/>
      <c r="V1186" s="32" t="s">
        <v>4517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X1186" s="15" t="str">
        <f>_xlfn.TEXTBEFORE(_xlfn.TEXTAFTER(CantoralDB[[#This Row],[index.html]],"&gt;"),"&gt;")&amp;"&gt;"</f>
        <v>&lt;a href="canciones/lazaro_iparraguirre/que_deseables.html"&gt;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2682</v>
      </c>
      <c r="C1187" s="1"/>
      <c r="F1187" s="1">
        <v>308</v>
      </c>
      <c r="J1187" s="1"/>
      <c r="M1187" s="15" t="s">
        <v>2397</v>
      </c>
      <c r="O1187" s="15"/>
      <c r="P1187" s="15"/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187" s="1"/>
      <c r="U1187" s="1"/>
      <c r="V1187" s="32" t="s">
        <v>4431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X1187" s="15" t="str">
        <f>_xlfn.TEXTBEFORE(_xlfn.TEXTAFTER(CantoralDB[[#This Row],[index.html]],"&gt;"),"&gt;")&amp;"&gt;"</f>
        <v>&lt;a href="canciones/lazaro_iparraguirre/resucito.html"&gt;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2478</v>
      </c>
      <c r="C1188" s="1"/>
      <c r="F1188" s="1">
        <v>96</v>
      </c>
      <c r="J1188" s="1"/>
      <c r="M1188" s="15" t="s">
        <v>2397</v>
      </c>
      <c r="O1188" s="15"/>
      <c r="P1188" s="15"/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188" s="1"/>
      <c r="U1188" s="1"/>
      <c r="V1188" s="15"/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X1188" s="15" t="str">
        <f>_xlfn.TEXTBEFORE(_xlfn.TEXTAFTER(CantoralDB[[#This Row],[index.html]],"&gt;"),"&gt;")&amp;"&gt;"</f>
        <v>&lt;a href="canciones/lazaro_iparraguirre/si_estas_buscando.html"&gt;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2398</v>
      </c>
      <c r="C1189" s="1"/>
      <c r="F1189" s="1">
        <v>19</v>
      </c>
      <c r="H1189" s="1" t="s">
        <v>1029</v>
      </c>
      <c r="J1189" s="1" t="s">
        <v>607</v>
      </c>
      <c r="M1189" s="15" t="s">
        <v>2397</v>
      </c>
      <c r="O1189" s="15"/>
      <c r="P1189" s="15"/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189" s="1"/>
      <c r="U1189" s="1"/>
      <c r="V1189" s="32" t="s">
        <v>3048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X1189" s="15" t="str">
        <f>_xlfn.TEXTBEFORE(_xlfn.TEXTAFTER(CantoralDB[[#This Row],[index.html]],"&gt;"),"&gt;")&amp;"&gt;"</f>
        <v>&lt;a href="canciones/lazaro_iparraguirre/si_lo_que_buscas.html"&gt;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2423</v>
      </c>
      <c r="C1190" s="1"/>
      <c r="F1190" s="1">
        <v>47</v>
      </c>
      <c r="J1190" s="1"/>
      <c r="M1190" s="15" t="s">
        <v>2397</v>
      </c>
      <c r="O1190" s="15"/>
      <c r="P1190" s="15"/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190" s="1"/>
      <c r="U1190" s="1"/>
      <c r="V1190" s="15"/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X1190" s="15" t="str">
        <f>_xlfn.TEXTBEFORE(_xlfn.TEXTAFTER(CantoralDB[[#This Row],[index.html]],"&gt;"),"&gt;")&amp;"&gt;"</f>
        <v>&lt;a href="canciones/lazaro_iparraguirre/tomad_y_comed.html"&gt;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2680</v>
      </c>
      <c r="C1191" s="1"/>
      <c r="F1191" s="1">
        <v>305</v>
      </c>
      <c r="J1191" s="1"/>
      <c r="M1191" s="15" t="s">
        <v>2397</v>
      </c>
      <c r="O1191" s="15"/>
      <c r="P1191" s="15"/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191" s="1"/>
      <c r="U1191" s="1"/>
      <c r="V1191" s="32" t="s">
        <v>4541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X1191" s="15" t="str">
        <f>_xlfn.TEXTBEFORE(_xlfn.TEXTAFTER(CantoralDB[[#This Row],[index.html]],"&gt;"),"&gt;")&amp;"&gt;"</f>
        <v>&lt;a href="canciones/lazaro_iparraguirre/venid_alabemos.html"&gt;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2499</v>
      </c>
      <c r="C1192" s="1"/>
      <c r="F1192" s="1">
        <v>119</v>
      </c>
      <c r="J1192" s="1"/>
      <c r="M1192" s="15" t="s">
        <v>2397</v>
      </c>
      <c r="O1192" s="15"/>
      <c r="P1192" s="15"/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192" s="1"/>
      <c r="U1192" s="1"/>
      <c r="V1192" s="15"/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X1192" s="15" t="str">
        <f>_xlfn.TEXTBEFORE(_xlfn.TEXTAFTER(CantoralDB[[#This Row],[index.html]],"&gt;"),"&gt;")&amp;"&gt;"</f>
        <v>&lt;a href="canciones/lazaro_iparraguirre/vino_un_hombre_a_nuestro_mundo.html"&gt;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2461</v>
      </c>
      <c r="C1193" s="1"/>
      <c r="F1193" s="1">
        <v>80</v>
      </c>
      <c r="J1193" s="1"/>
      <c r="M1193" s="15" t="s">
        <v>2397</v>
      </c>
      <c r="O1193" s="15"/>
      <c r="P1193" s="15"/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193" s="1"/>
      <c r="U1193" s="1"/>
      <c r="V1193" s="32" t="s">
        <v>4580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X1193" s="15" t="str">
        <f>_xlfn.TEXTBEFORE(_xlfn.TEXTAFTER(CantoralDB[[#This Row],[index.html]],"&gt;"),"&gt;")&amp;"&gt;"</f>
        <v>&lt;a href="canciones/lazaro_iparraguirre/yo_te_ensalzo.html"&gt;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2570</v>
      </c>
      <c r="C1194" s="1"/>
      <c r="F1194" s="1">
        <v>181</v>
      </c>
      <c r="J1194" s="1"/>
      <c r="M1194" s="15" t="s">
        <v>2393</v>
      </c>
      <c r="O1194" s="15"/>
      <c r="P1194" s="15"/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194" s="1"/>
      <c r="U1194" s="1"/>
      <c r="V1194" s="32" t="s">
        <v>4491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X1194" s="15" t="str">
        <f>_xlfn.TEXTBEFORE(_xlfn.TEXTAFTER(CantoralDB[[#This Row],[index.html]],"&gt;"),"&gt;")&amp;"&gt;"</f>
        <v>&lt;a href="canciones/luis_alfredo_diaz/ahora_no_tengo.html"&gt;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2562</v>
      </c>
      <c r="C1195" s="1"/>
      <c r="F1195" s="1">
        <v>173</v>
      </c>
      <c r="J1195" s="1"/>
      <c r="M1195" s="15" t="s">
        <v>2393</v>
      </c>
      <c r="O1195" s="15"/>
      <c r="P1195" s="15"/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195" s="1"/>
      <c r="U1195" s="1"/>
      <c r="V1195" s="32" t="s">
        <v>4479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X1195" s="15" t="str">
        <f>_xlfn.TEXTBEFORE(_xlfn.TEXTAFTER(CantoralDB[[#This Row],[index.html]],"&gt;"),"&gt;")&amp;"&gt;"</f>
        <v>&lt;a href="canciones/luis_alfredo_diaz/amar.html"&gt;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2539</v>
      </c>
      <c r="C1196" s="1"/>
      <c r="F1196" s="1">
        <v>153</v>
      </c>
      <c r="J1196" s="1"/>
      <c r="M1196" s="15" t="s">
        <v>2393</v>
      </c>
      <c r="O1196" s="15"/>
      <c r="P1196" s="15"/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196" s="1"/>
      <c r="U1196" s="1"/>
      <c r="V1196" s="15"/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X1196" s="15" t="str">
        <f>_xlfn.TEXTBEFORE(_xlfn.TEXTAFTER(CantoralDB[[#This Row],[index.html]],"&gt;"),"&gt;")&amp;"&gt;"</f>
        <v>&lt;a href="canciones/luis_alfredo_diaz/aqui_el_esta.html"&gt;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2876</v>
      </c>
      <c r="C1197" s="1"/>
      <c r="E1197" s="1">
        <v>47</v>
      </c>
      <c r="H1197" s="1" t="s">
        <v>530</v>
      </c>
      <c r="J1197" s="1" t="s">
        <v>607</v>
      </c>
      <c r="M1197" s="15" t="s">
        <v>2393</v>
      </c>
      <c r="O1197" s="15"/>
      <c r="P1197" s="15"/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197" s="1"/>
      <c r="U1197" s="1"/>
      <c r="V1197" s="15"/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197" s="15" t="str">
        <f>_xlfn.TEXTBEFORE(_xlfn.TEXTAFTER(CantoralDB[[#This Row],[index.html]],"&gt;"),"&gt;")&amp;"&gt;"</f>
        <v>&lt;a href="canciones/luis_alfredo_diaz/compartir.html"&gt;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2474</v>
      </c>
      <c r="C1198" s="1"/>
      <c r="F1198" s="1">
        <v>92</v>
      </c>
      <c r="J1198" s="1"/>
      <c r="M1198" s="15" t="s">
        <v>2393</v>
      </c>
      <c r="O1198" s="15"/>
      <c r="P1198" s="15"/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198" s="1"/>
      <c r="U1198" s="1"/>
      <c r="V1198" s="32" t="s">
        <v>4564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X1198" s="15" t="str">
        <f>_xlfn.TEXTBEFORE(_xlfn.TEXTAFTER(CantoralDB[[#This Row],[index.html]],"&gt;"),"&gt;")&amp;"&gt;"</f>
        <v>&lt;a href="canciones/luis_alfredo_diaz/cuando_escuches.html"&gt;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2573</v>
      </c>
      <c r="C1199" s="1"/>
      <c r="F1199" s="1">
        <v>184</v>
      </c>
      <c r="J1199" s="1"/>
      <c r="M1199" s="15" t="s">
        <v>2393</v>
      </c>
      <c r="O1199" s="15"/>
      <c r="P1199" s="15"/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199" s="1"/>
      <c r="U1199" s="1"/>
      <c r="V1199" s="32" t="s">
        <v>4504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X1199" s="15" t="str">
        <f>_xlfn.TEXTBEFORE(_xlfn.TEXTAFTER(CantoralDB[[#This Row],[index.html]],"&gt;"),"&gt;")&amp;"&gt;"</f>
        <v>&lt;a href="canciones/luis_alfredo_diaz/deseo_ser_santa.html"&gt;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2413</v>
      </c>
      <c r="C1200" s="1"/>
      <c r="F1200" s="1">
        <v>37</v>
      </c>
      <c r="J1200" s="1"/>
      <c r="M1200" s="15" t="s">
        <v>2393</v>
      </c>
      <c r="O1200" s="15"/>
      <c r="P1200" s="15"/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00" s="1"/>
      <c r="U1200" s="1"/>
      <c r="V1200" s="32" t="s">
        <v>4508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X1200" s="15" t="str">
        <f>_xlfn.TEXTBEFORE(_xlfn.TEXTAFTER(CantoralDB[[#This Row],[index.html]],"&gt;"),"&gt;")&amp;"&gt;"</f>
        <v>&lt;a href="canciones/luis_alfredo_diaz/gloria_yo_soy_libre.html"&gt;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2578</v>
      </c>
      <c r="C1201" s="1"/>
      <c r="F1201" s="1">
        <v>187</v>
      </c>
      <c r="J1201" s="1"/>
      <c r="M1201" s="15" t="s">
        <v>2393</v>
      </c>
      <c r="O1201" s="15"/>
      <c r="P1201" s="15"/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01" s="1"/>
      <c r="U1201" s="1"/>
      <c r="V1201" s="32" t="s">
        <v>4455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X1201" s="15" t="str">
        <f>_xlfn.TEXTBEFORE(_xlfn.TEXTAFTER(CantoralDB[[#This Row],[index.html]],"&gt;"),"&gt;")&amp;"&gt;"</f>
        <v>&lt;a href="canciones/luis_alfredo_diaz/lo_que_agrada_a_dios.html"&gt;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97</v>
      </c>
      <c r="C1202" s="1" t="s">
        <v>200</v>
      </c>
      <c r="D1202" s="1" t="s">
        <v>664</v>
      </c>
      <c r="E1202" s="1">
        <v>440</v>
      </c>
      <c r="F1202" s="1">
        <v>91</v>
      </c>
      <c r="G1202" s="1" t="s">
        <v>208</v>
      </c>
      <c r="H1202" s="1" t="s">
        <v>1026</v>
      </c>
      <c r="J1202" s="1" t="s">
        <v>607</v>
      </c>
      <c r="M1202" s="15" t="s">
        <v>2393</v>
      </c>
      <c r="O1202" s="15"/>
      <c r="P1202" s="15"/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02" s="1" t="s">
        <v>846</v>
      </c>
      <c r="U1202" s="1"/>
      <c r="V1202" s="32" t="s">
        <v>4552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X1202" s="15" t="str">
        <f>_xlfn.TEXTBEFORE(_xlfn.TEXTAFTER(CantoralDB[[#This Row],[index.html]],"&gt;"),"&gt;")&amp;"&gt;"</f>
        <v>&lt;a href="canciones/luis_alfredo_diaz/no_adoreis_a_nadie.html"&gt;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2564</v>
      </c>
      <c r="C1203" s="1"/>
      <c r="F1203" s="1">
        <v>176</v>
      </c>
      <c r="J1203" s="1"/>
      <c r="M1203" s="15" t="s">
        <v>2393</v>
      </c>
      <c r="O1203" s="15"/>
      <c r="P1203" s="15"/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03" s="1"/>
      <c r="U1203" s="1"/>
      <c r="V1203" s="32" t="s">
        <v>4526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X1203" s="15" t="str">
        <f>_xlfn.TEXTBEFORE(_xlfn.TEXTAFTER(CantoralDB[[#This Row],[index.html]],"&gt;"),"&gt;")&amp;"&gt;"</f>
        <v>&lt;a href="canciones/luis_alfredo_diaz/no_quiero_ser_santa_a_medias.html"&gt;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2579</v>
      </c>
      <c r="C1204" s="1"/>
      <c r="F1204" s="1">
        <v>189</v>
      </c>
      <c r="J1204" s="1"/>
      <c r="M1204" s="15" t="s">
        <v>2393</v>
      </c>
      <c r="O1204" s="15"/>
      <c r="P1204" s="15"/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04" s="1"/>
      <c r="U1204" s="1"/>
      <c r="V1204" s="15"/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X1204" s="15" t="str">
        <f>_xlfn.TEXTBEFORE(_xlfn.TEXTAFTER(CantoralDB[[#This Row],[index.html]],"&gt;"),"&gt;")&amp;"&gt;"</f>
        <v>&lt;a href="canciones/luis_alfredo_diaz/que_bueno_es_alabarte.html"&gt;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120</v>
      </c>
      <c r="C1205" s="1" t="s">
        <v>194</v>
      </c>
      <c r="D1205" s="1" t="s">
        <v>767</v>
      </c>
      <c r="E1205" s="1">
        <v>450</v>
      </c>
      <c r="F1205" s="1">
        <v>401</v>
      </c>
      <c r="G1205" s="1" t="s">
        <v>208</v>
      </c>
      <c r="H1205" s="1" t="s">
        <v>1029</v>
      </c>
      <c r="J1205" s="1" t="s">
        <v>607</v>
      </c>
      <c r="M1205" s="15" t="s">
        <v>2393</v>
      </c>
      <c r="O1205" s="15"/>
      <c r="P1205" s="15"/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05" s="1"/>
      <c r="U1205" s="1"/>
      <c r="V1205" s="32" t="s">
        <v>4478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X1205" s="15" t="str">
        <f>_xlfn.TEXTBEFORE(_xlfn.TEXTAFTER(CantoralDB[[#This Row],[index.html]],"&gt;"),"&gt;")&amp;"&gt;"</f>
        <v>&lt;a href="canciones/luis_alfredo_diaz/que_te_puedo_dar.html"&gt;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2392</v>
      </c>
      <c r="C1206" s="1"/>
      <c r="F1206" s="1">
        <v>14</v>
      </c>
      <c r="H1206" s="1" t="s">
        <v>472</v>
      </c>
      <c r="I1206" s="1" t="s">
        <v>2951</v>
      </c>
      <c r="J1206" s="1" t="s">
        <v>607</v>
      </c>
      <c r="M1206" s="15" t="s">
        <v>2393</v>
      </c>
      <c r="O1206" s="15"/>
      <c r="P1206" s="15"/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06" s="1"/>
      <c r="U1206" s="1"/>
      <c r="V1206" s="32" t="s">
        <v>3015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X1206" s="15" t="str">
        <f>_xlfn.TEXTBEFORE(_xlfn.TEXTAFTER(CantoralDB[[#This Row],[index.html]],"&gt;"),"&gt;")&amp;"&gt;"</f>
        <v>&lt;a href="canciones/luis_alfredo_diaz/quiero_decir_que_si.html"&gt;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2736</v>
      </c>
      <c r="C1207" s="1"/>
      <c r="F1207" s="1">
        <v>361</v>
      </c>
      <c r="J1207" s="1"/>
      <c r="M1207" s="15" t="s">
        <v>2393</v>
      </c>
      <c r="O1207" s="15"/>
      <c r="P1207" s="15"/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07" s="1"/>
      <c r="U1207" s="1"/>
      <c r="V1207" s="15"/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X1207" s="15" t="str">
        <f>_xlfn.TEXTBEFORE(_xlfn.TEXTAFTER(CantoralDB[[#This Row],[index.html]],"&gt;"),"&gt;")&amp;"&gt;"</f>
        <v>&lt;a href="canciones/luis_alfredo_diaz/se_siente_una_paz_tan_grande.html"&gt;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1317</v>
      </c>
      <c r="C1208" s="1"/>
      <c r="E1208" s="1">
        <v>238</v>
      </c>
      <c r="J1208" s="1"/>
      <c r="M1208" s="15" t="s">
        <v>2393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08" s="1"/>
      <c r="U1208" s="1"/>
      <c r="V1208" s="15"/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08" s="15" t="str">
        <f>_xlfn.TEXTBEFORE(_xlfn.TEXTAFTER(CantoralDB[[#This Row],[index.html]],"&gt;"),"&gt;")&amp;"&gt;"</f>
        <v>&lt;a href="canciones/luis_alfredo_diaz/solidaridad.html"&gt;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139</v>
      </c>
      <c r="C1209" s="1" t="s">
        <v>992</v>
      </c>
      <c r="D1209" s="1" t="s">
        <v>1006</v>
      </c>
      <c r="E1209" s="1">
        <v>463</v>
      </c>
      <c r="F1209" s="1">
        <v>26</v>
      </c>
      <c r="G1209" s="1" t="s">
        <v>208</v>
      </c>
      <c r="H1209" s="1" t="s">
        <v>530</v>
      </c>
      <c r="J1209" s="1" t="s">
        <v>607</v>
      </c>
      <c r="M1209" s="15" t="s">
        <v>2393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T1209" s="1"/>
      <c r="U1209" s="1"/>
      <c r="V1209" s="32" t="s">
        <v>4547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X1209" s="15" t="str">
        <f>_xlfn.TEXTBEFORE(_xlfn.TEXTAFTER(CantoralDB[[#This Row],[index.html]],"&gt;"),"&gt;")&amp;"&gt;"</f>
        <v>&lt;a href="canciones/luis_alfredo_diaz/tan_cerca_de_mi.html"&gt;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1338</v>
      </c>
      <c r="C1210" s="1"/>
      <c r="E1210" s="1">
        <v>273</v>
      </c>
      <c r="J1210" s="1"/>
      <c r="M1210" s="15" t="s">
        <v>2393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10" s="1"/>
      <c r="U1210" s="1"/>
      <c r="V1210" s="15"/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10" s="15" t="str">
        <f>_xlfn.TEXTBEFORE(_xlfn.TEXTAFTER(CantoralDB[[#This Row],[index.html]],"&gt;"),"&gt;")&amp;"&gt;"</f>
        <v>&lt;a href="canciones/luis_alfredo_diaz/un_nuevo_reino_esta_amaneciendo.html"&gt;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543</v>
      </c>
      <c r="C1211" s="1" t="s">
        <v>992</v>
      </c>
      <c r="D1211" s="1" t="s">
        <v>1015</v>
      </c>
      <c r="G1211" s="1" t="s">
        <v>208</v>
      </c>
      <c r="H1211" s="1" t="s">
        <v>1026</v>
      </c>
      <c r="I1211" s="1" t="s">
        <v>2952</v>
      </c>
      <c r="J1211" s="1" t="s">
        <v>607</v>
      </c>
      <c r="M1211" s="15" t="s">
        <v>2393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11" s="1" t="s">
        <v>816</v>
      </c>
      <c r="U1211" s="1"/>
      <c r="V1211" s="15"/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11" s="15" t="str">
        <f>_xlfn.TEXTBEFORE(_xlfn.TEXTAFTER(CantoralDB[[#This Row],[index.html]],"&gt;"),"&gt;")&amp;"&gt;"</f>
        <v>&lt;a href="canciones/luis_alfredo_diaz/una_tarde_en_la_playa.html"&gt;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2649</v>
      </c>
      <c r="C1212" s="1"/>
      <c r="F1212" s="1">
        <v>272</v>
      </c>
      <c r="J1212" s="1"/>
      <c r="M1212" s="15" t="s">
        <v>2393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12" s="1"/>
      <c r="U1212" s="1"/>
      <c r="V1212" s="32" t="s">
        <v>4575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X1212" s="15" t="str">
        <f>_xlfn.TEXTBEFORE(_xlfn.TEXTAFTER(CantoralDB[[#This Row],[index.html]],"&gt;"),"&gt;")&amp;"&gt;"</f>
        <v>&lt;a href="canciones/luis_alfredo_diaz/vine_a_alabar_a_dios.html"&gt;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2531</v>
      </c>
      <c r="C1213" s="1"/>
      <c r="F1213" s="1">
        <v>145</v>
      </c>
      <c r="J1213" s="1"/>
      <c r="M1213" s="15" t="s">
        <v>2393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13" s="1"/>
      <c r="U1213" s="1"/>
      <c r="V1213" s="32" t="s">
        <v>4532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X1213" s="15" t="str">
        <f>_xlfn.TEXTBEFORE(_xlfn.TEXTAFTER(CantoralDB[[#This Row],[index.html]],"&gt;"),"&gt;")&amp;"&gt;"</f>
        <v>&lt;a href="canciones/luis_alfredo_diaz/yo_no_soy_nada.html"&gt;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1783</v>
      </c>
      <c r="C1214" s="1"/>
      <c r="F1214" s="1">
        <v>7</v>
      </c>
      <c r="H1214" s="1" t="s">
        <v>1026</v>
      </c>
      <c r="I1214" s="1" t="s">
        <v>2951</v>
      </c>
      <c r="J1214" s="1" t="s">
        <v>607</v>
      </c>
      <c r="M1214" s="15" t="s">
        <v>2386</v>
      </c>
      <c r="N1214" s="1" t="s">
        <v>3010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14" s="1"/>
      <c r="U1214" s="1"/>
      <c r="V1214" s="32" t="s">
        <v>4499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X1214" s="15" t="str">
        <f>_xlfn.TEXTBEFORE(_xlfn.TEXTAFTER(CantoralDB[[#This Row],[index.html]],"&gt;"),"&gt;")&amp;"&gt;"</f>
        <v>&lt;a href="canciones/marcos_witt/heme_aqui.html"&gt;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2661</v>
      </c>
      <c r="C1215" s="1"/>
      <c r="F1215" s="1">
        <v>286</v>
      </c>
      <c r="J1215" s="1"/>
      <c r="M1215" s="15" t="s">
        <v>2386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15" s="1"/>
      <c r="U1215" s="1"/>
      <c r="V1215" s="15"/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X1215" s="15" t="str">
        <f>_xlfn.TEXTBEFORE(_xlfn.TEXTAFTER(CantoralDB[[#This Row],[index.html]],"&gt;"),"&gt;")&amp;"&gt;"</f>
        <v>&lt;a href="canciones/marcos_witt/cuan_bello_es_el_señor.html"&gt;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2828</v>
      </c>
      <c r="C1216" s="1"/>
      <c r="F1216" s="1">
        <v>436</v>
      </c>
      <c r="J1216" s="1"/>
      <c r="M1216" s="15" t="s">
        <v>2386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16" s="1"/>
      <c r="U1216" s="1"/>
      <c r="V1216" s="32" t="s">
        <v>4501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X1216" s="15" t="str">
        <f>_xlfn.TEXTBEFORE(_xlfn.TEXTAFTER(CantoralDB[[#This Row],[index.html]],"&gt;"),"&gt;")&amp;"&gt;"</f>
        <v>&lt;a href="canciones/marcos_witt/enciende_una_luz.html"&gt;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2734</v>
      </c>
      <c r="C1217" s="1"/>
      <c r="F1217" s="1">
        <v>359</v>
      </c>
      <c r="J1217" s="1"/>
      <c r="M1217" s="15" t="s">
        <v>2386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17" s="1"/>
      <c r="U1217" s="1"/>
      <c r="V1217" s="32" t="s">
        <v>4521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X1217" s="15" t="str">
        <f>_xlfn.TEXTBEFORE(_xlfn.TEXTAFTER(CantoralDB[[#This Row],[index.html]],"&gt;"),"&gt;")&amp;"&gt;"</f>
        <v>&lt;a href="canciones/marcos_witt/has_cambiado_mi_lamento_en_baile.html"&gt;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2689</v>
      </c>
      <c r="C1218" s="1"/>
      <c r="F1218" s="1">
        <v>316</v>
      </c>
      <c r="J1218" s="1"/>
      <c r="M1218" s="15" t="s">
        <v>2386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18" s="1"/>
      <c r="U1218" s="1"/>
      <c r="V1218" s="15"/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X1218" s="15" t="str">
        <f>_xlfn.TEXTBEFORE(_xlfn.TEXTAFTER(CantoralDB[[#This Row],[index.html]],"&gt;"),"&gt;")&amp;"&gt;"</f>
        <v>&lt;a href="canciones/marcos_witt/mas_el_dios_de_toda_gracia.html"&gt;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2521</v>
      </c>
      <c r="C1219" s="1"/>
      <c r="F1219" s="1">
        <v>134</v>
      </c>
      <c r="J1219" s="1"/>
      <c r="M1219" s="15" t="s">
        <v>2386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19" s="1"/>
      <c r="U1219" s="1"/>
      <c r="V1219" s="32" t="s">
        <v>4471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X1219" s="15" t="str">
        <f>_xlfn.TEXTBEFORE(_xlfn.TEXTAFTER(CantoralDB[[#This Row],[index.html]],"&gt;"),"&gt;")&amp;"&gt;"</f>
        <v>&lt;a href="canciones/marcos_witt/renuevame.html"&gt;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2471</v>
      </c>
      <c r="C1220" s="1"/>
      <c r="F1220" s="1">
        <v>89</v>
      </c>
      <c r="J1220" s="1"/>
      <c r="M1220" s="15" t="s">
        <v>2386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20" s="1"/>
      <c r="U1220" s="1"/>
      <c r="V1220" s="32" t="s">
        <v>4480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X1220" s="15" t="str">
        <f>_xlfn.TEXTBEFORE(_xlfn.TEXTAFTER(CantoralDB[[#This Row],[index.html]],"&gt;"),"&gt;")&amp;"&gt;"</f>
        <v>&lt;a href="canciones/marcos_witt/temprano_yo_te_buscare.html"&gt;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2744</v>
      </c>
      <c r="C1221" s="1"/>
      <c r="F1221" s="1">
        <v>370</v>
      </c>
      <c r="J1221" s="1"/>
      <c r="M1221" s="15" t="s">
        <v>2386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21" s="1"/>
      <c r="U1221" s="1"/>
      <c r="V1221" s="15"/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X1221" s="15" t="str">
        <f>_xlfn.TEXTBEFORE(_xlfn.TEXTAFTER(CantoralDB[[#This Row],[index.html]],"&gt;"),"&gt;")&amp;"&gt;"</f>
        <v>&lt;a href="canciones/marcos_witt/tu_amor_por_mi.html"&gt;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2395</v>
      </c>
      <c r="C1222" s="1"/>
      <c r="F1222" s="1">
        <v>16</v>
      </c>
      <c r="H1222" s="1" t="s">
        <v>530</v>
      </c>
      <c r="J1222" s="1" t="s">
        <v>607</v>
      </c>
      <c r="M1222" s="15" t="s">
        <v>2386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22" s="1"/>
      <c r="U1222" s="1"/>
      <c r="V1222" s="32" t="s">
        <v>3038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X1222" s="15" t="str">
        <f>_xlfn.TEXTBEFORE(_xlfn.TEXTAFTER(CantoralDB[[#This Row],[index.html]],"&gt;"),"&gt;")&amp;"&gt;"</f>
        <v>&lt;a href="canciones/marcos_witt/yeshua.html"&gt;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2681</v>
      </c>
      <c r="C1223" s="1"/>
      <c r="F1223" s="1">
        <v>307</v>
      </c>
      <c r="J1223" s="1"/>
      <c r="M1223" s="15" t="s">
        <v>2501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23" s="1"/>
      <c r="U1223" s="1"/>
      <c r="V1223" s="15"/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X1223" s="15" t="str">
        <f>_xlfn.TEXTBEFORE(_xlfn.TEXTAFTER(CantoralDB[[#This Row],[index.html]],"&gt;"),"&gt;")&amp;"&gt;"</f>
        <v>&lt;a href="canciones/marta_gil-delgado/cree_y_veras_la_gloria_de_dios.html"&gt;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1627</v>
      </c>
      <c r="C1224" s="1"/>
      <c r="F1224" s="1">
        <v>193</v>
      </c>
      <c r="J1224" s="1"/>
      <c r="M1224" s="15" t="s">
        <v>2501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24" s="1"/>
      <c r="U1224" s="1"/>
      <c r="V1224" s="15"/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X1224" s="15" t="str">
        <f>_xlfn.TEXTBEFORE(_xlfn.TEXTAFTER(CantoralDB[[#This Row],[index.html]],"&gt;"),"&gt;")&amp;"&gt;"</f>
        <v>&lt;a href="canciones/marta_gil-delgado/cristo.html"&gt;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2763</v>
      </c>
      <c r="C1225" s="1"/>
      <c r="F1225" s="1">
        <v>385</v>
      </c>
      <c r="J1225" s="1"/>
      <c r="M1225" s="15" t="s">
        <v>2501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25" s="1"/>
      <c r="U1225" s="1"/>
      <c r="V1225" s="32" t="s">
        <v>4531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X1225" s="15" t="str">
        <f>_xlfn.TEXTBEFORE(_xlfn.TEXTAFTER(CantoralDB[[#This Row],[index.html]],"&gt;"),"&gt;")&amp;"&gt;"</f>
        <v>&lt;a href="canciones/marta_gil-delgado/gloria_al_cordero.html"&gt;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2500</v>
      </c>
      <c r="C1226" s="1"/>
      <c r="F1226" s="1">
        <v>120</v>
      </c>
      <c r="J1226" s="1"/>
      <c r="M1226" s="15" t="s">
        <v>2501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26" s="1"/>
      <c r="U1226" s="1"/>
      <c r="V1226" s="32" t="s">
        <v>4503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X1226" s="15" t="str">
        <f>_xlfn.TEXTBEFORE(_xlfn.TEXTAFTER(CantoralDB[[#This Row],[index.html]],"&gt;"),"&gt;")&amp;"&gt;"</f>
        <v>&lt;a href="canciones/marta_gil-delgado/hagase_en_nosotros.html"&gt;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2704</v>
      </c>
      <c r="C1227" s="1"/>
      <c r="F1227" s="1">
        <v>334</v>
      </c>
      <c r="J1227" s="1"/>
      <c r="M1227" s="15" t="s">
        <v>2501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27" s="1"/>
      <c r="U1227" s="1"/>
      <c r="V1227" s="15"/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X1227" s="15" t="str">
        <f>_xlfn.TEXTBEFORE(_xlfn.TEXTAFTER(CantoralDB[[#This Row],[index.html]],"&gt;"),"&gt;")&amp;"&gt;"</f>
        <v>&lt;a href="canciones/marta_gil-delgado/hasta_los_confines_de_la_tierra.html"&gt;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2550</v>
      </c>
      <c r="C1228" s="1"/>
      <c r="F1228" s="1">
        <v>163</v>
      </c>
      <c r="J1228" s="1"/>
      <c r="M1228" s="15" t="s">
        <v>2501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28" s="1"/>
      <c r="U1228" s="1"/>
      <c r="V1228" s="32" t="s">
        <v>4568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X1228" s="15" t="str">
        <f>_xlfn.TEXTBEFORE(_xlfn.TEXTAFTER(CantoralDB[[#This Row],[index.html]],"&gt;"),"&gt;")&amp;"&gt;"</f>
        <v>&lt;a href="canciones/marta_gil-delgado/jesus_quedate_aqui.html"&gt;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2839</v>
      </c>
      <c r="C1229" s="1"/>
      <c r="F1229" s="1">
        <v>448</v>
      </c>
      <c r="J1229" s="1"/>
      <c r="M1229" s="15" t="s">
        <v>2501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29" s="1"/>
      <c r="U1229" s="1"/>
      <c r="V1229" s="32" t="s">
        <v>4509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X1229" s="15" t="str">
        <f>_xlfn.TEXTBEFORE(_xlfn.TEXTAFTER(CantoralDB[[#This Row],[index.html]],"&gt;"),"&gt;")&amp;"&gt;"</f>
        <v>&lt;a href="canciones/marta_gil-delgado/no_me_callare.html"&gt;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1577</v>
      </c>
      <c r="C1230" s="1"/>
      <c r="F1230" s="1">
        <v>228</v>
      </c>
      <c r="J1230" s="1"/>
      <c r="M1230" s="15" t="s">
        <v>2501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30" s="1"/>
      <c r="U1230" s="1"/>
      <c r="V1230" s="15"/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X1230" s="15" t="str">
        <f>_xlfn.TEXTBEFORE(_xlfn.TEXTAFTER(CantoralDB[[#This Row],[index.html]],"&gt;"),"&gt;")&amp;"&gt;"</f>
        <v>&lt;a href="canciones/marta_gil-delgado/no_temais.html"&gt;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2833</v>
      </c>
      <c r="C1231" s="1"/>
      <c r="F1231" s="1">
        <v>441</v>
      </c>
      <c r="J1231" s="1"/>
      <c r="M1231" s="15" t="s">
        <v>2501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31" s="1"/>
      <c r="U1231" s="1"/>
      <c r="V1231" s="15"/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X1231" s="15" t="str">
        <f>_xlfn.TEXTBEFORE(_xlfn.TEXTAFTER(CantoralDB[[#This Row],[index.html]],"&gt;"),"&gt;")&amp;"&gt;"</f>
        <v>&lt;a href="canciones/marta_gil-delgado/quien_es_este.html"&gt;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2530</v>
      </c>
      <c r="C1232" s="1"/>
      <c r="F1232" s="1">
        <v>144</v>
      </c>
      <c r="J1232" s="1"/>
      <c r="M1232" s="15" t="s">
        <v>2501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32" s="1"/>
      <c r="U1232" s="1"/>
      <c r="V1232" s="32" t="s">
        <v>4519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X1232" s="15" t="str">
        <f>_xlfn.TEXTBEFORE(_xlfn.TEXTAFTER(CantoralDB[[#This Row],[index.html]],"&gt;"),"&gt;")&amp;"&gt;"</f>
        <v>&lt;a href="canciones/marta_gil-delgado/ven_espiritu_de_amor.html"&gt;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1</v>
      </c>
      <c r="C1233" s="1" t="s">
        <v>475</v>
      </c>
      <c r="D1233" s="1" t="s">
        <v>1357</v>
      </c>
      <c r="E1233" s="1">
        <v>1</v>
      </c>
      <c r="G1233" s="1" t="s">
        <v>208</v>
      </c>
      <c r="H1233" s="1" t="s">
        <v>1027</v>
      </c>
      <c r="J1233" s="1" t="s">
        <v>607</v>
      </c>
      <c r="M1233" s="15" t="s">
        <v>486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33" s="1"/>
      <c r="U1233" s="1"/>
      <c r="V1233" s="32" t="s">
        <v>3034</v>
      </c>
      <c r="W1233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33" s="15" t="str">
        <f>_xlfn.TEXTBEFORE(_xlfn.TEXTAFTER(CantoralDB[[#This Row],[index.html]],"&gt;"),"&gt;")&amp;"&gt;"</f>
        <v>&lt;a href="canciones/miguel_manzano/a_belen_se_va_y_se_viene.html"&gt;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1165</v>
      </c>
      <c r="C1234" s="1"/>
      <c r="E1234" s="1">
        <v>25</v>
      </c>
      <c r="H1234" s="1" t="s">
        <v>1027</v>
      </c>
      <c r="J1234" s="1" t="s">
        <v>607</v>
      </c>
      <c r="M1234" s="15" t="s">
        <v>486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34" s="1"/>
      <c r="U1234" s="1"/>
      <c r="V1234" s="15"/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34" s="15" t="str">
        <f>_xlfn.TEXTBEFORE(_xlfn.TEXTAFTER(CantoralDB[[#This Row],[index.html]],"&gt;"),"&gt;")&amp;"&gt;"</f>
        <v>&lt;a href="canciones/miguel_manzano/a_ti_levanto_mis_ojos.html"&gt;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1158</v>
      </c>
      <c r="C1235" s="1"/>
      <c r="E1235" s="1">
        <v>11</v>
      </c>
      <c r="H1235" s="1" t="s">
        <v>1027</v>
      </c>
      <c r="J1235" s="1" t="s">
        <v>607</v>
      </c>
      <c r="M1235" s="15" t="s">
        <v>486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35" s="1"/>
      <c r="U1235" s="1"/>
      <c r="V1235" s="15"/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35" s="15" t="str">
        <f>_xlfn.TEXTBEFORE(_xlfn.TEXTAFTER(CantoralDB[[#This Row],[index.html]],"&gt;"),"&gt;")&amp;"&gt;"</f>
        <v>&lt;a href="canciones/miguel_manzano/aclama_al_señor_tierra_entera.html"&gt;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18</v>
      </c>
      <c r="C1236" s="1" t="s">
        <v>193</v>
      </c>
      <c r="D1236" s="1" t="s">
        <v>1377</v>
      </c>
      <c r="E1236" s="1">
        <v>14</v>
      </c>
      <c r="G1236" s="1" t="s">
        <v>208</v>
      </c>
      <c r="H1236" s="1" t="s">
        <v>1027</v>
      </c>
      <c r="J1236" s="1" t="s">
        <v>607</v>
      </c>
      <c r="M1236" s="15" t="s">
        <v>486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36" s="1" t="s">
        <v>800</v>
      </c>
      <c r="U1236" s="1"/>
      <c r="V1236" s="15"/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36" s="15" t="str">
        <f>_xlfn.TEXTBEFORE(_xlfn.TEXTAFTER(CantoralDB[[#This Row],[index.html]],"&gt;"),"&gt;")&amp;"&gt;"</f>
        <v>&lt;a href="canciones/miguel_manzano/aleluya_el_señor_es_nuestro_rey.html"&gt;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1169</v>
      </c>
      <c r="C1237" s="1"/>
      <c r="E1237" s="1">
        <v>33</v>
      </c>
      <c r="H1237" s="1" t="s">
        <v>530</v>
      </c>
      <c r="J1237" s="1" t="s">
        <v>607</v>
      </c>
      <c r="M1237" s="15" t="s">
        <v>486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237" s="15" t="str">
        <f>_xlfn.TEXTBEFORE(_xlfn.TEXTAFTER(CantoralDB[[#This Row],[index.html]],"&gt;"),"&gt;")&amp;"&gt;"</f>
        <v>&lt;a href="canciones/miguel_manzano/alma_mia_recobra_tu_calma.html"&gt;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36</v>
      </c>
      <c r="C1238" s="1" t="s">
        <v>992</v>
      </c>
      <c r="D1238" s="1" t="s">
        <v>688</v>
      </c>
      <c r="E1238" s="1">
        <v>60</v>
      </c>
      <c r="G1238" s="1" t="s">
        <v>208</v>
      </c>
      <c r="H1238" s="1" t="s">
        <v>1029</v>
      </c>
      <c r="I1238" s="1" t="s">
        <v>2949</v>
      </c>
      <c r="J1238" s="1" t="s">
        <v>607</v>
      </c>
      <c r="M1238" s="15" t="s">
        <v>486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238" s="1" t="s">
        <v>815</v>
      </c>
      <c r="U1238" s="1"/>
      <c r="V1238" s="15"/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238" s="15" t="str">
        <f>_xlfn.TEXTBEFORE(_xlfn.TEXTAFTER(CantoralDB[[#This Row],[index.html]],"&gt;"),"&gt;")&amp;"&gt;"</f>
        <v>&lt;a href="canciones/miguel_manzano/con_vosotros_esta.html"&gt;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249</v>
      </c>
      <c r="C1239" s="1" t="s">
        <v>201</v>
      </c>
      <c r="D1239" s="1" t="s">
        <v>1403</v>
      </c>
      <c r="G1239" s="1" t="s">
        <v>247</v>
      </c>
      <c r="H1239" s="1" t="s">
        <v>1026</v>
      </c>
      <c r="J1239" s="1" t="s">
        <v>607</v>
      </c>
      <c r="M1239" s="15" t="s">
        <v>486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239" s="1"/>
      <c r="U1239" s="1"/>
      <c r="V1239" s="15"/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239" s="15" t="str">
        <f>_xlfn.TEXTBEFORE(_xlfn.TEXTAFTER(CantoralDB[[#This Row],[index.html]],"&gt;"),"&gt;")&amp;"&gt;"</f>
        <v>&lt;a href="canciones/miguel_manzano/cordero_de_dios_(manzano).html"&gt;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42</v>
      </c>
      <c r="C1240" s="1" t="s">
        <v>194</v>
      </c>
      <c r="D1240" s="1" t="s">
        <v>1406</v>
      </c>
      <c r="E1240" s="1">
        <v>67</v>
      </c>
      <c r="G1240" s="1" t="s">
        <v>208</v>
      </c>
      <c r="H1240" s="1" t="s">
        <v>530</v>
      </c>
      <c r="I1240" s="1" t="s">
        <v>2952</v>
      </c>
      <c r="J1240" s="1" t="s">
        <v>607</v>
      </c>
      <c r="M1240" s="15" t="s">
        <v>486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240" s="15" t="str">
        <f>_xlfn.TEXTBEFORE(_xlfn.TEXTAFTER(CantoralDB[[#This Row],[index.html]],"&gt;"),"&gt;")&amp;"&gt;"</f>
        <v>&lt;a href="canciones/miguel_manzano/cuando_el_pobre_nada_tiene.html"&gt;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1192</v>
      </c>
      <c r="C1241" s="1"/>
      <c r="E1241" s="1">
        <v>66</v>
      </c>
      <c r="H1241" s="1" t="s">
        <v>1027</v>
      </c>
      <c r="J1241" s="1" t="s">
        <v>607</v>
      </c>
      <c r="M1241" s="15" t="s">
        <v>486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241" s="1"/>
      <c r="U1241" s="1"/>
      <c r="V1241" s="15"/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241" s="15" t="str">
        <f>_xlfn.TEXTBEFORE(_xlfn.TEXTAFTER(CantoralDB[[#This Row],[index.html]],"&gt;"),"&gt;")&amp;"&gt;"</f>
        <v>&lt;a href="canciones/miguel_manzano/cuando_vendras_señor.html"&gt;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2113</v>
      </c>
      <c r="C1242" s="1"/>
      <c r="E1242" s="1">
        <v>79</v>
      </c>
      <c r="H1242" s="1" t="s">
        <v>1027</v>
      </c>
      <c r="J1242" s="1" t="s">
        <v>607</v>
      </c>
      <c r="M1242" s="15" t="s">
        <v>486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242" s="1"/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242" s="15" t="str">
        <f>_xlfn.TEXTBEFORE(_xlfn.TEXTAFTER(CantoralDB[[#This Row],[index.html]],"&gt;"),"&gt;")&amp;"&gt;"</f>
        <v>&lt;a href="canciones/miguel_manzano/desde_lo_hondo.html"&gt;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1211</v>
      </c>
      <c r="C1243" s="1"/>
      <c r="E1243" s="1">
        <v>90</v>
      </c>
      <c r="H1243" s="1" t="s">
        <v>1029</v>
      </c>
      <c r="J1243" s="1" t="s">
        <v>607</v>
      </c>
      <c r="M1243" s="15" t="s">
        <v>486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243" s="1"/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243" s="15" t="str">
        <f>_xlfn.TEXTBEFORE(_xlfn.TEXTAFTER(CantoralDB[[#This Row],[index.html]],"&gt;"),"&gt;")&amp;"&gt;"</f>
        <v>&lt;a href="canciones/miguel_manzano/el_pueblo_gime_en_el_dolor.html"&gt;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66</v>
      </c>
      <c r="C1244" s="1" t="s">
        <v>200</v>
      </c>
      <c r="D1244" s="1" t="s">
        <v>655</v>
      </c>
      <c r="E1244" s="1">
        <v>113</v>
      </c>
      <c r="G1244" s="1" t="s">
        <v>208</v>
      </c>
      <c r="H1244" s="1" t="s">
        <v>530</v>
      </c>
      <c r="I1244" s="1" t="s">
        <v>2952</v>
      </c>
      <c r="J1244" s="1" t="s">
        <v>607</v>
      </c>
      <c r="M1244" s="15" t="s">
        <v>486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244" s="1" t="s">
        <v>833</v>
      </c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244" s="15" t="str">
        <f>_xlfn.TEXTBEFORE(_xlfn.TEXTAFTER(CantoralDB[[#This Row],[index.html]],"&gt;"),"&gt;")&amp;"&gt;"</f>
        <v>&lt;a href="canciones/miguel_manzano/este_es_el_dia_en_que_actuo_el_señor.html"&gt;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1273</v>
      </c>
      <c r="C1245" s="1"/>
      <c r="E1245" s="1">
        <v>155</v>
      </c>
      <c r="J1245" s="1"/>
      <c r="M1245" s="15" t="s">
        <v>486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245" s="1"/>
      <c r="U1245" s="1"/>
      <c r="V1245" s="15"/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245" s="15" t="str">
        <f>_xlfn.TEXTBEFORE(_xlfn.TEXTAFTER(CantoralDB[[#This Row],[index.html]],"&gt;"),"&gt;")&amp;"&gt;"</f>
        <v>&lt;a href="canciones/miguel_manzano/la_tierra_que_hoy_pisamos.html"&gt;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1270</v>
      </c>
      <c r="C1246" s="1"/>
      <c r="E1246" s="1">
        <v>151</v>
      </c>
      <c r="J1246" s="1"/>
      <c r="M1246" s="15" t="s">
        <v>486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246" s="1"/>
      <c r="U1246" s="1"/>
      <c r="V1246" s="15"/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246" s="15" t="str">
        <f>_xlfn.TEXTBEFORE(_xlfn.TEXTAFTER(CantoralDB[[#This Row],[index.html]],"&gt;"),"&gt;")&amp;"&gt;"</f>
        <v>&lt;a href="canciones/miguel_manzano/levanto_mis_ojos_a_los_montes.html"&gt;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94</v>
      </c>
      <c r="C1247" s="1" t="s">
        <v>992</v>
      </c>
      <c r="D1247" s="1" t="s">
        <v>718</v>
      </c>
      <c r="E1247" s="1">
        <v>166</v>
      </c>
      <c r="G1247" s="1" t="s">
        <v>208</v>
      </c>
      <c r="H1247" s="1" t="s">
        <v>1026</v>
      </c>
      <c r="J1247" s="1" t="s">
        <v>607</v>
      </c>
      <c r="M1247" s="15" t="s">
        <v>486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247" s="1" t="s">
        <v>843</v>
      </c>
      <c r="U1247" s="1"/>
      <c r="V1247" s="15"/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247" s="15" t="str">
        <f>_xlfn.TEXTBEFORE(_xlfn.TEXTAFTER(CantoralDB[[#This Row],[index.html]],"&gt;"),"&gt;")&amp;"&gt;"</f>
        <v>&lt;a href="canciones/miguel_manzano/mirad_al_suelo.html"&gt;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1301</v>
      </c>
      <c r="C1248" s="1"/>
      <c r="E1248" s="1">
        <v>206</v>
      </c>
      <c r="J1248" s="1"/>
      <c r="M1248" s="15" t="s">
        <v>486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248" s="15" t="str">
        <f>_xlfn.TEXTBEFORE(_xlfn.TEXTAFTER(CantoralDB[[#This Row],[index.html]],"&gt;"),"&gt;")&amp;"&gt;"</f>
        <v>&lt;a href="canciones/miguel_manzano/porque_el_mundo_esta_lleno_de_misterios.html"&gt;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119</v>
      </c>
      <c r="C1249" s="1" t="s">
        <v>190</v>
      </c>
      <c r="D1249" s="1" t="s">
        <v>747</v>
      </c>
      <c r="E1249" s="1">
        <v>221</v>
      </c>
      <c r="G1249" s="1" t="s">
        <v>208</v>
      </c>
      <c r="H1249" s="1" t="s">
        <v>1028</v>
      </c>
      <c r="J1249" s="1" t="s">
        <v>607</v>
      </c>
      <c r="M1249" s="15" t="s">
        <v>486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249" s="1" t="s">
        <v>856</v>
      </c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249" s="15" t="str">
        <f>_xlfn.TEXTBEFORE(_xlfn.TEXTAFTER(CantoralDB[[#This Row],[index.html]],"&gt;"),"&gt;")&amp;"&gt;"</f>
        <v>&lt;a href="canciones/miguel_manzano/que_alegria_cuando_me_dijeron.html"&gt;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1316</v>
      </c>
      <c r="C1250" s="1"/>
      <c r="E1250" s="1">
        <v>236</v>
      </c>
      <c r="J1250" s="1"/>
      <c r="M1250" s="15" t="s">
        <v>486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250" s="1"/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250" s="15" t="str">
        <f>_xlfn.TEXTBEFORE(_xlfn.TEXTAFTER(CantoralDB[[#This Row],[index.html]],"&gt;"),"&gt;")&amp;"&gt;"</f>
        <v>&lt;a href="canciones/miguel_manzano/sacareis_aguas_con_gozo.html"&gt;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149</v>
      </c>
      <c r="C1251" s="1" t="s">
        <v>200</v>
      </c>
      <c r="D1251" s="1" t="s">
        <v>675</v>
      </c>
      <c r="E1251" s="1">
        <v>264</v>
      </c>
      <c r="G1251" s="1" t="s">
        <v>208</v>
      </c>
      <c r="H1251" s="1" t="s">
        <v>1027</v>
      </c>
      <c r="I1251" s="1" t="s">
        <v>2952</v>
      </c>
      <c r="J1251" s="1" t="s">
        <v>607</v>
      </c>
      <c r="M1251" s="15" t="s">
        <v>486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251" s="15" t="str">
        <f>_xlfn.TEXTBEFORE(_xlfn.TEXTAFTER(CantoralDB[[#This Row],[index.html]],"&gt;"),"&gt;")&amp;"&gt;"</f>
        <v>&lt;a href="canciones/miguel_manzano/tu_reino_es_vida.html"&gt;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988</v>
      </c>
      <c r="C1252" s="1" t="s">
        <v>193</v>
      </c>
      <c r="D1252" s="1" t="s">
        <v>1374</v>
      </c>
      <c r="G1252" s="1" t="s">
        <v>990</v>
      </c>
      <c r="H1252" s="1" t="s">
        <v>1028</v>
      </c>
      <c r="J1252" s="1" t="s">
        <v>607</v>
      </c>
      <c r="M1252" s="15" t="s">
        <v>794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252" s="1"/>
      <c r="U1252" s="1"/>
      <c r="V1252" s="32" t="s">
        <v>4796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252" s="15" t="str">
        <f>_xlfn.TEXTBEFORE(_xlfn.TEXTAFTER(CantoralDB[[#This Row],[index.html]],"&gt;"),"&gt;")&amp;"&gt;"</f>
        <v>&lt;a href="canciones/nsb/aleluya_de_adviento.html"&gt;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781</v>
      </c>
      <c r="C1253" s="1" t="s">
        <v>201</v>
      </c>
      <c r="D1253" s="1" t="s">
        <v>1400</v>
      </c>
      <c r="G1253" s="1" t="s">
        <v>532</v>
      </c>
      <c r="H1253" s="1" t="s">
        <v>472</v>
      </c>
      <c r="J1253" s="1" t="s">
        <v>607</v>
      </c>
      <c r="M1253" s="15" t="s">
        <v>794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253" s="1"/>
      <c r="U1253" s="1"/>
      <c r="V1253" s="15"/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253" s="15" t="str">
        <f>_xlfn.TEXTBEFORE(_xlfn.TEXTAFTER(CantoralDB[[#This Row],[index.html]],"&gt;"),"&gt;")&amp;"&gt;"</f>
        <v>&lt;a href="canciones/nsb/cordero_de_dios_(algete).html"&gt;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38</v>
      </c>
      <c r="C1254" s="1" t="s">
        <v>201</v>
      </c>
      <c r="D1254" s="1" t="s">
        <v>1402</v>
      </c>
      <c r="E1254" s="1">
        <v>415</v>
      </c>
      <c r="G1254" s="1" t="s">
        <v>208</v>
      </c>
      <c r="H1254" s="1" t="s">
        <v>1029</v>
      </c>
      <c r="J1254" s="1" t="s">
        <v>607</v>
      </c>
      <c r="M1254" s="15" t="s">
        <v>794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254" s="15" t="str">
        <f>_xlfn.TEXTBEFORE(_xlfn.TEXTAFTER(CantoralDB[[#This Row],[index.html]],"&gt;"),"&gt;")&amp;"&gt;"</f>
        <v>&lt;a href="canciones/nsb/cordero_de_dios_(boliviano).html"&gt;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595</v>
      </c>
      <c r="C1255" s="1" t="s">
        <v>199</v>
      </c>
      <c r="D1255" s="1" t="s">
        <v>1410</v>
      </c>
      <c r="G1255" s="1" t="s">
        <v>594</v>
      </c>
      <c r="H1255" s="1" t="s">
        <v>530</v>
      </c>
      <c r="I1255" s="1" t="s">
        <v>2952</v>
      </c>
      <c r="J1255" s="1" t="s">
        <v>607</v>
      </c>
      <c r="M1255" s="15" t="s">
        <v>794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255" s="15" t="str">
        <f>_xlfn.TEXTBEFORE(_xlfn.TEXTAFTER(CantoralDB[[#This Row],[index.html]],"&gt;"),"&gt;")&amp;"&gt;"</f>
        <v>&lt;a href="canciones/nsb/dulce_muchacha_humilde_de_palestina.html"&gt;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51</v>
      </c>
      <c r="C1256" s="1" t="s">
        <v>992</v>
      </c>
      <c r="D1256" s="1" t="s">
        <v>699</v>
      </c>
      <c r="E1256" s="1">
        <v>95</v>
      </c>
      <c r="G1256" s="1" t="s">
        <v>208</v>
      </c>
      <c r="H1256" s="1" t="s">
        <v>1026</v>
      </c>
      <c r="J1256" s="1" t="s">
        <v>607</v>
      </c>
      <c r="M1256" s="15" t="s">
        <v>794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256" s="1" t="s">
        <v>824</v>
      </c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256" s="15" t="str">
        <f>_xlfn.TEXTBEFORE(_xlfn.TEXTAFTER(CantoralDB[[#This Row],[index.html]],"&gt;"),"&gt;")&amp;"&gt;"</f>
        <v>&lt;a href="canciones/nsb/el_señor_dios_nos_amo.html"&gt;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1481</v>
      </c>
      <c r="C1257" s="1"/>
      <c r="E1257" s="1">
        <v>314</v>
      </c>
      <c r="H1257" s="1" t="s">
        <v>530</v>
      </c>
      <c r="J1257" s="1" t="s">
        <v>607</v>
      </c>
      <c r="M1257" s="15" t="s">
        <v>794</v>
      </c>
      <c r="N1257" s="14"/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257" s="1"/>
      <c r="U1257" s="1"/>
      <c r="V1257" s="32" t="s">
        <v>1480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257" s="15" t="str">
        <f>_xlfn.TEXTBEFORE(_xlfn.TEXTAFTER(CantoralDB[[#This Row],[index.html]],"&gt;"),"&gt;")&amp;"&gt;"</f>
        <v>&lt;a href="canciones/nsb/el_tren_del_evangelio.html"&gt;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56</v>
      </c>
      <c r="C1258" s="1" t="s">
        <v>196</v>
      </c>
      <c r="D1258" s="1" t="s">
        <v>1416</v>
      </c>
      <c r="E1258" s="1">
        <v>107</v>
      </c>
      <c r="G1258" s="1" t="s">
        <v>208</v>
      </c>
      <c r="H1258" s="1" t="s">
        <v>1029</v>
      </c>
      <c r="J1258" s="1" t="s">
        <v>607</v>
      </c>
      <c r="M1258" s="15" t="s">
        <v>794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258" s="15" t="str">
        <f>_xlfn.TEXTBEFORE(_xlfn.TEXTAFTER(CantoralDB[[#This Row],[index.html]],"&gt;"),"&gt;")&amp;"&gt;"</f>
        <v>&lt;a href="canciones/nsb/en_el_mar_he_oido_hoy.html"&gt;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57</v>
      </c>
      <c r="C1259" s="1" t="s">
        <v>190</v>
      </c>
      <c r="D1259" s="1" t="s">
        <v>736</v>
      </c>
      <c r="E1259" s="1">
        <v>101</v>
      </c>
      <c r="G1259" s="1" t="s">
        <v>208</v>
      </c>
      <c r="H1259" s="1" t="s">
        <v>1026</v>
      </c>
      <c r="I1259" s="1" t="s">
        <v>2952</v>
      </c>
      <c r="J1259" s="1" t="s">
        <v>607</v>
      </c>
      <c r="M1259" s="15" t="s">
        <v>794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259" s="15" t="str">
        <f>_xlfn.TEXTBEFORE(_xlfn.TEXTAFTER(CantoralDB[[#This Row],[index.html]],"&gt;"),"&gt;")&amp;"&gt;"</f>
        <v>&lt;a href="canciones/nsb/en_el_señor_estamos_congregados.html"&gt;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1245</v>
      </c>
      <c r="C1260" s="1"/>
      <c r="E1260" s="1">
        <v>109</v>
      </c>
      <c r="H1260" s="1" t="s">
        <v>1029</v>
      </c>
      <c r="J1260" s="1" t="s">
        <v>607</v>
      </c>
      <c r="M1260" s="15" t="s">
        <v>794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260" s="15" t="str">
        <f>_xlfn.TEXTBEFORE(_xlfn.TEXTAFTER(CantoralDB[[#This Row],[index.html]],"&gt;"),"&gt;")&amp;"&gt;"</f>
        <v>&lt;a href="canciones/nsb/envia_tu_espiritu_señor.html"&gt;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1251</v>
      </c>
      <c r="C1261" s="1"/>
      <c r="E1261" s="1">
        <v>118</v>
      </c>
      <c r="H1261" s="1" t="s">
        <v>530</v>
      </c>
      <c r="J1261" s="1" t="s">
        <v>607</v>
      </c>
      <c r="M1261" s="15" t="s">
        <v>794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261" s="15" t="str">
        <f>_xlfn.TEXTBEFORE(_xlfn.TEXTAFTER(CantoralDB[[#This Row],[index.html]],"&gt;"),"&gt;")&amp;"&gt;"</f>
        <v>&lt;a href="canciones/nsb/esta_es_la_noche_de_la_luz.html"&gt;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69</v>
      </c>
      <c r="C1262" s="1" t="s">
        <v>192</v>
      </c>
      <c r="D1262" s="1" t="s">
        <v>1423</v>
      </c>
      <c r="E1262" s="1">
        <v>303</v>
      </c>
      <c r="G1262" s="1" t="s">
        <v>208</v>
      </c>
      <c r="H1262" s="1" t="s">
        <v>530</v>
      </c>
      <c r="J1262" s="1" t="s">
        <v>607</v>
      </c>
      <c r="M1262" s="15" t="s">
        <v>794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262" s="1"/>
      <c r="U1262" s="1"/>
      <c r="V1262" s="15"/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262" s="15" t="str">
        <f>_xlfn.TEXTBEFORE(_xlfn.TEXTAFTER(CantoralDB[[#This Row],[index.html]],"&gt;"),"&gt;")&amp;"&gt;"</f>
        <v>&lt;a href="canciones/nsb/gloria_y_alabanza.html"&gt;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1263</v>
      </c>
      <c r="C1263" s="1"/>
      <c r="E1263" s="1">
        <v>135</v>
      </c>
      <c r="H1263" s="1" t="s">
        <v>530</v>
      </c>
      <c r="J1263" s="1" t="s">
        <v>607</v>
      </c>
      <c r="M1263" s="15" t="s">
        <v>794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263" s="1"/>
      <c r="U1263" s="1"/>
      <c r="V1263" s="32" t="s">
        <v>2984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263" s="15" t="str">
        <f>_xlfn.TEXTBEFORE(_xlfn.TEXTAFTER(CantoralDB[[#This Row],[index.html]],"&gt;"),"&gt;")&amp;"&gt;"</f>
        <v>&lt;a href="canciones/nsb/hoy_empieza_una_nueva_era.html"&gt;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1351</v>
      </c>
      <c r="C1264" s="1"/>
      <c r="E1264" s="1">
        <v>304</v>
      </c>
      <c r="J1264" s="1"/>
      <c r="M1264" s="15" t="s">
        <v>794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264" s="15" t="str">
        <f>_xlfn.TEXTBEFORE(_xlfn.TEXTAFTER(CantoralDB[[#This Row],[index.html]],"&gt;"),"&gt;")&amp;"&gt;"</f>
        <v>&lt;a href="canciones/nsb/jesus_es_la_verdad.html"&gt;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1352</v>
      </c>
      <c r="C1265" s="1"/>
      <c r="E1265" s="1">
        <v>305</v>
      </c>
      <c r="J1265" s="1"/>
      <c r="M1265" s="15" t="s">
        <v>794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265" s="1"/>
      <c r="U1265" s="1"/>
      <c r="V1265" s="15"/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265" s="15" t="str">
        <f>_xlfn.TEXTBEFORE(_xlfn.TEXTAFTER(CantoralDB[[#This Row],[index.html]],"&gt;"),"&gt;")&amp;"&gt;"</f>
        <v>&lt;a href="canciones/nsb/juntos_cantaremos_con_la_voz_de_la_cancion.html"&gt;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232</v>
      </c>
      <c r="C1266" s="1" t="s">
        <v>197</v>
      </c>
      <c r="D1266" s="1" t="s">
        <v>1434</v>
      </c>
      <c r="G1266" s="1" t="s">
        <v>212</v>
      </c>
      <c r="H1266" s="1" t="s">
        <v>472</v>
      </c>
      <c r="I1266" s="1" t="s">
        <v>2952</v>
      </c>
      <c r="J1266" s="1" t="s">
        <v>607</v>
      </c>
      <c r="M1266" s="15" t="s">
        <v>794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266" s="1"/>
      <c r="U1266" s="1"/>
      <c r="V1266" s="15"/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266" s="15" t="str">
        <f>_xlfn.TEXTBEFORE(_xlfn.TEXTAFTER(CantoralDB[[#This Row],[index.html]],"&gt;"),"&gt;")&amp;"&gt;"</f>
        <v>&lt;a href="canciones/nsb/la_paz_te_doy.html"&gt;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85</v>
      </c>
      <c r="C1267" s="1" t="s">
        <v>199</v>
      </c>
      <c r="D1267" s="1" t="s">
        <v>1435</v>
      </c>
      <c r="E1267" s="1">
        <v>432</v>
      </c>
      <c r="G1267" s="1" t="s">
        <v>208</v>
      </c>
      <c r="H1267" s="1" t="s">
        <v>1028</v>
      </c>
      <c r="J1267" s="1" t="s">
        <v>607</v>
      </c>
      <c r="M1267" s="15" t="s">
        <v>794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267" s="1"/>
      <c r="U1267" s="1"/>
      <c r="V1267" s="15"/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267" s="15" t="str">
        <f>_xlfn.TEXTBEFORE(_xlfn.TEXTAFTER(CantoralDB[[#This Row],[index.html]],"&gt;"),"&gt;")&amp;"&gt;"</f>
        <v>&lt;a href="canciones/nsb/la_virgen_sueña_caminos.html"&gt;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590</v>
      </c>
      <c r="C1268" s="1" t="s">
        <v>210</v>
      </c>
      <c r="D1268" s="1" t="s">
        <v>1436</v>
      </c>
      <c r="G1268" s="1" t="s">
        <v>594</v>
      </c>
      <c r="H1268" s="1" t="s">
        <v>530</v>
      </c>
      <c r="I1268" s="1" t="s">
        <v>2949</v>
      </c>
      <c r="J1268" s="1" t="s">
        <v>607</v>
      </c>
      <c r="M1268" s="15" t="s">
        <v>794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268" s="15" t="str">
        <f>_xlfn.TEXTBEFORE(_xlfn.TEXTAFTER(CantoralDB[[#This Row],[index.html]],"&gt;"),"&gt;")&amp;"&gt;"</f>
        <v>&lt;a href="canciones/nsb/letanias.html"&gt;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233</v>
      </c>
      <c r="C1269" s="1" t="s">
        <v>197</v>
      </c>
      <c r="D1269" s="1" t="s">
        <v>1437</v>
      </c>
      <c r="G1269" s="1" t="s">
        <v>212</v>
      </c>
      <c r="H1269" s="1" t="s">
        <v>472</v>
      </c>
      <c r="I1269" s="1" t="s">
        <v>2952</v>
      </c>
      <c r="J1269" s="1" t="s">
        <v>607</v>
      </c>
      <c r="M1269" s="15" t="s">
        <v>794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269" s="1"/>
      <c r="U1269" s="1"/>
      <c r="V1269" s="15"/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269" s="15" t="str">
        <f>_xlfn.TEXTBEFORE(_xlfn.TEXTAFTER(CantoralDB[[#This Row],[index.html]],"&gt;"),"&gt;")&amp;"&gt;"</f>
        <v>&lt;a href="canciones/nsb/llevad_la_buena_noticia.html"&gt;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90</v>
      </c>
      <c r="C1270" s="1" t="s">
        <v>199</v>
      </c>
      <c r="D1270" s="1" t="s">
        <v>1045</v>
      </c>
      <c r="E1270" s="1">
        <v>434</v>
      </c>
      <c r="G1270" s="1" t="s">
        <v>208</v>
      </c>
      <c r="H1270" s="1" t="s">
        <v>530</v>
      </c>
      <c r="J1270" s="1" t="s">
        <v>607</v>
      </c>
      <c r="M1270" s="15" t="s">
        <v>794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270" s="15" t="str">
        <f>_xlfn.TEXTBEFORE(_xlfn.TEXTAFTER(CantoralDB[[#This Row],[index.html]],"&gt;"),"&gt;")&amp;"&gt;"</f>
        <v>&lt;a href="canciones/nsb/maria_madre_nuestra.html"&gt;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98</v>
      </c>
      <c r="C1271" s="1" t="s">
        <v>992</v>
      </c>
      <c r="D1271" s="1" t="s">
        <v>721</v>
      </c>
      <c r="E1271" s="1">
        <v>441</v>
      </c>
      <c r="G1271" s="1" t="s">
        <v>208</v>
      </c>
      <c r="H1271" s="1" t="s">
        <v>530</v>
      </c>
      <c r="J1271" s="1" t="s">
        <v>607</v>
      </c>
      <c r="M1271" s="15" t="s">
        <v>794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271" s="1"/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271" s="15" t="str">
        <f>_xlfn.TEXTBEFORE(_xlfn.TEXTAFTER(CantoralDB[[#This Row],[index.html]],"&gt;"),"&gt;")&amp;"&gt;"</f>
        <v>&lt;a href="canciones/nsb/no_me_mueve.html"&gt;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554</v>
      </c>
      <c r="C1272" s="1" t="s">
        <v>200</v>
      </c>
      <c r="D1272" s="1" t="s">
        <v>665</v>
      </c>
      <c r="G1272" s="1" t="s">
        <v>552</v>
      </c>
      <c r="H1272" s="1" t="s">
        <v>1029</v>
      </c>
      <c r="J1272" s="1" t="s">
        <v>607</v>
      </c>
      <c r="M1272" s="15" t="s">
        <v>794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272" s="1" t="s">
        <v>847</v>
      </c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272" s="15" t="str">
        <f>_xlfn.TEXTBEFORE(_xlfn.TEXTAFTER(CantoralDB[[#This Row],[index.html]],"&gt;"),"&gt;")&amp;"&gt;"</f>
        <v>&lt;a href="canciones/nsb/no_quiero_alejarme_de_ti.html"&gt;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1289</v>
      </c>
      <c r="C1273" s="1"/>
      <c r="E1273" s="1">
        <v>180</v>
      </c>
      <c r="H1273" s="1" t="s">
        <v>530</v>
      </c>
      <c r="J1273" s="1" t="s">
        <v>607</v>
      </c>
      <c r="M1273" s="15" t="s">
        <v>794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273" s="15" t="str">
        <f>_xlfn.TEXTBEFORE(_xlfn.TEXTAFTER(CantoralDB[[#This Row],[index.html]],"&gt;"),"&gt;")&amp;"&gt;"</f>
        <v>&lt;a href="canciones/nsb/no_vayais_a_la_fiesta.html"&gt;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101</v>
      </c>
      <c r="C1274" s="1" t="s">
        <v>191</v>
      </c>
      <c r="D1274" s="1" t="s">
        <v>1442</v>
      </c>
      <c r="E1274" s="1">
        <v>191</v>
      </c>
      <c r="G1274" s="1" t="s">
        <v>208</v>
      </c>
      <c r="H1274" s="1" t="s">
        <v>530</v>
      </c>
      <c r="J1274" s="1" t="s">
        <v>607</v>
      </c>
      <c r="M1274" s="15" t="s">
        <v>794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274" s="1"/>
      <c r="U1274" s="1"/>
      <c r="V1274" s="15"/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274" s="15" t="str">
        <f>_xlfn.TEXTBEFORE(_xlfn.TEXTAFTER(CantoralDB[[#This Row],[index.html]],"&gt;"),"&gt;")&amp;"&gt;"</f>
        <v>&lt;a href="canciones/nsb/oh_señor_mueve_mi_espiritu.html"&gt;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105</v>
      </c>
      <c r="C1275" s="1" t="s">
        <v>196</v>
      </c>
      <c r="D1275" s="1" t="s">
        <v>1444</v>
      </c>
      <c r="E1275" s="1">
        <v>444</v>
      </c>
      <c r="G1275" s="1" t="s">
        <v>208</v>
      </c>
      <c r="H1275" s="1" t="s">
        <v>1029</v>
      </c>
      <c r="I1275" s="1" t="s">
        <v>2952</v>
      </c>
      <c r="J1275" s="1" t="s">
        <v>607</v>
      </c>
      <c r="M1275" s="15" t="s">
        <v>794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275" s="15" t="str">
        <f>_xlfn.TEXTBEFORE(_xlfn.TEXTAFTER(CantoralDB[[#This Row],[index.html]],"&gt;"),"&gt;")&amp;"&gt;"</f>
        <v>&lt;a href="canciones/nsb/padre_nuestro_(mexicano).html"&gt;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108</v>
      </c>
      <c r="C1276" s="1" t="s">
        <v>992</v>
      </c>
      <c r="D1276" s="1" t="s">
        <v>725</v>
      </c>
      <c r="E1276" s="1">
        <v>445</v>
      </c>
      <c r="G1276" s="1" t="s">
        <v>208</v>
      </c>
      <c r="H1276" s="1" t="s">
        <v>472</v>
      </c>
      <c r="J1276" s="1" t="s">
        <v>607</v>
      </c>
      <c r="M1276" s="15" t="s">
        <v>794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276" s="1"/>
      <c r="U1276" s="1"/>
      <c r="V1276" s="15"/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276" s="15" t="str">
        <f>_xlfn.TEXTBEFORE(_xlfn.TEXTAFTER(CantoralDB[[#This Row],[index.html]],"&gt;"),"&gt;")&amp;"&gt;"</f>
        <v>&lt;a href="canciones/nsb/para_el_que_sabe.html"&gt;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110</v>
      </c>
      <c r="C1277" s="1" t="s">
        <v>197</v>
      </c>
      <c r="D1277" s="1" t="s">
        <v>1451</v>
      </c>
      <c r="E1277" s="1">
        <v>200</v>
      </c>
      <c r="G1277" s="1" t="s">
        <v>208</v>
      </c>
      <c r="H1277" s="1" t="s">
        <v>1026</v>
      </c>
      <c r="I1277" s="1" t="s">
        <v>2952</v>
      </c>
      <c r="J1277" s="1" t="s">
        <v>607</v>
      </c>
      <c r="M1277" s="15" t="s">
        <v>794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277" s="1"/>
      <c r="U1277" s="1"/>
      <c r="V1277" s="15"/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277" s="15" t="str">
        <f>_xlfn.TEXTBEFORE(_xlfn.TEXTAFTER(CantoralDB[[#This Row],[index.html]],"&gt;"),"&gt;")&amp;"&gt;"</f>
        <v>&lt;a href="canciones/nsb/paz_señor_en_el_cielo_y_la_tierra.html"&gt;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112</v>
      </c>
      <c r="C1278" s="1" t="s">
        <v>197</v>
      </c>
      <c r="D1278" s="1" t="s">
        <v>1452</v>
      </c>
      <c r="E1278" s="1">
        <v>448</v>
      </c>
      <c r="F1278" s="1">
        <v>191</v>
      </c>
      <c r="G1278" s="1" t="s">
        <v>208</v>
      </c>
      <c r="H1278" s="1" t="s">
        <v>530</v>
      </c>
      <c r="J1278" s="1" t="s">
        <v>607</v>
      </c>
      <c r="M1278" s="15" t="s">
        <v>794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X1278" s="15" t="str">
        <f>_xlfn.TEXTBEFORE(_xlfn.TEXTAFTER(CantoralDB[[#This Row],[index.html]],"&gt;"),"&gt;")&amp;"&gt;"</f>
        <v>&lt;a href="canciones/nsb/pon_tu_mano.html"&gt;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113</v>
      </c>
      <c r="C1279" s="1" t="s">
        <v>194</v>
      </c>
      <c r="D1279" s="1" t="s">
        <v>766</v>
      </c>
      <c r="E1279" s="1">
        <v>214</v>
      </c>
      <c r="G1279" s="1" t="s">
        <v>208</v>
      </c>
      <c r="H1279" s="1" t="s">
        <v>530</v>
      </c>
      <c r="J1279" s="1" t="s">
        <v>607</v>
      </c>
      <c r="M1279" s="15" t="s">
        <v>794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279" s="1"/>
      <c r="U1279" s="1"/>
      <c r="V1279" s="15"/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279" s="15" t="str">
        <f>_xlfn.TEXTBEFORE(_xlfn.TEXTAFTER(CantoralDB[[#This Row],[index.html]],"&gt;"),"&gt;")&amp;"&gt;"</f>
        <v>&lt;a href="canciones/nsb/por_los_hombres.html"&gt;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597</v>
      </c>
      <c r="C1280" s="1" t="s">
        <v>199</v>
      </c>
      <c r="D1280" s="1" t="s">
        <v>1052</v>
      </c>
      <c r="G1280" s="1" t="s">
        <v>598</v>
      </c>
      <c r="H1280" s="1" t="s">
        <v>530</v>
      </c>
      <c r="I1280" s="1" t="s">
        <v>2952</v>
      </c>
      <c r="J1280" s="1" t="s">
        <v>607</v>
      </c>
      <c r="M1280" s="15" t="s">
        <v>794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280" s="1"/>
      <c r="U1280" s="1"/>
      <c r="V1280" s="15"/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280" s="15" t="str">
        <f>_xlfn.TEXTBEFORE(_xlfn.TEXTAFTER(CantoralDB[[#This Row],[index.html]],"&gt;"),"&gt;")&amp;"&gt;"</f>
        <v>&lt;a href="canciones/nsb/salve_madre.html"&gt;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578</v>
      </c>
      <c r="C1281" s="1" t="s">
        <v>195</v>
      </c>
      <c r="D1281" s="1" t="s">
        <v>1464</v>
      </c>
      <c r="G1281" s="1" t="s">
        <v>208</v>
      </c>
      <c r="H1281" s="1" t="s">
        <v>530</v>
      </c>
      <c r="I1281" s="1" t="s">
        <v>2952</v>
      </c>
      <c r="J1281" s="1" t="s">
        <v>607</v>
      </c>
      <c r="M1281" s="15" t="s">
        <v>794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281" s="1"/>
      <c r="U1281" s="1"/>
      <c r="V1281" s="15"/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281" s="15" t="str">
        <f>_xlfn.TEXTBEFORE(_xlfn.TEXTAFTER(CantoralDB[[#This Row],[index.html]],"&gt;"),"&gt;")&amp;"&gt;"</f>
        <v>&lt;a href="canciones/nsb/santo_(santo_domingo_de_silos).html"&gt;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566</v>
      </c>
      <c r="C1282" s="1" t="s">
        <v>195</v>
      </c>
      <c r="D1282" s="1" t="s">
        <v>777</v>
      </c>
      <c r="G1282" s="1" t="s">
        <v>208</v>
      </c>
      <c r="H1282" s="1" t="s">
        <v>530</v>
      </c>
      <c r="I1282" s="1" t="s">
        <v>2952</v>
      </c>
      <c r="J1282" s="1" t="s">
        <v>607</v>
      </c>
      <c r="M1282" s="15" t="s">
        <v>794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282" s="1"/>
      <c r="U1282" s="1"/>
      <c r="V1282" s="15"/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282" s="15" t="str">
        <f>_xlfn.TEXTBEFORE(_xlfn.TEXTAFTER(CantoralDB[[#This Row],[index.html]],"&gt;"),"&gt;")&amp;"&gt;"</f>
        <v>&lt;a href="canciones/nsb/santo_eres_señor_dios_nuestro.html"&gt;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559</v>
      </c>
      <c r="C1283" s="1" t="s">
        <v>195</v>
      </c>
      <c r="D1283" s="1" t="s">
        <v>778</v>
      </c>
      <c r="G1283" s="1" t="s">
        <v>552</v>
      </c>
      <c r="H1283" s="1" t="s">
        <v>1026</v>
      </c>
      <c r="J1283" s="1" t="s">
        <v>607</v>
      </c>
      <c r="M1283" s="15" t="s">
        <v>794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283" s="1"/>
      <c r="U1283" s="1"/>
      <c r="V1283" s="15"/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283" s="15" t="str">
        <f>_xlfn.TEXTBEFORE(_xlfn.TEXTAFTER(CantoralDB[[#This Row],[index.html]],"&gt;"),"&gt;")&amp;"&gt;"</f>
        <v>&lt;a href="canciones/nsb/santo_es_el_señor.html"&gt;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131</v>
      </c>
      <c r="C1284" s="1" t="s">
        <v>195</v>
      </c>
      <c r="D1284" s="1" t="s">
        <v>779</v>
      </c>
      <c r="E1284" s="1">
        <v>459</v>
      </c>
      <c r="F1284" s="1">
        <v>379</v>
      </c>
      <c r="G1284" s="1" t="s">
        <v>208</v>
      </c>
      <c r="H1284" s="1" t="s">
        <v>1026</v>
      </c>
      <c r="I1284" s="1" t="s">
        <v>2952</v>
      </c>
      <c r="J1284" s="1" t="s">
        <v>607</v>
      </c>
      <c r="M1284" s="15" t="s">
        <v>794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284" s="1"/>
      <c r="U1284" s="1"/>
      <c r="V1284" s="32" t="s">
        <v>4579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X1284" s="15" t="str">
        <f>_xlfn.TEXTBEFORE(_xlfn.TEXTAFTER(CantoralDB[[#This Row],[index.html]],"&gt;"),"&gt;")&amp;"&gt;"</f>
        <v>&lt;a href="canciones/nsb/santo_zaireño.html"&gt;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132</v>
      </c>
      <c r="C1285" s="1" t="s">
        <v>992</v>
      </c>
      <c r="D1285" s="1" t="s">
        <v>1001</v>
      </c>
      <c r="E1285" s="1">
        <v>233</v>
      </c>
      <c r="G1285" s="1" t="s">
        <v>208</v>
      </c>
      <c r="H1285" s="1" t="s">
        <v>530</v>
      </c>
      <c r="J1285" s="1" t="s">
        <v>607</v>
      </c>
      <c r="M1285" s="15" t="s">
        <v>794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285" s="1"/>
      <c r="U1285" s="1"/>
      <c r="V1285" s="15"/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285" s="15" t="str">
        <f>_xlfn.TEXTBEFORE(_xlfn.TEXTAFTER(CantoralDB[[#This Row],[index.html]],"&gt;"),"&gt;")&amp;"&gt;"</f>
        <v>&lt;a href="canciones/nsb/se_acerca_tu_navidad.html"&gt;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560</v>
      </c>
      <c r="C1286" s="1" t="s">
        <v>191</v>
      </c>
      <c r="D1286" s="1" t="s">
        <v>1468</v>
      </c>
      <c r="G1286" s="1" t="s">
        <v>552</v>
      </c>
      <c r="H1286" s="1" t="s">
        <v>1026</v>
      </c>
      <c r="J1286" s="1" t="s">
        <v>607</v>
      </c>
      <c r="M1286" s="15" t="s">
        <v>794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286" s="1"/>
      <c r="U1286" s="1"/>
      <c r="V1286" s="15"/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286" s="15" t="str">
        <f>_xlfn.TEXTBEFORE(_xlfn.TEXTAFTER(CantoralDB[[#This Row],[index.html]],"&gt;"),"&gt;")&amp;"&gt;"</f>
        <v>&lt;a href="canciones/nsb/señor_ten_piedad_de_nosotros.html"&gt;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134</v>
      </c>
      <c r="C1287" s="1" t="s">
        <v>197</v>
      </c>
      <c r="D1287" s="1" t="s">
        <v>775</v>
      </c>
      <c r="E1287" s="1">
        <v>234</v>
      </c>
      <c r="G1287" s="1" t="s">
        <v>208</v>
      </c>
      <c r="H1287" s="1" t="s">
        <v>530</v>
      </c>
      <c r="I1287" s="1" t="s">
        <v>2952</v>
      </c>
      <c r="J1287" s="1" t="s">
        <v>607</v>
      </c>
      <c r="M1287" s="15" t="s">
        <v>794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287" s="1"/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287" s="15" t="str">
        <f>_xlfn.TEXTBEFORE(_xlfn.TEXTAFTER(CantoralDB[[#This Row],[index.html]],"&gt;"),"&gt;")&amp;"&gt;"</f>
        <v>&lt;a href="canciones/nsb/shalom_haberim.html"&gt;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135</v>
      </c>
      <c r="C1288" s="1" t="s">
        <v>992</v>
      </c>
      <c r="D1288" s="1" t="s">
        <v>1002</v>
      </c>
      <c r="E1288" s="1">
        <v>235</v>
      </c>
      <c r="G1288" s="1" t="s">
        <v>208</v>
      </c>
      <c r="H1288" s="1" t="s">
        <v>530</v>
      </c>
      <c r="I1288" s="1" t="s">
        <v>2952</v>
      </c>
      <c r="J1288" s="1" t="s">
        <v>607</v>
      </c>
      <c r="M1288" s="15" t="s">
        <v>794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288" s="1"/>
      <c r="U1288" s="1"/>
      <c r="V1288" s="15"/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288" s="15" t="str">
        <f>_xlfn.TEXTBEFORE(_xlfn.TEXTAFTER(CantoralDB[[#This Row],[index.html]],"&gt;"),"&gt;")&amp;"&gt;"</f>
        <v>&lt;a href="canciones/nsb/si_dios_a_su_mesa_nos_quiere_sentar.html"&gt;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1040</v>
      </c>
      <c r="C1289" s="1" t="s">
        <v>992</v>
      </c>
      <c r="D1289" s="1" t="s">
        <v>1041</v>
      </c>
      <c r="H1289" s="1" t="s">
        <v>1028</v>
      </c>
      <c r="J1289" s="1" t="s">
        <v>607</v>
      </c>
      <c r="M1289" s="15" t="s">
        <v>794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289" s="1"/>
      <c r="U1289" s="1"/>
      <c r="V1289" s="15"/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289" s="15" t="str">
        <f>_xlfn.TEXTBEFORE(_xlfn.TEXTAFTER(CantoralDB[[#This Row],[index.html]],"&gt;"),"&gt;")&amp;"&gt;"</f>
        <v>&lt;a href="canciones/nsb/siempre_en_ti.html"&gt;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1354</v>
      </c>
      <c r="C1290" s="1"/>
      <c r="E1290" s="1">
        <v>309</v>
      </c>
      <c r="J1290" s="1"/>
      <c r="M1290" s="15" t="s">
        <v>794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290" s="15" t="str">
        <f>_xlfn.TEXTBEFORE(_xlfn.TEXTAFTER(CantoralDB[[#This Row],[index.html]],"&gt;"),"&gt;")&amp;"&gt;"</f>
        <v>&lt;a href="canciones/nsb/somos_los_que_hacemos_puentes.html"&gt;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2098</v>
      </c>
      <c r="C1291" s="1"/>
      <c r="E1291" s="1">
        <v>248</v>
      </c>
      <c r="J1291" s="1"/>
      <c r="M1291" s="15" t="s">
        <v>794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291" s="1"/>
      <c r="U1291" s="1"/>
      <c r="V1291" s="15"/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291" s="15" t="str">
        <f>_xlfn.TEXTBEFORE(_xlfn.TEXTAFTER(CantoralDB[[#This Row],[index.html]],"&gt;"),"&gt;")&amp;"&gt;"</f>
        <v>&lt;a href="canciones/nsb/soy_un_pobre_pastorcillo.html"&gt;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186</v>
      </c>
      <c r="C1292" s="1" t="s">
        <v>191</v>
      </c>
      <c r="D1292" s="1" t="s">
        <v>1470</v>
      </c>
      <c r="G1292" s="1" t="s">
        <v>208</v>
      </c>
      <c r="H1292" s="1" t="s">
        <v>530</v>
      </c>
      <c r="J1292" s="1" t="s">
        <v>607</v>
      </c>
      <c r="M1292" s="15" t="s">
        <v>794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292" s="1"/>
      <c r="U1292" s="1"/>
      <c r="V1292" s="15"/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292" s="15" t="str">
        <f>_xlfn.TEXTBEFORE(_xlfn.TEXTAFTER(CantoralDB[[#This Row],[index.html]],"&gt;"),"&gt;")&amp;"&gt;"</f>
        <v>&lt;a href="canciones/nsb/ten_piedad_de_mi_señor.html"&gt;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142</v>
      </c>
      <c r="C1293" s="1" t="s">
        <v>992</v>
      </c>
      <c r="D1293" s="1" t="s">
        <v>1009</v>
      </c>
      <c r="E1293" s="1">
        <v>255</v>
      </c>
      <c r="G1293" s="1" t="s">
        <v>208</v>
      </c>
      <c r="H1293" s="1" t="s">
        <v>530</v>
      </c>
      <c r="I1293" s="1" t="s">
        <v>2950</v>
      </c>
      <c r="J1293" s="1" t="s">
        <v>607</v>
      </c>
      <c r="M1293" s="15" t="s">
        <v>794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293" s="1" t="s">
        <v>862</v>
      </c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293" s="15" t="str">
        <f>_xlfn.TEXTBEFORE(_xlfn.TEXTAFTER(CantoralDB[[#This Row],[index.html]],"&gt;"),"&gt;")&amp;"&gt;"</f>
        <v>&lt;a href="canciones/nsb/tengo_que_gritar.html"&gt;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145</v>
      </c>
      <c r="C1294" s="1" t="s">
        <v>194</v>
      </c>
      <c r="D1294" s="1" t="s">
        <v>770</v>
      </c>
      <c r="E1294" s="1">
        <v>265</v>
      </c>
      <c r="G1294" s="1" t="s">
        <v>208</v>
      </c>
      <c r="H1294" s="1" t="s">
        <v>1026</v>
      </c>
      <c r="J1294" s="1" t="s">
        <v>607</v>
      </c>
      <c r="M1294" s="15" t="s">
        <v>794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294" s="1"/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294" s="15" t="str">
        <f>_xlfn.TEXTBEFORE(_xlfn.TEXTAFTER(CantoralDB[[#This Row],[index.html]],"&gt;"),"&gt;")&amp;"&gt;"</f>
        <v>&lt;a href="canciones/nsb/traemos_a_tu_altar.html"&gt;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152</v>
      </c>
      <c r="C1295" s="1" t="s">
        <v>190</v>
      </c>
      <c r="D1295" s="1" t="s">
        <v>751</v>
      </c>
      <c r="E1295" s="1">
        <v>270</v>
      </c>
      <c r="G1295" s="1" t="s">
        <v>208</v>
      </c>
      <c r="H1295" s="1" t="s">
        <v>1026</v>
      </c>
      <c r="I1295" s="1" t="s">
        <v>2952</v>
      </c>
      <c r="J1295" s="1" t="s">
        <v>607</v>
      </c>
      <c r="M1295" s="15" t="s">
        <v>794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295" s="1"/>
      <c r="U1295" s="1"/>
      <c r="V1295" s="15"/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295" s="15" t="str">
        <f>_xlfn.TEXTBEFORE(_xlfn.TEXTAFTER(CantoralDB[[#This Row],[index.html]],"&gt;"),"&gt;")&amp;"&gt;"</f>
        <v>&lt;a href="canciones/nsb/un_nuevo_sitio_disponed.html"&gt;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216</v>
      </c>
      <c r="C1296" s="1" t="s">
        <v>218</v>
      </c>
      <c r="D1296" s="1" t="s">
        <v>1474</v>
      </c>
      <c r="G1296" s="1" t="s">
        <v>208</v>
      </c>
      <c r="H1296" s="1" t="s">
        <v>1027</v>
      </c>
      <c r="J1296" s="1" t="s">
        <v>607</v>
      </c>
      <c r="M1296" s="15" t="s">
        <v>794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296" s="1"/>
      <c r="U1296" s="1" t="s">
        <v>2120</v>
      </c>
      <c r="V1296" s="15"/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296" s="15" t="str">
        <f>_xlfn.TEXTBEFORE(_xlfn.TEXTAFTER(CantoralDB[[#This Row],[index.html]],"&gt;"),"&gt;")&amp;"&gt;"</f>
        <v>&lt;a href="canciones/nsb/ven_espiritu_de_dios_(esprit_createur).html"&gt;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164</v>
      </c>
      <c r="C1297" s="1" t="s">
        <v>198</v>
      </c>
      <c r="D1297" s="1" t="s">
        <v>1477</v>
      </c>
      <c r="E1297" s="1">
        <v>472</v>
      </c>
      <c r="G1297" s="1" t="s">
        <v>208</v>
      </c>
      <c r="H1297" s="1" t="s">
        <v>1026</v>
      </c>
      <c r="J1297" s="1" t="s">
        <v>607</v>
      </c>
      <c r="M1297" s="15" t="s">
        <v>794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297" s="1"/>
      <c r="U1297" s="1"/>
      <c r="V1297" s="15"/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297" s="15" t="str">
        <f>_xlfn.TEXTBEFORE(_xlfn.TEXTAFTER(CantoralDB[[#This Row],[index.html]],"&gt;"),"&gt;")&amp;"&gt;"</f>
        <v>&lt;a href="canciones/nsb/vive_tu_amor_en_mi.html"&gt;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165</v>
      </c>
      <c r="C1298" s="1" t="s">
        <v>992</v>
      </c>
      <c r="D1298" s="1" t="s">
        <v>1017</v>
      </c>
      <c r="E1298" s="1">
        <v>473</v>
      </c>
      <c r="G1298" s="1" t="s">
        <v>208</v>
      </c>
      <c r="H1298" s="1" t="s">
        <v>530</v>
      </c>
      <c r="I1298" s="1" t="s">
        <v>2952</v>
      </c>
      <c r="J1298" s="1" t="s">
        <v>607</v>
      </c>
      <c r="M1298" s="15" t="s">
        <v>794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298" s="1"/>
      <c r="U1298" s="1"/>
      <c r="V1298" s="15"/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298" s="15" t="str">
        <f>_xlfn.TEXTBEFORE(_xlfn.TEXTAFTER(CantoralDB[[#This Row],[index.html]],"&gt;"),"&gt;")&amp;"&gt;"</f>
        <v>&lt;a href="canciones/nsb/volar.html"&gt;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606</v>
      </c>
      <c r="C1299" s="1" t="s">
        <v>210</v>
      </c>
      <c r="D1299" s="1" t="s">
        <v>1466</v>
      </c>
      <c r="G1299" s="1" t="s">
        <v>601</v>
      </c>
      <c r="H1299" s="1" t="s">
        <v>1026</v>
      </c>
      <c r="J1299" s="1" t="s">
        <v>607</v>
      </c>
      <c r="M1299" s="15" t="s">
        <v>634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299" s="1"/>
      <c r="U1299" s="1"/>
      <c r="V1299" s="15"/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299" s="15" t="str">
        <f>_xlfn.TEXTBEFORE(_xlfn.TEXTAFTER(CantoralDB[[#This Row],[index.html]],"&gt;"),"&gt;")&amp;"&gt;"</f>
        <v>&lt;a href="canciones/nsb/secuencia_de_pascua.html"&gt;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1291</v>
      </c>
      <c r="C1300" s="1"/>
      <c r="E1300" s="1">
        <v>182</v>
      </c>
      <c r="H1300" s="1" t="s">
        <v>1029</v>
      </c>
      <c r="J1300" s="1" t="s">
        <v>607</v>
      </c>
      <c r="M1300" s="15" t="s">
        <v>2093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00" s="1"/>
      <c r="U1300" s="1"/>
      <c r="V1300" s="15"/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00" s="15" t="str">
        <f>_xlfn.TEXTBEFORE(_xlfn.TEXTAFTER(CantoralDB[[#This Row],[index.html]],"&gt;"),"&gt;")&amp;"&gt;"</f>
        <v>&lt;a href="canciones/nsb/nueva_aurora_en_nuestra_noche.html"&gt;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1320</v>
      </c>
      <c r="C1301" s="1"/>
      <c r="E1301" s="1">
        <v>242</v>
      </c>
      <c r="H1301" s="1" t="s">
        <v>472</v>
      </c>
      <c r="J1301" s="1" t="s">
        <v>607</v>
      </c>
      <c r="M1301" s="15" t="s">
        <v>2093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01" s="1"/>
      <c r="U1301" s="1"/>
      <c r="V1301" s="15"/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01" s="15" t="str">
        <f>_xlfn.TEXTBEFORE(_xlfn.TEXTAFTER(CantoralDB[[#This Row],[index.html]],"&gt;"),"&gt;")&amp;"&gt;"</f>
        <v>&lt;a href="canciones/nsb/si_despierta_el_corazon.html"&gt;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1156</v>
      </c>
      <c r="C1302" s="1"/>
      <c r="E1302" s="1">
        <v>6</v>
      </c>
      <c r="H1302" s="1" t="s">
        <v>1026</v>
      </c>
      <c r="J1302" s="1" t="s">
        <v>607</v>
      </c>
      <c r="M1302" s="15" t="s">
        <v>2361</v>
      </c>
      <c r="N1302" s="1" t="s">
        <v>2219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02" s="1"/>
      <c r="U1302" s="1"/>
      <c r="V1302" s="32" t="s">
        <v>3037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02" s="15" t="str">
        <f>_xlfn.TEXTBEFORE(_xlfn.TEXTAFTER(CantoralDB[[#This Row],[index.html]],"&gt;"),"&gt;")&amp;"&gt;"</f>
        <v>&lt;a href="canciones/nsb/acompañame_señor_en_la_tribulacion.html"&gt;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493</v>
      </c>
      <c r="C1303" s="1" t="s">
        <v>191</v>
      </c>
      <c r="D1303" s="1" t="s">
        <v>1399</v>
      </c>
      <c r="G1303" s="1" t="s">
        <v>494</v>
      </c>
      <c r="H1303" s="1" t="s">
        <v>1029</v>
      </c>
      <c r="J1303" s="1" t="s">
        <v>607</v>
      </c>
      <c r="M1303" s="15" t="s">
        <v>499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03" s="1"/>
      <c r="U1303" s="1"/>
      <c r="V1303" s="15"/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03" s="15" t="str">
        <f>_xlfn.TEXTBEFORE(_xlfn.TEXTAFTER(CantoralDB[[#This Row],[index.html]],"&gt;"),"&gt;")&amp;"&gt;"</f>
        <v>&lt;a href="canciones/nsb/confieso.html"&gt;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1167</v>
      </c>
      <c r="C1304" s="1"/>
      <c r="E1304" s="1">
        <v>29</v>
      </c>
      <c r="H1304" s="1" t="s">
        <v>530</v>
      </c>
      <c r="J1304" s="1" t="s">
        <v>607</v>
      </c>
      <c r="M1304" s="15" t="s">
        <v>573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04" s="1"/>
      <c r="U1304" s="1"/>
      <c r="V1304" s="15"/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04" s="15" t="str">
        <f>_xlfn.TEXTBEFORE(_xlfn.TEXTAFTER(CantoralDB[[#This Row],[index.html]],"&gt;"),"&gt;")&amp;"&gt;"</f>
        <v>&lt;a href="canciones/nsb/antes_de_ser_llevado_a_la_muerte.html"&gt;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44</v>
      </c>
      <c r="C1305" s="1" t="s">
        <v>992</v>
      </c>
      <c r="D1305" s="1" t="s">
        <v>694</v>
      </c>
      <c r="E1305" s="1">
        <v>83</v>
      </c>
      <c r="G1305" s="1" t="s">
        <v>208</v>
      </c>
      <c r="H1305" s="1" t="s">
        <v>1026</v>
      </c>
      <c r="J1305" s="1" t="s">
        <v>607</v>
      </c>
      <c r="M1305" s="15" t="s">
        <v>573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05" s="1"/>
      <c r="U1305" s="1"/>
      <c r="V1305" s="15"/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05" s="15" t="str">
        <f>_xlfn.TEXTBEFORE(_xlfn.TEXTAFTER(CantoralDB[[#This Row],[index.html]],"&gt;"),"&gt;")&amp;"&gt;"</f>
        <v>&lt;a href="canciones/nsb/dios_es_fiel.html"&gt;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52</v>
      </c>
      <c r="C1306" s="1" t="s">
        <v>200</v>
      </c>
      <c r="D1306" s="1" t="s">
        <v>650</v>
      </c>
      <c r="E1306" s="1">
        <v>96</v>
      </c>
      <c r="G1306" s="1" t="s">
        <v>208</v>
      </c>
      <c r="H1306" s="1" t="s">
        <v>1026</v>
      </c>
      <c r="I1306" s="1" t="s">
        <v>2952</v>
      </c>
      <c r="J1306" s="1" t="s">
        <v>607</v>
      </c>
      <c r="M1306" s="15" t="s">
        <v>573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06" s="1" t="s">
        <v>825</v>
      </c>
      <c r="U1306" s="1"/>
      <c r="V1306" s="15"/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06" s="15" t="str">
        <f>_xlfn.TEXTBEFORE(_xlfn.TEXTAFTER(CantoralDB[[#This Row],[index.html]],"&gt;"),"&gt;")&amp;"&gt;"</f>
        <v>&lt;a href="canciones/nsb/el_señor_es_mi_luz.html"&gt;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63</v>
      </c>
      <c r="C1307" s="1" t="s">
        <v>992</v>
      </c>
      <c r="D1307" s="1" t="s">
        <v>705</v>
      </c>
      <c r="E1307" s="1">
        <v>425</v>
      </c>
      <c r="G1307" s="1" t="s">
        <v>208</v>
      </c>
      <c r="H1307" s="1" t="s">
        <v>530</v>
      </c>
      <c r="J1307" s="1" t="s">
        <v>607</v>
      </c>
      <c r="M1307" s="15" t="s">
        <v>630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07" s="1"/>
      <c r="U1307" s="1"/>
      <c r="V1307" s="15"/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07" s="15" t="str">
        <f>_xlfn.TEXTBEFORE(_xlfn.TEXTAFTER(CantoralDB[[#This Row],[index.html]],"&gt;"),"&gt;")&amp;"&gt;"</f>
        <v>&lt;a href="canciones/nsb/es_de_locos.html"&gt;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225</v>
      </c>
      <c r="C1308" s="1" t="s">
        <v>190</v>
      </c>
      <c r="D1308" s="1" t="s">
        <v>758</v>
      </c>
      <c r="G1308" s="1" t="s">
        <v>215</v>
      </c>
      <c r="H1308" s="1" t="s">
        <v>1029</v>
      </c>
      <c r="J1308" s="1" t="s">
        <v>607</v>
      </c>
      <c r="M1308" s="15" t="s">
        <v>492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08" s="1"/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08" s="15" t="str">
        <f>_xlfn.TEXTBEFORE(_xlfn.TEXTAFTER(CantoralDB[[#This Row],[index.html]],"&gt;"),"&gt;")&amp;"&gt;"</f>
        <v>&lt;a href="canciones/nsb/ven_a_celebrar.html"&gt;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170</v>
      </c>
      <c r="C1309" s="1" t="s">
        <v>194</v>
      </c>
      <c r="D1309" s="1" t="s">
        <v>774</v>
      </c>
      <c r="E1309" s="1">
        <v>476</v>
      </c>
      <c r="G1309" s="1" t="s">
        <v>208</v>
      </c>
      <c r="H1309" s="1" t="s">
        <v>472</v>
      </c>
      <c r="I1309" s="1" t="s">
        <v>2952</v>
      </c>
      <c r="J1309" s="1" t="s">
        <v>607</v>
      </c>
      <c r="M1309" s="15" t="s">
        <v>492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09" s="1" t="s">
        <v>870</v>
      </c>
      <c r="U1309" s="1"/>
      <c r="V1309" s="15"/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09" s="15" t="str">
        <f>_xlfn.TEXTBEFORE(_xlfn.TEXTAFTER(CantoralDB[[#This Row],[index.html]],"&gt;"),"&gt;")&amp;"&gt;"</f>
        <v>&lt;a href="canciones/nsb/yo_soy_la_vida_y_la_verdad.html"&gt;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620</v>
      </c>
      <c r="C1310" s="1" t="s">
        <v>201</v>
      </c>
      <c r="D1310" s="1" t="s">
        <v>1404</v>
      </c>
      <c r="G1310" s="1" t="s">
        <v>208</v>
      </c>
      <c r="H1310" s="1" t="s">
        <v>1029</v>
      </c>
      <c r="J1310" s="1" t="s">
        <v>607</v>
      </c>
      <c r="M1310" s="15" t="s">
        <v>619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10" s="1"/>
      <c r="U1310" s="1"/>
      <c r="V1310" s="15"/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10" s="15" t="str">
        <f>_xlfn.TEXTBEFORE(_xlfn.TEXTAFTER(CantoralDB[[#This Row],[index.html]],"&gt;"),"&gt;")&amp;"&gt;"</f>
        <v>&lt;a href="canciones/nsb/cordero_de_dios_(maristas).html"&gt;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2358</v>
      </c>
      <c r="C1311" s="1"/>
      <c r="E1311" s="1" t="s">
        <v>2359</v>
      </c>
      <c r="H1311" s="1" t="s">
        <v>1026</v>
      </c>
      <c r="J1311" s="1" t="s">
        <v>607</v>
      </c>
      <c r="M1311" s="15" t="s">
        <v>2360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11" s="15" t="str">
        <f>_xlfn.TEXTBEFORE(_xlfn.TEXTAFTER(CantoralDB[[#This Row],[index.html]],"&gt;"),"&gt;")&amp;"&gt;"</f>
        <v>&lt;a href="canciones/nsb/hoy_señor_me_has_vuelto_a_perdonar.html"&gt;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624</v>
      </c>
      <c r="C1312" s="1" t="s">
        <v>992</v>
      </c>
      <c r="D1312" s="1" t="s">
        <v>1007</v>
      </c>
      <c r="G1312" s="1" t="s">
        <v>208</v>
      </c>
      <c r="H1312" s="1" t="s">
        <v>1028</v>
      </c>
      <c r="J1312" s="1" t="s">
        <v>607</v>
      </c>
      <c r="M1312" s="15" t="s">
        <v>571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12" s="1"/>
      <c r="U1312" s="1"/>
      <c r="V1312" s="15"/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12" s="15" t="str">
        <f>_xlfn.TEXTBEFORE(_xlfn.TEXTAFTER(CantoralDB[[#This Row],[index.html]],"&gt;"),"&gt;")&amp;"&gt;"</f>
        <v>&lt;a href="canciones/nsb/tanto_amo_dios_al_mundo.html"&gt;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504</v>
      </c>
      <c r="C1313" s="1" t="s">
        <v>192</v>
      </c>
      <c r="D1313" s="1" t="s">
        <v>1425</v>
      </c>
      <c r="E1313" s="1">
        <v>127</v>
      </c>
      <c r="G1313" s="1" t="s">
        <v>208</v>
      </c>
      <c r="H1313" s="1" t="s">
        <v>1029</v>
      </c>
      <c r="J1313" s="1" t="s">
        <v>607</v>
      </c>
      <c r="M1313" s="15" t="s">
        <v>2887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13" s="15" t="str">
        <f>_xlfn.TEXTBEFORE(_xlfn.TEXTAFTER(CantoralDB[[#This Row],[index.html]],"&gt;"),"&gt;")&amp;"&gt;"</f>
        <v>&lt;a href="canciones/nsb/gloria_gloria_aleluya.html"&gt;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76</v>
      </c>
      <c r="C1314" s="1" t="s">
        <v>198</v>
      </c>
      <c r="D1314" s="1" t="s">
        <v>1430</v>
      </c>
      <c r="E1314" s="1">
        <v>139</v>
      </c>
      <c r="F1314" s="1">
        <v>354</v>
      </c>
      <c r="G1314" s="1" t="s">
        <v>208</v>
      </c>
      <c r="H1314" s="1" t="s">
        <v>530</v>
      </c>
      <c r="I1314" s="1" t="s">
        <v>2952</v>
      </c>
      <c r="J1314" s="1" t="s">
        <v>607</v>
      </c>
      <c r="M1314" s="15" t="s">
        <v>2887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14" s="1"/>
      <c r="U1314" s="1"/>
      <c r="V1314" s="15"/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X1314" s="15" t="str">
        <f>_xlfn.TEXTBEFORE(_xlfn.TEXTAFTER(CantoralDB[[#This Row],[index.html]],"&gt;"),"&gt;")&amp;"&gt;"</f>
        <v>&lt;a href="canciones/nsb/hoy_el_señor_resucito.html"&gt;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1292</v>
      </c>
      <c r="C1315" s="1"/>
      <c r="E1315" s="1">
        <v>183</v>
      </c>
      <c r="H1315" s="1" t="s">
        <v>530</v>
      </c>
      <c r="J1315" s="1" t="s">
        <v>607</v>
      </c>
      <c r="M1315" s="15" t="s">
        <v>2887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15" s="1"/>
      <c r="U1315" s="1"/>
      <c r="V1315" s="15"/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15" s="15" t="str">
        <f>_xlfn.TEXTBEFORE(_xlfn.TEXTAFTER(CantoralDB[[#This Row],[index.html]],"&gt;"),"&gt;")&amp;"&gt;"</f>
        <v>&lt;a href="canciones/nsb/nosotros_venceremos.html"&gt;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236</v>
      </c>
      <c r="C1316" s="1" t="s">
        <v>199</v>
      </c>
      <c r="D1316" s="1" t="s">
        <v>1050</v>
      </c>
      <c r="G1316" s="1" t="s">
        <v>208</v>
      </c>
      <c r="H1316" s="1" t="s">
        <v>1026</v>
      </c>
      <c r="J1316" s="1" t="s">
        <v>607</v>
      </c>
      <c r="M1316" s="15" t="s">
        <v>576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16" s="15" t="str">
        <f>_xlfn.TEXTBEFORE(_xlfn.TEXTAFTER(CantoralDB[[#This Row],[index.html]],"&gt;"),"&gt;")&amp;"&gt;"</f>
        <v>&lt;a href="canciones/nsb/quiero_caminar_contigo_maria.html"&gt;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180</v>
      </c>
      <c r="C1317" s="1" t="s">
        <v>992</v>
      </c>
      <c r="D1317" s="1" t="s">
        <v>701</v>
      </c>
      <c r="F1317" s="1">
        <v>303</v>
      </c>
      <c r="G1317" s="1" t="s">
        <v>208</v>
      </c>
      <c r="H1317" s="1" t="s">
        <v>530</v>
      </c>
      <c r="J1317" s="1" t="s">
        <v>607</v>
      </c>
      <c r="M1317" s="15" t="s">
        <v>588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17" s="1" t="s">
        <v>828</v>
      </c>
      <c r="U1317" s="1"/>
      <c r="V1317" s="32" t="s">
        <v>4550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X1317" s="15" t="str">
        <f>_xlfn.TEXTBEFORE(_xlfn.TEXTAFTER(CantoralDB[[#This Row],[index.html]],"&gt;"),"&gt;")&amp;"&gt;"</f>
        <v>&lt;a href="canciones/nsb/el_vendra_y_te_salvara.html"&gt;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1168</v>
      </c>
      <c r="C1318" s="1"/>
      <c r="E1318" s="1">
        <v>30</v>
      </c>
      <c r="H1318" s="1" t="s">
        <v>1027</v>
      </c>
      <c r="J1318" s="1" t="s">
        <v>607</v>
      </c>
      <c r="M1318" s="15" t="s">
        <v>2075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18" s="15" t="str">
        <f>_xlfn.TEXTBEFORE(_xlfn.TEXTAFTER(CantoralDB[[#This Row],[index.html]],"&gt;"),"&gt;")&amp;"&gt;"</f>
        <v>&lt;a href="canciones/nsb/arriba_nubes_negras.html"&gt;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1203</v>
      </c>
      <c r="C1319" s="1"/>
      <c r="E1319" s="1">
        <v>81</v>
      </c>
      <c r="H1319" s="1" t="s">
        <v>1029</v>
      </c>
      <c r="J1319" s="1" t="s">
        <v>607</v>
      </c>
      <c r="M1319" s="15" t="s">
        <v>2075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19" s="1"/>
      <c r="U1319" s="1"/>
      <c r="V1319" s="32" t="s">
        <v>1478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19" s="15" t="str">
        <f>_xlfn.TEXTBEFORE(_xlfn.TEXTAFTER(CantoralDB[[#This Row],[index.html]],"&gt;"),"&gt;")&amp;"&gt;"</f>
        <v>&lt;a href="canciones/nsb/de_jerusalen_bajaba_a_jerico.html"&gt;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203</v>
      </c>
      <c r="C1320" s="1" t="s">
        <v>992</v>
      </c>
      <c r="D1320" s="1" t="s">
        <v>1037</v>
      </c>
      <c r="E1320" s="1">
        <v>23</v>
      </c>
      <c r="G1320" s="1" t="s">
        <v>208</v>
      </c>
      <c r="H1320" s="1" t="s">
        <v>1026</v>
      </c>
      <c r="I1320" s="1" t="s">
        <v>2952</v>
      </c>
      <c r="J1320" s="1" t="s">
        <v>607</v>
      </c>
      <c r="M1320" s="15" t="s">
        <v>540</v>
      </c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20" s="1"/>
      <c r="U1320" s="1"/>
      <c r="V1320" s="15"/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20" s="15" t="str">
        <f>_xlfn.TEXTBEFORE(_xlfn.TEXTAFTER(CantoralDB[[#This Row],[index.html]],"&gt;"),"&gt;")&amp;"&gt;"</f>
        <v>&lt;a href="canciones/nsb/alza_tu_mano_(comunidad).html"&gt;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550</v>
      </c>
      <c r="C1321" s="1" t="s">
        <v>475</v>
      </c>
      <c r="D1321" s="1" t="s">
        <v>1067</v>
      </c>
      <c r="E1321" s="1">
        <v>171</v>
      </c>
      <c r="H1321" s="1" t="s">
        <v>1028</v>
      </c>
      <c r="J1321" s="1" t="s">
        <v>607</v>
      </c>
      <c r="M1321" s="15" t="s">
        <v>540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21" s="15" t="str">
        <f>_xlfn.TEXTBEFORE(_xlfn.TEXTAFTER(CantoralDB[[#This Row],[index.html]],"&gt;"),"&gt;")&amp;"&gt;"</f>
        <v>&lt;a href="canciones/nsb/vivid_la_navidad.html"&gt;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68</v>
      </c>
      <c r="C1322" s="1" t="s">
        <v>192</v>
      </c>
      <c r="D1322" s="1" t="s">
        <v>1422</v>
      </c>
      <c r="E1322" s="1">
        <v>426</v>
      </c>
      <c r="F1322" s="1">
        <v>284</v>
      </c>
      <c r="G1322" s="1" t="s">
        <v>208</v>
      </c>
      <c r="H1322" s="1" t="s">
        <v>530</v>
      </c>
      <c r="I1322" s="1" t="s">
        <v>2953</v>
      </c>
      <c r="J1322" s="1" t="s">
        <v>607</v>
      </c>
      <c r="M1322" s="15" t="s">
        <v>505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X1322" s="15" t="str">
        <f>_xlfn.TEXTBEFORE(_xlfn.TEXTAFTER(CantoralDB[[#This Row],[index.html]],"&gt;"),"&gt;")&amp;"&gt;"</f>
        <v>&lt;a href="canciones/nsb/gloria_a_dios_gloria_al_padre.html"&gt;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133</v>
      </c>
      <c r="C1323" s="1" t="s">
        <v>191</v>
      </c>
      <c r="D1323" s="1" t="s">
        <v>1467</v>
      </c>
      <c r="E1323" s="1">
        <v>460</v>
      </c>
      <c r="G1323" s="1" t="s">
        <v>208</v>
      </c>
      <c r="H1323" s="1" t="s">
        <v>530</v>
      </c>
      <c r="I1323" s="1" t="s">
        <v>2953</v>
      </c>
      <c r="J1323" s="1" t="s">
        <v>607</v>
      </c>
      <c r="M1323" s="15" t="s">
        <v>791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23" s="15" t="str">
        <f>_xlfn.TEXTBEFORE(_xlfn.TEXTAFTER(CantoralDB[[#This Row],[index.html]],"&gt;"),"&gt;")&amp;"&gt;"</f>
        <v>&lt;a href="canciones/nsb/señor_ten_piedad.html"&gt;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150</v>
      </c>
      <c r="C1324" s="1" t="s">
        <v>194</v>
      </c>
      <c r="D1324" s="1" t="s">
        <v>771</v>
      </c>
      <c r="E1324" s="1">
        <v>467</v>
      </c>
      <c r="G1324" s="1" t="s">
        <v>208</v>
      </c>
      <c r="H1324" s="1" t="s">
        <v>530</v>
      </c>
      <c r="I1324" s="1" t="s">
        <v>2952</v>
      </c>
      <c r="J1324" s="1" t="s">
        <v>607</v>
      </c>
      <c r="M1324" s="15" t="s">
        <v>792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24" s="1"/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24" s="15" t="str">
        <f>_xlfn.TEXTBEFORE(_xlfn.TEXTAFTER(CantoralDB[[#This Row],[index.html]],"&gt;"),"&gt;")&amp;"&gt;"</f>
        <v>&lt;a href="canciones/nsb/un_dia_abri_los_ojos.html"&gt;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162</v>
      </c>
      <c r="C1325" s="1" t="s">
        <v>992</v>
      </c>
      <c r="D1325" s="1" t="s">
        <v>1016</v>
      </c>
      <c r="E1325" s="1">
        <v>286</v>
      </c>
      <c r="G1325" s="1" t="s">
        <v>208</v>
      </c>
      <c r="H1325" s="1" t="s">
        <v>472</v>
      </c>
      <c r="I1325" s="1" t="s">
        <v>2951</v>
      </c>
      <c r="J1325" s="1" t="s">
        <v>607</v>
      </c>
      <c r="M1325" s="15" t="s">
        <v>2871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25" s="15" t="str">
        <f>_xlfn.TEXTBEFORE(_xlfn.TEXTAFTER(CantoralDB[[#This Row],[index.html]],"&gt;"),"&gt;")&amp;"&gt;"</f>
        <v>&lt;a href="canciones/nsb/victoria_tu_reinaras.html"&gt;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1341</v>
      </c>
      <c r="C1326" s="1"/>
      <c r="E1326" s="1">
        <v>280</v>
      </c>
      <c r="J1326" s="1"/>
      <c r="M1326" s="15" t="s">
        <v>2101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26" s="1"/>
      <c r="U1326" s="1"/>
      <c r="V1326" s="15"/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26" s="15" t="str">
        <f>_xlfn.TEXTBEFORE(_xlfn.TEXTAFTER(CantoralDB[[#This Row],[index.html]],"&gt;"),"&gt;")&amp;"&gt;"</f>
        <v>&lt;a href="canciones/nsb/ven_a_nuestro_mundo.html"&gt;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60</v>
      </c>
      <c r="C1327" s="1" t="s">
        <v>992</v>
      </c>
      <c r="D1327" s="1" t="s">
        <v>702</v>
      </c>
      <c r="E1327" s="1">
        <v>424</v>
      </c>
      <c r="G1327" s="1" t="s">
        <v>208</v>
      </c>
      <c r="H1327" s="1" t="s">
        <v>1026</v>
      </c>
      <c r="J1327" s="1" t="s">
        <v>607</v>
      </c>
      <c r="M1327" s="15" t="s">
        <v>627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27" s="1" t="s">
        <v>830</v>
      </c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27" s="15" t="str">
        <f>_xlfn.TEXTBEFORE(_xlfn.TEXTAFTER(CantoralDB[[#This Row],[index.html]],"&gt;"),"&gt;")&amp;"&gt;"</f>
        <v>&lt;a href="canciones/nsb/en_mi_getsemani.html"&gt;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593</v>
      </c>
      <c r="C1328" s="1" t="s">
        <v>992</v>
      </c>
      <c r="D1328" s="1" t="s">
        <v>999</v>
      </c>
      <c r="G1328" s="1" t="s">
        <v>594</v>
      </c>
      <c r="H1328" s="1" t="s">
        <v>1026</v>
      </c>
      <c r="J1328" s="1" t="s">
        <v>607</v>
      </c>
      <c r="M1328" s="15" t="s">
        <v>627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28" s="15" t="str">
        <f>_xlfn.TEXTBEFORE(_xlfn.TEXTAFTER(CantoralDB[[#This Row],[index.html]],"&gt;"),"&gt;")&amp;"&gt;"</f>
        <v>&lt;a href="canciones/nsb/quiero_ser_pan.html"&gt;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531</v>
      </c>
      <c r="C1329" s="1" t="s">
        <v>194</v>
      </c>
      <c r="D1329" s="1" t="s">
        <v>1418</v>
      </c>
      <c r="G1329" s="1" t="s">
        <v>532</v>
      </c>
      <c r="H1329" s="1" t="s">
        <v>472</v>
      </c>
      <c r="I1329" s="1" t="s">
        <v>2952</v>
      </c>
      <c r="J1329" s="1" t="s">
        <v>607</v>
      </c>
      <c r="M1329" s="15" t="s">
        <v>615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29" s="1"/>
      <c r="U1329" s="1"/>
      <c r="V1329" s="32" t="s">
        <v>2982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29" s="15" t="str">
        <f>_xlfn.TEXTBEFORE(_xlfn.TEXTAFTER(CantoralDB[[#This Row],[index.html]],"&gt;"),"&gt;")&amp;"&gt;"</f>
        <v>&lt;a href="canciones/nsb/esto_que_te_doy.html"&gt;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37</v>
      </c>
      <c r="C1330" s="1" t="s">
        <v>992</v>
      </c>
      <c r="D1330" s="1" t="s">
        <v>690</v>
      </c>
      <c r="E1330" s="1">
        <v>414</v>
      </c>
      <c r="G1330" s="1" t="s">
        <v>208</v>
      </c>
      <c r="H1330" s="1" t="s">
        <v>530</v>
      </c>
      <c r="J1330" s="1" t="s">
        <v>607</v>
      </c>
      <c r="M1330" s="15" t="s">
        <v>618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30" s="1" t="s">
        <v>816</v>
      </c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30" s="15" t="str">
        <f>_xlfn.TEXTBEFORE(_xlfn.TEXTAFTER(CantoralDB[[#This Row],[index.html]],"&gt;"),"&gt;")&amp;"&gt;"</f>
        <v>&lt;a href="canciones/nsb/corazon_inquieto.html"&gt;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20</v>
      </c>
      <c r="C1331" s="1" t="s">
        <v>992</v>
      </c>
      <c r="D1331" s="1" t="s">
        <v>1036</v>
      </c>
      <c r="E1331" s="1">
        <v>407</v>
      </c>
      <c r="G1331" s="1" t="s">
        <v>208</v>
      </c>
      <c r="H1331" s="1" t="s">
        <v>1029</v>
      </c>
      <c r="J1331" s="1" t="s">
        <v>607</v>
      </c>
      <c r="M1331" s="15" t="s">
        <v>539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31" s="1"/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31" s="15" t="str">
        <f>_xlfn.TEXTBEFORE(_xlfn.TEXTAFTER(CantoralDB[[#This Row],[index.html]],"&gt;"),"&gt;")&amp;"&gt;"</f>
        <v>&lt;a href="canciones/nsb/alma_misionera.html"&gt;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50</v>
      </c>
      <c r="C1332" s="1" t="s">
        <v>992</v>
      </c>
      <c r="D1332" s="1" t="s">
        <v>700</v>
      </c>
      <c r="E1332" s="1">
        <v>420</v>
      </c>
      <c r="G1332" s="1" t="s">
        <v>208</v>
      </c>
      <c r="H1332" s="1" t="s">
        <v>530</v>
      </c>
      <c r="I1332" s="1" t="s">
        <v>2949</v>
      </c>
      <c r="J1332" s="1" t="s">
        <v>607</v>
      </c>
      <c r="M1332" s="15" t="s">
        <v>629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32" s="1" t="s">
        <v>823</v>
      </c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32" s="15" t="str">
        <f>_xlfn.TEXTBEFORE(_xlfn.TEXTAFTER(CantoralDB[[#This Row],[index.html]],"&gt;"),"&gt;")&amp;"&gt;"</f>
        <v>&lt;a href="canciones/nsb/el_que_muere_por_mi.html"&gt;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1308</v>
      </c>
      <c r="C1333" s="1"/>
      <c r="E1333" s="1">
        <v>219</v>
      </c>
      <c r="H1333" s="1" t="s">
        <v>472</v>
      </c>
      <c r="J1333" s="1" t="s">
        <v>607</v>
      </c>
      <c r="M1333" s="15" t="s">
        <v>2095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33" s="15" t="str">
        <f>_xlfn.TEXTBEFORE(_xlfn.TEXTAFTER(CantoralDB[[#This Row],[index.html]],"&gt;"),"&gt;")&amp;"&gt;"</f>
        <v>&lt;a href="canciones/nsb/quiero_ser_oh_señor.html"&gt;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782</v>
      </c>
      <c r="C1334" s="1" t="s">
        <v>992</v>
      </c>
      <c r="D1334" s="1" t="s">
        <v>698</v>
      </c>
      <c r="G1334" s="1" t="s">
        <v>208</v>
      </c>
      <c r="H1334" s="1" t="s">
        <v>1029</v>
      </c>
      <c r="J1334" s="1" t="s">
        <v>607</v>
      </c>
      <c r="M1334" s="15" t="s">
        <v>625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34" s="15" t="str">
        <f>_xlfn.TEXTBEFORE(_xlfn.TEXTAFTER(CantoralDB[[#This Row],[index.html]],"&gt;"),"&gt;")&amp;"&gt;"</f>
        <v>&lt;a href="canciones/nsb/el_camino_no_lo_haremos_solos.html"&gt;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582</v>
      </c>
      <c r="C1335" s="1" t="s">
        <v>199</v>
      </c>
      <c r="D1335" s="1" t="s">
        <v>1053</v>
      </c>
      <c r="F1335" s="1">
        <v>97</v>
      </c>
      <c r="G1335" s="1" t="s">
        <v>583</v>
      </c>
      <c r="H1335" s="1" t="s">
        <v>1026</v>
      </c>
      <c r="I1335" s="1" t="s">
        <v>2952</v>
      </c>
      <c r="J1335" s="1" t="s">
        <v>607</v>
      </c>
      <c r="M1335" s="15" t="s">
        <v>599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35" s="1"/>
      <c r="U1335" s="1"/>
      <c r="V1335" s="32" t="s">
        <v>4523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X1335" s="15" t="str">
        <f>_xlfn.TEXTBEFORE(_xlfn.TEXTAFTER(CantoralDB[[#This Row],[index.html]],"&gt;"),"&gt;")&amp;"&gt;"</f>
        <v>&lt;a href="canciones/nsb/salve_regina.html"&gt;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525</v>
      </c>
      <c r="C1336" s="1" t="s">
        <v>195</v>
      </c>
      <c r="D1336" s="1" t="s">
        <v>1458</v>
      </c>
      <c r="F1336" s="1">
        <v>74</v>
      </c>
      <c r="G1336" s="1" t="s">
        <v>208</v>
      </c>
      <c r="H1336" s="1" t="s">
        <v>530</v>
      </c>
      <c r="J1336" s="1" t="s">
        <v>607</v>
      </c>
      <c r="M1336" s="15" t="s">
        <v>581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36" s="1"/>
      <c r="U1336" s="1"/>
      <c r="V1336" s="32" t="s">
        <v>4599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X1336" s="15" t="str">
        <f>_xlfn.TEXTBEFORE(_xlfn.TEXTAFTER(CantoralDB[[#This Row],[index.html]],"&gt;"),"&gt;")&amp;"&gt;"</f>
        <v>&lt;a href="canciones/nsb/santo_(händel).html"&gt;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1242</v>
      </c>
      <c r="C1337" s="1"/>
      <c r="E1337" s="1">
        <v>210</v>
      </c>
      <c r="H1337" s="1" t="s">
        <v>1027</v>
      </c>
      <c r="J1337" s="1" t="s">
        <v>607</v>
      </c>
      <c r="M1337" s="15" t="s">
        <v>2895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337" s="15" t="str">
        <f>_xlfn.TEXTBEFORE(_xlfn.TEXTAFTER(CantoralDB[[#This Row],[index.html]],"&gt;"),"&gt;")&amp;"&gt;"</f>
        <v>&lt;a href="canciones/nsb/yo_te_nombro_libertad.html"&gt;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146</v>
      </c>
      <c r="C1338" s="1" t="s">
        <v>992</v>
      </c>
      <c r="D1338" s="1" t="s">
        <v>1012</v>
      </c>
      <c r="E1338" s="1">
        <v>465</v>
      </c>
      <c r="G1338" s="1" t="s">
        <v>208</v>
      </c>
      <c r="H1338" s="1" t="s">
        <v>1029</v>
      </c>
      <c r="I1338" s="1" t="s">
        <v>2951</v>
      </c>
      <c r="J1338" s="1" t="s">
        <v>607</v>
      </c>
      <c r="M1338" s="15" t="s">
        <v>628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338" s="15" t="str">
        <f>_xlfn.TEXTBEFORE(_xlfn.TEXTAFTER(CantoralDB[[#This Row],[index.html]],"&gt;"),"&gt;")&amp;"&gt;"</f>
        <v>&lt;a href="canciones/nsb/tu_eres_capaz.html"&gt;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1199</v>
      </c>
      <c r="C1339" s="1"/>
      <c r="E1339" s="1">
        <v>74</v>
      </c>
      <c r="H1339" s="1" t="s">
        <v>472</v>
      </c>
      <c r="J1339" s="1" t="s">
        <v>607</v>
      </c>
      <c r="M1339" s="15" t="s">
        <v>2890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339" s="1"/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339" s="15" t="str">
        <f>_xlfn.TEXTBEFORE(_xlfn.TEXTAFTER(CantoralDB[[#This Row],[index.html]],"&gt;"),"&gt;")&amp;"&gt;"</f>
        <v>&lt;a href="canciones/nsb/dame_señor_un_corazon_feliz.html"&gt;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1176</v>
      </c>
      <c r="C1340" s="1"/>
      <c r="E1340" s="1">
        <v>46</v>
      </c>
      <c r="H1340" s="1" t="s">
        <v>1029</v>
      </c>
      <c r="J1340" s="1" t="s">
        <v>607</v>
      </c>
      <c r="M1340" s="15" t="s">
        <v>515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340" s="15" t="str">
        <f>_xlfn.TEXTBEFORE(_xlfn.TEXTAFTER(CantoralDB[[#This Row],[index.html]],"&gt;"),"&gt;")&amp;"&gt;"</f>
        <v>&lt;a href="canciones/nsb/cantan_los_angeles_en_belen.html"&gt;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1174</v>
      </c>
      <c r="C1341" s="1"/>
      <c r="E1341" s="1">
        <v>43</v>
      </c>
      <c r="H1341" s="1" t="s">
        <v>472</v>
      </c>
      <c r="J1341" s="1" t="s">
        <v>607</v>
      </c>
      <c r="M1341" s="15" t="s">
        <v>515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341" s="1"/>
      <c r="U1341" s="1"/>
      <c r="V1341" s="15"/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341" s="15" t="str">
        <f>_xlfn.TEXTBEFORE(_xlfn.TEXTAFTER(CantoralDB[[#This Row],[index.html]],"&gt;"),"&gt;")&amp;"&gt;"</f>
        <v>&lt;a href="canciones/nsb/como_habian_dicho_los_profetas.html"&gt;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2915</v>
      </c>
      <c r="C1342" s="1"/>
      <c r="E1342" s="1">
        <v>250</v>
      </c>
      <c r="H1342" s="1" t="s">
        <v>1029</v>
      </c>
      <c r="J1342" s="1" t="s">
        <v>607</v>
      </c>
      <c r="M1342" s="15" t="s">
        <v>515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342" s="15" t="str">
        <f>_xlfn.TEXTBEFORE(_xlfn.TEXTAFTER(CantoralDB[[#This Row],[index.html]],"&gt;"),"&gt;")&amp;"&gt;"</f>
        <v>&lt;a href="canciones/nsb/esto_es_navidad.html"&gt;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1262</v>
      </c>
      <c r="C1343" s="1"/>
      <c r="E1343" s="1">
        <v>134</v>
      </c>
      <c r="J1343" s="1"/>
      <c r="M1343" s="15" t="s">
        <v>515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343" s="15" t="str">
        <f>_xlfn.TEXTBEFORE(_xlfn.TEXTAFTER(CantoralDB[[#This Row],[index.html]],"&gt;"),"&gt;")&amp;"&gt;"</f>
        <v>&lt;a href="canciones/nsb/hoy_en_belen_es_la_fiesta.html"&gt;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2914</v>
      </c>
      <c r="C1344" s="1"/>
      <c r="E1344" s="1">
        <v>249</v>
      </c>
      <c r="H1344" s="1" t="s">
        <v>1029</v>
      </c>
      <c r="J1344" s="1" t="s">
        <v>607</v>
      </c>
      <c r="M1344" s="15" t="s">
        <v>515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344" s="15" t="str">
        <f>_xlfn.TEXTBEFORE(_xlfn.TEXTAFTER(CantoralDB[[#This Row],[index.html]],"&gt;"),"&gt;")&amp;"&gt;"</f>
        <v>&lt;a href="canciones/nsb/si_cada_noche_fuera_nochebuena.html"&gt;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91</v>
      </c>
      <c r="C1345" s="1" t="s">
        <v>199</v>
      </c>
      <c r="D1345" s="1" t="s">
        <v>1047</v>
      </c>
      <c r="E1345" s="1">
        <v>435</v>
      </c>
      <c r="G1345" s="1" t="s">
        <v>208</v>
      </c>
      <c r="H1345" s="1" t="s">
        <v>1029</v>
      </c>
      <c r="J1345" s="1" t="s">
        <v>607</v>
      </c>
      <c r="M1345" s="15" t="s">
        <v>2221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345" s="15" t="str">
        <f>_xlfn.TEXTBEFORE(_xlfn.TEXTAFTER(CantoralDB[[#This Row],[index.html]],"&gt;"),"&gt;")&amp;"&gt;"</f>
        <v>&lt;a href="canciones/nsb/maria_mirame.html"&gt;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172</v>
      </c>
      <c r="C1346" s="1" t="s">
        <v>194</v>
      </c>
      <c r="D1346" s="1" t="s">
        <v>1380</v>
      </c>
      <c r="G1346" s="1" t="s">
        <v>208</v>
      </c>
      <c r="H1346" s="1" t="s">
        <v>530</v>
      </c>
      <c r="J1346" s="1" t="s">
        <v>607</v>
      </c>
      <c r="M1346" s="15" t="s">
        <v>518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346" s="15" t="str">
        <f>_xlfn.TEXTBEFORE(_xlfn.TEXTAFTER(CantoralDB[[#This Row],[index.html]],"&gt;"),"&gt;")&amp;"&gt;"</f>
        <v>&lt;a href="canciones/nsb/alimento_de_amor_(el_loco).html"&gt;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613</v>
      </c>
      <c r="C1347" s="1" t="s">
        <v>200</v>
      </c>
      <c r="D1347" s="1" t="s">
        <v>678</v>
      </c>
      <c r="G1347" s="1" t="s">
        <v>552</v>
      </c>
      <c r="H1347" s="1" t="s">
        <v>1029</v>
      </c>
      <c r="J1347" s="1" t="s">
        <v>607</v>
      </c>
      <c r="M1347" s="15" t="s">
        <v>614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347" s="1"/>
      <c r="U1347" s="1"/>
      <c r="V1347" s="15"/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347" s="15" t="str">
        <f>_xlfn.TEXTBEFORE(_xlfn.TEXTAFTER(CantoralDB[[#This Row],[index.html]],"&gt;"),"&gt;")&amp;"&gt;"</f>
        <v>&lt;a href="canciones/nsb/ven_si_te_has_caido_levantate.html"&gt;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534</v>
      </c>
      <c r="C1348" s="1" t="s">
        <v>210</v>
      </c>
      <c r="D1348" s="1" t="s">
        <v>1476</v>
      </c>
      <c r="G1348" s="1" t="s">
        <v>208</v>
      </c>
      <c r="H1348" s="1" t="s">
        <v>530</v>
      </c>
      <c r="J1348" s="1" t="s">
        <v>607</v>
      </c>
      <c r="M1348" s="15" t="s">
        <v>509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348" s="1"/>
      <c r="U1348" s="1"/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348" s="15" t="str">
        <f>_xlfn.TEXTBEFORE(_xlfn.TEXTAFTER(CantoralDB[[#This Row],[index.html]],"&gt;"),"&gt;")&amp;"&gt;"</f>
        <v>&lt;a href="canciones/nsb/ven_espiritu_divino_(secuencia_de_pentecostes).html"&gt;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209</v>
      </c>
      <c r="C1349" s="1" t="s">
        <v>210</v>
      </c>
      <c r="D1349" s="1" t="s">
        <v>1396</v>
      </c>
      <c r="F1349" s="1">
        <v>195</v>
      </c>
      <c r="G1349" s="1" t="s">
        <v>208</v>
      </c>
      <c r="H1349" s="1" t="s">
        <v>1026</v>
      </c>
      <c r="J1349" s="1" t="s">
        <v>607</v>
      </c>
      <c r="M1349" s="15" t="s">
        <v>2583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X1349" s="15" t="str">
        <f>_xlfn.TEXTBEFORE(_xlfn.TEXTAFTER(CantoralDB[[#This Row],[index.html]],"&gt;"),"&gt;")&amp;"&gt;"</f>
        <v>&lt;a href="canciones/nsb/cantemos_al_amor_de_los_amores.html"&gt;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1335</v>
      </c>
      <c r="C1350" s="1"/>
      <c r="E1350" s="1">
        <v>267</v>
      </c>
      <c r="J1350" s="1"/>
      <c r="M1350" s="15" t="s">
        <v>2074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350" s="1"/>
      <c r="U1350" s="1"/>
      <c r="V1350" s="15"/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350" s="15" t="str">
        <f>_xlfn.TEXTBEFORE(_xlfn.TEXTAFTER(CantoralDB[[#This Row],[index.html]],"&gt;"),"&gt;")&amp;"&gt;"</f>
        <v>&lt;a href="canciones/nsb/todos_esperamos.html"&gt;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16</v>
      </c>
      <c r="C1351" s="1" t="s">
        <v>193</v>
      </c>
      <c r="D1351" s="1" t="s">
        <v>1375</v>
      </c>
      <c r="E1351" s="1">
        <v>406</v>
      </c>
      <c r="G1351" s="1" t="s">
        <v>208</v>
      </c>
      <c r="H1351" s="1" t="s">
        <v>530</v>
      </c>
      <c r="J1351" s="1" t="s">
        <v>607</v>
      </c>
      <c r="M1351" s="15" t="s">
        <v>513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351" s="15" t="str">
        <f>_xlfn.TEXTBEFORE(_xlfn.TEXTAFTER(CantoralDB[[#This Row],[index.html]],"&gt;"),"&gt;")&amp;"&gt;"</f>
        <v>&lt;a href="canciones/nsb/aleluya_por_esa_gente.html"&gt;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214</v>
      </c>
      <c r="C1352" s="1" t="s">
        <v>992</v>
      </c>
      <c r="D1352" s="1" t="s">
        <v>723</v>
      </c>
      <c r="G1352" s="1" t="s">
        <v>215</v>
      </c>
      <c r="H1352" s="1" t="s">
        <v>1028</v>
      </c>
      <c r="I1352" s="1" t="s">
        <v>2949</v>
      </c>
      <c r="J1352" s="1" t="s">
        <v>607</v>
      </c>
      <c r="M1352" s="15" t="s">
        <v>522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352" s="1"/>
      <c r="U1352" s="1"/>
      <c r="V1352" s="32" t="s">
        <v>3088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352" s="15" t="str">
        <f>_xlfn.TEXTBEFORE(_xlfn.TEXTAFTER(CantoralDB[[#This Row],[index.html]],"&gt;"),"&gt;")&amp;"&gt;"</f>
        <v>&lt;a href="canciones/nsb/no_temas.html"&gt;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529</v>
      </c>
      <c r="C1353" s="1" t="s">
        <v>195</v>
      </c>
      <c r="D1353" s="1" t="s">
        <v>1462</v>
      </c>
      <c r="G1353" s="1" t="s">
        <v>253</v>
      </c>
      <c r="H1353" s="1" t="s">
        <v>472</v>
      </c>
      <c r="J1353" s="1" t="s">
        <v>607</v>
      </c>
      <c r="M1353" s="15" t="s">
        <v>522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353" s="1"/>
      <c r="U1353" s="1"/>
      <c r="V1353" s="32" t="s">
        <v>3089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353" s="15" t="str">
        <f>_xlfn.TEXTBEFORE(_xlfn.TEXTAFTER(CantoralDB[[#This Row],[index.html]],"&gt;"),"&gt;")&amp;"&gt;"</f>
        <v>&lt;a href="canciones/nsb/santo_(olguin).html"&gt;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45</v>
      </c>
      <c r="C1354" s="1" t="s">
        <v>190</v>
      </c>
      <c r="D1354" s="1" t="s">
        <v>732</v>
      </c>
      <c r="E1354" s="1">
        <v>417</v>
      </c>
      <c r="F1354" s="1">
        <v>338</v>
      </c>
      <c r="G1354" s="1" t="s">
        <v>208</v>
      </c>
      <c r="H1354" s="1" t="s">
        <v>530</v>
      </c>
      <c r="J1354" s="1" t="s">
        <v>607</v>
      </c>
      <c r="M1354" s="15" t="s">
        <v>501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X1354" s="15" t="str">
        <f>_xlfn.TEXTBEFORE(_xlfn.TEXTAFTER(CantoralDB[[#This Row],[index.html]],"&gt;"),"&gt;")&amp;"&gt;"</f>
        <v>&lt;a href="canciones/nsb/dios_esta_aqui.html"&gt;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1194</v>
      </c>
      <c r="C1355" s="1"/>
      <c r="E1355" s="1">
        <v>69</v>
      </c>
      <c r="J1355" s="1"/>
      <c r="M1355" s="15" t="s">
        <v>2081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355" s="15" t="str">
        <f>_xlfn.TEXTBEFORE(_xlfn.TEXTAFTER(CantoralDB[[#This Row],[index.html]],"&gt;"),"&gt;")&amp;"&gt;"</f>
        <v>&lt;a href="canciones/nsb/cuando_el_pan_que_esta_en_mi_vida.html"&gt;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84</v>
      </c>
      <c r="C1356" s="1" t="s">
        <v>194</v>
      </c>
      <c r="D1356" s="1" t="s">
        <v>765</v>
      </c>
      <c r="E1356" s="1">
        <v>431</v>
      </c>
      <c r="G1356" s="1" t="s">
        <v>208</v>
      </c>
      <c r="H1356" s="1" t="s">
        <v>530</v>
      </c>
      <c r="J1356" s="1" t="s">
        <v>607</v>
      </c>
      <c r="M1356" s="15" t="s">
        <v>519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356" s="1"/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356" s="15" t="str">
        <f>_xlfn.TEXTBEFORE(_xlfn.TEXTAFTER(CantoralDB[[#This Row],[index.html]],"&gt;"),"&gt;")&amp;"&gt;"</f>
        <v>&lt;a href="canciones/nsb/la_cena_del_señor.html"&gt;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129</v>
      </c>
      <c r="C1357" s="1" t="s">
        <v>195</v>
      </c>
      <c r="D1357" s="1" t="s">
        <v>1457</v>
      </c>
      <c r="E1357" s="1">
        <v>455</v>
      </c>
      <c r="F1357" s="1">
        <v>45</v>
      </c>
      <c r="G1357" s="1" t="s">
        <v>208</v>
      </c>
      <c r="H1357" s="1" t="s">
        <v>1027</v>
      </c>
      <c r="J1357" s="1" t="s">
        <v>607</v>
      </c>
      <c r="M1357" s="15" t="s">
        <v>521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357" s="1"/>
      <c r="U1357" s="1"/>
      <c r="V1357" s="32" t="s">
        <v>4437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X1357" s="15" t="str">
        <f>_xlfn.TEXTBEFORE(_xlfn.TEXTAFTER(CantoralDB[[#This Row],[index.html]],"&gt;"),"&gt;")&amp;"&gt;"</f>
        <v>&lt;a href="canciones/nsb/santo_(cielo_y_tierra_pasaran).html"&gt;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2945</v>
      </c>
      <c r="C1358" s="1"/>
      <c r="E1358" s="1">
        <v>259</v>
      </c>
      <c r="H1358" s="1" t="s">
        <v>1029</v>
      </c>
      <c r="J1358" s="1" t="s">
        <v>607</v>
      </c>
      <c r="M1358" s="15" t="s">
        <v>2900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358" s="1"/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358" s="15" t="str">
        <f>_xlfn.TEXTBEFORE(_xlfn.TEXTAFTER(CantoralDB[[#This Row],[index.html]],"&gt;"),"&gt;")&amp;"&gt;"</f>
        <v>&lt;a href="canciones/nsb/tus_manos_son_palomas_de_la_paz.html"&gt;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1259</v>
      </c>
      <c r="C1359" s="1"/>
      <c r="E1359" s="1">
        <v>131</v>
      </c>
      <c r="J1359" s="1"/>
      <c r="M1359" s="15" t="s">
        <v>2870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359" s="1"/>
      <c r="U1359" s="1"/>
      <c r="V1359" s="32" t="s">
        <v>3090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359" s="15" t="str">
        <f>_xlfn.TEXTBEFORE(_xlfn.TEXTAFTER(CantoralDB[[#This Row],[index.html]],"&gt;"),"&gt;")&amp;"&gt;"</f>
        <v>&lt;a href="canciones/nsb/habra_un_dia_en_que_todos.html"&gt;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183</v>
      </c>
      <c r="C1360" s="1" t="s">
        <v>992</v>
      </c>
      <c r="D1360" s="1" t="s">
        <v>708</v>
      </c>
      <c r="G1360" s="1" t="s">
        <v>208</v>
      </c>
      <c r="H1360" s="1" t="s">
        <v>1026</v>
      </c>
      <c r="J1360" s="1" t="s">
        <v>607</v>
      </c>
      <c r="M1360" s="15" t="s">
        <v>626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360" s="1"/>
      <c r="U1360" s="1"/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360" s="15" t="str">
        <f>_xlfn.TEXTBEFORE(_xlfn.TEXTAFTER(CantoralDB[[#This Row],[index.html]],"&gt;"),"&gt;")&amp;"&gt;"</f>
        <v>&lt;a href="canciones/nsb/himno_a_san_jose.html"&gt;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548</v>
      </c>
      <c r="C1361" s="1" t="s">
        <v>475</v>
      </c>
      <c r="D1361" s="1" t="s">
        <v>1061</v>
      </c>
      <c r="H1361" s="1" t="s">
        <v>1026</v>
      </c>
      <c r="J1361" s="1" t="s">
        <v>607</v>
      </c>
      <c r="M1361" s="15" t="s">
        <v>575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361" s="1"/>
      <c r="U1361" s="1"/>
      <c r="V1361" s="32" t="s">
        <v>3085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361" s="15" t="str">
        <f>_xlfn.TEXTBEFORE(_xlfn.TEXTAFTER(CantoralDB[[#This Row],[index.html]],"&gt;"),"&gt;")&amp;"&gt;"</f>
        <v>&lt;a href="canciones/nsb/navidad_es_navidad.html"&gt;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549</v>
      </c>
      <c r="C1362" s="1" t="s">
        <v>475</v>
      </c>
      <c r="D1362" s="1" t="s">
        <v>1062</v>
      </c>
      <c r="H1362" s="1" t="s">
        <v>530</v>
      </c>
      <c r="J1362" s="1" t="s">
        <v>607</v>
      </c>
      <c r="M1362" s="15" t="s">
        <v>575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362" s="1"/>
      <c r="U1362" s="1"/>
      <c r="V1362" s="32" t="s">
        <v>3086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362" s="15" t="str">
        <f>_xlfn.TEXTBEFORE(_xlfn.TEXTAFTER(CantoralDB[[#This Row],[index.html]],"&gt;"),"&gt;")&amp;"&gt;"</f>
        <v>&lt;a href="canciones/nsb/navidad_navidad.html"&gt;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604</v>
      </c>
      <c r="C1363" s="1" t="s">
        <v>992</v>
      </c>
      <c r="D1363" s="1" t="s">
        <v>727</v>
      </c>
      <c r="G1363" s="1" t="s">
        <v>601</v>
      </c>
      <c r="H1363" s="1" t="s">
        <v>530</v>
      </c>
      <c r="J1363" s="1" t="s">
        <v>607</v>
      </c>
      <c r="M1363" s="15" t="s">
        <v>605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363" s="1"/>
      <c r="U1363" s="1"/>
      <c r="V1363" s="32" t="s">
        <v>3087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363" s="15" t="str">
        <f>_xlfn.TEXTBEFORE(_xlfn.TEXTAFTER(CantoralDB[[#This Row],[index.html]],"&gt;"),"&gt;")&amp;"&gt;"</f>
        <v>&lt;a href="canciones/nsb/principio_y_fundamento.html"&gt;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12</v>
      </c>
      <c r="C1364" s="1" t="s">
        <v>190</v>
      </c>
      <c r="D1364" s="1" t="s">
        <v>1368</v>
      </c>
      <c r="E1364" s="1">
        <v>10</v>
      </c>
      <c r="G1364" s="1" t="s">
        <v>208</v>
      </c>
      <c r="H1364" s="1" t="s">
        <v>530</v>
      </c>
      <c r="J1364" s="1" t="s">
        <v>607</v>
      </c>
      <c r="M1364" s="15" t="s">
        <v>2136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364" s="15" t="str">
        <f>_xlfn.TEXTBEFORE(_xlfn.TEXTAFTER(CantoralDB[[#This Row],[index.html]],"&gt;"),"&gt;")&amp;"&gt;"</f>
        <v>&lt;a href="canciones/nsb/alegremonos_hermanos.html"&gt;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81</v>
      </c>
      <c r="C1365" s="1" t="s">
        <v>992</v>
      </c>
      <c r="D1365" s="1" t="s">
        <v>715</v>
      </c>
      <c r="E1365" s="1">
        <v>144</v>
      </c>
      <c r="G1365" s="1" t="s">
        <v>208</v>
      </c>
      <c r="H1365" s="1" t="s">
        <v>530</v>
      </c>
      <c r="J1365" s="1" t="s">
        <v>607</v>
      </c>
      <c r="M1365" s="15" t="s">
        <v>2136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365" s="1"/>
      <c r="U1365" s="1"/>
      <c r="V1365" s="15"/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365" s="15" t="str">
        <f>_xlfn.TEXTBEFORE(_xlfn.TEXTAFTER(CantoralDB[[#This Row],[index.html]],"&gt;"),"&gt;")&amp;"&gt;"</f>
        <v>&lt;a href="canciones/nsb/jesus_nuestra_pascua.html"&gt;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82</v>
      </c>
      <c r="C1366" s="1" t="s">
        <v>992</v>
      </c>
      <c r="D1366" s="1" t="s">
        <v>717</v>
      </c>
      <c r="E1366" s="1">
        <v>143</v>
      </c>
      <c r="G1366" s="1" t="s">
        <v>208</v>
      </c>
      <c r="H1366" s="1" t="s">
        <v>530</v>
      </c>
      <c r="J1366" s="1" t="s">
        <v>607</v>
      </c>
      <c r="M1366" s="15" t="s">
        <v>2136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366" s="1"/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366" s="15" t="str">
        <f>_xlfn.TEXTBEFORE(_xlfn.TEXTAFTER(CantoralDB[[#This Row],[index.html]],"&gt;"),"&gt;")&amp;"&gt;"</f>
        <v>&lt;a href="canciones/nsb/juntos_cantemos_hoy.html"&gt;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1306</v>
      </c>
      <c r="C1367" s="1"/>
      <c r="E1367" s="1">
        <v>216</v>
      </c>
      <c r="J1367" s="1"/>
      <c r="M1367" s="15" t="s">
        <v>2136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367" s="15" t="str">
        <f>_xlfn.TEXTBEFORE(_xlfn.TEXTAFTER(CantoralDB[[#This Row],[index.html]],"&gt;"),"&gt;")&amp;"&gt;"</f>
        <v>&lt;a href="canciones/nsb/pueblo_que_avanzas_buscando.html"&gt;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561</v>
      </c>
      <c r="C1368" s="1" t="s">
        <v>200</v>
      </c>
      <c r="D1368" s="1" t="s">
        <v>1388</v>
      </c>
      <c r="G1368" s="1" t="s">
        <v>552</v>
      </c>
      <c r="H1368" s="1" t="s">
        <v>1026</v>
      </c>
      <c r="J1368" s="1" t="s">
        <v>607</v>
      </c>
      <c r="M1368" s="15" t="s">
        <v>609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368" s="1" t="s">
        <v>806</v>
      </c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368" s="15" t="str">
        <f>_xlfn.TEXTBEFORE(_xlfn.TEXTAFTER(CantoralDB[[#This Row],[index.html]],"&gt;"),"&gt;")&amp;"&gt;"</f>
        <v>&lt;a href="canciones/nsb/ayudame_a_caminar.html"&gt;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1271</v>
      </c>
      <c r="C1369" s="1"/>
      <c r="E1369" s="1">
        <v>153</v>
      </c>
      <c r="H1369" s="1" t="s">
        <v>530</v>
      </c>
      <c r="J1369" s="1" t="s">
        <v>607</v>
      </c>
      <c r="M1369" s="15" t="s">
        <v>2946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369" s="1"/>
      <c r="U1369" s="1"/>
      <c r="V1369" s="15"/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369" s="15" t="str">
        <f>_xlfn.TEXTBEFORE(_xlfn.TEXTAFTER(CantoralDB[[#This Row],[index.html]],"&gt;"),"&gt;")&amp;"&gt;"</f>
        <v>&lt;a href="canciones/nsb/la_palabra_nos_la_dio_el_señor.html"&gt;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1159</v>
      </c>
      <c r="C1370" s="1"/>
      <c r="E1370" s="1">
        <v>15</v>
      </c>
      <c r="H1370" s="1" t="s">
        <v>1026</v>
      </c>
      <c r="J1370" s="1" t="s">
        <v>607</v>
      </c>
      <c r="M1370" s="15" t="s">
        <v>2866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370" s="15" t="str">
        <f>_xlfn.TEXTBEFORE(_xlfn.TEXTAFTER(CantoralDB[[#This Row],[index.html]],"&gt;"),"&gt;")&amp;"&gt;"</f>
        <v>&lt;a href="canciones/nsb/alabad_al_señor_en_su_templo.html"&gt;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3018</v>
      </c>
      <c r="C1371" s="1"/>
      <c r="E1371" s="1">
        <v>119</v>
      </c>
      <c r="H1371" s="1" t="s">
        <v>530</v>
      </c>
      <c r="J1371" s="1" t="s">
        <v>607</v>
      </c>
      <c r="M1371" s="15" t="s">
        <v>2866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371" s="1"/>
      <c r="U1371" s="1"/>
      <c r="V1371" s="32" t="s">
        <v>3019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371" s="15" t="str">
        <f>_xlfn.TEXTBEFORE(_xlfn.TEXTAFTER(CantoralDB[[#This Row],[index.html]],"&gt;"),"&gt;")&amp;"&gt;"</f>
        <v>&lt;a href="canciones/nsb/el_señor_es_nuestra_alegria_(este_es_el_dia).html"&gt;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600</v>
      </c>
      <c r="C1372" s="1"/>
      <c r="E1372" s="1">
        <v>148</v>
      </c>
      <c r="J1372" s="1" t="s">
        <v>607</v>
      </c>
      <c r="L1372" s="1" t="s">
        <v>2959</v>
      </c>
      <c r="M1372" s="15" t="s">
        <v>2866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372" s="1"/>
      <c r="U1372" s="1"/>
      <c r="V1372" s="32" t="s">
        <v>2985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372" s="15" t="str">
        <f>_xlfn.TEXTBEFORE(_xlfn.TEXTAFTER(CantoralDB[[#This Row],[index.html]],"&gt;"),"&gt;")&amp;"&gt;"</f>
        <v>&lt;a href="canciones/nsb/lampara_es_tu_palabra.html"&gt;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1229</v>
      </c>
      <c r="C1373" s="1"/>
      <c r="E1373" s="1">
        <v>190</v>
      </c>
      <c r="J1373" s="1"/>
      <c r="M1373" s="15" t="s">
        <v>2866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T1373" s="1"/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X1373" s="15" t="str">
        <f>_xlfn.TEXTBEFORE(_xlfn.TEXTAFTER(CantoralDB[[#This Row],[index.html]],"&gt;"),"&gt;")&amp;"&gt;"</f>
        <v>&lt;a href="canciones/nsb/oh_dios_tu_eres_mi_dios.html"&gt;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512</v>
      </c>
      <c r="C1374" s="1" t="s">
        <v>200</v>
      </c>
      <c r="D1374" s="1" t="s">
        <v>666</v>
      </c>
      <c r="G1374" s="1" t="s">
        <v>208</v>
      </c>
      <c r="H1374" s="1" t="s">
        <v>1029</v>
      </c>
      <c r="J1374" s="1" t="s">
        <v>607</v>
      </c>
      <c r="M1374" s="15" t="s">
        <v>2866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374" s="1" t="s">
        <v>848</v>
      </c>
      <c r="U1374" s="1"/>
      <c r="V1374" s="15"/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X1374" s="15" t="str">
        <f>_xlfn.TEXTBEFORE(_xlfn.TEXTAFTER(CantoralDB[[#This Row],[index.html]],"&gt;"),"&gt;")&amp;"&gt;"</f>
        <v>&lt;a href="canciones/nsb/oh_dios_tu_eres_mi_dios_(sed_de_dios).html"&gt;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13</v>
      </c>
      <c r="C1375" s="1" t="s">
        <v>193</v>
      </c>
      <c r="D1375" s="1" t="s">
        <v>1370</v>
      </c>
      <c r="E1375" s="1">
        <v>20</v>
      </c>
      <c r="F1375" s="1">
        <v>293</v>
      </c>
      <c r="G1375" s="1" t="s">
        <v>208</v>
      </c>
      <c r="H1375" s="1" t="s">
        <v>530</v>
      </c>
      <c r="J1375" s="1" t="s">
        <v>607</v>
      </c>
      <c r="M1375" s="15" t="s">
        <v>4607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data-author="Karen Lafferty" data-momento="Aleluya" data-nnew="E01" data-nold="20"&gt;&lt;a href="canciones/nsb/alelu-aleluya.html"&gt;Alelu-aleluya&lt;/a&gt;&lt;/li&gt;</v>
      </c>
      <c r="X1375" s="15" t="str">
        <f>_xlfn.TEXTBEFORE(_xlfn.TEXTAFTER(CantoralDB[[#This Row],[index.html]],"&gt;"),"&gt;")&amp;"&gt;"</f>
        <v>&lt;a href="canciones/nsb/alelu-aleluya.html"&gt;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126</v>
      </c>
      <c r="C1376" s="1" t="s">
        <v>992</v>
      </c>
      <c r="D1376" s="1" t="s">
        <v>1000</v>
      </c>
      <c r="E1376" s="1">
        <v>225</v>
      </c>
      <c r="G1376" s="1" t="s">
        <v>208</v>
      </c>
      <c r="H1376" s="1" t="s">
        <v>1029</v>
      </c>
      <c r="J1376" s="1" t="s">
        <v>607</v>
      </c>
      <c r="M1376" s="15" t="s">
        <v>577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376" s="15" t="str">
        <f>_xlfn.TEXTBEFORE(_xlfn.TEXTAFTER(CantoralDB[[#This Row],[index.html]],"&gt;"),"&gt;")&amp;"&gt;"</f>
        <v>&lt;a href="canciones/nsb/resucito_aleluya.html"&gt;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167</v>
      </c>
      <c r="C1377" s="1" t="s">
        <v>200</v>
      </c>
      <c r="D1377" s="1" t="s">
        <v>681</v>
      </c>
      <c r="E1377" s="1">
        <v>475</v>
      </c>
      <c r="F1377" s="1">
        <v>287</v>
      </c>
      <c r="G1377" s="1" t="s">
        <v>208</v>
      </c>
      <c r="H1377" s="1" t="s">
        <v>1029</v>
      </c>
      <c r="J1377" s="1" t="s">
        <v>607</v>
      </c>
      <c r="M1377" s="15" t="s">
        <v>587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377" s="1"/>
      <c r="U1377" s="1"/>
      <c r="V1377" s="32" t="s">
        <v>4569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X1377" s="15" t="str">
        <f>_xlfn.TEXTBEFORE(_xlfn.TEXTAFTER(CantoralDB[[#This Row],[index.html]],"&gt;"),"&gt;")&amp;"&gt;"</f>
        <v>&lt;a href="canciones/nsb/yo_celebrare.html"&gt;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29</v>
      </c>
      <c r="C1378" s="1" t="s">
        <v>193</v>
      </c>
      <c r="D1378" s="1" t="s">
        <v>989</v>
      </c>
      <c r="E1378" s="1">
        <v>413</v>
      </c>
      <c r="F1378" s="1">
        <v>152</v>
      </c>
      <c r="G1378" s="1" t="s">
        <v>208</v>
      </c>
      <c r="H1378" s="1" t="s">
        <v>530</v>
      </c>
      <c r="I1378" s="1" t="s">
        <v>2952</v>
      </c>
      <c r="J1378" s="1" t="s">
        <v>607</v>
      </c>
      <c r="M1378" s="15" t="s">
        <v>585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378" s="1"/>
      <c r="U1378" s="1"/>
      <c r="V1378" s="32" t="s">
        <v>4559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X1378" s="15" t="str">
        <f>_xlfn.TEXTBEFORE(_xlfn.TEXTAFTER(CantoralDB[[#This Row],[index.html]],"&gt;"),"&gt;")&amp;"&gt;"</f>
        <v>&lt;a href="canciones/nsb/canta_aleluya.html"&gt;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1254</v>
      </c>
      <c r="C1379" s="1"/>
      <c r="E1379" s="1">
        <v>123</v>
      </c>
      <c r="H1379" s="1" t="s">
        <v>1029</v>
      </c>
      <c r="J1379" s="1" t="s">
        <v>607</v>
      </c>
      <c r="M1379" s="15" t="s">
        <v>2869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379" s="1"/>
      <c r="U1379" s="1"/>
      <c r="V1379" s="32" t="s">
        <v>2983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379" s="15" t="str">
        <f>_xlfn.TEXTBEFORE(_xlfn.TEXTAFTER(CantoralDB[[#This Row],[index.html]],"&gt;"),"&gt;")&amp;"&gt;"</f>
        <v>&lt;a href="canciones/nsb/fe_no_es_aguardar.html"&gt;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1154</v>
      </c>
      <c r="C1380" s="1"/>
      <c r="E1380" s="1">
        <v>3</v>
      </c>
      <c r="H1380" s="1" t="s">
        <v>1026</v>
      </c>
      <c r="J1380" s="1" t="s">
        <v>607</v>
      </c>
      <c r="M1380" s="15" t="s">
        <v>2135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380" s="1"/>
      <c r="U1380" s="1"/>
      <c r="V1380" s="32" t="s">
        <v>3035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380" s="15" t="str">
        <f>_xlfn.TEXTBEFORE(_xlfn.TEXTAFTER(CantoralDB[[#This Row],[index.html]],"&gt;"),"&gt;")&amp;"&gt;"</f>
        <v>&lt;a href="canciones/nsb/acuerdate_de_jesucristo.html"&gt;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1163</v>
      </c>
      <c r="C1381" s="1" t="s">
        <v>198</v>
      </c>
      <c r="D1381" s="1" t="s">
        <v>1384</v>
      </c>
      <c r="E1381" s="1">
        <v>22</v>
      </c>
      <c r="G1381" s="1" t="s">
        <v>208</v>
      </c>
      <c r="H1381" s="1" t="s">
        <v>1027</v>
      </c>
      <c r="J1381" s="1" t="s">
        <v>607</v>
      </c>
      <c r="M1381" s="15" t="s">
        <v>2135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381" s="1" t="s">
        <v>805</v>
      </c>
      <c r="U1381" s="1"/>
      <c r="V1381" s="15"/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381" s="15" t="str">
        <f>_xlfn.TEXTBEFORE(_xlfn.TEXTAFTER(CantoralDB[[#This Row],[index.html]],"&gt;"),"&gt;")&amp;"&gt;"</f>
        <v>&lt;a href="canciones/nsb/anunciaremos_tu_reino_señor.html"&gt;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1296</v>
      </c>
      <c r="C1382" s="1"/>
      <c r="E1382" s="1">
        <v>194</v>
      </c>
      <c r="H1382" s="1" t="s">
        <v>530</v>
      </c>
      <c r="J1382" s="1" t="s">
        <v>607</v>
      </c>
      <c r="M1382" s="15" t="s">
        <v>2135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382" s="1"/>
      <c r="U1382" s="1"/>
      <c r="V1382" s="32" t="s">
        <v>2988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382" s="15" t="str">
        <f>_xlfn.TEXTBEFORE(_xlfn.TEXTAFTER(CantoralDB[[#This Row],[index.html]],"&gt;"),"&gt;")&amp;"&gt;"</f>
        <v>&lt;a href="canciones/nsb/oh_señor_envia_tu_espiritu.html"&gt;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1336</v>
      </c>
      <c r="C1383" s="1"/>
      <c r="E1383" s="1">
        <v>268</v>
      </c>
      <c r="H1383" s="1" t="s">
        <v>1029</v>
      </c>
      <c r="J1383" s="1" t="s">
        <v>607</v>
      </c>
      <c r="M1383" s="15" t="s">
        <v>2135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383" s="1"/>
      <c r="U1383" s="1"/>
      <c r="V1383" s="32" t="s">
        <v>2989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383" s="15" t="str">
        <f>_xlfn.TEXTBEFORE(_xlfn.TEXTAFTER(CantoralDB[[#This Row],[index.html]],"&gt;"),"&gt;")&amp;"&gt;"</f>
        <v>&lt;a href="canciones/nsb/un_solo_señor.html"&gt;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136</v>
      </c>
      <c r="C1384" s="1" t="s">
        <v>200</v>
      </c>
      <c r="D1384" s="1" t="s">
        <v>671</v>
      </c>
      <c r="E1384" s="1">
        <v>461</v>
      </c>
      <c r="G1384" s="1" t="s">
        <v>208</v>
      </c>
      <c r="H1384" s="1" t="s">
        <v>530</v>
      </c>
      <c r="I1384" s="1" t="s">
        <v>2952</v>
      </c>
      <c r="J1384" s="1" t="s">
        <v>607</v>
      </c>
      <c r="M1384" s="15" t="s">
        <v>507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384" s="1" t="s">
        <v>814</v>
      </c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384" s="15" t="str">
        <f>_xlfn.TEXTBEFORE(_xlfn.TEXTAFTER(CantoralDB[[#This Row],[index.html]],"&gt;"),"&gt;")&amp;"&gt;"</f>
        <v>&lt;a href="canciones/nsb/sois_la_sal.html"&gt;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22</v>
      </c>
      <c r="C1385" s="1" t="s">
        <v>992</v>
      </c>
      <c r="D1385" s="1" t="s">
        <v>1039</v>
      </c>
      <c r="E1385" s="1">
        <v>408</v>
      </c>
      <c r="G1385" s="1" t="s">
        <v>208</v>
      </c>
      <c r="H1385" s="1" t="s">
        <v>530</v>
      </c>
      <c r="I1385" s="1" t="s">
        <v>2953</v>
      </c>
      <c r="J1385" s="1" t="s">
        <v>607</v>
      </c>
      <c r="M1385" s="15" t="s">
        <v>541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385" s="1" t="s">
        <v>803</v>
      </c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385" s="15" t="str">
        <f>_xlfn.TEXTBEFORE(_xlfn.TEXTAFTER(CantoralDB[[#This Row],[index.html]],"&gt;"),"&gt;")&amp;"&gt;"</f>
        <v>&lt;a href="canciones/nsb/amando_hasta_el_extremo.html"&gt;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124</v>
      </c>
      <c r="C1386" s="1" t="s">
        <v>190</v>
      </c>
      <c r="D1386" s="1" t="s">
        <v>749</v>
      </c>
      <c r="E1386" s="1">
        <v>451</v>
      </c>
      <c r="F1386" s="1">
        <v>299</v>
      </c>
      <c r="G1386" s="1" t="s">
        <v>208</v>
      </c>
      <c r="H1386" s="1" t="s">
        <v>1026</v>
      </c>
      <c r="J1386" s="1" t="s">
        <v>607</v>
      </c>
      <c r="M1386" s="15" t="s">
        <v>489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X1386" s="15" t="str">
        <f>_xlfn.TEXTBEFORE(_xlfn.TEXTAFTER(CantoralDB[[#This Row],[index.html]],"&gt;"),"&gt;")&amp;"&gt;"</f>
        <v>&lt;a href="canciones/nsb/quiero_alabarte.html"&gt;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255</v>
      </c>
      <c r="C1387" s="1" t="s">
        <v>992</v>
      </c>
      <c r="D1387" s="1" t="s">
        <v>714</v>
      </c>
      <c r="G1387" s="1" t="s">
        <v>253</v>
      </c>
      <c r="H1387" s="1" t="s">
        <v>530</v>
      </c>
      <c r="I1387" s="1" t="s">
        <v>2952</v>
      </c>
      <c r="J1387" s="1" t="s">
        <v>607</v>
      </c>
      <c r="M1387" s="15" t="s">
        <v>632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387" s="1"/>
      <c r="U1387" s="1"/>
      <c r="V1387" s="15"/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387" s="15" t="str">
        <f>_xlfn.TEXTBEFORE(_xlfn.TEXTAFTER(CantoralDB[[#This Row],[index.html]],"&gt;"),"&gt;")&amp;"&gt;"</f>
        <v>&lt;a href="canciones/nsb/jesus_amigo.html"&gt;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556</v>
      </c>
      <c r="C1388" s="1" t="s">
        <v>200</v>
      </c>
      <c r="D1388" s="1" t="s">
        <v>672</v>
      </c>
      <c r="G1388" s="1" t="s">
        <v>552</v>
      </c>
      <c r="H1388" s="1" t="s">
        <v>530</v>
      </c>
      <c r="J1388" s="1" t="s">
        <v>607</v>
      </c>
      <c r="M1388" s="15" t="s">
        <v>612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388" s="1" t="s">
        <v>860</v>
      </c>
      <c r="U1388" s="1"/>
      <c r="V1388" s="15"/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388" s="15" t="str">
        <f>_xlfn.TEXTBEFORE(_xlfn.TEXTAFTER(CantoralDB[[#This Row],[index.html]],"&gt;"),"&gt;")&amp;"&gt;"</f>
        <v>&lt;a href="canciones/nsb/te_amo_señor.html"&gt;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229</v>
      </c>
      <c r="C1389" s="1" t="s">
        <v>992</v>
      </c>
      <c r="D1389" s="1" t="s">
        <v>998</v>
      </c>
      <c r="H1389" s="1" t="s">
        <v>1026</v>
      </c>
      <c r="J1389" s="1" t="s">
        <v>607</v>
      </c>
      <c r="M1389" s="15" t="s">
        <v>506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389" s="15" t="str">
        <f>_xlfn.TEXTBEFORE(_xlfn.TEXTAFTER(CantoralDB[[#This Row],[index.html]],"&gt;"),"&gt;")&amp;"&gt;"</f>
        <v>&lt;a href="canciones/nsb/quien_nos_separara.html"&gt;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1219</v>
      </c>
      <c r="C1390" s="1"/>
      <c r="E1390" s="1">
        <v>300</v>
      </c>
      <c r="H1390" s="1" t="s">
        <v>1027</v>
      </c>
      <c r="J1390" s="1" t="s">
        <v>607</v>
      </c>
      <c r="M1390" s="15" t="s">
        <v>2906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390" s="15" t="str">
        <f>_xlfn.TEXTBEFORE(_xlfn.TEXTAFTER(CantoralDB[[#This Row],[index.html]],"&gt;"),"&gt;")&amp;"&gt;"</f>
        <v>&lt;a href="canciones/nsb/adios_adios_amigos.html"&gt;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96</v>
      </c>
      <c r="C1391" s="1" t="s">
        <v>992</v>
      </c>
      <c r="D1391" s="1" t="s">
        <v>720</v>
      </c>
      <c r="E1391" s="1">
        <v>439</v>
      </c>
      <c r="F1391" s="1">
        <v>328</v>
      </c>
      <c r="G1391" s="1" t="s">
        <v>208</v>
      </c>
      <c r="H1391" s="1" t="s">
        <v>530</v>
      </c>
      <c r="J1391" s="1" t="s">
        <v>607</v>
      </c>
      <c r="M1391" s="15" t="s">
        <v>574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391" s="1" t="s">
        <v>845</v>
      </c>
      <c r="U1391" s="1"/>
      <c r="V1391" s="32" t="s">
        <v>4554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X1391" s="15" t="str">
        <f>_xlfn.TEXTBEFORE(_xlfn.TEXTAFTER(CantoralDB[[#This Row],[index.html]],"&gt;"),"&gt;")&amp;"&gt;"</f>
        <v>&lt;a href="canciones/nsb/nadie_te_ama_como_yo.html"&gt;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1179</v>
      </c>
      <c r="C1392" s="1"/>
      <c r="E1392" s="1">
        <v>49</v>
      </c>
      <c r="J1392" s="1"/>
      <c r="M1392" s="15" t="s">
        <v>2877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392" s="1"/>
      <c r="U1392" s="1"/>
      <c r="V1392" s="15"/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392" s="15" t="str">
        <f>_xlfn.TEXTBEFORE(_xlfn.TEXTAFTER(CantoralDB[[#This Row],[index.html]],"&gt;"),"&gt;")&amp;"&gt;"</f>
        <v>&lt;a href="canciones/nsb/cristiano_es_vivir.html"&gt;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1202</v>
      </c>
      <c r="C1393" s="1"/>
      <c r="E1393" s="1">
        <v>80</v>
      </c>
      <c r="J1393" s="1"/>
      <c r="M1393" s="15" t="s">
        <v>2877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393" s="1"/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393" s="15" t="str">
        <f>_xlfn.TEXTBEFORE(_xlfn.TEXTAFTER(CantoralDB[[#This Row],[index.html]],"&gt;"),"&gt;")&amp;"&gt;"</f>
        <v>&lt;a href="canciones/nsb/depende_de_ti_y_de_mi.html"&gt;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1307</v>
      </c>
      <c r="C1394" s="1"/>
      <c r="E1394" s="1">
        <v>218</v>
      </c>
      <c r="J1394" s="1"/>
      <c r="M1394" s="15" t="s">
        <v>2877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394" s="15" t="str">
        <f>_xlfn.TEXTBEFORE(_xlfn.TEXTAFTER(CantoralDB[[#This Row],[index.html]],"&gt;"),"&gt;")&amp;"&gt;"</f>
        <v>&lt;a href="canciones/nsb/quien_mas_amigo_que_tu.html"&gt;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72</v>
      </c>
      <c r="C1395" s="1" t="s">
        <v>199</v>
      </c>
      <c r="D1395" s="1" t="s">
        <v>1427</v>
      </c>
      <c r="E1395" s="1">
        <v>428</v>
      </c>
      <c r="G1395" s="1" t="s">
        <v>208</v>
      </c>
      <c r="H1395" s="1" t="s">
        <v>530</v>
      </c>
      <c r="I1395" s="1" t="s">
        <v>2952</v>
      </c>
      <c r="J1395" s="1" t="s">
        <v>607</v>
      </c>
      <c r="M1395" s="15" t="s">
        <v>257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395" s="1" t="s">
        <v>835</v>
      </c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395" s="15" t="str">
        <f>_xlfn.TEXTBEFORE(_xlfn.TEXTAFTER(CantoralDB[[#This Row],[index.html]],"&gt;"),"&gt;")&amp;"&gt;"</f>
        <v>&lt;a href="canciones/nsb/hagase.html"&gt;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533</v>
      </c>
      <c r="C1396" s="1" t="s">
        <v>199</v>
      </c>
      <c r="D1396" s="1" t="s">
        <v>1043</v>
      </c>
      <c r="G1396" s="1" t="s">
        <v>257</v>
      </c>
      <c r="H1396" s="1" t="s">
        <v>530</v>
      </c>
      <c r="I1396" s="1" t="s">
        <v>2950</v>
      </c>
      <c r="J1396" s="1" t="s">
        <v>607</v>
      </c>
      <c r="M1396" s="15" t="s">
        <v>257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396" s="15" t="str">
        <f>_xlfn.TEXTBEFORE(_xlfn.TEXTAFTER(CantoralDB[[#This Row],[index.html]],"&gt;"),"&gt;")&amp;"&gt;"</f>
        <v>&lt;a href="canciones/nsb/maria_de_nazaret.html"&gt;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99</v>
      </c>
      <c r="C1397" s="1" t="s">
        <v>197</v>
      </c>
      <c r="D1397" s="1" t="s">
        <v>1441</v>
      </c>
      <c r="E1397" s="1">
        <v>442</v>
      </c>
      <c r="G1397" s="1" t="s">
        <v>208</v>
      </c>
      <c r="H1397" s="1" t="s">
        <v>1028</v>
      </c>
      <c r="J1397" s="1" t="s">
        <v>607</v>
      </c>
      <c r="M1397" s="15" t="s">
        <v>257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397" s="15" t="str">
        <f>_xlfn.TEXTBEFORE(_xlfn.TEXTAFTER(CantoralDB[[#This Row],[index.html]],"&gt;"),"&gt;")&amp;"&gt;"</f>
        <v>&lt;a href="canciones/nsb/no_se_canso_de_hacer_el_bien.html"&gt;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256</v>
      </c>
      <c r="C1398" s="1" t="s">
        <v>200</v>
      </c>
      <c r="D1398" s="1" t="s">
        <v>680</v>
      </c>
      <c r="G1398" s="1" t="s">
        <v>257</v>
      </c>
      <c r="H1398" s="1" t="s">
        <v>1026</v>
      </c>
      <c r="J1398" s="1" t="s">
        <v>607</v>
      </c>
      <c r="M1398" s="15" t="s">
        <v>257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398" s="1"/>
      <c r="U1398" s="1"/>
      <c r="V1398" s="15"/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398" s="15" t="str">
        <f>_xlfn.TEXTBEFORE(_xlfn.TEXTAFTER(CantoralDB[[#This Row],[index.html]],"&gt;"),"&gt;")&amp;"&gt;"</f>
        <v>&lt;a href="canciones/nsb/yendo_contigo.html"&gt;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1188</v>
      </c>
      <c r="C1399" s="1"/>
      <c r="E1399" s="1">
        <v>61</v>
      </c>
      <c r="H1399" s="1" t="s">
        <v>530</v>
      </c>
      <c r="J1399" s="1" t="s">
        <v>607</v>
      </c>
      <c r="M1399" s="15" t="s">
        <v>2079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399" s="1"/>
      <c r="U1399" s="1"/>
      <c r="V1399" s="15"/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399" s="15" t="str">
        <f>_xlfn.TEXTBEFORE(_xlfn.TEXTAFTER(CantoralDB[[#This Row],[index.html]],"&gt;"),"&gt;")&amp;"&gt;"</f>
        <v>&lt;a href="canciones/nsb/creo_señor_firmemente.html"&gt;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1285</v>
      </c>
      <c r="C1400" s="1"/>
      <c r="E1400" s="1">
        <v>176</v>
      </c>
      <c r="H1400" s="1" t="s">
        <v>472</v>
      </c>
      <c r="J1400" s="1" t="s">
        <v>607</v>
      </c>
      <c r="M1400" s="15" t="s">
        <v>2079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00" s="1"/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00" s="15" t="str">
        <f>_xlfn.TEXTBEFORE(_xlfn.TEXTAFTER(CantoralDB[[#This Row],[index.html]],"&gt;"),"&gt;")&amp;"&gt;"</f>
        <v>&lt;a href="canciones/nsb/no_hay_cosa_mas_bonita_que_mirar.html"&gt;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1340</v>
      </c>
      <c r="C1401" s="1"/>
      <c r="E1401" s="1">
        <v>279</v>
      </c>
      <c r="J1401" s="1"/>
      <c r="M1401" s="15" t="s">
        <v>2079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01" s="15" t="str">
        <f>_xlfn.TEXTBEFORE(_xlfn.TEXTAFTER(CantoralDB[[#This Row],[index.html]],"&gt;"),"&gt;")&amp;"&gt;"</f>
        <v>&lt;a href="canciones/nsb/vamos_a_la_cena.html"&gt;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526</v>
      </c>
      <c r="C1402" s="1" t="s">
        <v>195</v>
      </c>
      <c r="D1402" s="1" t="s">
        <v>776</v>
      </c>
      <c r="E1402" s="1">
        <v>231</v>
      </c>
      <c r="G1402" s="1" t="s">
        <v>208</v>
      </c>
      <c r="H1402" s="1" t="s">
        <v>1026</v>
      </c>
      <c r="I1402" s="1" t="s">
        <v>2952</v>
      </c>
      <c r="J1402" s="1" t="s">
        <v>607</v>
      </c>
      <c r="M1402" s="15" t="s">
        <v>517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02" s="15" t="str">
        <f>_xlfn.TEXTBEFORE(_xlfn.TEXTAFTER(CantoralDB[[#This Row],[index.html]],"&gt;"),"&gt;")&amp;"&gt;"</f>
        <v>&lt;a href="canciones/nsb/santo_salvadoreño.html"&gt;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158</v>
      </c>
      <c r="C1403" s="1" t="s">
        <v>190</v>
      </c>
      <c r="D1403" s="1" t="s">
        <v>757</v>
      </c>
      <c r="E1403" s="1">
        <v>285</v>
      </c>
      <c r="G1403" s="1" t="s">
        <v>208</v>
      </c>
      <c r="H1403" s="1" t="s">
        <v>1029</v>
      </c>
      <c r="J1403" s="1" t="s">
        <v>607</v>
      </c>
      <c r="M1403" s="15" t="s">
        <v>517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03" s="15" t="str">
        <f>_xlfn.TEXTBEFORE(_xlfn.TEXTAFTER(CantoralDB[[#This Row],[index.html]],"&gt;"),"&gt;")&amp;"&gt;"</f>
        <v>&lt;a href="canciones/nsb/vamos_todos_al_banquete.html"&gt;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621</v>
      </c>
      <c r="C1404" s="1" t="s">
        <v>201</v>
      </c>
      <c r="D1404" s="1" t="s">
        <v>1405</v>
      </c>
      <c r="G1404" s="1" t="s">
        <v>552</v>
      </c>
      <c r="H1404" s="1" t="s">
        <v>530</v>
      </c>
      <c r="J1404" s="1" t="s">
        <v>607</v>
      </c>
      <c r="M1404" s="15" t="s">
        <v>622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04" s="15" t="str">
        <f>_xlfn.TEXTBEFORE(_xlfn.TEXTAFTER(CantoralDB[[#This Row],[index.html]],"&gt;"),"&gt;")&amp;"&gt;"</f>
        <v>&lt;a href="canciones/nsb/cordero_de_dios_(mies).html"&gt;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231</v>
      </c>
      <c r="C1405" s="1" t="s">
        <v>195</v>
      </c>
      <c r="D1405" s="1" t="s">
        <v>1465</v>
      </c>
      <c r="G1405" s="1" t="s">
        <v>215</v>
      </c>
      <c r="H1405" s="1" t="s">
        <v>530</v>
      </c>
      <c r="J1405" s="1" t="s">
        <v>607</v>
      </c>
      <c r="M1405" s="15" t="s">
        <v>523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05" s="1"/>
      <c r="U1405" s="1"/>
      <c r="V1405" s="15"/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05" s="15" t="str">
        <f>_xlfn.TEXTBEFORE(_xlfn.TEXTAFTER(CantoralDB[[#This Row],[index.html]],"&gt;"),"&gt;")&amp;"&gt;"</f>
        <v>&lt;a href="canciones/nsb/santo_(mocedades).html"&gt;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14</v>
      </c>
      <c r="C1406" s="1" t="s">
        <v>193</v>
      </c>
      <c r="D1406" s="1" t="s">
        <v>1372</v>
      </c>
      <c r="E1406" s="1">
        <v>403</v>
      </c>
      <c r="G1406" s="1" t="s">
        <v>208</v>
      </c>
      <c r="H1406" s="1" t="s">
        <v>1028</v>
      </c>
      <c r="J1406" s="1" t="s">
        <v>607</v>
      </c>
      <c r="M1406" s="15" t="s">
        <v>510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06" s="15" t="str">
        <f>_xlfn.TEXTBEFORE(_xlfn.TEXTAFTER(CantoralDB[[#This Row],[index.html]],"&gt;"),"&gt;")&amp;"&gt;"</f>
        <v>&lt;a href="canciones/nsb/aleluya_(santiago).html"&gt;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2379</v>
      </c>
      <c r="C1407" s="1" t="s">
        <v>200</v>
      </c>
      <c r="D1407" s="1" t="s">
        <v>652</v>
      </c>
      <c r="F1407" s="1">
        <v>443</v>
      </c>
      <c r="G1407" s="1" t="s">
        <v>208</v>
      </c>
      <c r="H1407" s="1" t="s">
        <v>530</v>
      </c>
      <c r="J1407" s="1" t="s">
        <v>607</v>
      </c>
      <c r="M1407" s="15" t="s">
        <v>510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07" s="1" t="s">
        <v>826</v>
      </c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X1407" s="15" t="str">
        <f>_xlfn.TEXTBEFORE(_xlfn.TEXTAFTER(CantoralDB[[#This Row],[index.html]],"&gt;"),"&gt;")&amp;"&gt;"</f>
        <v>&lt;a href="canciones/nsb/el_señor_es_mi_pastor_(nico_montero).html"&gt;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187</v>
      </c>
      <c r="C1408" s="1" t="s">
        <v>190</v>
      </c>
      <c r="D1408" s="1" t="s">
        <v>753</v>
      </c>
      <c r="G1408" s="1" t="s">
        <v>208</v>
      </c>
      <c r="H1408" s="1" t="s">
        <v>1026</v>
      </c>
      <c r="I1408" s="1" t="s">
        <v>2951</v>
      </c>
      <c r="J1408" s="1" t="s">
        <v>607</v>
      </c>
      <c r="M1408" s="15" t="s">
        <v>491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08" s="1" t="s">
        <v>866</v>
      </c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08" s="15" t="str">
        <f>_xlfn.TEXTBEFORE(_xlfn.TEXTAFTER(CantoralDB[[#This Row],[index.html]],"&gt;"),"&gt;")&amp;"&gt;"</f>
        <v>&lt;a href="canciones/nsb/una_voz_clama_en_el_desierto.html"&gt;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71</v>
      </c>
      <c r="C1409" s="1" t="s">
        <v>200</v>
      </c>
      <c r="D1409" s="1" t="s">
        <v>656</v>
      </c>
      <c r="E1409" s="1">
        <v>124</v>
      </c>
      <c r="G1409" s="1" t="s">
        <v>208</v>
      </c>
      <c r="H1409" s="1" t="s">
        <v>530</v>
      </c>
      <c r="I1409" s="1" t="s">
        <v>2952</v>
      </c>
      <c r="J1409" s="1" t="s">
        <v>607</v>
      </c>
      <c r="M1409" s="15" t="s">
        <v>2087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09" s="1" t="s">
        <v>834</v>
      </c>
      <c r="U1409" s="1"/>
      <c r="V1409" s="15"/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09" s="15" t="str">
        <f>_xlfn.TEXTBEFORE(_xlfn.TEXTAFTER(CantoralDB[[#This Row],[index.html]],"&gt;"),"&gt;")&amp;"&gt;"</f>
        <v>&lt;a href="canciones/nsb/gritad_que_dios_es_grande.html"&gt;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1269</v>
      </c>
      <c r="C1410" s="1"/>
      <c r="E1410" s="1">
        <v>150</v>
      </c>
      <c r="H1410" s="1" t="s">
        <v>472</v>
      </c>
      <c r="J1410" s="1" t="s">
        <v>607</v>
      </c>
      <c r="M1410" s="15" t="s">
        <v>2087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10" s="15" t="str">
        <f>_xlfn.TEXTBEFORE(_xlfn.TEXTAFTER(CantoralDB[[#This Row],[index.html]],"&gt;"),"&gt;")&amp;"&gt;"</f>
        <v>&lt;a href="canciones/nsb/la_noticia_es_amor.html"&gt;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567</v>
      </c>
      <c r="C1411" s="1" t="s">
        <v>194</v>
      </c>
      <c r="D1411" s="1" t="s">
        <v>764</v>
      </c>
      <c r="G1411" s="1" t="s">
        <v>552</v>
      </c>
      <c r="H1411" s="1" t="s">
        <v>1029</v>
      </c>
      <c r="I1411" s="1" t="s">
        <v>2953</v>
      </c>
      <c r="J1411" s="1" t="s">
        <v>607</v>
      </c>
      <c r="M1411" s="15" t="s">
        <v>616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11" s="1"/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11" s="15" t="str">
        <f>_xlfn.TEXTBEFORE(_xlfn.TEXTAFTER(CantoralDB[[#This Row],[index.html]],"&gt;"),"&gt;")&amp;"&gt;"</f>
        <v>&lt;a href="canciones/nsb/juntos_nos_acercamos.html"&gt;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551</v>
      </c>
      <c r="C1412" s="1" t="s">
        <v>194</v>
      </c>
      <c r="D1412" s="1" t="s">
        <v>1385</v>
      </c>
      <c r="G1412" s="1" t="s">
        <v>552</v>
      </c>
      <c r="H1412" s="1" t="s">
        <v>1029</v>
      </c>
      <c r="J1412" s="1" t="s">
        <v>607</v>
      </c>
      <c r="M1412" s="15" t="s">
        <v>793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12" s="1"/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12" s="15" t="str">
        <f>_xlfn.TEXTBEFORE(_xlfn.TEXTAFTER(CantoralDB[[#This Row],[index.html]],"&gt;"),"&gt;")&amp;"&gt;"</f>
        <v>&lt;a href="canciones/nsb/aqui_tienes_el_pan.html"&gt;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73</v>
      </c>
      <c r="C1413" s="1" t="s">
        <v>992</v>
      </c>
      <c r="D1413" s="1" t="s">
        <v>707</v>
      </c>
      <c r="E1413" s="1">
        <v>429</v>
      </c>
      <c r="G1413" s="1" t="s">
        <v>208</v>
      </c>
      <c r="H1413" s="1" t="s">
        <v>1028</v>
      </c>
      <c r="J1413" s="1" t="s">
        <v>607</v>
      </c>
      <c r="M1413" s="15" t="s">
        <v>631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13" s="15" t="str">
        <f>_xlfn.TEXTBEFORE(_xlfn.TEXTAFTER(CantoralDB[[#This Row],[index.html]],"&gt;"),"&gt;")&amp;"&gt;"</f>
        <v>&lt;a href="canciones/nsb/hay_un_corazon_que_late.html"&gt;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591</v>
      </c>
      <c r="C1414" s="1" t="s">
        <v>992</v>
      </c>
      <c r="D1414" s="1" t="s">
        <v>1033</v>
      </c>
      <c r="G1414" s="1" t="s">
        <v>532</v>
      </c>
      <c r="H1414" s="1" t="s">
        <v>1026</v>
      </c>
      <c r="J1414" s="1" t="s">
        <v>607</v>
      </c>
      <c r="M1414" s="15" t="s">
        <v>623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14" s="15" t="str">
        <f>_xlfn.TEXTBEFORE(_xlfn.TEXTAFTER(CantoralDB[[#This Row],[index.html]],"&gt;"),"&gt;")&amp;"&gt;"</f>
        <v>&lt;a href="canciones/nsb/adorando.html"&gt;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261</v>
      </c>
      <c r="C1415" s="1" t="s">
        <v>196</v>
      </c>
      <c r="D1415" s="1" t="s">
        <v>1445</v>
      </c>
      <c r="G1415" s="1" t="s">
        <v>262</v>
      </c>
      <c r="H1415" s="1" t="s">
        <v>1029</v>
      </c>
      <c r="J1415" s="1" t="s">
        <v>607</v>
      </c>
      <c r="M1415" s="15" t="s">
        <v>535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15" s="1"/>
      <c r="U1415" s="1"/>
      <c r="V1415" s="15"/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15" s="15" t="str">
        <f>_xlfn.TEXTBEFORE(_xlfn.TEXTAFTER(CantoralDB[[#This Row],[index.html]],"&gt;"),"&gt;")&amp;"&gt;"</f>
        <v>&lt;a href="canciones/nsb/padre_nuestro_zaragozano.html"&gt;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3</v>
      </c>
      <c r="C1416" s="1" t="s">
        <v>200</v>
      </c>
      <c r="D1416" s="1" t="s">
        <v>1361</v>
      </c>
      <c r="E1416" s="1">
        <v>28</v>
      </c>
      <c r="G1416" s="1" t="s">
        <v>208</v>
      </c>
      <c r="H1416" s="1" t="s">
        <v>1026</v>
      </c>
      <c r="J1416" s="1" t="s">
        <v>607</v>
      </c>
      <c r="M1416" s="15" t="s">
        <v>497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16" s="1"/>
      <c r="U1416" s="1"/>
      <c r="V1416" s="15"/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16" s="15" t="str">
        <f>_xlfn.TEXTBEFORE(_xlfn.TEXTAFTER(CantoralDB[[#This Row],[index.html]],"&gt;"),"&gt;")&amp;"&gt;"</f>
        <v>&lt;a href="canciones/nsb/a_ti_acudo.html"&gt;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30</v>
      </c>
      <c r="C1417" s="1" t="s">
        <v>200</v>
      </c>
      <c r="D1417" s="1" t="s">
        <v>1394</v>
      </c>
      <c r="E1417" s="1">
        <v>45</v>
      </c>
      <c r="G1417" s="1" t="s">
        <v>208</v>
      </c>
      <c r="H1417" s="1" t="s">
        <v>1029</v>
      </c>
      <c r="J1417" s="1" t="s">
        <v>607</v>
      </c>
      <c r="M1417" s="15" t="s">
        <v>497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17" s="1" t="s">
        <v>811</v>
      </c>
      <c r="U1417" s="1"/>
      <c r="V1417" s="15"/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17" s="15" t="str">
        <f>_xlfn.TEXTBEFORE(_xlfn.TEXTAFTER(CantoralDB[[#This Row],[index.html]],"&gt;"),"&gt;")&amp;"&gt;"</f>
        <v>&lt;a href="canciones/nsb/cantad_a_dios.html"&gt;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1257</v>
      </c>
      <c r="C1418" s="1"/>
      <c r="E1418" s="1">
        <v>129</v>
      </c>
      <c r="J1418" s="1"/>
      <c r="M1418" s="15" t="s">
        <v>497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18" s="15" t="str">
        <f>_xlfn.TEXTBEFORE(_xlfn.TEXTAFTER(CantoralDB[[#This Row],[index.html]],"&gt;"),"&gt;")&amp;"&gt;"</f>
        <v>&lt;a href="canciones/nsb/gracias_señor_por_mis_hermanos.html"&gt;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2115</v>
      </c>
      <c r="C1419" s="1"/>
      <c r="E1419" s="1">
        <v>162</v>
      </c>
      <c r="H1419" s="1" t="s">
        <v>1029</v>
      </c>
      <c r="J1419" s="1" t="s">
        <v>607</v>
      </c>
      <c r="M1419" s="15" t="s">
        <v>497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19" s="1"/>
      <c r="U1419" s="1"/>
      <c r="V1419" s="32" t="s">
        <v>2986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19" s="15" t="str">
        <f>_xlfn.TEXTBEFORE(_xlfn.TEXTAFTER(CantoralDB[[#This Row],[index.html]],"&gt;"),"&gt;")&amp;"&gt;"</f>
        <v>&lt;a href="canciones/nsb/maria_fuiste_siempre_pobre_de_yahve.html"&gt;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1280</v>
      </c>
      <c r="C1420" s="1"/>
      <c r="E1420" s="1">
        <v>169</v>
      </c>
      <c r="H1420" s="1" t="s">
        <v>1026</v>
      </c>
      <c r="J1420" s="1" t="s">
        <v>607</v>
      </c>
      <c r="M1420" s="15" t="s">
        <v>497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20" s="1"/>
      <c r="U1420" s="1"/>
      <c r="V1420" s="32" t="s">
        <v>2987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20" s="15" t="str">
        <f>_xlfn.TEXTBEFORE(_xlfn.TEXTAFTER(CantoralDB[[#This Row],[index.html]],"&gt;"),"&gt;")&amp;"&gt;"</f>
        <v>&lt;a href="canciones/nsb/nacera_una_nueva_hermandad.html"&gt;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144</v>
      </c>
      <c r="C1421" s="1" t="s">
        <v>992</v>
      </c>
      <c r="D1421" s="1" t="s">
        <v>1011</v>
      </c>
      <c r="E1421" s="1">
        <v>310</v>
      </c>
      <c r="F1421" s="1">
        <v>73</v>
      </c>
      <c r="G1421" s="1" t="s">
        <v>208</v>
      </c>
      <c r="H1421" s="1" t="s">
        <v>1029</v>
      </c>
      <c r="J1421" s="1" t="s">
        <v>607</v>
      </c>
      <c r="M1421" s="15" t="s">
        <v>579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21" s="1" t="s">
        <v>864</v>
      </c>
      <c r="U1421" s="1"/>
      <c r="V1421" s="15"/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X1421" s="15" t="str">
        <f>_xlfn.TEXTBEFORE(_xlfn.TEXTAFTER(CantoralDB[[#This Row],[index.html]],"&gt;"),"&gt;")&amp;"&gt;"</f>
        <v>&lt;a href="canciones/nsb/tomado_de_la_mano.html"&gt;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4</v>
      </c>
      <c r="C1422" s="1" t="s">
        <v>199</v>
      </c>
      <c r="D1422" s="1" t="s">
        <v>1362</v>
      </c>
      <c r="E1422" s="1">
        <v>31</v>
      </c>
      <c r="G1422" s="1" t="s">
        <v>208</v>
      </c>
      <c r="H1422" s="1" t="s">
        <v>530</v>
      </c>
      <c r="J1422" s="1" t="s">
        <v>607</v>
      </c>
      <c r="M1422" s="15" t="s">
        <v>568</v>
      </c>
      <c r="O1422" s="15"/>
      <c r="P1422" s="15"/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22" s="1"/>
      <c r="U1422" s="1"/>
      <c r="V1422" s="15"/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22" s="15" t="str">
        <f>_xlfn.TEXTBEFORE(_xlfn.TEXTAFTER(CantoralDB[[#This Row],[index.html]],"&gt;"),"&gt;")&amp;"&gt;"</f>
        <v>&lt;a href="canciones/nsb/a_ti_que_eres_el_signo.html"&gt;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1182</v>
      </c>
      <c r="C1423" s="1"/>
      <c r="E1423" s="1">
        <v>54</v>
      </c>
      <c r="H1423" s="1" t="s">
        <v>530</v>
      </c>
      <c r="J1423" s="1" t="s">
        <v>607</v>
      </c>
      <c r="M1423" s="15" t="s">
        <v>568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23" s="1"/>
      <c r="U1423" s="1"/>
      <c r="V1423" s="15"/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23" s="15" t="str">
        <f>_xlfn.TEXTBEFORE(_xlfn.TEXTAFTER(CantoralDB[[#This Row],[index.html]],"&gt;"),"&gt;")&amp;"&gt;"</f>
        <v>&lt;a href="canciones/nsb/como_lo_habia_anunciado.html"&gt;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1278</v>
      </c>
      <c r="C1424" s="1"/>
      <c r="E1424" s="1">
        <v>165</v>
      </c>
      <c r="J1424" s="1" t="s">
        <v>607</v>
      </c>
      <c r="L1424" s="1" t="s">
        <v>2959</v>
      </c>
      <c r="M1424" s="15" t="s">
        <v>568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24" s="1"/>
      <c r="U1424" s="1"/>
      <c r="V1424" s="15"/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24" s="15" t="str">
        <f>_xlfn.TEXTBEFORE(_xlfn.TEXTAFTER(CantoralDB[[#This Row],[index.html]],"&gt;"),"&gt;")&amp;"&gt;"</f>
        <v>&lt;a href="canciones/nsb/maria_guardabas_todo.html"&gt;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1344</v>
      </c>
      <c r="C1425" s="1"/>
      <c r="E1425" s="1">
        <v>288</v>
      </c>
      <c r="J1425" s="1"/>
      <c r="M1425" s="15" t="s">
        <v>568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25" s="1"/>
      <c r="U1425" s="1"/>
      <c r="V1425" s="15"/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25" s="15" t="str">
        <f>_xlfn.TEXTBEFORE(_xlfn.TEXTAFTER(CantoralDB[[#This Row],[index.html]],"&gt;"),"&gt;")&amp;"&gt;"</f>
        <v>&lt;a href="canciones/nsb/veo_en_tus_ojos_maria.html"&gt;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80</v>
      </c>
      <c r="C1426" s="1" t="s">
        <v>992</v>
      </c>
      <c r="D1426" s="1" t="s">
        <v>713</v>
      </c>
      <c r="E1426" s="1">
        <v>141</v>
      </c>
      <c r="F1426" s="1">
        <v>112</v>
      </c>
      <c r="G1426" s="1" t="s">
        <v>208</v>
      </c>
      <c r="H1426" s="1" t="s">
        <v>1027</v>
      </c>
      <c r="J1426" s="1" t="s">
        <v>607</v>
      </c>
      <c r="M1426" s="15" t="s">
        <v>2169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26" s="1"/>
      <c r="U1426" s="1"/>
      <c r="V1426" s="15"/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X1426" s="15" t="str">
        <f>_xlfn.TEXTBEFORE(_xlfn.TEXTAFTER(CantoralDB[[#This Row],[index.html]],"&gt;"),"&gt;")&amp;"&gt;"</f>
        <v>&lt;a href="canciones/nsb/iluminame_señor.html"&gt;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93</v>
      </c>
      <c r="C1427" s="1" t="s">
        <v>191</v>
      </c>
      <c r="D1427" s="1" t="s">
        <v>1440</v>
      </c>
      <c r="E1427" s="1">
        <v>168</v>
      </c>
      <c r="F1427" s="1" t="s">
        <v>2486</v>
      </c>
      <c r="G1427" s="1" t="s">
        <v>208</v>
      </c>
      <c r="H1427" s="1" t="s">
        <v>1026</v>
      </c>
      <c r="J1427" s="1" t="s">
        <v>607</v>
      </c>
      <c r="M1427" s="15" t="s">
        <v>2169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27" s="1"/>
      <c r="U1427" s="1"/>
      <c r="V1427" s="32" t="s">
        <v>4441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X1427" s="15" t="str">
        <f>_xlfn.TEXTBEFORE(_xlfn.TEXTAFTER(CantoralDB[[#This Row],[index.html]],"&gt;"),"&gt;")&amp;"&gt;"</f>
        <v>&lt;a href="canciones/nsb/mi_dios_esta_vivo.html"&gt;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70</v>
      </c>
      <c r="C1428" s="1" t="s">
        <v>198</v>
      </c>
      <c r="D1428" s="1" t="s">
        <v>1426</v>
      </c>
      <c r="E1428" s="1">
        <v>427</v>
      </c>
      <c r="G1428" s="1" t="s">
        <v>212</v>
      </c>
      <c r="H1428" s="1" t="s">
        <v>530</v>
      </c>
      <c r="J1428" s="1" t="s">
        <v>607</v>
      </c>
      <c r="M1428" s="15" t="s">
        <v>633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28" s="1"/>
      <c r="U1428" s="1"/>
      <c r="V1428" s="15"/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28" s="15" t="str">
        <f>_xlfn.TEXTBEFORE(_xlfn.TEXTAFTER(CantoralDB[[#This Row],[index.html]],"&gt;"),"&gt;")&amp;"&gt;"</f>
        <v>&lt;a href="canciones/nsb/gracias_señor.html"&gt;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176</v>
      </c>
      <c r="C1429" s="1" t="s">
        <v>992</v>
      </c>
      <c r="D1429" s="1" t="s">
        <v>692</v>
      </c>
      <c r="G1429" s="1" t="s">
        <v>208</v>
      </c>
      <c r="H1429" s="1" t="s">
        <v>472</v>
      </c>
      <c r="J1429" s="1" t="s">
        <v>607</v>
      </c>
      <c r="M1429" s="15" t="s">
        <v>572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29" s="1"/>
      <c r="U1429" s="1"/>
      <c r="V1429" s="15"/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29" s="15" t="str">
        <f>_xlfn.TEXTBEFORE(_xlfn.TEXTAFTER(CantoralDB[[#This Row],[index.html]],"&gt;"),"&gt;")&amp;"&gt;"</f>
        <v>&lt;a href="canciones/nsb/dime_como_ser_pan.html"&gt;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175</v>
      </c>
      <c r="C1430" s="1" t="s">
        <v>992</v>
      </c>
      <c r="D1430" s="1" t="s">
        <v>686</v>
      </c>
      <c r="G1430" s="1" t="s">
        <v>208</v>
      </c>
      <c r="H1430" s="1" t="s">
        <v>1026</v>
      </c>
      <c r="J1430" s="1" t="s">
        <v>607</v>
      </c>
      <c r="M1430" s="15" t="s">
        <v>570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30" s="1"/>
      <c r="U1430" s="1"/>
      <c r="V1430" s="15"/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30" s="15" t="str">
        <f>_xlfn.TEXTBEFORE(_xlfn.TEXTAFTER(CantoralDB[[#This Row],[index.html]],"&gt;"),"&gt;")&amp;"&gt;"</f>
        <v>&lt;a href="canciones/nsb/cerca_de_ti_señor.html"&gt;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106</v>
      </c>
      <c r="C1431" s="1" t="s">
        <v>196</v>
      </c>
      <c r="D1431" s="1" t="s">
        <v>1447</v>
      </c>
      <c r="E1431" s="1">
        <v>198</v>
      </c>
      <c r="F1431" s="1">
        <v>203</v>
      </c>
      <c r="G1431" s="1" t="s">
        <v>208</v>
      </c>
      <c r="H1431" s="1" t="s">
        <v>530</v>
      </c>
      <c r="I1431" s="1" t="s">
        <v>2952</v>
      </c>
      <c r="J1431" s="1" t="s">
        <v>607</v>
      </c>
      <c r="M1431" s="15" t="s">
        <v>2868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31" s="1"/>
      <c r="U1431" s="1"/>
      <c r="V1431" s="32" t="s">
        <v>4452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X1431" s="15" t="str">
        <f>_xlfn.TEXTBEFORE(_xlfn.TEXTAFTER(CantoralDB[[#This Row],[index.html]],"&gt;"),"&gt;")&amp;"&gt;"</f>
        <v>&lt;a href="canciones/nsb/padre_nuestro_tu_que_estas.html"&gt;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555</v>
      </c>
      <c r="C1432" s="1" t="s">
        <v>200</v>
      </c>
      <c r="D1432" s="1" t="s">
        <v>670</v>
      </c>
      <c r="G1432" s="1" t="s">
        <v>552</v>
      </c>
      <c r="H1432" s="1" t="s">
        <v>1026</v>
      </c>
      <c r="J1432" s="1" t="s">
        <v>607</v>
      </c>
      <c r="M1432" s="15" t="s">
        <v>611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32" s="1"/>
      <c r="U1432" s="1"/>
      <c r="V1432" s="15"/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32" s="15" t="str">
        <f>_xlfn.TEXTBEFORE(_xlfn.TEXTAFTER(CantoralDB[[#This Row],[index.html]],"&gt;"),"&gt;")&amp;"&gt;"</f>
        <v>&lt;a href="canciones/nsb/quiero_caminar.html"&gt;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115</v>
      </c>
      <c r="C1433" s="1" t="s">
        <v>190</v>
      </c>
      <c r="D1433" s="1" t="s">
        <v>746</v>
      </c>
      <c r="E1433" s="1">
        <v>449</v>
      </c>
      <c r="F1433" s="1">
        <v>215</v>
      </c>
      <c r="G1433" s="1" t="s">
        <v>208</v>
      </c>
      <c r="H1433" s="1" t="s">
        <v>1028</v>
      </c>
      <c r="J1433" s="1" t="s">
        <v>607</v>
      </c>
      <c r="M1433" s="15" t="s">
        <v>586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33" s="1" t="s">
        <v>854</v>
      </c>
      <c r="U1433" s="1"/>
      <c r="V1433" s="15"/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X1433" s="15" t="str">
        <f>_xlfn.TEXTBEFORE(_xlfn.TEXTAFTER(CantoralDB[[#This Row],[index.html]],"&gt;"),"&gt;")&amp;"&gt;"</f>
        <v>&lt;a href="canciones/nsb/preparad_el_camino_al_señor.html"&gt;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168</v>
      </c>
      <c r="C1434" s="1" t="s">
        <v>992</v>
      </c>
      <c r="D1434" s="1" t="s">
        <v>1018</v>
      </c>
      <c r="E1434" s="1">
        <v>477</v>
      </c>
      <c r="F1434" s="1">
        <v>57</v>
      </c>
      <c r="G1434" s="1" t="s">
        <v>208</v>
      </c>
      <c r="H1434" s="1" t="s">
        <v>1029</v>
      </c>
      <c r="J1434" s="1" t="s">
        <v>607</v>
      </c>
      <c r="M1434" s="15" t="s">
        <v>580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34" s="1" t="s">
        <v>868</v>
      </c>
      <c r="U1434" s="1"/>
      <c r="V1434" s="15"/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X1434" s="15" t="str">
        <f>_xlfn.TEXTBEFORE(_xlfn.TEXTAFTER(CantoralDB[[#This Row],[index.html]],"&gt;"),"&gt;")&amp;"&gt;"</f>
        <v>&lt;a href="canciones/nsb/yo_soy_el_pan_de_vida.html"&gt;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130</v>
      </c>
      <c r="C1435" s="1" t="s">
        <v>195</v>
      </c>
      <c r="D1435" s="1" t="s">
        <v>1461</v>
      </c>
      <c r="E1435" s="1">
        <v>457</v>
      </c>
      <c r="G1435" s="1" t="s">
        <v>208</v>
      </c>
      <c r="H1435" s="1" t="s">
        <v>530</v>
      </c>
      <c r="I1435" s="1" t="s">
        <v>2952</v>
      </c>
      <c r="J1435" s="1" t="s">
        <v>607</v>
      </c>
      <c r="M1435" s="15" t="s">
        <v>524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35" s="1"/>
      <c r="U1435" s="1"/>
      <c r="V1435" s="15"/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35" s="15" t="str">
        <f>_xlfn.TEXTBEFORE(_xlfn.TEXTAFTER(CantoralDB[[#This Row],[index.html]],"&gt;"),"&gt;")&amp;"&gt;"</f>
        <v>&lt;a href="canciones/nsb/santo_(the_beatles).html"&gt;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248</v>
      </c>
      <c r="C1436" s="1" t="s">
        <v>201</v>
      </c>
      <c r="D1436" s="1" t="s">
        <v>1401</v>
      </c>
      <c r="G1436" s="1" t="s">
        <v>247</v>
      </c>
      <c r="H1436" s="1" t="s">
        <v>1029</v>
      </c>
      <c r="I1436" s="1" t="s">
        <v>2950</v>
      </c>
      <c r="J1436" s="1" t="s">
        <v>607</v>
      </c>
      <c r="M1436" s="15" t="s">
        <v>537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36" s="1"/>
      <c r="U1436" s="1"/>
      <c r="V1436" s="15"/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36" s="15" t="str">
        <f>_xlfn.TEXTBEFORE(_xlfn.TEXTAFTER(CantoralDB[[#This Row],[index.html]],"&gt;"),"&gt;")&amp;"&gt;"</f>
        <v>&lt;a href="canciones/nsb/cordero_de_dios_(aragües).html"&gt;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1265</v>
      </c>
      <c r="C1437" s="1"/>
      <c r="E1437" s="1">
        <v>146</v>
      </c>
      <c r="H1437" s="1" t="s">
        <v>1026</v>
      </c>
      <c r="J1437" s="1" t="s">
        <v>607</v>
      </c>
      <c r="M1437" s="15" t="s">
        <v>537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37" s="1"/>
      <c r="U1437" s="1"/>
      <c r="V1437" s="15"/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37" s="15" t="str">
        <f>_xlfn.TEXTBEFORE(_xlfn.TEXTAFTER(CantoralDB[[#This Row],[index.html]],"&gt;"),"&gt;")&amp;"&gt;"</f>
        <v>&lt;a href="canciones/nsb/junto_a_ti_al_caer_de_la_tarde.html"&gt;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638</v>
      </c>
      <c r="C1438" s="1" t="s">
        <v>200</v>
      </c>
      <c r="D1438" s="1" t="s">
        <v>1359</v>
      </c>
      <c r="G1438" s="1" t="s">
        <v>639</v>
      </c>
      <c r="H1438" s="1" t="s">
        <v>530</v>
      </c>
      <c r="J1438" s="1" t="s">
        <v>607</v>
      </c>
      <c r="M1438" s="15" t="s">
        <v>565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438" s="1" t="s">
        <v>796</v>
      </c>
      <c r="U1438" s="1"/>
      <c r="V1438" s="32" t="s">
        <v>2962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438" s="15" t="str">
        <f>_xlfn.TEXTBEFORE(_xlfn.TEXTAFTER(CantoralDB[[#This Row],[index.html]],"&gt;"),"&gt;")&amp;"&gt;"</f>
        <v>&lt;a href="canciones/nsb/a_donde_me_quereis_llevar.html"&gt;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584</v>
      </c>
      <c r="C1439" s="1" t="s">
        <v>200</v>
      </c>
      <c r="D1439" s="1" t="s">
        <v>1379</v>
      </c>
      <c r="G1439" s="1" t="s">
        <v>565</v>
      </c>
      <c r="H1439" s="1" t="s">
        <v>530</v>
      </c>
      <c r="I1439" s="1" t="s">
        <v>2951</v>
      </c>
      <c r="J1439" s="1" t="s">
        <v>607</v>
      </c>
      <c r="M1439" s="15" t="s">
        <v>565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439" s="1" t="s">
        <v>801</v>
      </c>
      <c r="U1439" s="1"/>
      <c r="V1439" s="15"/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439" s="15" t="str">
        <f>_xlfn.TEXTBEFORE(_xlfn.TEXTAFTER(CantoralDB[[#This Row],[index.html]],"&gt;"),"&gt;")&amp;"&gt;"</f>
        <v>&lt;a href="canciones/nsb/algo_nuevo.html"&gt;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564</v>
      </c>
      <c r="C1440" s="1" t="s">
        <v>195</v>
      </c>
      <c r="D1440" s="1" t="s">
        <v>780</v>
      </c>
      <c r="G1440" s="1" t="s">
        <v>552</v>
      </c>
      <c r="H1440" s="1" t="s">
        <v>530</v>
      </c>
      <c r="J1440" s="1" t="s">
        <v>607</v>
      </c>
      <c r="M1440" s="15" t="s">
        <v>565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440" s="1"/>
      <c r="U1440" s="1"/>
      <c r="V1440" s="15"/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440" s="15" t="str">
        <f>_xlfn.TEXTBEFORE(_xlfn.TEXTAFTER(CantoralDB[[#This Row],[index.html]],"&gt;"),"&gt;")&amp;"&gt;"</f>
        <v>&lt;a href="canciones/nsb/santo_santo_santo.html"&gt;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1286</v>
      </c>
      <c r="C1441" s="1"/>
      <c r="E1441" s="1">
        <v>177</v>
      </c>
      <c r="J1441" s="1"/>
      <c r="M1441" s="15" t="s">
        <v>2873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441" s="1"/>
      <c r="U1441" s="1"/>
      <c r="V1441" s="15"/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441" s="15" t="str">
        <f>_xlfn.TEXTBEFORE(_xlfn.TEXTAFTER(CantoralDB[[#This Row],[index.html]],"&gt;"),"&gt;")&amp;"&gt;"</f>
        <v>&lt;a href="canciones/nsb/navidad_es_amar_romper_toda_frontera.html"&gt;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1310</v>
      </c>
      <c r="C1442" s="1"/>
      <c r="E1442" s="1">
        <v>224</v>
      </c>
      <c r="J1442" s="1"/>
      <c r="M1442" s="15" t="s">
        <v>2092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442" s="1"/>
      <c r="U1442" s="1"/>
      <c r="V1442" s="15"/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442" s="15" t="str">
        <f>_xlfn.TEXTBEFORE(_xlfn.TEXTAFTER(CantoralDB[[#This Row],[index.html]],"&gt;"),"&gt;")&amp;"&gt;"</f>
        <v>&lt;a href="canciones/nsb/que_facil_es_decir_si.html"&gt;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1329</v>
      </c>
      <c r="C1443" s="1"/>
      <c r="E1443" s="1">
        <v>253</v>
      </c>
      <c r="J1443" s="1"/>
      <c r="M1443" s="15" t="s">
        <v>2092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443" s="15" t="str">
        <f>_xlfn.TEXTBEFORE(_xlfn.TEXTAFTER(CantoralDB[[#This Row],[index.html]],"&gt;"),"&gt;")&amp;"&gt;"</f>
        <v>&lt;a href="canciones/nsb/tiendeme_tu_mano.html"&gt;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1215</v>
      </c>
      <c r="C1444" s="1"/>
      <c r="E1444" s="1">
        <v>97</v>
      </c>
      <c r="J1444" s="1"/>
      <c r="M1444" s="15" t="s">
        <v>2084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444" s="1"/>
      <c r="U1444" s="1"/>
      <c r="V1444" s="15"/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444" s="15" t="str">
        <f>_xlfn.TEXTBEFORE(_xlfn.TEXTAFTER(CantoralDB[[#This Row],[index.html]],"&gt;"),"&gt;")&amp;"&gt;"</f>
        <v>&lt;a href="canciones/nsb/el_esta_vivo_tu_lo_has_visto.html"&gt;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2584</v>
      </c>
      <c r="C1445" s="1"/>
      <c r="F1445" s="1">
        <v>196</v>
      </c>
      <c r="J1445" s="1"/>
      <c r="M1445" s="15" t="s">
        <v>794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445" s="1"/>
      <c r="U1445" s="1"/>
      <c r="V1445" s="32" t="s">
        <v>4513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X1445" s="15" t="str">
        <f>_xlfn.TEXTBEFORE(_xlfn.TEXTAFTER(CantoralDB[[#This Row],[index.html]],"&gt;"),"&gt;")&amp;"&gt;"</f>
        <v>&lt;a href="canciones/nuevas/a_que_tu_no_sabes.html"&gt;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2565</v>
      </c>
      <c r="C1446" s="1"/>
      <c r="F1446" s="1">
        <v>177</v>
      </c>
      <c r="J1446" s="1"/>
      <c r="M1446" s="15" t="s">
        <v>794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446" s="1"/>
      <c r="U1446" s="1"/>
      <c r="V1446" s="32" t="s">
        <v>4540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X1446" s="15" t="str">
        <f>_xlfn.TEXTBEFORE(_xlfn.TEXTAFTER(CantoralDB[[#This Row],[index.html]],"&gt;"),"&gt;")&amp;"&gt;"</f>
        <v>&lt;a href="canciones/nuevas/abba.html"&gt;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2536</v>
      </c>
      <c r="C1447" s="1"/>
      <c r="F1447" s="1">
        <v>150</v>
      </c>
      <c r="J1447" s="1"/>
      <c r="M1447" s="15" t="s">
        <v>794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447" s="1"/>
      <c r="U1447" s="1"/>
      <c r="V1447" s="32" t="s">
        <v>4447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X1447" s="15" t="str">
        <f>_xlfn.TEXTBEFORE(_xlfn.TEXTAFTER(CantoralDB[[#This Row],[index.html]],"&gt;"),"&gt;")&amp;"&gt;"</f>
        <v>&lt;a href="canciones/nuevas/abre_mis_labios.html"&gt;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2489</v>
      </c>
      <c r="C1448" s="1"/>
      <c r="F1448" s="1">
        <v>109</v>
      </c>
      <c r="J1448" s="1"/>
      <c r="M1448" s="15" t="s">
        <v>794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448" s="1"/>
      <c r="U1448" s="1"/>
      <c r="V1448" s="32" t="s">
        <v>4556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X1448" s="15" t="str">
        <f>_xlfn.TEXTBEFORE(_xlfn.TEXTAFTER(CantoralDB[[#This Row],[index.html]],"&gt;"),"&gt;")&amp;"&gt;"</f>
        <v>&lt;a href="canciones/nuevas/aclamad.html"&gt;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2735</v>
      </c>
      <c r="C1449" s="1"/>
      <c r="F1449" s="1">
        <v>360</v>
      </c>
      <c r="J1449" s="1"/>
      <c r="M1449" s="15" t="s">
        <v>794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449" s="1"/>
      <c r="U1449" s="1"/>
      <c r="V1449" s="15"/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X1449" s="15" t="str">
        <f>_xlfn.TEXTBEFORE(_xlfn.TEXTAFTER(CantoralDB[[#This Row],[index.html]],"&gt;"),"&gt;")&amp;"&gt;"</f>
        <v>&lt;a href="canciones/nuevas/adonai.html"&gt;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2580</v>
      </c>
      <c r="C1450" s="1"/>
      <c r="F1450" s="1">
        <v>190</v>
      </c>
      <c r="J1450" s="1"/>
      <c r="M1450" s="15" t="s">
        <v>794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450" s="1"/>
      <c r="U1450" s="1"/>
      <c r="V1450" s="15"/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X1450" s="15" t="str">
        <f>_xlfn.TEXTBEFORE(_xlfn.TEXTAFTER(CantoralDB[[#This Row],[index.html]],"&gt;"),"&gt;")&amp;"&gt;"</f>
        <v>&lt;a href="canciones/nuevas/al_estar_aqui.html"&gt;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1159</v>
      </c>
      <c r="C1451" s="1"/>
      <c r="F1451" s="1">
        <v>253</v>
      </c>
      <c r="J1451" s="1"/>
      <c r="M1451" s="15" t="s">
        <v>794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451" s="1"/>
      <c r="U1451" s="1"/>
      <c r="V1451" s="15"/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X1451" s="15" t="str">
        <f>_xlfn.TEXTBEFORE(_xlfn.TEXTAFTER(CantoralDB[[#This Row],[index.html]],"&gt;"),"&gt;")&amp;"&gt;"</f>
        <v>&lt;a href="canciones/nuevas/alabad_al_señor_en_su_templo.html"&gt;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2567</v>
      </c>
      <c r="C1452" s="1"/>
      <c r="F1452" s="1">
        <v>179</v>
      </c>
      <c r="J1452" s="1"/>
      <c r="M1452" s="15" t="s">
        <v>794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452" s="1"/>
      <c r="U1452" s="1"/>
      <c r="V1452" s="32" t="s">
        <v>4529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X1452" s="15" t="str">
        <f>_xlfn.TEXTBEFORE(_xlfn.TEXTAFTER(CantoralDB[[#This Row],[index.html]],"&gt;"),"&gt;")&amp;"&gt;"</f>
        <v>&lt;a href="canciones/nuevas/alabare.html"&gt;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2446</v>
      </c>
      <c r="C1453" s="1"/>
      <c r="F1453" s="1">
        <v>64</v>
      </c>
      <c r="J1453" s="1"/>
      <c r="M1453" s="15" t="s">
        <v>794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453" s="1"/>
      <c r="U1453" s="1"/>
      <c r="V1453" s="32" t="s">
        <v>4543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X1453" s="15" t="str">
        <f>_xlfn.TEXTBEFORE(_xlfn.TEXTAFTER(CantoralDB[[#This Row],[index.html]],"&gt;"),"&gt;")&amp;"&gt;"</f>
        <v>&lt;a href="canciones/nuevas/aleluya_alabad_a_dios.html"&gt;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2606</v>
      </c>
      <c r="C1454" s="1"/>
      <c r="F1454" s="1">
        <v>223</v>
      </c>
      <c r="J1454" s="1"/>
      <c r="M1454" s="15" t="s">
        <v>794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454" s="1"/>
      <c r="U1454" s="1"/>
      <c r="V1454" s="15"/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X1454" s="15" t="str">
        <f>_xlfn.TEXTBEFORE(_xlfn.TEXTAFTER(CantoralDB[[#This Row],[index.html]],"&gt;"),"&gt;")&amp;"&gt;"</f>
        <v>&lt;a href="canciones/nuevas/algo_esta_descendiendo.html"&gt;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2152</v>
      </c>
      <c r="C1455" s="15"/>
      <c r="H1455" s="1" t="s">
        <v>1026</v>
      </c>
      <c r="J1455" s="1" t="s">
        <v>607</v>
      </c>
      <c r="M1455" s="15" t="s">
        <v>794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455" s="1"/>
      <c r="U1455" s="1"/>
      <c r="V1455" s="32" t="s">
        <v>2995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X1455" s="15" t="str">
        <f>_xlfn.TEXTBEFORE(_xlfn.TEXTAFTER(CantoralDB[[#This Row],[index.html]],"&gt;"),"&gt;")&amp;"&gt;"</f>
        <v>&lt;a href="canciones/nuevas/alma_de_cristo.html"&gt;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2541</v>
      </c>
      <c r="C1456" s="1"/>
      <c r="F1456" s="1">
        <v>155</v>
      </c>
      <c r="J1456" s="1"/>
      <c r="M1456" s="15" t="s">
        <v>794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X1456" s="15" t="str">
        <f>_xlfn.TEXTBEFORE(_xlfn.TEXTAFTER(CantoralDB[[#This Row],[index.html]],"&gt;"),"&gt;")&amp;"&gt;"</f>
        <v>&lt;a href="canciones/nuevas/amor_tan_grande.html"&gt;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2738</v>
      </c>
      <c r="C1457" s="1"/>
      <c r="F1457" s="1">
        <v>363</v>
      </c>
      <c r="J1457" s="1"/>
      <c r="M1457" s="15" t="s">
        <v>794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457" s="1"/>
      <c r="U1457" s="1"/>
      <c r="V1457" s="15"/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X1457" s="15" t="str">
        <f>_xlfn.TEXTBEFORE(_xlfn.TEXTAFTER(CantoralDB[[#This Row],[index.html]],"&gt;"),"&gt;")&amp;"&gt;"</f>
        <v>&lt;a href="canciones/nuevas/ante_su_nombre_todo_caera.html"&gt;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2612</v>
      </c>
      <c r="C1458" s="1"/>
      <c r="F1458" s="1">
        <v>231</v>
      </c>
      <c r="J1458" s="1"/>
      <c r="M1458" s="15" t="s">
        <v>794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458" s="1"/>
      <c r="U1458" s="1"/>
      <c r="V1458" s="15"/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X1458" s="15" t="str">
        <f>_xlfn.TEXTBEFORE(_xlfn.TEXTAFTER(CantoralDB[[#This Row],[index.html]],"&gt;"),"&gt;")&amp;"&gt;"</f>
        <v>&lt;a href="canciones/nuevas/aqui_se_alaba.html"&gt;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2597</v>
      </c>
      <c r="C1459" s="1"/>
      <c r="F1459" s="1">
        <v>213</v>
      </c>
      <c r="J1459" s="1"/>
      <c r="M1459" s="15" t="s">
        <v>794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459" s="1"/>
      <c r="U1459" s="1"/>
      <c r="V1459" s="32" t="s">
        <v>4603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X1459" s="15" t="str">
        <f>_xlfn.TEXTBEFORE(_xlfn.TEXTAFTER(CantoralDB[[#This Row],[index.html]],"&gt;"),"&gt;")&amp;"&gt;"</f>
        <v>&lt;a href="canciones/nuevas/ay_de_mi_si_no_evangelizara.html"&gt;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884</v>
      </c>
      <c r="C1460" s="1"/>
      <c r="F1460" s="1">
        <v>53</v>
      </c>
      <c r="J1460" s="1"/>
      <c r="M1460" s="15" t="s">
        <v>794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460" s="1"/>
      <c r="U1460" s="1"/>
      <c r="V1460" s="32" t="s">
        <v>4436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460" s="15" t="str">
        <f>_xlfn.TEXTBEFORE(_xlfn.TEXTAFTER(CantoralDB[[#This Row],[index.html]],"&gt;"),"&gt;")&amp;"&gt;"</f>
        <v>&lt;a href="canciones/nuevas/bendecid_al_señor.html"&gt;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884</v>
      </c>
      <c r="C1461" s="1"/>
      <c r="F1461" s="1">
        <v>364</v>
      </c>
      <c r="J1461" s="1"/>
      <c r="M1461" s="15" t="s">
        <v>794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461" s="1"/>
      <c r="U1461" s="1"/>
      <c r="V1461" s="15"/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461" s="15" t="str">
        <f>_xlfn.TEXTBEFORE(_xlfn.TEXTAFTER(CantoralDB[[#This Row],[index.html]],"&gt;"),"&gt;")&amp;"&gt;"</f>
        <v>&lt;a href="canciones/nuevas/bendecid_al_señor.html"&gt;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2443</v>
      </c>
      <c r="C1462" s="1"/>
      <c r="F1462" s="1">
        <v>62</v>
      </c>
      <c r="J1462" s="1"/>
      <c r="M1462" s="15" t="s">
        <v>794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462" s="1"/>
      <c r="U1462" s="1"/>
      <c r="V1462" s="32" t="s">
        <v>4477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X1462" s="15" t="str">
        <f>_xlfn.TEXTBEFORE(_xlfn.TEXTAFTER(CantoralDB[[#This Row],[index.html]],"&gt;"),"&gt;")&amp;"&gt;"</f>
        <v>&lt;a href="canciones/nuevas/bendita_entre_las_mujeres.html"&gt;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2495</v>
      </c>
      <c r="C1463" s="1"/>
      <c r="F1463" s="1">
        <v>116</v>
      </c>
      <c r="J1463" s="1"/>
      <c r="M1463" s="15" t="s">
        <v>794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463" s="1"/>
      <c r="U1463" s="1"/>
      <c r="V1463" s="32" t="s">
        <v>4493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X1463" s="15" t="str">
        <f>_xlfn.TEXTBEFORE(_xlfn.TEXTAFTER(CantoralDB[[#This Row],[index.html]],"&gt;"),"&gt;")&amp;"&gt;"</f>
        <v>&lt;a href="canciones/nuevas/bendito_sea_tu_nombre.html"&gt;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244</v>
      </c>
      <c r="C1464" s="1"/>
      <c r="F1464" s="1">
        <v>252</v>
      </c>
      <c r="J1464" s="1"/>
      <c r="M1464" s="15" t="s">
        <v>794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464" s="1"/>
      <c r="U1464" s="1"/>
      <c r="V1464" s="15"/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X1464" s="15" t="str">
        <f>_xlfn.TEXTBEFORE(_xlfn.TEXTAFTER(CantoralDB[[#This Row],[index.html]],"&gt;"),"&gt;")&amp;"&gt;"</f>
        <v>&lt;a href="canciones/nuevas/bienvenidos.html"&gt;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2820</v>
      </c>
      <c r="C1465" s="1"/>
      <c r="F1465" s="1">
        <v>428</v>
      </c>
      <c r="J1465" s="1"/>
      <c r="M1465" s="15" t="s">
        <v>794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465" s="1"/>
      <c r="U1465" s="1"/>
      <c r="V1465" s="15"/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X1465" s="15" t="str">
        <f>_xlfn.TEXTBEFORE(_xlfn.TEXTAFTER(CantoralDB[[#This Row],[index.html]],"&gt;"),"&gt;")&amp;"&gt;"</f>
        <v>&lt;a href="canciones/nuevas/buenas_noches_maria.html"&gt;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2701</v>
      </c>
      <c r="C1466" s="1"/>
      <c r="F1466" s="1">
        <v>331</v>
      </c>
      <c r="J1466" s="1"/>
      <c r="M1466" s="15" t="s">
        <v>794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466" s="1"/>
      <c r="U1466" s="1"/>
      <c r="V1466" s="32" t="s">
        <v>4438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X1466" s="15" t="str">
        <f>_xlfn.TEXTBEFORE(_xlfn.TEXTAFTER(CantoralDB[[#This Row],[index.html]],"&gt;"),"&gt;")&amp;"&gt;"</f>
        <v>&lt;a href="canciones/nuevas/cantemos_al_señor.html"&gt;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2616</v>
      </c>
      <c r="C1467" s="1"/>
      <c r="F1467" s="1">
        <v>236</v>
      </c>
      <c r="J1467" s="1"/>
      <c r="M1467" s="15" t="s">
        <v>794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467" s="1"/>
      <c r="U1467" s="1"/>
      <c r="V1467" s="32" t="s">
        <v>4581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X1467" s="15" t="str">
        <f>_xlfn.TEXTBEFORE(_xlfn.TEXTAFTER(CantoralDB[[#This Row],[index.html]],"&gt;"),"&gt;")&amp;"&gt;"</f>
        <v>&lt;a href="canciones/nuevas/como_corre_un_rio.html"&gt;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2636</v>
      </c>
      <c r="C1468" s="1"/>
      <c r="F1468" s="1">
        <v>260</v>
      </c>
      <c r="J1468" s="1"/>
      <c r="M1468" s="15" t="s">
        <v>794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468" s="1"/>
      <c r="U1468" s="1"/>
      <c r="V1468" s="15"/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X1468" s="15" t="str">
        <f>_xlfn.TEXTBEFORE(_xlfn.TEXTAFTER(CantoralDB[[#This Row],[index.html]],"&gt;"),"&gt;")&amp;"&gt;"</f>
        <v>&lt;a href="canciones/nuevas/conviene_que_cristo_crezca.html"&gt;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1189</v>
      </c>
      <c r="C1469" s="1"/>
      <c r="F1469" s="1">
        <v>268</v>
      </c>
      <c r="J1469" s="1"/>
      <c r="M1469" s="15" t="s">
        <v>794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469" s="1"/>
      <c r="U1469" s="1"/>
      <c r="V1469" s="32" t="s">
        <v>4457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X1469" s="15" t="str">
        <f>_xlfn.TEXTBEFORE(_xlfn.TEXTAFTER(CantoralDB[[#This Row],[index.html]],"&gt;"),"&gt;")&amp;"&gt;"</f>
        <v>&lt;a href="canciones/nuevas/criaturas_del_señor.html"&gt;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2244</v>
      </c>
      <c r="C1470" s="1"/>
      <c r="F1470" s="1">
        <v>261</v>
      </c>
      <c r="J1470" s="1"/>
      <c r="M1470" s="15" t="s">
        <v>794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470" s="1"/>
      <c r="U1470" s="1"/>
      <c r="V1470" s="32" t="s">
        <v>4578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X1470" s="15" t="str">
        <f>_xlfn.TEXTBEFORE(_xlfn.TEXTAFTER(CantoralDB[[#This Row],[index.html]],"&gt;"),"&gt;")&amp;"&gt;"</f>
        <v>&lt;a href="canciones/nuevas/cristo_vive_en_mi.html"&gt;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2700</v>
      </c>
      <c r="C1471" s="1"/>
      <c r="F1471" s="1">
        <v>330</v>
      </c>
      <c r="J1471" s="1"/>
      <c r="M1471" s="15" t="s">
        <v>794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471" s="1"/>
      <c r="U1471" s="1"/>
      <c r="V1471" s="15"/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X1471" s="15" t="str">
        <f>_xlfn.TEXTBEFORE(_xlfn.TEXTAFTER(CantoralDB[[#This Row],[index.html]],"&gt;"),"&gt;")&amp;"&gt;"</f>
        <v>&lt;a href="canciones/nuevas/cristo_maravilloso_eres_tu.html"&gt;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2554</v>
      </c>
      <c r="C1472" s="1"/>
      <c r="F1472" s="1">
        <v>166</v>
      </c>
      <c r="J1472" s="1"/>
      <c r="M1472" s="15" t="s">
        <v>794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472" s="1"/>
      <c r="U1472" s="1"/>
      <c r="V1472" s="32" t="s">
        <v>4528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X1472" s="15" t="str">
        <f>_xlfn.TEXTBEFORE(_xlfn.TEXTAFTER(CantoralDB[[#This Row],[index.html]],"&gt;"),"&gt;")&amp;"&gt;"</f>
        <v>&lt;a href="canciones/nuevas/cuando_con_el_corazon.html"&gt;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2772</v>
      </c>
      <c r="C1473" s="1"/>
      <c r="F1473" s="1">
        <v>391</v>
      </c>
      <c r="J1473" s="1"/>
      <c r="M1473" s="15" t="s">
        <v>794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473" s="1"/>
      <c r="U1473" s="1"/>
      <c r="V1473" s="15"/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X1473" s="15" t="str">
        <f>_xlfn.TEXTBEFORE(_xlfn.TEXTAFTER(CantoralDB[[#This Row],[index.html]],"&gt;"),"&gt;")&amp;"&gt;"</f>
        <v>&lt;a href="canciones/nuevas/cuando_cristo_venga_en_gloria.html"&gt;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2719</v>
      </c>
      <c r="C1474" s="1"/>
      <c r="F1474" s="1">
        <v>347</v>
      </c>
      <c r="J1474" s="1"/>
      <c r="M1474" s="15" t="s">
        <v>794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474" s="1"/>
      <c r="U1474" s="1"/>
      <c r="V1474" s="15"/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X1474" s="15" t="str">
        <f>_xlfn.TEXTBEFORE(_xlfn.TEXTAFTER(CantoralDB[[#This Row],[index.html]],"&gt;"),"&gt;")&amp;"&gt;"</f>
        <v>&lt;a href="canciones/nuevas/dios_me_ama_y_yo_le_amo.html"&gt;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2572</v>
      </c>
      <c r="C1475" s="1"/>
      <c r="F1475" s="1">
        <v>183</v>
      </c>
      <c r="J1475" s="1"/>
      <c r="M1475" s="15" t="s">
        <v>794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475" s="1"/>
      <c r="U1475" s="1"/>
      <c r="V1475" s="15"/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X1475" s="15" t="str">
        <f>_xlfn.TEXTBEFORE(_xlfn.TEXTAFTER(CantoralDB[[#This Row],[index.html]],"&gt;"),"&gt;")&amp;"&gt;"</f>
        <v>&lt;a href="canciones/nuevas/el_amor_de_dios_ha_sido_derramado.html"&gt;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2657</v>
      </c>
      <c r="C1476" s="1"/>
      <c r="F1476" s="1">
        <v>281</v>
      </c>
      <c r="J1476" s="1"/>
      <c r="M1476" s="15" t="s">
        <v>794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476" s="1"/>
      <c r="U1476" s="1"/>
      <c r="V1476" s="15"/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X1476" s="15" t="str">
        <f>_xlfn.TEXTBEFORE(_xlfn.TEXTAFTER(CantoralDB[[#This Row],[index.html]],"&gt;"),"&gt;")&amp;"&gt;"</f>
        <v>&lt;a href="canciones/nuevas/el_amor_del_señor.html"&gt;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2529</v>
      </c>
      <c r="C1477" s="1"/>
      <c r="F1477" s="1">
        <v>143</v>
      </c>
      <c r="J1477" s="1"/>
      <c r="M1477" s="15" t="s">
        <v>794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477" s="1"/>
      <c r="U1477" s="1"/>
      <c r="V1477" s="15"/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X1477" s="15" t="str">
        <f>_xlfn.TEXTBEFORE(_xlfn.TEXTAFTER(CantoralDB[[#This Row],[index.html]],"&gt;"),"&gt;")&amp;"&gt;"</f>
        <v>&lt;a href="canciones/nuevas/el_diario_de_maria.html"&gt;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2582</v>
      </c>
      <c r="C1478" s="1"/>
      <c r="F1478" s="1">
        <v>194</v>
      </c>
      <c r="J1478" s="1"/>
      <c r="M1478" s="15" t="s">
        <v>794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478" s="1"/>
      <c r="U1478" s="1"/>
      <c r="V1478" s="15"/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X1478" s="15" t="str">
        <f>_xlfn.TEXTBEFORE(_xlfn.TEXTAFTER(CantoralDB[[#This Row],[index.html]],"&gt;"),"&gt;")&amp;"&gt;"</f>
        <v>&lt;a href="canciones/nuevas/el_espiritu_de_dios_esta_en_este_lugar.html"&gt;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2809</v>
      </c>
      <c r="C1479" s="1"/>
      <c r="F1479" s="1">
        <v>419</v>
      </c>
      <c r="J1479" s="1"/>
      <c r="M1479" s="15" t="s">
        <v>794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479" s="1"/>
      <c r="U1479" s="1"/>
      <c r="V1479" s="32" t="s">
        <v>4557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X1479" s="15" t="str">
        <f>_xlfn.TEXTBEFORE(_xlfn.TEXTAFTER(CantoralDB[[#This Row],[index.html]],"&gt;"),"&gt;")&amp;"&gt;"</f>
        <v>&lt;a href="canciones/nuevas/el_leon_de_la_tribu_de_juda.html"&gt;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2426</v>
      </c>
      <c r="C1480" s="1"/>
      <c r="F1480" s="1">
        <v>48</v>
      </c>
      <c r="J1480" s="1"/>
      <c r="M1480" s="15" t="s">
        <v>794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480" s="1"/>
      <c r="U1480" s="1"/>
      <c r="V1480" s="15"/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X1480" s="15" t="str">
        <f>_xlfn.TEXTBEFORE(_xlfn.TEXTAFTER(CantoralDB[[#This Row],[index.html]],"&gt;"),"&gt;")&amp;"&gt;"</f>
        <v>&lt;a href="canciones/nuevas/el_nos_ha_elegido.html"&gt;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2481</v>
      </c>
      <c r="C1481" s="1"/>
      <c r="F1481" s="1">
        <v>99</v>
      </c>
      <c r="J1481" s="1"/>
      <c r="M1481" s="15" t="s">
        <v>794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481" s="1"/>
      <c r="U1481" s="1"/>
      <c r="V1481" s="15"/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X1481" s="15" t="str">
        <f>_xlfn.TEXTBEFORE(_xlfn.TEXTAFTER(CantoralDB[[#This Row],[index.html]],"&gt;"),"&gt;")&amp;"&gt;"</f>
        <v>&lt;a href="canciones/nuevas/el_señor_esta_en_medio_de_ti.html"&gt;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2750</v>
      </c>
      <c r="C1482" s="1"/>
      <c r="F1482" s="1">
        <v>374</v>
      </c>
      <c r="J1482" s="1"/>
      <c r="M1482" s="15" t="s">
        <v>794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482" s="1"/>
      <c r="U1482" s="1"/>
      <c r="V1482" s="15"/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X1482" s="15" t="str">
        <f>_xlfn.TEXTBEFORE(_xlfn.TEXTAFTER(CantoralDB[[#This Row],[index.html]],"&gt;"),"&gt;")&amp;"&gt;"</f>
        <v>&lt;a href="canciones/nuevas/en_el_cielo_se_oye.html"&gt;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2155</v>
      </c>
      <c r="C1483" s="15"/>
      <c r="H1483" s="1" t="s">
        <v>530</v>
      </c>
      <c r="J1483" s="1" t="s">
        <v>607</v>
      </c>
      <c r="M1483" s="15" t="s">
        <v>794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483" s="1"/>
      <c r="U1483" s="1"/>
      <c r="V1483" s="15"/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483" s="15" t="str">
        <f>_xlfn.TEXTBEFORE(_xlfn.TEXTAFTER(CantoralDB[[#This Row],[index.html]],"&gt;"),"&gt;")&amp;"&gt;"</f>
        <v>&lt;a href="canciones/nuevas/en_los_brazos_de_una_virgen.html"&gt;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2450</v>
      </c>
      <c r="C1484" s="1"/>
      <c r="F1484" s="1">
        <v>69</v>
      </c>
      <c r="J1484" s="1"/>
      <c r="M1484" s="15" t="s">
        <v>794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484" s="1"/>
      <c r="U1484" s="1"/>
      <c r="V1484" s="15"/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X1484" s="15" t="str">
        <f>_xlfn.TEXTBEFORE(_xlfn.TEXTAFTER(CantoralDB[[#This Row],[index.html]],"&gt;"),"&gt;")&amp;"&gt;"</f>
        <v>&lt;a href="canciones/nuevas/entregame.html"&gt;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2800</v>
      </c>
      <c r="C1485" s="1"/>
      <c r="F1485" s="1">
        <v>413</v>
      </c>
      <c r="J1485" s="1"/>
      <c r="M1485" s="15" t="s">
        <v>794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485" s="1"/>
      <c r="U1485" s="1"/>
      <c r="V1485" s="32" t="s">
        <v>4588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X1485" s="15" t="str">
        <f>_xlfn.TEXTBEFORE(_xlfn.TEXTAFTER(CantoralDB[[#This Row],[index.html]],"&gt;"),"&gt;")&amp;"&gt;"</f>
        <v>&lt;a href="canciones/nuevas/es_la_confianza.html"&gt;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2158</v>
      </c>
      <c r="C1486" s="15"/>
      <c r="H1486" s="1" t="s">
        <v>530</v>
      </c>
      <c r="J1486" s="1" t="s">
        <v>607</v>
      </c>
      <c r="M1486" s="15" t="s">
        <v>794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486" s="1"/>
      <c r="U1486" s="1"/>
      <c r="V1486" s="32" t="s">
        <v>2999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486" s="15" t="str">
        <f>_xlfn.TEXTBEFORE(_xlfn.TEXTAFTER(CantoralDB[[#This Row],[index.html]],"&gt;"),"&gt;")&amp;"&gt;"</f>
        <v>&lt;a href="canciones/nuevas/es_maria_la_blanca_paloma.html"&gt;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2656</v>
      </c>
      <c r="C1487" s="1"/>
      <c r="F1487" s="1">
        <v>279</v>
      </c>
      <c r="J1487" s="1"/>
      <c r="M1487" s="15" t="s">
        <v>794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X1487" s="15" t="str">
        <f>_xlfn.TEXTBEFORE(_xlfn.TEXTAFTER(CantoralDB[[#This Row],[index.html]],"&gt;"),"&gt;")&amp;"&gt;"</f>
        <v>&lt;a href="canciones/nuevas/es_necesario_morir.html"&gt;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2421</v>
      </c>
      <c r="C1488" s="1"/>
      <c r="F1488" s="1">
        <v>44</v>
      </c>
      <c r="J1488" s="1"/>
      <c r="M1488" s="15" t="s">
        <v>794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488" s="1"/>
      <c r="U1488" s="1"/>
      <c r="V1488" s="32" t="s">
        <v>4475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X1488" s="15" t="str">
        <f>_xlfn.TEXTBEFORE(_xlfn.TEXTAFTER(CantoralDB[[#This Row],[index.html]],"&gt;"),"&gt;")&amp;"&gt;"</f>
        <v>&lt;a href="canciones/nuevas/espiritu_santo_ven.html"&gt;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2533</v>
      </c>
      <c r="C1489" s="1"/>
      <c r="F1489" s="1">
        <v>147</v>
      </c>
      <c r="J1489" s="1"/>
      <c r="M1489" s="15" t="s">
        <v>794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489" s="1"/>
      <c r="U1489" s="1"/>
      <c r="V1489" s="15"/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X1489" s="15" t="str">
        <f>_xlfn.TEXTBEFORE(_xlfn.TEXTAFTER(CantoralDB[[#This Row],[index.html]],"&gt;"),"&gt;")&amp;"&gt;"</f>
        <v>&lt;a href="canciones/nuevas/esta_alegria_no_va_a_pasar.html"&gt;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2387</v>
      </c>
      <c r="C1490" s="1"/>
      <c r="F1490" s="1">
        <v>8</v>
      </c>
      <c r="H1490" s="1" t="s">
        <v>1026</v>
      </c>
      <c r="J1490" s="1" t="s">
        <v>607</v>
      </c>
      <c r="M1490" s="15" t="s">
        <v>794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490" s="1"/>
      <c r="U1490" s="1"/>
      <c r="V1490" s="32" t="s">
        <v>4512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X1490" s="15" t="str">
        <f>_xlfn.TEXTBEFORE(_xlfn.TEXTAFTER(CantoralDB[[#This Row],[index.html]],"&gt;"),"&gt;")&amp;"&gt;"</f>
        <v>&lt;a href="canciones/nuevas/estamos_de_fiesta.html"&gt;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2577</v>
      </c>
      <c r="C1491" s="1"/>
      <c r="F1491" s="1">
        <v>188</v>
      </c>
      <c r="J1491" s="1"/>
      <c r="M1491" s="15" t="s">
        <v>794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491" s="1"/>
      <c r="U1491" s="1"/>
      <c r="V1491" s="15"/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X1491" s="15" t="str">
        <f>_xlfn.TEXTBEFORE(_xlfn.TEXTAFTER(CantoralDB[[#This Row],[index.html]],"&gt;"),"&gt;")&amp;"&gt;"</f>
        <v>&lt;a href="canciones/nuevas/estoy_alegre_porque_soy_de_cristo.html"&gt;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2555</v>
      </c>
      <c r="C1492" s="1"/>
      <c r="F1492" s="1">
        <v>167</v>
      </c>
      <c r="J1492" s="1"/>
      <c r="M1492" s="15" t="s">
        <v>794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492" s="1"/>
      <c r="U1492" s="1"/>
      <c r="V1492" s="32" t="s">
        <v>4542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X1492" s="15" t="str">
        <f>_xlfn.TEXTBEFORE(_xlfn.TEXTAFTER(CantoralDB[[#This Row],[index.html]],"&gt;"),"&gt;")&amp;"&gt;"</f>
        <v>&lt;a href="canciones/nuevas/estoy_cantando_alegre.html"&gt;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2160</v>
      </c>
      <c r="C1493" s="15"/>
      <c r="J1493" s="1" t="s">
        <v>607</v>
      </c>
      <c r="L1493" s="1" t="s">
        <v>2959</v>
      </c>
      <c r="M1493" s="15" t="s">
        <v>794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493" s="1"/>
      <c r="U1493" s="1"/>
      <c r="V1493" s="32" t="s">
        <v>3000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493" s="15" t="str">
        <f>_xlfn.TEXTBEFORE(_xlfn.TEXTAFTER(CantoralDB[[#This Row],[index.html]],"&gt;"),"&gt;")&amp;"&gt;"</f>
        <v>&lt;a href="canciones/nuevas/evenu_shalom_alejem.html"&gt;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2737</v>
      </c>
      <c r="C1494" s="1"/>
      <c r="F1494" s="1">
        <v>362</v>
      </c>
      <c r="J1494" s="1"/>
      <c r="M1494" s="15" t="s">
        <v>794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494" s="1"/>
      <c r="U1494" s="1"/>
      <c r="V1494" s="32" t="s">
        <v>4472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X1494" s="15" t="str">
        <f>_xlfn.TEXTBEFORE(_xlfn.TEXTAFTER(CantoralDB[[#This Row],[index.html]],"&gt;"),"&gt;")&amp;"&gt;"</f>
        <v>&lt;a href="canciones/nuevas/exaltando_a_jesus.html"&gt;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2609</v>
      </c>
      <c r="C1495" s="1"/>
      <c r="F1495" s="1">
        <v>227</v>
      </c>
      <c r="J1495" s="1"/>
      <c r="M1495" s="15" t="s">
        <v>794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495" s="1"/>
      <c r="U1495" s="1"/>
      <c r="V1495" s="32" t="s">
        <v>4604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X1495" s="15" t="str">
        <f>_xlfn.TEXTBEFORE(_xlfn.TEXTAFTER(CantoralDB[[#This Row],[index.html]],"&gt;"),"&gt;")&amp;"&gt;"</f>
        <v>&lt;a href="canciones/nuevas/gloria_a_ti_por_siempre.html"&gt;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2688</v>
      </c>
      <c r="C1496" s="1"/>
      <c r="F1496" s="1">
        <v>314</v>
      </c>
      <c r="J1496" s="1"/>
      <c r="M1496" s="15" t="s">
        <v>794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496" s="1"/>
      <c r="U1496" s="1"/>
      <c r="V1496" s="32" t="s">
        <v>4451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X1496" s="15" t="str">
        <f>_xlfn.TEXTBEFORE(_xlfn.TEXTAFTER(CantoralDB[[#This Row],[index.html]],"&gt;"),"&gt;")&amp;"&gt;"</f>
        <v>&lt;a href="canciones/nuevas/gracias_por_lo_que_haces_por_mi.html"&gt;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2571</v>
      </c>
      <c r="C1497" s="1"/>
      <c r="F1497" s="1">
        <v>182</v>
      </c>
      <c r="J1497" s="1"/>
      <c r="M1497" s="15" t="s">
        <v>794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497" s="1"/>
      <c r="U1497" s="1"/>
      <c r="V1497" s="15"/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X1497" s="15" t="str">
        <f>_xlfn.TEXTBEFORE(_xlfn.TEXTAFTER(CantoralDB[[#This Row],[index.html]],"&gt;"),"&gt;")&amp;"&gt;"</f>
        <v>&lt;a href="canciones/nuevas/hay_momentos.html"&gt;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2835</v>
      </c>
      <c r="C1498" s="1"/>
      <c r="F1498" s="1">
        <v>444</v>
      </c>
      <c r="J1498" s="1"/>
      <c r="M1498" s="15" t="s">
        <v>794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498" s="1"/>
      <c r="U1498" s="1"/>
      <c r="V1498" s="15"/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X1498" s="15" t="str">
        <f>_xlfn.TEXTBEFORE(_xlfn.TEXTAFTER(CantoralDB[[#This Row],[index.html]],"&gt;"),"&gt;")&amp;"&gt;"</f>
        <v>&lt;a href="canciones/nuevas/hay_que_volver_a_nacer_de_nuevo.html"&gt;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2726</v>
      </c>
      <c r="C1499" s="1"/>
      <c r="F1499" s="1">
        <v>352</v>
      </c>
      <c r="J1499" s="1"/>
      <c r="M1499" s="15" t="s">
        <v>794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499" s="1"/>
      <c r="U1499" s="1"/>
      <c r="V1499" s="32" t="s">
        <v>4561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X1499" s="15" t="str">
        <f>_xlfn.TEXTBEFORE(_xlfn.TEXTAFTER(CantoralDB[[#This Row],[index.html]],"&gt;"),"&gt;")&amp;"&gt;"</f>
        <v>&lt;a href="canciones/nuevas/hay_una_fuente_en_mi.html"&gt;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2699</v>
      </c>
      <c r="C1500" s="1"/>
      <c r="F1500" s="1">
        <v>327</v>
      </c>
      <c r="J1500" s="1"/>
      <c r="M1500" s="15" t="s">
        <v>794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00" s="1"/>
      <c r="U1500" s="1"/>
      <c r="V1500" s="15"/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X1500" s="15" t="str">
        <f>_xlfn.TEXTBEFORE(_xlfn.TEXTAFTER(CantoralDB[[#This Row],[index.html]],"&gt;"),"&gt;")&amp;"&gt;"</f>
        <v>&lt;a href="canciones/nuevas/haz_de_mi_una_ofrenda.html"&gt;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2640</v>
      </c>
      <c r="C1501" s="1"/>
      <c r="F1501" s="1">
        <v>264</v>
      </c>
      <c r="J1501" s="1"/>
      <c r="M1501" s="15" t="s">
        <v>794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01" s="1"/>
      <c r="U1501" s="1"/>
      <c r="V1501" s="15"/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X1501" s="15" t="str">
        <f>_xlfn.TEXTBEFORE(_xlfn.TEXTAFTER(CantoralDB[[#This Row],[index.html]],"&gt;"),"&gt;")&amp;"&gt;"</f>
        <v>&lt;a href="canciones/nuevas/honor_y_gloria_a_tu_nombre.html"&gt;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2448</v>
      </c>
      <c r="C1502" s="1"/>
      <c r="F1502" s="1">
        <v>66</v>
      </c>
      <c r="J1502" s="1"/>
      <c r="M1502" s="15" t="s">
        <v>794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02" s="1"/>
      <c r="U1502" s="1"/>
      <c r="V1502" s="15"/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X1502" s="15" t="str">
        <f>_xlfn.TEXTBEFORE(_xlfn.TEXTAFTER(CantoralDB[[#This Row],[index.html]],"&gt;"),"&gt;")&amp;"&gt;"</f>
        <v>&lt;a href="canciones/nuevas/hoy_el_señor_me_llamo.html"&gt;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2434</v>
      </c>
      <c r="C1503" s="1"/>
      <c r="F1503" s="1">
        <v>54</v>
      </c>
      <c r="J1503" s="1"/>
      <c r="M1503" s="15" t="s">
        <v>794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03" s="1"/>
      <c r="U1503" s="1"/>
      <c r="V1503" s="32" t="s">
        <v>4495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X1503" s="15" t="str">
        <f>_xlfn.TEXTBEFORE(_xlfn.TEXTAFTER(CantoralDB[[#This Row],[index.html]],"&gt;"),"&gt;")&amp;"&gt;"</f>
        <v>&lt;a href="canciones/nuevas/hoy_perdoname.html"&gt;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2401</v>
      </c>
      <c r="C1504" s="1"/>
      <c r="F1504" s="1">
        <v>23</v>
      </c>
      <c r="J1504" s="1"/>
      <c r="M1504" s="15" t="s">
        <v>794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X1504" s="15" t="str">
        <f>_xlfn.TEXTBEFORE(_xlfn.TEXTAFTER(CantoralDB[[#This Row],[index.html]],"&gt;"),"&gt;")&amp;"&gt;"</f>
        <v>&lt;a href="canciones/nuevas/inunda_mi_ser.html"&gt;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2566</v>
      </c>
      <c r="C1505" s="1"/>
      <c r="F1505" s="1">
        <v>178</v>
      </c>
      <c r="J1505" s="1"/>
      <c r="M1505" s="15" t="s">
        <v>794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X1505" s="15" t="str">
        <f>_xlfn.TEXTBEFORE(_xlfn.TEXTAFTER(CantoralDB[[#This Row],[index.html]],"&gt;"),"&gt;")&amp;"&gt;"</f>
        <v>&lt;a href="canciones/nuevas/jesucristo_es_tan_grande.html"&gt;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2679</v>
      </c>
      <c r="C1506" s="1"/>
      <c r="F1506" s="1">
        <v>304</v>
      </c>
      <c r="J1506" s="1"/>
      <c r="M1506" s="15" t="s">
        <v>794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X1506" s="15" t="str">
        <f>_xlfn.TEXTBEFORE(_xlfn.TEXTAFTER(CantoralDB[[#This Row],[index.html]],"&gt;"),"&gt;")&amp;"&gt;"</f>
        <v>&lt;a href="canciones/nuevas/jesus_(asis).html"&gt;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2784</v>
      </c>
      <c r="C1507" s="1"/>
      <c r="F1507" s="1">
        <v>403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07" s="1"/>
      <c r="U1507" s="1"/>
      <c r="V1507" s="32" t="s">
        <v>4602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X1507" s="15" t="str">
        <f>_xlfn.TEXTBEFORE(_xlfn.TEXTAFTER(CantoralDB[[#This Row],[index.html]],"&gt;"),"&gt;")&amp;"&gt;"</f>
        <v>&lt;a href="canciones/nuevas/la_paz_este_con_nosotros.html"&gt;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2591</v>
      </c>
      <c r="C1508" s="1"/>
      <c r="F1508" s="1">
        <v>204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08" s="1"/>
      <c r="U1508" s="1"/>
      <c r="V1508" s="32" t="s">
        <v>4589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X1508" s="15" t="str">
        <f>_xlfn.TEXTBEFORE(_xlfn.TEXTAFTER(CantoralDB[[#This Row],[index.html]],"&gt;"),"&gt;")&amp;"&gt;"</f>
        <v>&lt;a href="canciones/nuevas/laudato_sii_o_mi_signore.html"&gt;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2600</v>
      </c>
      <c r="C1509" s="1"/>
      <c r="F1509" s="1">
        <v>217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09" s="1"/>
      <c r="U1509" s="1"/>
      <c r="V1509" s="15"/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X1509" s="15" t="str">
        <f>_xlfn.TEXTBEFORE(_xlfn.TEXTAFTER(CantoralDB[[#This Row],[index.html]],"&gt;"),"&gt;")&amp;"&gt;"</f>
        <v>&lt;a href="canciones/nuevas/levantare_mis_manos.html"&gt;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2385</v>
      </c>
      <c r="C1510" s="1"/>
      <c r="F1510" s="1">
        <v>6</v>
      </c>
      <c r="H1510" s="1" t="s">
        <v>1029</v>
      </c>
      <c r="J1510" s="1" t="s">
        <v>607</v>
      </c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10" s="1"/>
      <c r="U1510" s="1"/>
      <c r="V1510" s="32" t="s">
        <v>3009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X1510" s="15" t="str">
        <f>_xlfn.TEXTBEFORE(_xlfn.TEXTAFTER(CantoralDB[[#This Row],[index.html]],"&gt;"),"&gt;")&amp;"&gt;"</f>
        <v>&lt;a href="canciones/nuevas/llename_señor.html"&gt;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2585</v>
      </c>
      <c r="C1511" s="1"/>
      <c r="F1511" s="1">
        <v>197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11" s="1"/>
      <c r="U1511" s="1"/>
      <c r="V1511" s="32" t="s">
        <v>4560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X1511" s="15" t="str">
        <f>_xlfn.TEXTBEFORE(_xlfn.TEXTAFTER(CantoralDB[[#This Row],[index.html]],"&gt;"),"&gt;")&amp;"&gt;"</f>
        <v>&lt;a href="canciones/nuevas/los_que_esperan.html"&gt;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2595</v>
      </c>
      <c r="C1512" s="1"/>
      <c r="F1512" s="1">
        <v>211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12" s="1"/>
      <c r="U1512" s="1"/>
      <c r="V1512" s="32" t="s">
        <v>4545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X1512" s="15" t="str">
        <f>_xlfn.TEXTBEFORE(_xlfn.TEXTAFTER(CantoralDB[[#This Row],[index.html]],"&gt;"),"&gt;")&amp;"&gt;"</f>
        <v>&lt;a href="canciones/nuevas/manos_abiertas_ante_ti.html"&gt;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2605</v>
      </c>
      <c r="C1513" s="1"/>
      <c r="F1513" s="1">
        <v>222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13" s="1"/>
      <c r="U1513" s="1"/>
      <c r="V1513" s="32" t="s">
        <v>4548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X1513" s="15" t="str">
        <f>_xlfn.TEXTBEFORE(_xlfn.TEXTAFTER(CantoralDB[[#This Row],[index.html]],"&gt;"),"&gt;")&amp;"&gt;"</f>
        <v>&lt;a href="canciones/nuevas/manos_vacias.html"&gt;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2447</v>
      </c>
      <c r="C1514" s="1"/>
      <c r="F1514" s="1">
        <v>65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14" s="1"/>
      <c r="U1514" s="1"/>
      <c r="V1514" s="15"/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X1514" s="15" t="str">
        <f>_xlfn.TEXTBEFORE(_xlfn.TEXTAFTER(CantoralDB[[#This Row],[index.html]],"&gt;"),"&gt;")&amp;"&gt;"</f>
        <v>&lt;a href="canciones/nuevas/maravilloso.html"&gt;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2440</v>
      </c>
      <c r="C1515" s="1"/>
      <c r="F1515" s="1">
        <v>59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15" s="1"/>
      <c r="U1515" s="1"/>
      <c r="V1515" s="15"/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X1515" s="15" t="str">
        <f>_xlfn.TEXTBEFORE(_xlfn.TEXTAFTER(CantoralDB[[#This Row],[index.html]],"&gt;"),"&gt;")&amp;"&gt;"</f>
        <v>&lt;a href="canciones/nuevas/maravilloso_jesus_es_para_mi.html"&gt;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2420</v>
      </c>
      <c r="C1516" s="1"/>
      <c r="F1516" s="1">
        <v>43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16" s="1"/>
      <c r="U1516" s="1"/>
      <c r="V1516" s="15"/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X1516" s="15" t="str">
        <f>_xlfn.TEXTBEFORE(_xlfn.TEXTAFTER(CantoralDB[[#This Row],[index.html]],"&gt;"),"&gt;")&amp;"&gt;"</f>
        <v>&lt;a href="canciones/nuevas/me_alegrare.html"&gt;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2663</v>
      </c>
      <c r="C1517" s="1"/>
      <c r="F1517" s="1">
        <v>289</v>
      </c>
      <c r="J1517" s="1"/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17" s="1"/>
      <c r="U1517" s="1"/>
      <c r="V1517" s="15"/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X1517" s="15" t="str">
        <f>_xlfn.TEXTBEFORE(_xlfn.TEXTAFTER(CantoralDB[[#This Row],[index.html]],"&gt;"),"&gt;")&amp;"&gt;"</f>
        <v>&lt;a href="canciones/nuevas/me_gozare_me_alegrare.html"&gt;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2773</v>
      </c>
      <c r="C1518" s="1"/>
      <c r="F1518" s="1">
        <v>392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18" s="1"/>
      <c r="U1518" s="1"/>
      <c r="V1518" s="15"/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X1518" s="15" t="str">
        <f>_xlfn.TEXTBEFORE(_xlfn.TEXTAFTER(CantoralDB[[#This Row],[index.html]],"&gt;"),"&gt;")&amp;"&gt;"</f>
        <v>&lt;a href="canciones/nuevas/me_llaman_aleluya.html"&gt;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2631</v>
      </c>
      <c r="C1519" s="1"/>
      <c r="F1519" s="1">
        <v>256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X1519" s="15" t="str">
        <f>_xlfn.TEXTBEFORE(_xlfn.TEXTAFTER(CantoralDB[[#This Row],[index.html]],"&gt;"),"&gt;")&amp;"&gt;"</f>
        <v>&lt;a href="canciones/nuevas/me_sedujiste_señor.html"&gt;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2520</v>
      </c>
      <c r="C1520" s="1"/>
      <c r="F1520" s="1">
        <v>132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20" s="1"/>
      <c r="U1520" s="1"/>
      <c r="V1520" s="32" t="s">
        <v>4466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X1520" s="15" t="str">
        <f>_xlfn.TEXTBEFORE(_xlfn.TEXTAFTER(CantoralDB[[#This Row],[index.html]],"&gt;"),"&gt;")&amp;"&gt;"</f>
        <v>&lt;a href="canciones/nuevas/mi_alma_alaba_al_señor.html"&gt;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2755</v>
      </c>
      <c r="C1521" s="1"/>
      <c r="F1521" s="1">
        <v>378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21" s="1"/>
      <c r="U1521" s="1"/>
      <c r="V1521" s="15"/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X1521" s="15" t="str">
        <f>_xlfn.TEXTBEFORE(_xlfn.TEXTAFTER(CantoralDB[[#This Row],[index.html]],"&gt;"),"&gt;")&amp;"&gt;"</f>
        <v>&lt;a href="canciones/nuevas/mi_pensamiento_eres_tu.html"&gt;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2460</v>
      </c>
      <c r="C1522" s="1"/>
      <c r="F1522" s="1">
        <v>79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22" s="1"/>
      <c r="U1522" s="1"/>
      <c r="V1522" s="15"/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X1522" s="15" t="str">
        <f>_xlfn.TEXTBEFORE(_xlfn.TEXTAFTER(CantoralDB[[#This Row],[index.html]],"&gt;"),"&gt;")&amp;"&gt;"</f>
        <v>&lt;a href="canciones/nuevas/moviste_mi_corazon.html"&gt;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2477</v>
      </c>
      <c r="C1523" s="1"/>
      <c r="F1523" s="1">
        <v>95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23" s="1"/>
      <c r="U1523" s="1"/>
      <c r="V1523" s="32" t="s">
        <v>4549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X1523" s="15" t="str">
        <f>_xlfn.TEXTBEFORE(_xlfn.TEXTAFTER(CantoralDB[[#This Row],[index.html]],"&gt;"),"&gt;")&amp;"&gt;"</f>
        <v>&lt;a href="canciones/nuevas/muchos_hermanos_aqui.html"&gt;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2705</v>
      </c>
      <c r="C1524" s="1"/>
      <c r="F1524" s="1">
        <v>335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24" s="1"/>
      <c r="U1524" s="1"/>
      <c r="V1524" s="15"/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X1524" s="15" t="str">
        <f>_xlfn.TEXTBEFORE(_xlfn.TEXTAFTER(CantoralDB[[#This Row],[index.html]],"&gt;"),"&gt;")&amp;"&gt;"</f>
        <v>&lt;a href="canciones/nuevas/no_hay_nadie_como_mi_dios.html"&gt;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2650</v>
      </c>
      <c r="C1525" s="1"/>
      <c r="F1525" s="1">
        <v>274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25" s="1"/>
      <c r="U1525" s="1"/>
      <c r="V1525" s="32" t="s">
        <v>4448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X1525" s="15" t="str">
        <f>_xlfn.TEXTBEFORE(_xlfn.TEXTAFTER(CantoralDB[[#This Row],[index.html]],"&gt;"),"&gt;")&amp;"&gt;"</f>
        <v>&lt;a href="canciones/nuevas/no_puede_estar_triste.html"&gt;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2470</v>
      </c>
      <c r="C1526" s="1"/>
      <c r="F1526" s="1">
        <v>88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26" s="1"/>
      <c r="U1526" s="1"/>
      <c r="V1526" s="15"/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X1526" s="15" t="str">
        <f>_xlfn.TEXTBEFORE(_xlfn.TEXTAFTER(CantoralDB[[#This Row],[index.html]],"&gt;"),"&gt;")&amp;"&gt;"</f>
        <v>&lt;a href="canciones/nuevas/nombra_a_jesus.html"&gt;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2619</v>
      </c>
      <c r="C1527" s="1"/>
      <c r="F1527" s="1">
        <v>240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27" s="1"/>
      <c r="U1527" s="1"/>
      <c r="V1527" s="15"/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X1527" s="15" t="str">
        <f>_xlfn.TEXTBEFORE(_xlfn.TEXTAFTER(CantoralDB[[#This Row],[index.html]],"&gt;"),"&gt;")&amp;"&gt;"</f>
        <v>&lt;a href="canciones/nuevas/oh_aleluya.html"&gt;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2465</v>
      </c>
      <c r="C1528" s="1"/>
      <c r="F1528" s="1">
        <v>83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X1528" s="15" t="str">
        <f>_xlfn.TEXTBEFORE(_xlfn.TEXTAFTER(CantoralDB[[#This Row],[index.html]],"&gt;"),"&gt;")&amp;"&gt;"</f>
        <v>&lt;a href="canciones/nuevas/oh_oh_oh_padre.html"&gt;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2403</v>
      </c>
      <c r="C1529" s="1"/>
      <c r="F1529" s="1">
        <v>25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29" s="1"/>
      <c r="U1529" s="1"/>
      <c r="V1529" s="32" t="s">
        <v>4586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X1529" s="15" t="str">
        <f>_xlfn.TEXTBEFORE(_xlfn.TEXTAFTER(CantoralDB[[#This Row],[index.html]],"&gt;"),"&gt;")&amp;"&gt;"</f>
        <v>&lt;a href="canciones/nuevas/oh_padre_yo_te_amo.html"&gt;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2459</v>
      </c>
      <c r="C1530" s="1"/>
      <c r="F1530" s="1">
        <v>78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30" s="1"/>
      <c r="U1530" s="1"/>
      <c r="V1530" s="15"/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X1530" s="15" t="str">
        <f>_xlfn.TEXTBEFORE(_xlfn.TEXTAFTER(CantoralDB[[#This Row],[index.html]],"&gt;"),"&gt;")&amp;"&gt;"</f>
        <v>&lt;a href="canciones/nuevas/oh_ven_ven_y_deleitate.html"&gt;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2836</v>
      </c>
      <c r="C1531" s="1"/>
      <c r="F1531" s="1">
        <v>445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31" s="1"/>
      <c r="U1531" s="1"/>
      <c r="V1531" s="15"/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X1531" s="15" t="str">
        <f>_xlfn.TEXTBEFORE(_xlfn.TEXTAFTER(CantoralDB[[#This Row],[index.html]],"&gt;"),"&gt;")&amp;"&gt;"</f>
        <v>&lt;a href="canciones/nuevas/pa_arriba.html"&gt;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196</v>
      </c>
      <c r="C1532" s="1"/>
      <c r="F1532" s="1">
        <v>114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32" s="1"/>
      <c r="U1532" s="1"/>
      <c r="V1532" s="32" t="s">
        <v>4492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X1532" s="15" t="str">
        <f>_xlfn.TEXTBEFORE(_xlfn.TEXTAFTER(CantoralDB[[#This Row],[index.html]],"&gt;"),"&gt;")&amp;"&gt;"</f>
        <v>&lt;a href="canciones/nuevas/padrenuestro.html"&gt;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2608</v>
      </c>
      <c r="C1533" s="1"/>
      <c r="F1533" s="1">
        <v>225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33" s="1"/>
      <c r="U1533" s="1"/>
      <c r="V1533" s="15"/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X1533" s="15" t="str">
        <f>_xlfn.TEXTBEFORE(_xlfn.TEXTAFTER(CantoralDB[[#This Row],[index.html]],"&gt;"),"&gt;")&amp;"&gt;"</f>
        <v>&lt;a href="canciones/nuevas/pequeño_como_una_brisa.html"&gt;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2639</v>
      </c>
      <c r="C1534" s="1"/>
      <c r="F1534" s="1">
        <v>263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34" s="1"/>
      <c r="U1534" s="1"/>
      <c r="V1534" s="15"/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X1534" s="15" t="str">
        <f>_xlfn.TEXTBEFORE(_xlfn.TEXTAFTER(CantoralDB[[#This Row],[index.html]],"&gt;"),"&gt;")&amp;"&gt;"</f>
        <v>&lt;a href="canciones/nuevas/pon_hoy_la_llama_de_amor.html"&gt;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2611</v>
      </c>
      <c r="C1535" s="1"/>
      <c r="F1535" s="1">
        <v>230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35" s="1"/>
      <c r="U1535" s="1"/>
      <c r="V1535" s="15"/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X1535" s="15" t="str">
        <f>_xlfn.TEXTBEFORE(_xlfn.TEXTAFTER(CantoralDB[[#This Row],[index.html]],"&gt;"),"&gt;")&amp;"&gt;"</f>
        <v>&lt;a href="canciones/nuevas/porque_para_siempre_dios.html"&gt;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2782</v>
      </c>
      <c r="C1536" s="1"/>
      <c r="F1536" s="1">
        <v>399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X1536" s="15" t="str">
        <f>_xlfn.TEXTBEFORE(_xlfn.TEXTAFTER(CantoralDB[[#This Row],[index.html]],"&gt;"),"&gt;")&amp;"&gt;"</f>
        <v>&lt;a href="canciones/nuevas/porque_tu_eres_bueno.html"&gt;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2462</v>
      </c>
      <c r="C1537" s="1"/>
      <c r="F1537" s="1">
        <v>81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X1537" s="15" t="str">
        <f>_xlfn.TEXTBEFORE(_xlfn.TEXTAFTER(CantoralDB[[#This Row],[index.html]],"&gt;"),"&gt;")&amp;"&gt;"</f>
        <v>&lt;a href="canciones/nuevas/pueblo_de_dios.html"&gt;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2712</v>
      </c>
      <c r="C1538" s="1"/>
      <c r="F1538" s="1">
        <v>342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X1538" s="15" t="str">
        <f>_xlfn.TEXTBEFORE(_xlfn.TEXTAFTER(CantoralDB[[#This Row],[index.html]],"&gt;"),"&gt;")&amp;"&gt;"</f>
        <v>&lt;a href="canciones/nuevas/queremos_ser.html"&gt;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2614</v>
      </c>
      <c r="C1539" s="1"/>
      <c r="F1539" s="1">
        <v>234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539" s="1"/>
      <c r="U1539" s="1"/>
      <c r="V1539" s="32" t="s">
        <v>4527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X1539" s="15" t="str">
        <f>_xlfn.TEXTBEFORE(_xlfn.TEXTAFTER(CantoralDB[[#This Row],[index.html]],"&gt;"),"&gt;")&amp;"&gt;"</f>
        <v>&lt;a href="canciones/nuevas/quiero_levantar_mis_manos.html"&gt;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2713</v>
      </c>
      <c r="C1540" s="1"/>
      <c r="F1540" s="1">
        <v>343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X1540" s="15" t="str">
        <f>_xlfn.TEXTBEFORE(_xlfn.TEXTAFTER(CantoralDB[[#This Row],[index.html]],"&gt;"),"&gt;")&amp;"&gt;"</f>
        <v>&lt;a href="canciones/nuevas/quiero_llenar_tu_trono_de_alabanza.html"&gt;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2730</v>
      </c>
      <c r="C1541" s="1"/>
      <c r="F1541" s="1">
        <v>356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X1541" s="15" t="str">
        <f>_xlfn.TEXTBEFORE(_xlfn.TEXTAFTER(CantoralDB[[#This Row],[index.html]],"&gt;"),"&gt;")&amp;"&gt;"</f>
        <v>&lt;a href="canciones/nuevas/reina_en_mi.html"&gt;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2405</v>
      </c>
      <c r="C1542" s="1"/>
      <c r="F1542" s="1">
        <v>28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42" s="1"/>
      <c r="U1542" s="1"/>
      <c r="V1542" s="15"/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42" s="15" t="str">
        <f>_xlfn.TEXTBEFORE(_xlfn.TEXTAFTER(CantoralDB[[#This Row],[index.html]],"&gt;"),"&gt;")&amp;"&gt;"</f>
        <v>&lt;a href="canciones/nuevas/rey_de_reyes.html"&gt;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2405</v>
      </c>
      <c r="C1543" s="1"/>
      <c r="F1543" s="1">
        <v>138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43" s="1"/>
      <c r="U1543" s="1"/>
      <c r="V1543" s="32" t="s">
        <v>4439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43" s="15" t="str">
        <f>_xlfn.TEXTBEFORE(_xlfn.TEXTAFTER(CantoralDB[[#This Row],[index.html]],"&gt;"),"&gt;")&amp;"&gt;"</f>
        <v>&lt;a href="canciones/nuevas/rey_de_reyes.html"&gt;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1756</v>
      </c>
      <c r="C1544" s="1"/>
      <c r="F1544" s="1">
        <v>86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544" s="1"/>
      <c r="U1544" s="1"/>
      <c r="V1544" s="32" t="s">
        <v>4469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X1544" s="15" t="str">
        <f>_xlfn.TEXTBEFORE(_xlfn.TEXTAFTER(CantoralDB[[#This Row],[index.html]],"&gt;"),"&gt;")&amp;"&gt;"</f>
        <v>&lt;a href="canciones/nuevas/ruah.html"&gt;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2624</v>
      </c>
      <c r="C1545" s="1"/>
      <c r="F1545" s="1">
        <v>245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X1545" s="15" t="str">
        <f>_xlfn.TEXTBEFORE(_xlfn.TEXTAFTER(CantoralDB[[#This Row],[index.html]],"&gt;"),"&gt;")&amp;"&gt;"</f>
        <v>&lt;a href="canciones/nuevas/salvador_para_todos.html"&gt;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559</v>
      </c>
      <c r="C1546" s="1"/>
      <c r="F1546" s="1">
        <v>161</v>
      </c>
      <c r="J1546" s="1"/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546" s="1"/>
      <c r="U1546" s="1"/>
      <c r="V1546" s="32" t="s">
        <v>4467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X1546" s="15" t="str">
        <f>_xlfn.TEXTBEFORE(_xlfn.TEXTAFTER(CantoralDB[[#This Row],[index.html]],"&gt;"),"&gt;")&amp;"&gt;"</f>
        <v>&lt;a href="canciones/nuevas/santo_es_el_señor.html"&gt;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2453</v>
      </c>
      <c r="C1547" s="1"/>
      <c r="F1547" s="1">
        <v>71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X1547" s="15" t="str">
        <f>_xlfn.TEXTBEFORE(_xlfn.TEXTAFTER(CantoralDB[[#This Row],[index.html]],"&gt;"),"&gt;")&amp;"&gt;"</f>
        <v>&lt;a href="canciones/nuevas/santo_dios_de_fuerza_y_poder.html"&gt;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2454</v>
      </c>
      <c r="C1548" s="1"/>
      <c r="F1548" s="1">
        <v>72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548" s="1"/>
      <c r="U1548" s="1"/>
      <c r="V1548" s="32" t="s">
        <v>4514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X1548" s="15" t="str">
        <f>_xlfn.TEXTBEFORE(_xlfn.TEXTAFTER(CantoralDB[[#This Row],[index.html]],"&gt;"),"&gt;")&amp;"&gt;"</f>
        <v>&lt;a href="canciones/nuevas/santo_dios_de_los_hombres.html"&gt;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2766</v>
      </c>
      <c r="C1549" s="1"/>
      <c r="F1549" s="1">
        <v>388</v>
      </c>
      <c r="J1549" s="1"/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549" s="1"/>
      <c r="U1549" s="1"/>
      <c r="V1549" s="32" t="s">
        <v>4498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X1549" s="15" t="str">
        <f>_xlfn.TEXTBEFORE(_xlfn.TEXTAFTER(CantoralDB[[#This Row],[index.html]],"&gt;"),"&gt;")&amp;"&gt;"</f>
        <v>&lt;a href="canciones/nuevas/se_encienden_las_velas.html"&gt;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2410</v>
      </c>
      <c r="C1550" s="1"/>
      <c r="F1550" s="1">
        <v>33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X1550" s="15" t="str">
        <f>_xlfn.TEXTBEFORE(_xlfn.TEXTAFTER(CantoralDB[[#This Row],[index.html]],"&gt;"),"&gt;")&amp;"&gt;"</f>
        <v>&lt;a href="canciones/nuevas/sea_la_gloria.html"&gt;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2406</v>
      </c>
      <c r="C1551" s="1"/>
      <c r="F1551" s="1">
        <v>29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X1551" s="15" t="str">
        <f>_xlfn.TEXTBEFORE(_xlfn.TEXTAFTER(CantoralDB[[#This Row],[index.html]],"&gt;"),"&gt;")&amp;"&gt;"</f>
        <v>&lt;a href="canciones/nuevas/seguid_unidos_a_mi.html"&gt;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2781</v>
      </c>
      <c r="C1552" s="1"/>
      <c r="F1552" s="1">
        <v>398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552" s="1"/>
      <c r="U1552" s="1"/>
      <c r="V1552" s="32" t="s">
        <v>4562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X1552" s="15" t="str">
        <f>_xlfn.TEXTBEFORE(_xlfn.TEXTAFTER(CantoralDB[[#This Row],[index.html]],"&gt;"),"&gt;")&amp;"&gt;"</f>
        <v>&lt;a href="canciones/nuevas/señor_llevame_a_tus_atrios.html"&gt;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2400</v>
      </c>
      <c r="C1553" s="1"/>
      <c r="F1553" s="1">
        <v>21</v>
      </c>
      <c r="J1553" s="1"/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X1553" s="15" t="str">
        <f>_xlfn.TEXTBEFORE(_xlfn.TEXTAFTER(CantoralDB[[#This Row],[index.html]],"&gt;"),"&gt;")&amp;"&gt;"</f>
        <v>&lt;a href="canciones/nuevas/shema_israel.html"&gt;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2542</v>
      </c>
      <c r="C1554" s="1"/>
      <c r="F1554" s="1">
        <v>156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554" s="1"/>
      <c r="U1554" s="1"/>
      <c r="V1554" s="32" t="s">
        <v>4522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X1554" s="15" t="str">
        <f>_xlfn.TEXTBEFORE(_xlfn.TEXTAFTER(CantoralDB[[#This Row],[index.html]],"&gt;"),"&gt;")&amp;"&gt;"</f>
        <v>&lt;a href="canciones/nuevas/si_el_espiritu_de_dios.html"&gt;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2563</v>
      </c>
      <c r="C1555" s="1"/>
      <c r="F1555" s="1">
        <v>174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555" s="1"/>
      <c r="U1555" s="1"/>
      <c r="V1555" s="15"/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X1555" s="15" t="str">
        <f>_xlfn.TEXTBEFORE(_xlfn.TEXTAFTER(CantoralDB[[#This Row],[index.html]],"&gt;"),"&gt;")&amp;"&gt;"</f>
        <v>&lt;a href="canciones/nuevas/si_es_verdad_que_dios_te_quiere.html"&gt;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2402</v>
      </c>
      <c r="C1556" s="1"/>
      <c r="F1556" s="1">
        <v>24</v>
      </c>
      <c r="J1556" s="1"/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556" s="1"/>
      <c r="U1556" s="1"/>
      <c r="V1556" s="15"/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X1556" s="15" t="str">
        <f>_xlfn.TEXTBEFORE(_xlfn.TEXTAFTER(CantoralDB[[#This Row],[index.html]],"&gt;"),"&gt;")&amp;"&gt;"</f>
        <v>&lt;a href="canciones/nuevas/si_tuvieras_fe_como_un_granito_de_mostaza.html"&gt;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2419</v>
      </c>
      <c r="C1557" s="1"/>
      <c r="F1557" s="1">
        <v>42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X1557" s="15" t="str">
        <f>_xlfn.TEXTBEFORE(_xlfn.TEXTAFTER(CantoralDB[[#This Row],[index.html]],"&gt;"),"&gt;")&amp;"&gt;"</f>
        <v>&lt;a href="canciones/nuevas/si_yo_confio_en_el_señor.html"&gt;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2779</v>
      </c>
      <c r="C1558" s="1"/>
      <c r="F1558" s="1">
        <v>397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X1558" s="15" t="str">
        <f>_xlfn.TEXTBEFORE(_xlfn.TEXTAFTER(CantoralDB[[#This Row],[index.html]],"&gt;"),"&gt;")&amp;"&gt;"</f>
        <v>&lt;a href="canciones/nuevas/siento_que_tus_ojos_me_miran.html"&gt;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2706</v>
      </c>
      <c r="C1559" s="1"/>
      <c r="F1559" s="1">
        <v>336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559" s="1"/>
      <c r="U1559" s="1"/>
      <c r="V1559" s="15"/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X1559" s="15" t="str">
        <f>_xlfn.TEXTBEFORE(_xlfn.TEXTAFTER(CantoralDB[[#This Row],[index.html]],"&gt;"),"&gt;")&amp;"&gt;"</f>
        <v>&lt;a href="canciones/nuevas/te_alabaran_oh_señor.html"&gt;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2745</v>
      </c>
      <c r="C1560" s="1"/>
      <c r="F1560" s="1">
        <v>371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X1560" s="15" t="str">
        <f>_xlfn.TEXTBEFORE(_xlfn.TEXTAFTER(CantoralDB[[#This Row],[index.html]],"&gt;"),"&gt;")&amp;"&gt;"</f>
        <v>&lt;a href="canciones/nuevas/te_damos_gloria.html"&gt;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2466</v>
      </c>
      <c r="C1561" s="1"/>
      <c r="F1561" s="1">
        <v>84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X1561" s="15" t="str">
        <f>_xlfn.TEXTBEFORE(_xlfn.TEXTAFTER(CantoralDB[[#This Row],[index.html]],"&gt;"),"&gt;")&amp;"&gt;"</f>
        <v>&lt;a href="canciones/nuevas/te_ensalzamos.html"&gt;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2404</v>
      </c>
      <c r="C1562" s="1"/>
      <c r="F1562" s="1">
        <v>27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X1562" s="15" t="str">
        <f>_xlfn.TEXTBEFORE(_xlfn.TEXTAFTER(CantoralDB[[#This Row],[index.html]],"&gt;"),"&gt;")&amp;"&gt;"</f>
        <v>&lt;a href="canciones/nuevas/tenemos_tanto.html"&gt;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2646</v>
      </c>
      <c r="C1563" s="1"/>
      <c r="F1563" s="1">
        <v>270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563" s="1"/>
      <c r="U1563" s="1"/>
      <c r="V1563" s="15"/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X1563" s="15" t="str">
        <f>_xlfn.TEXTBEFORE(_xlfn.TEXTAFTER(CantoralDB[[#This Row],[index.html]],"&gt;"),"&gt;")&amp;"&gt;"</f>
        <v>&lt;a href="canciones/nuevas/tomame.html"&gt;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2418</v>
      </c>
      <c r="C1564" s="1"/>
      <c r="F1564" s="1">
        <v>40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564" s="1"/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X1564" s="15" t="str">
        <f>_xlfn.TEXTBEFORE(_xlfn.TEXTAFTER(CantoralDB[[#This Row],[index.html]],"&gt;"),"&gt;")&amp;"&gt;"</f>
        <v>&lt;a href="canciones/nuevas/tu_amor_sublime.html"&gt;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2449</v>
      </c>
      <c r="C1565" s="1"/>
      <c r="F1565" s="1">
        <v>67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X1565" s="15" t="str">
        <f>_xlfn.TEXTBEFORE(_xlfn.TEXTAFTER(CantoralDB[[#This Row],[index.html]],"&gt;"),"&gt;")&amp;"&gt;"</f>
        <v>&lt;a href="canciones/nuevas/tuya_es_la_gloria.html"&gt;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2487</v>
      </c>
      <c r="C1566" s="1"/>
      <c r="F1566" s="1">
        <v>106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566" s="1"/>
      <c r="U1566" s="1"/>
      <c r="V1566" s="15"/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X1566" s="15" t="str">
        <f>_xlfn.TEXTBEFORE(_xlfn.TEXTAFTER(CantoralDB[[#This Row],[index.html]],"&gt;"),"&gt;")&amp;"&gt;"</f>
        <v>&lt;a href="canciones/nuevas/va_bajando_ya.html"&gt;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2722</v>
      </c>
      <c r="C1567" s="1"/>
      <c r="F1567" s="1">
        <v>349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567" s="1"/>
      <c r="U1567" s="1"/>
      <c r="V1567" s="32" t="s">
        <v>4496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X1567" s="15" t="str">
        <f>_xlfn.TEXTBEFORE(_xlfn.TEXTAFTER(CantoralDB[[#This Row],[index.html]],"&gt;"),"&gt;")&amp;"&gt;"</f>
        <v>&lt;a href="canciones/nuevas/vamos_a_bendecir_al_señor.html"&gt;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2439</v>
      </c>
      <c r="C1568" s="1"/>
      <c r="F1568" s="1">
        <v>58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X1568" s="15" t="str">
        <f>_xlfn.TEXTBEFORE(_xlfn.TEXTAFTER(CantoralDB[[#This Row],[index.html]],"&gt;"),"&gt;")&amp;"&gt;"</f>
        <v>&lt;a href="canciones/nuevas/vamos_a_cantar.html"&gt;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2409</v>
      </c>
      <c r="C1569" s="1"/>
      <c r="F1569" s="1">
        <v>32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X1569" s="15" t="str">
        <f>_xlfn.TEXTBEFORE(_xlfn.TEXTAFTER(CantoralDB[[#This Row],[index.html]],"&gt;"),"&gt;")&amp;"&gt;"</f>
        <v>&lt;a href="canciones/nuevas/vamos_a_juntarnos.html"&gt;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2549</v>
      </c>
      <c r="C1570" s="1"/>
      <c r="F1570" s="1">
        <v>162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570" s="1"/>
      <c r="U1570" s="1"/>
      <c r="V1570" s="32" t="s">
        <v>4566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X1570" s="15" t="str">
        <f>_xlfn.TEXTBEFORE(_xlfn.TEXTAFTER(CantoralDB[[#This Row],[index.html]],"&gt;"),"&gt;")&amp;"&gt;"</f>
        <v>&lt;a href="canciones/nuevas/vamos_con_gozo.html"&gt;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2167</v>
      </c>
      <c r="C1571" s="15"/>
      <c r="H1571" s="1" t="s">
        <v>1026</v>
      </c>
      <c r="J1571" s="1" t="s">
        <v>607</v>
      </c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571" s="1"/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X1571" s="15" t="str">
        <f>_xlfn.TEXTBEFORE(_xlfn.TEXTAFTER(CantoralDB[[#This Row],[index.html]],"&gt;"),"&gt;")&amp;"&gt;"</f>
        <v>&lt;a href="canciones/nuevas/vamos_amigos.html"&gt;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2607</v>
      </c>
      <c r="C1572" s="1"/>
      <c r="F1572" s="1">
        <v>224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572" s="1"/>
      <c r="U1572" s="1"/>
      <c r="V1572" s="15"/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X1572" s="15" t="str">
        <f>_xlfn.TEXTBEFORE(_xlfn.TEXTAFTER(CantoralDB[[#This Row],[index.html]],"&gt;"),"&gt;")&amp;"&gt;"</f>
        <v>&lt;a href="canciones/nuevas/ven_a_conocer.html"&gt;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2655</v>
      </c>
      <c r="C1573" s="1"/>
      <c r="F1573" s="1">
        <v>278</v>
      </c>
      <c r="J1573" s="1"/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573" s="1"/>
      <c r="U1573" s="1"/>
      <c r="V1573" s="15"/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X1573" s="15" t="str">
        <f>_xlfn.TEXTBEFORE(_xlfn.TEXTAFTER(CantoralDB[[#This Row],[index.html]],"&gt;"),"&gt;")&amp;"&gt;"</f>
        <v>&lt;a href="canciones/nuevas/ven_ahora.html"&gt;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2806</v>
      </c>
      <c r="C1574" s="1"/>
      <c r="F1574" s="1">
        <v>418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574" s="1"/>
      <c r="U1574" s="1"/>
      <c r="V1574" s="15"/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X1574" s="15" t="str">
        <f>_xlfn.TEXTBEFORE(_xlfn.TEXTAFTER(CantoralDB[[#This Row],[index.html]],"&gt;"),"&gt;")&amp;"&gt;"</f>
        <v>&lt;a href="canciones/nuevas/ven_al_corazon.html"&gt;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2659</v>
      </c>
      <c r="C1575" s="1"/>
      <c r="F1575" s="1">
        <v>283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575" s="1"/>
      <c r="U1575" s="1"/>
      <c r="V1575" s="15"/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X1575" s="15" t="str">
        <f>_xlfn.TEXTBEFORE(_xlfn.TEXTAFTER(CantoralDB[[#This Row],[index.html]],"&gt;"),"&gt;")&amp;"&gt;"</f>
        <v>&lt;a href="canciones/nuevas/ven_amor_de_dios.html"&gt;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2436</v>
      </c>
      <c r="C1576" s="1"/>
      <c r="F1576" s="1">
        <v>55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576" s="1"/>
      <c r="U1576" s="1"/>
      <c r="V1576" s="15"/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X1576" s="15" t="str">
        <f>_xlfn.TEXTBEFORE(_xlfn.TEXTAFTER(CantoralDB[[#This Row],[index.html]],"&gt;"),"&gt;")&amp;"&gt;"</f>
        <v>&lt;a href="canciones/nuevas/ven_espiritu_divino.html"&gt;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2356</v>
      </c>
      <c r="C1577" s="1"/>
      <c r="F1577" s="1">
        <v>259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577" s="1"/>
      <c r="U1577" s="1"/>
      <c r="V1577" s="32" t="s">
        <v>4511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X1577" s="15" t="str">
        <f>_xlfn.TEXTBEFORE(_xlfn.TEXTAFTER(CantoralDB[[#This Row],[index.html]],"&gt;"),"&gt;")&amp;"&gt;"</f>
        <v>&lt;a href="canciones/nuevas/venid_a_mi.html"&gt;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2653</v>
      </c>
      <c r="C1578" s="1"/>
      <c r="F1578" s="1">
        <v>276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X1578" s="15" t="str">
        <f>_xlfn.TEXTBEFORE(_xlfn.TEXTAFTER(CantoralDB[[#This Row],[index.html]],"&gt;"),"&gt;")&amp;"&gt;"</f>
        <v>&lt;a href="canciones/nuevas/venid_alabad.html"&gt;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1714</v>
      </c>
      <c r="C1579" s="1"/>
      <c r="F1579" s="1">
        <v>41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X1579" s="15" t="str">
        <f>_xlfn.TEXTBEFORE(_xlfn.TEXTAFTER(CantoralDB[[#This Row],[index.html]],"&gt;"),"&gt;")&amp;"&gt;"</f>
        <v>&lt;a href="canciones/nuevas/venimos_ante_ti.html"&gt;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2774</v>
      </c>
      <c r="C1580" s="1"/>
      <c r="F1580" s="1">
        <v>393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X1580" s="15" t="str">
        <f>_xlfn.TEXTBEFORE(_xlfn.TEXTAFTER(CantoralDB[[#This Row],[index.html]],"&gt;"),"&gt;")&amp;"&gt;"</f>
        <v>&lt;a href="canciones/nuevas/y_es_que_tengo_un_fuego.html"&gt;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2725</v>
      </c>
      <c r="C1581" s="1"/>
      <c r="F1581" s="1">
        <v>351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X1581" s="15" t="str">
        <f>_xlfn.TEXTBEFORE(_xlfn.TEXTAFTER(CantoralDB[[#This Row],[index.html]],"&gt;"),"&gt;")&amp;"&gt;"</f>
        <v>&lt;a href="canciones/nuevas/yo_cantare_tus_alabanzas.html"&gt;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2399</v>
      </c>
      <c r="C1582" s="1"/>
      <c r="F1582" s="1">
        <v>20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X1582" s="15" t="str">
        <f>_xlfn.TEXTBEFORE(_xlfn.TEXTAFTER(CantoralDB[[#This Row],[index.html]],"&gt;"),"&gt;")&amp;"&gt;"</f>
        <v>&lt;a href="canciones/nuevas/yo_soy_testigo.html"&gt;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2783</v>
      </c>
      <c r="C1583" s="1"/>
      <c r="F1583" s="1">
        <v>402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X1583" s="15" t="str">
        <f>_xlfn.TEXTBEFORE(_xlfn.TEXTAFTER(CantoralDB[[#This Row],[index.html]],"&gt;"),"&gt;")&amp;"&gt;"</f>
        <v>&lt;a href="canciones/nuevas/yo_te_adoro_señor.html"&gt;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2592</v>
      </c>
      <c r="C1584" s="1"/>
      <c r="F1584" s="1">
        <v>207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584" s="1"/>
      <c r="U1584" s="1"/>
      <c r="V1584" s="32" t="s">
        <v>4535</v>
      </c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X1584" s="15" t="str">
        <f>_xlfn.TEXTBEFORE(_xlfn.TEXTAFTER(CantoralDB[[#This Row],[index.html]],"&gt;"),"&gt;")&amp;"&gt;"</f>
        <v>&lt;a href="canciones/nuevas/yo_tengo_un_gozo_en_el_alma.html"&gt;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3029</v>
      </c>
      <c r="C1585" s="1"/>
      <c r="H1585" s="1" t="s">
        <v>1026</v>
      </c>
      <c r="I1585" s="1" t="s">
        <v>2952</v>
      </c>
      <c r="J1585" s="1" t="s">
        <v>607</v>
      </c>
      <c r="M1585" s="15" t="s">
        <v>573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585" s="1"/>
      <c r="U1585" s="1"/>
      <c r="V1585" s="32" t="s">
        <v>3030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585" s="15" t="str">
        <f>_xlfn.TEXTBEFORE(_xlfn.TEXTAFTER(CantoralDB[[#This Row],[index.html]],"&gt;"),"&gt;")&amp;"&gt;"</f>
        <v>&lt;a href="canciones/nuevas/el_señor_nos_llama_y_nos_reune.html"&gt;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2407</v>
      </c>
      <c r="C1586" s="1"/>
      <c r="F1586" s="1">
        <v>30</v>
      </c>
      <c r="J1586" s="1"/>
      <c r="M1586" s="15" t="s">
        <v>2408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586" s="1"/>
      <c r="U1586" s="1"/>
      <c r="V1586" s="32" t="s">
        <v>4563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X1586" s="15" t="str">
        <f>_xlfn.TEXTBEFORE(_xlfn.TEXTAFTER(CantoralDB[[#This Row],[index.html]],"&gt;"),"&gt;")&amp;"&gt;"</f>
        <v>&lt;a href="canciones/nuevas/digo_que_jesus_el_nazareno.html"&gt;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2153</v>
      </c>
      <c r="C1587" s="15"/>
      <c r="H1587" s="1" t="s">
        <v>530</v>
      </c>
      <c r="J1587" s="1" t="s">
        <v>607</v>
      </c>
      <c r="M1587" s="15" t="s">
        <v>2171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587" s="15" t="str">
        <f>_xlfn.TEXTBEFORE(_xlfn.TEXTAFTER(CantoralDB[[#This Row],[index.html]],"&gt;"),"&gt;")&amp;"&gt;"</f>
        <v>&lt;a href="canciones/nuevas/contigo_me_la_juego.html"&gt;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940</v>
      </c>
      <c r="C1588" s="1"/>
      <c r="F1588" s="1">
        <v>93</v>
      </c>
      <c r="J1588" s="1"/>
      <c r="M1588" s="15" t="s">
        <v>2475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X1588" s="15" t="str">
        <f>_xlfn.TEXTBEFORE(_xlfn.TEXTAFTER(CantoralDB[[#This Row],[index.html]],"&gt;"),"&gt;")&amp;"&gt;"</f>
        <v>&lt;a href="canciones/nuevas/ven_espiritu_de_dios.html"&gt;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2674</v>
      </c>
      <c r="C1589" s="1"/>
      <c r="F1589" s="1">
        <v>298</v>
      </c>
      <c r="J1589" s="1"/>
      <c r="M1589" s="15" t="s">
        <v>2675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589" s="1"/>
      <c r="U1589" s="1"/>
      <c r="V1589" s="32" t="s">
        <v>4435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X1589" s="15" t="str">
        <f>_xlfn.TEXTBEFORE(_xlfn.TEXTAFTER(CantoralDB[[#This Row],[index.html]],"&gt;"),"&gt;")&amp;"&gt;"</f>
        <v>&lt;a href="canciones/nuevas/jesus_salvador.html"&gt;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2824</v>
      </c>
      <c r="C1590" s="1"/>
      <c r="F1590" s="1">
        <v>434</v>
      </c>
      <c r="J1590" s="1"/>
      <c r="M1590" s="15" t="s">
        <v>2826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X1590" s="15" t="str">
        <f>_xlfn.TEXTBEFORE(_xlfn.TEXTAFTER(CantoralDB[[#This Row],[index.html]],"&gt;"),"&gt;")&amp;"&gt;"</f>
        <v>&lt;a href="canciones/nuevas/ven_ven_espiritu_de_dios.html"&gt;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2417</v>
      </c>
      <c r="C1591" s="1"/>
      <c r="F1591" s="1">
        <v>39</v>
      </c>
      <c r="J1591" s="1"/>
      <c r="M1591" s="15" t="s">
        <v>2416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591" s="1"/>
      <c r="U1591" s="1"/>
      <c r="V1591" s="32" t="s">
        <v>4483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X1591" s="15" t="str">
        <f>_xlfn.TEXTBEFORE(_xlfn.TEXTAFTER(CantoralDB[[#This Row],[index.html]],"&gt;"),"&gt;")&amp;"&gt;"</f>
        <v>&lt;a href="canciones/nuevas/ven_y_adorale.html"&gt;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2756</v>
      </c>
      <c r="C1592" s="1"/>
      <c r="F1592" s="1">
        <v>381</v>
      </c>
      <c r="J1592" s="1"/>
      <c r="M1592" s="15" t="s">
        <v>2759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592" s="1"/>
      <c r="U1592" s="1"/>
      <c r="V1592" s="15"/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X1592" s="15" t="str">
        <f>_xlfn.TEXTBEFORE(_xlfn.TEXTAFTER(CantoralDB[[#This Row],[index.html]],"&gt;"),"&gt;")&amp;"&gt;"</f>
        <v>&lt;a href="canciones/nuevas/mi_ser_alaba_al_señor.html"&gt;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2148</v>
      </c>
      <c r="C1593" s="15"/>
      <c r="H1593" s="1" t="s">
        <v>1029</v>
      </c>
      <c r="J1593" s="1" t="s">
        <v>607</v>
      </c>
      <c r="M1593" s="15" t="s">
        <v>576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593" s="1"/>
      <c r="U1593" s="1"/>
      <c r="V1593" s="32" t="s">
        <v>2990</v>
      </c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593" s="15" t="str">
        <f>_xlfn.TEXTBEFORE(_xlfn.TEXTAFTER(CantoralDB[[#This Row],[index.html]],"&gt;"),"&gt;")&amp;"&gt;"</f>
        <v>&lt;a href="canciones/nuevas/acaso_no_estoy_yo_aqui_que_soy_tu_madre.html"&gt;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2166</v>
      </c>
      <c r="C1594" s="15"/>
      <c r="H1594" s="1" t="s">
        <v>530</v>
      </c>
      <c r="J1594" s="1" t="s">
        <v>607</v>
      </c>
      <c r="M1594" s="15" t="s">
        <v>576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594" s="1"/>
      <c r="U1594" s="1"/>
      <c r="V1594" s="32" t="s">
        <v>3004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594" s="15" t="str">
        <f>_xlfn.TEXTBEFORE(_xlfn.TEXTAFTER(CantoralDB[[#This Row],[index.html]],"&gt;"),"&gt;")&amp;"&gt;"</f>
        <v>&lt;a href="canciones/nuevas/todo_es_tuyo.html"&gt;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2670</v>
      </c>
      <c r="C1595" s="1"/>
      <c r="F1595" s="1">
        <v>296</v>
      </c>
      <c r="J1595" s="1"/>
      <c r="M1595" s="15" t="s">
        <v>2671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595" s="1"/>
      <c r="U1595" s="1"/>
      <c r="V1595" s="32" t="s">
        <v>4470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X1595" s="15" t="str">
        <f>_xlfn.TEXTBEFORE(_xlfn.TEXTAFTER(CantoralDB[[#This Row],[index.html]],"&gt;"),"&gt;")&amp;"&gt;"</f>
        <v>&lt;a href="canciones/nuevas/jesus_y_la_samaritana.html"&gt;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2164</v>
      </c>
      <c r="C1596" s="1"/>
      <c r="F1596" s="1">
        <v>380</v>
      </c>
      <c r="H1596" s="1" t="s">
        <v>1027</v>
      </c>
      <c r="J1596" s="1" t="s">
        <v>607</v>
      </c>
      <c r="M1596" s="15" t="s">
        <v>2671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596" s="1"/>
      <c r="U1596" s="1"/>
      <c r="V1596" s="32" t="s">
        <v>3002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X1596" s="15" t="str">
        <f>_xlfn.TEXTBEFORE(_xlfn.TEXTAFTER(CantoralDB[[#This Row],[index.html]],"&gt;"),"&gt;")&amp;"&gt;"</f>
        <v>&lt;a href="canciones/nuevas/shalom_te_doy_la_paz.html"&gt;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2428</v>
      </c>
      <c r="C1597" s="1"/>
      <c r="F1597" s="1">
        <v>50</v>
      </c>
      <c r="J1597" s="1"/>
      <c r="M1597" s="15" t="s">
        <v>2429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X1597" s="15" t="str">
        <f>_xlfn.TEXTBEFORE(_xlfn.TEXTAFTER(CantoralDB[[#This Row],[index.html]],"&gt;"),"&gt;")&amp;"&gt;"</f>
        <v>&lt;a href="canciones/nuevas/escucha_señor_mi_oracion.html"&gt;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2789</v>
      </c>
      <c r="C1598" s="1"/>
      <c r="F1598" s="1">
        <v>406</v>
      </c>
      <c r="J1598" s="1"/>
      <c r="M1598" s="15" t="s">
        <v>2790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X1598" s="15" t="str">
        <f>_xlfn.TEXTBEFORE(_xlfn.TEXTAFTER(CantoralDB[[#This Row],[index.html]],"&gt;"),"&gt;")&amp;"&gt;"</f>
        <v>&lt;a href="canciones/nuevas/imagina.html"&gt;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2771</v>
      </c>
      <c r="C1599" s="1"/>
      <c r="F1599" s="1">
        <v>390</v>
      </c>
      <c r="J1599" s="1"/>
      <c r="M1599" s="15" t="s">
        <v>2770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599" s="1"/>
      <c r="U1599" s="1"/>
      <c r="V1599" s="32" t="s">
        <v>4520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X1599" s="15" t="str">
        <f>_xlfn.TEXTBEFORE(_xlfn.TEXTAFTER(CantoralDB[[#This Row],[index.html]],"&gt;"),"&gt;")&amp;"&gt;"</f>
        <v>&lt;a href="canciones/nuevas/bendito_sea_el_señor.html"&gt;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884</v>
      </c>
      <c r="C1600" s="1"/>
      <c r="F1600" s="1">
        <v>320</v>
      </c>
      <c r="J1600" s="1"/>
      <c r="M1600" s="15" t="s">
        <v>2690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00" s="1"/>
      <c r="U1600" s="1"/>
      <c r="V1600" s="32" t="s">
        <v>4567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X1600" s="15" t="str">
        <f>_xlfn.TEXTBEFORE(_xlfn.TEXTAFTER(CantoralDB[[#This Row],[index.html]],"&gt;"),"&gt;")&amp;"&gt;"</f>
        <v>&lt;a href="canciones/nuevas/bendecid_al_señor.html"&gt;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2765</v>
      </c>
      <c r="C1601" s="1"/>
      <c r="F1601" s="1">
        <v>387</v>
      </c>
      <c r="J1601" s="1"/>
      <c r="M1601" s="15" t="s">
        <v>2767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01" s="1"/>
      <c r="U1601" s="1"/>
      <c r="V1601" s="32" t="s">
        <v>4605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X1601" s="15" t="str">
        <f>_xlfn.TEXTBEFORE(_xlfn.TEXTAFTER(CantoralDB[[#This Row],[index.html]],"&gt;"),"&gt;")&amp;"&gt;"</f>
        <v>&lt;a href="canciones/nuevas/gracias_yo_te_dare.html"&gt;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2801</v>
      </c>
      <c r="C1602" s="1"/>
      <c r="F1602" s="1">
        <v>414</v>
      </c>
      <c r="J1602" s="1"/>
      <c r="M1602" s="15" t="s">
        <v>2804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02" s="1"/>
      <c r="U1602" s="1"/>
      <c r="V1602" s="15"/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X1602" s="15" t="str">
        <f>_xlfn.TEXTBEFORE(_xlfn.TEXTAFTER(CantoralDB[[#This Row],[index.html]],"&gt;"),"&gt;")&amp;"&gt;"</f>
        <v>&lt;a href="canciones/nuevas/ven_es_hora_de_adorarle.html"&gt;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2593</v>
      </c>
      <c r="C1603" s="1"/>
      <c r="F1603" s="1">
        <v>209</v>
      </c>
      <c r="J1603" s="1"/>
      <c r="M1603" s="15" t="s">
        <v>2594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X1603" s="15" t="str">
        <f>_xlfn.TEXTBEFORE(_xlfn.TEXTAFTER(CantoralDB[[#This Row],[index.html]],"&gt;"),"&gt;")&amp;"&gt;"</f>
        <v>&lt;a href="canciones/nuevas/ahora_es_tiempo.html"&gt;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2697</v>
      </c>
      <c r="C1604" s="1"/>
      <c r="F1604" s="1">
        <v>326</v>
      </c>
      <c r="J1604" s="1"/>
      <c r="M1604" s="15" t="s">
        <v>2698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04" s="1"/>
      <c r="U1604" s="1"/>
      <c r="V1604" s="32" t="s">
        <v>4434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X1604" s="15" t="str">
        <f>_xlfn.TEXTBEFORE(_xlfn.TEXTAFTER(CantoralDB[[#This Row],[index.html]],"&gt;"),"&gt;")&amp;"&gt;"</f>
        <v>&lt;a href="canciones/nuevas/hosanna.html"&gt;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2628</v>
      </c>
      <c r="C1605" s="1"/>
      <c r="F1605" s="1">
        <v>254</v>
      </c>
      <c r="J1605" s="1"/>
      <c r="M1605" s="15" t="s">
        <v>2630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05" s="1"/>
      <c r="U1605" s="1"/>
      <c r="V1605" s="32" t="s">
        <v>4464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X1605" s="15" t="str">
        <f>_xlfn.TEXTBEFORE(_xlfn.TEXTAFTER(CantoralDB[[#This Row],[index.html]],"&gt;"),"&gt;")&amp;"&gt;"</f>
        <v>&lt;a href="canciones/nuevas/hoy_canto_para_ti.html"&gt;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2535</v>
      </c>
      <c r="C1606" s="1"/>
      <c r="F1606" s="1">
        <v>149</v>
      </c>
      <c r="J1606" s="1"/>
      <c r="M1606" s="15" t="s">
        <v>2635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06" s="1"/>
      <c r="U1606" s="1"/>
      <c r="V1606" s="15"/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X1606" s="15" t="str">
        <f>_xlfn.TEXTBEFORE(_xlfn.TEXTAFTER(CantoralDB[[#This Row],[index.html]],"&gt;"),"&gt;")&amp;"&gt;"</f>
        <v>&lt;a href="canciones/nuevas/dios_tu_mi_dios.html"&gt;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2732</v>
      </c>
      <c r="C1607" s="1"/>
      <c r="F1607" s="1">
        <v>357</v>
      </c>
      <c r="J1607" s="1"/>
      <c r="M1607" s="15" t="s">
        <v>2635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07" s="1"/>
      <c r="U1607" s="1"/>
      <c r="V1607" s="15"/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X1607" s="15" t="str">
        <f>_xlfn.TEXTBEFORE(_xlfn.TEXTAFTER(CantoralDB[[#This Row],[index.html]],"&gt;"),"&gt;")&amp;"&gt;"</f>
        <v>&lt;a href="canciones/nuevas/toma_mi_vida.html"&gt;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2633</v>
      </c>
      <c r="C1608" s="1"/>
      <c r="F1608" s="1">
        <v>258</v>
      </c>
      <c r="J1608" s="1"/>
      <c r="M1608" s="15" t="s">
        <v>2635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X1608" s="15" t="str">
        <f>_xlfn.TEXTBEFORE(_xlfn.TEXTAFTER(CantoralDB[[#This Row],[index.html]],"&gt;"),"&gt;")&amp;"&gt;"</f>
        <v>&lt;a href="canciones/nuevas/ven_dios_padre.html"&gt;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2467</v>
      </c>
      <c r="C1609" s="1"/>
      <c r="F1609" s="1">
        <v>85</v>
      </c>
      <c r="J1609" s="1"/>
      <c r="M1609" s="15" t="s">
        <v>2468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09" s="1"/>
      <c r="U1609" s="1"/>
      <c r="V1609" s="32" t="s">
        <v>4476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X1609" s="15" t="str">
        <f>_xlfn.TEXTBEFORE(_xlfn.TEXTAFTER(CantoralDB[[#This Row],[index.html]],"&gt;"),"&gt;")&amp;"&gt;"</f>
        <v>&lt;a href="canciones/nuevas/vuelve_los_ojos_al_señor.html"&gt;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2647</v>
      </c>
      <c r="C1610" s="1"/>
      <c r="F1610" s="1">
        <v>271</v>
      </c>
      <c r="J1610" s="1"/>
      <c r="M1610" s="15" t="s">
        <v>2648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X1610" s="15" t="str">
        <f>_xlfn.TEXTBEFORE(_xlfn.TEXTAFTER(CantoralDB[[#This Row],[index.html]],"&gt;"),"&gt;")&amp;"&gt;"</f>
        <v>&lt;a href="canciones/nuevas/ven_ahora_espiritu_santo.html"&gt;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2823</v>
      </c>
      <c r="C1611" s="1"/>
      <c r="F1611" s="1">
        <v>433</v>
      </c>
      <c r="J1611" s="1"/>
      <c r="M1611" s="15" t="s">
        <v>2825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11" s="1"/>
      <c r="U1611" s="1"/>
      <c r="V1611" s="32" t="s">
        <v>4449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X1611" s="15" t="str">
        <f>_xlfn.TEXTBEFORE(_xlfn.TEXTAFTER(CantoralDB[[#This Row],[index.html]],"&gt;"),"&gt;")&amp;"&gt;"</f>
        <v>&lt;a href="canciones/nuevas/cantico_de_victoria.html"&gt;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2163</v>
      </c>
      <c r="C1612" s="1"/>
      <c r="F1612" s="1">
        <v>244</v>
      </c>
      <c r="H1612" s="1" t="s">
        <v>530</v>
      </c>
      <c r="J1612" s="1" t="s">
        <v>607</v>
      </c>
      <c r="M1612" s="15" t="s">
        <v>2176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12" s="1"/>
      <c r="U1612" s="1"/>
      <c r="V1612" s="32" t="s">
        <v>3001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X1612" s="15" t="str">
        <f>_xlfn.TEXTBEFORE(_xlfn.TEXTAFTER(CantoralDB[[#This Row],[index.html]],"&gt;"),"&gt;")&amp;"&gt;"</f>
        <v>&lt;a href="canciones/nuevas/salvame.html"&gt;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2517</v>
      </c>
      <c r="C1613" s="1"/>
      <c r="F1613" s="1">
        <v>130</v>
      </c>
      <c r="J1613" s="1"/>
      <c r="M1613" s="15" t="s">
        <v>2516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X1613" s="15" t="str">
        <f>_xlfn.TEXTBEFORE(_xlfn.TEXTAFTER(CantoralDB[[#This Row],[index.html]],"&gt;"),"&gt;")&amp;"&gt;"</f>
        <v>&lt;a href="canciones/nuevas/pasa_por_aqui_señor.html"&gt;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2568</v>
      </c>
      <c r="C1614" s="1"/>
      <c r="F1614" s="1">
        <v>180</v>
      </c>
      <c r="J1614" s="1"/>
      <c r="M1614" s="15" t="s">
        <v>2569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14" s="1"/>
      <c r="U1614" s="1"/>
      <c r="V1614" s="32" t="s">
        <v>4443</v>
      </c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X1614" s="15" t="str">
        <f>_xlfn.TEXTBEFORE(_xlfn.TEXTAFTER(CantoralDB[[#This Row],[index.html]],"&gt;"),"&gt;")&amp;"&gt;"</f>
        <v>&lt;a href="canciones/nuevas/yo_canto_a_mi_señor.html"&gt;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2537</v>
      </c>
      <c r="C1615" s="1"/>
      <c r="F1615" s="1">
        <v>151</v>
      </c>
      <c r="J1615" s="1"/>
      <c r="M1615" s="15" t="s">
        <v>2538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15" s="1"/>
      <c r="U1615" s="1"/>
      <c r="V1615" s="15"/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X1615" s="15" t="str">
        <f>_xlfn.TEXTBEFORE(_xlfn.TEXTAFTER(CantoralDB[[#This Row],[index.html]],"&gt;"),"&gt;")&amp;"&gt;"</f>
        <v>&lt;a href="canciones/nuevas/yo_quiero_ser_como_tu.html"&gt;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2451</v>
      </c>
      <c r="C1616" s="1"/>
      <c r="F1616" s="1">
        <v>70</v>
      </c>
      <c r="J1616" s="1"/>
      <c r="M1616" s="15" t="s">
        <v>2452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X1616" s="15" t="str">
        <f>_xlfn.TEXTBEFORE(_xlfn.TEXTAFTER(CantoralDB[[#This Row],[index.html]],"&gt;"),"&gt;")&amp;"&gt;"</f>
        <v>&lt;a href="canciones/nuevas/espiritu_santo_de_dios.html"&gt;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2749</v>
      </c>
      <c r="C1617" s="1"/>
      <c r="F1617" s="1">
        <v>373</v>
      </c>
      <c r="J1617" s="1"/>
      <c r="M1617" s="15" t="s">
        <v>2748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X1617" s="15" t="str">
        <f>_xlfn.TEXTBEFORE(_xlfn.TEXTAFTER(CantoralDB[[#This Row],[index.html]],"&gt;"),"&gt;")&amp;"&gt;"</f>
        <v>&lt;a href="canciones/nuevas/mi_cristo_mi_rey.html"&gt;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2644</v>
      </c>
      <c r="C1618" s="1"/>
      <c r="F1618" s="1">
        <v>269</v>
      </c>
      <c r="J1618" s="1"/>
      <c r="M1618" s="15" t="s">
        <v>2645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18" s="1"/>
      <c r="U1618" s="1"/>
      <c r="V1618" s="15"/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X1618" s="15" t="str">
        <f>_xlfn.TEXTBEFORE(_xlfn.TEXTAFTER(CantoralDB[[#This Row],[index.html]],"&gt;"),"&gt;")&amp;"&gt;"</f>
        <v>&lt;a href="canciones/nuevas/en_momentos_asi.html"&gt;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2149</v>
      </c>
      <c r="C1619" s="15"/>
      <c r="F1619" s="1">
        <v>205</v>
      </c>
      <c r="H1619" s="1" t="s">
        <v>472</v>
      </c>
      <c r="J1619" s="1" t="s">
        <v>607</v>
      </c>
      <c r="M1619" s="15" t="s">
        <v>2168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19" s="1"/>
      <c r="U1619" s="1"/>
      <c r="V1619" s="32" t="s">
        <v>2991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X1619" s="15" t="str">
        <f>_xlfn.TEXTBEFORE(_xlfn.TEXTAFTER(CantoralDB[[#This Row],[index.html]],"&gt;"),"&gt;")&amp;"&gt;"</f>
        <v>&lt;a href="canciones/nuevas/al_que_esta_sentado_en_el_trono_y_al_cordero.html"&gt;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2795</v>
      </c>
      <c r="C1620" s="1"/>
      <c r="F1620" s="1">
        <v>410</v>
      </c>
      <c r="J1620" s="1"/>
      <c r="M1620" s="15" t="s">
        <v>2796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20" s="1"/>
      <c r="U1620" s="1"/>
      <c r="V1620" s="32" t="s">
        <v>4595</v>
      </c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X1620" s="15" t="str">
        <f>_xlfn.TEXTBEFORE(_xlfn.TEXTAFTER(CantoralDB[[#This Row],[index.html]],"&gt;"),"&gt;")&amp;"&gt;"</f>
        <v>&lt;a href="canciones/nuevas/tu_eres_dios.html"&gt;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2503</v>
      </c>
      <c r="C1621" s="1"/>
      <c r="F1621" s="1">
        <v>121</v>
      </c>
      <c r="J1621" s="1"/>
      <c r="M1621" s="15" t="s">
        <v>2502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21" s="1"/>
      <c r="U1621" s="1"/>
      <c r="V1621" s="32" t="s">
        <v>4565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X1621" s="15" t="str">
        <f>_xlfn.TEXTBEFORE(_xlfn.TEXTAFTER(CantoralDB[[#This Row],[index.html]],"&gt;"),"&gt;")&amp;"&gt;"</f>
        <v>&lt;a href="canciones/nuevas/sendas_dios_hara.html"&gt;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2672</v>
      </c>
      <c r="C1622" s="1"/>
      <c r="F1622" s="1">
        <v>297</v>
      </c>
      <c r="H1622" s="1" t="s">
        <v>1026</v>
      </c>
      <c r="J1622" s="1" t="s">
        <v>607</v>
      </c>
      <c r="M1622" s="15" t="s">
        <v>2673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22" s="1"/>
      <c r="U1622" s="1"/>
      <c r="V1622" s="32" t="s">
        <v>2992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X1622" s="15" t="str">
        <f>_xlfn.TEXTBEFORE(_xlfn.TEXTAFTER(CantoralDB[[#This Row],[index.html]],"&gt;"),"&gt;")&amp;"&gt;"</f>
        <v>&lt;a href="canciones/nuevas/aleluya_demos_gracias.html"&gt;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2811</v>
      </c>
      <c r="C1623" s="1"/>
      <c r="F1623" s="1">
        <v>422</v>
      </c>
      <c r="J1623" s="1"/>
      <c r="M1623" s="15" t="s">
        <v>2815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X1623" s="15" t="str">
        <f>_xlfn.TEXTBEFORE(_xlfn.TEXTAFTER(CantoralDB[[#This Row],[index.html]],"&gt;"),"&gt;")&amp;"&gt;"</f>
        <v>&lt;a href="canciones/nuevas/queremos_a_cristo_proclamar.html"&gt;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2618</v>
      </c>
      <c r="C1624" s="1"/>
      <c r="F1624" s="1">
        <v>238</v>
      </c>
      <c r="J1624" s="1"/>
      <c r="M1624" s="15" t="s">
        <v>2617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24" s="1"/>
      <c r="U1624" s="1"/>
      <c r="V1624" s="32" t="s">
        <v>4433</v>
      </c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X1624" s="15" t="str">
        <f>_xlfn.TEXTBEFORE(_xlfn.TEXTAFTER(CantoralDB[[#This Row],[index.html]],"&gt;"),"&gt;")&amp;"&gt;"</f>
        <v>&lt;a href="canciones/nuevas/el_gran_amor.html"&gt;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2496</v>
      </c>
      <c r="C1625" s="1"/>
      <c r="F1625" s="1">
        <v>117</v>
      </c>
      <c r="J1625" s="1"/>
      <c r="M1625" s="15" t="s">
        <v>2497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X1625" s="15" t="str">
        <f>_xlfn.TEXTBEFORE(_xlfn.TEXTAFTER(CantoralDB[[#This Row],[index.html]],"&gt;"),"&gt;")&amp;"&gt;"</f>
        <v>&lt;a href="canciones/nuevas/algo_nuevo_esta_naciendo.html"&gt;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2620</v>
      </c>
      <c r="C1626" s="1"/>
      <c r="F1626" s="1">
        <v>242</v>
      </c>
      <c r="J1626" s="1"/>
      <c r="M1626" s="15" t="s">
        <v>2497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X1626" s="15" t="str">
        <f>_xlfn.TEXTBEFORE(_xlfn.TEXTAFTER(CantoralDB[[#This Row],[index.html]],"&gt;"),"&gt;")&amp;"&gt;"</f>
        <v>&lt;a href="canciones/nuevas/oh_alabad.html"&gt;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2524</v>
      </c>
      <c r="C1627" s="1"/>
      <c r="F1627" s="1">
        <v>139</v>
      </c>
      <c r="J1627" s="1"/>
      <c r="M1627" s="15" t="s">
        <v>2525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X1627" s="15" t="str">
        <f>_xlfn.TEXTBEFORE(_xlfn.TEXTAFTER(CantoralDB[[#This Row],[index.html]],"&gt;"),"&gt;")&amp;"&gt;"</f>
        <v>&lt;a href="canciones/nuevas/fuego_en_esta_casa.html"&gt;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2382</v>
      </c>
      <c r="C1628" s="1"/>
      <c r="F1628" s="1">
        <v>3</v>
      </c>
      <c r="H1628" s="1" t="s">
        <v>1026</v>
      </c>
      <c r="J1628" s="1" t="s">
        <v>607</v>
      </c>
      <c r="M1628" s="15" t="s">
        <v>2381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28" s="1"/>
      <c r="U1628" s="1"/>
      <c r="V1628" s="32" t="s">
        <v>4456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X1628" s="15" t="str">
        <f>_xlfn.TEXTBEFORE(_xlfn.TEXTAFTER(CantoralDB[[#This Row],[index.html]],"&gt;"),"&gt;")&amp;"&gt;"</f>
        <v>&lt;a href="canciones/nuevas/con_mis_manos_alzadas.html"&gt;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2603</v>
      </c>
      <c r="C1629" s="1"/>
      <c r="F1629" s="1">
        <v>221</v>
      </c>
      <c r="J1629" s="1"/>
      <c r="M1629" s="15" t="s">
        <v>2604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X1629" s="15" t="str">
        <f>_xlfn.TEXTBEFORE(_xlfn.TEXTAFTER(CantoralDB[[#This Row],[index.html]],"&gt;"),"&gt;")&amp;"&gt;"</f>
        <v>&lt;a href="canciones/nuevas/enseñame_tu_camino_señor.html"&gt;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2632</v>
      </c>
      <c r="C1630" s="1"/>
      <c r="F1630" s="1">
        <v>257</v>
      </c>
      <c r="J1630" s="1"/>
      <c r="M1630" s="15" t="s">
        <v>2634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X1630" s="15" t="str">
        <f>_xlfn.TEXTBEFORE(_xlfn.TEXTAFTER(CantoralDB[[#This Row],[index.html]],"&gt;"),"&gt;")&amp;"&gt;"</f>
        <v>&lt;a href="canciones/nuevas/mi_alma_tiene_sed_de_dios.html"&gt;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2757</v>
      </c>
      <c r="C1631" s="1"/>
      <c r="F1631" s="1">
        <v>382</v>
      </c>
      <c r="J1631" s="1"/>
      <c r="M1631" s="15" t="s">
        <v>2760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31" s="1"/>
      <c r="U1631" s="1"/>
      <c r="V1631" s="15"/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X1631" s="15" t="str">
        <f>_xlfn.TEXTBEFORE(_xlfn.TEXTAFTER(CantoralDB[[#This Row],[index.html]],"&gt;"),"&gt;")&amp;"&gt;"</f>
        <v>&lt;a href="canciones/nuevas/majestuoso_poderoso.html"&gt;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2691</v>
      </c>
      <c r="C1632" s="1"/>
      <c r="F1632" s="1">
        <v>321</v>
      </c>
      <c r="J1632" s="1"/>
      <c r="M1632" s="15" t="s">
        <v>2692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32" s="1"/>
      <c r="U1632" s="1"/>
      <c r="V1632" s="32" t="s">
        <v>4530</v>
      </c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X1632" s="15" t="str">
        <f>_xlfn.TEXTBEFORE(_xlfn.TEXTAFTER(CantoralDB[[#This Row],[index.html]],"&gt;"),"&gt;")&amp;"&gt;"</f>
        <v>&lt;a href="canciones/nuevas/aleluya_jesus_es_el_señor.html"&gt;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2684</v>
      </c>
      <c r="C1633" s="1"/>
      <c r="F1633" s="1">
        <v>310</v>
      </c>
      <c r="J1633" s="1"/>
      <c r="M1633" s="15" t="s">
        <v>2872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33" s="1"/>
      <c r="U1633" s="1"/>
      <c r="V1633" s="32" t="s">
        <v>4597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X1633" s="15" t="str">
        <f>_xlfn.TEXTBEFORE(_xlfn.TEXTAFTER(CantoralDB[[#This Row],[index.html]],"&gt;"),"&gt;")&amp;"&gt;"</f>
        <v>&lt;a href="canciones/nuevas/ponte_ya_de_pie.html"&gt;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2733</v>
      </c>
      <c r="C1634" s="1"/>
      <c r="F1634" s="1">
        <v>358</v>
      </c>
      <c r="J1634" s="1"/>
      <c r="M1634" s="15" t="s">
        <v>2872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34" s="1"/>
      <c r="U1634" s="1"/>
      <c r="V1634" s="32" t="s">
        <v>4487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X1634" s="15" t="str">
        <f>_xlfn.TEXTBEFORE(_xlfn.TEXTAFTER(CantoralDB[[#This Row],[index.html]],"&gt;"),"&gt;")&amp;"&gt;"</f>
        <v>&lt;a href="canciones/nuevas/que_nuestro_dios_te_guarde.html"&gt;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414</v>
      </c>
      <c r="C1635" s="1"/>
      <c r="F1635" s="1">
        <v>447</v>
      </c>
      <c r="J1635" s="1"/>
      <c r="M1635" s="15" t="s">
        <v>2838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35" s="1"/>
      <c r="U1635" s="1"/>
      <c r="V1635" s="32" t="s">
        <v>4596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X1635" s="15" t="str">
        <f>_xlfn.TEXTBEFORE(_xlfn.TEXTAFTER(CantoralDB[[#This Row],[index.html]],"&gt;"),"&gt;")&amp;"&gt;"</f>
        <v>&lt;a href="canciones/nuevas/nada_te_turbe.html"&gt;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2441</v>
      </c>
      <c r="C1636" s="1"/>
      <c r="F1636" s="1">
        <v>61</v>
      </c>
      <c r="J1636" s="1"/>
      <c r="M1636" s="15" t="s">
        <v>2442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X1636" s="15" t="str">
        <f>_xlfn.TEXTBEFORE(_xlfn.TEXTAFTER(CantoralDB[[#This Row],[index.html]],"&gt;"),"&gt;")&amp;"&gt;"</f>
        <v>&lt;a href="canciones/nuevas/escucha_nuestra_oracion.html"&gt;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2717</v>
      </c>
      <c r="C1637" s="1"/>
      <c r="F1637" s="1">
        <v>346</v>
      </c>
      <c r="J1637" s="1"/>
      <c r="M1637" s="15" t="s">
        <v>2718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X1637" s="15" t="str">
        <f>_xlfn.TEXTBEFORE(_xlfn.TEXTAFTER(CantoralDB[[#This Row],[index.html]],"&gt;"),"&gt;")&amp;"&gt;"</f>
        <v>&lt;a href="canciones/nuevas/celebrad_a_cristo.html"&gt;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2492</v>
      </c>
      <c r="C1638" s="1"/>
      <c r="F1638" s="1">
        <v>113</v>
      </c>
      <c r="H1638" s="1" t="s">
        <v>1029</v>
      </c>
      <c r="J1638" s="1" t="s">
        <v>607</v>
      </c>
      <c r="M1638" s="15" t="s">
        <v>625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638" s="1"/>
      <c r="U1638" s="1"/>
      <c r="V1638" s="32" t="s">
        <v>4538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X1638" s="15" t="str">
        <f>_xlfn.TEXTBEFORE(_xlfn.TEXTAFTER(CantoralDB[[#This Row],[index.html]],"&gt;"),"&gt;")&amp;"&gt;"</f>
        <v>&lt;a href="canciones/nuevas/santo_(gen_rosso).html"&gt;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2543</v>
      </c>
      <c r="C1639" s="1"/>
      <c r="F1639" s="1">
        <v>157</v>
      </c>
      <c r="H1639" s="1" t="s">
        <v>530</v>
      </c>
      <c r="J1639" s="1" t="s">
        <v>607</v>
      </c>
      <c r="M1639" s="15" t="s">
        <v>2544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639" s="1"/>
      <c r="U1639" s="1"/>
      <c r="V1639" s="32" t="s">
        <v>3003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X1639" s="15" t="str">
        <f>_xlfn.TEXTBEFORE(_xlfn.TEXTAFTER(CantoralDB[[#This Row],[index.html]],"&gt;"),"&gt;")&amp;"&gt;"</f>
        <v>&lt;a href="canciones/nuevas/tierra_firme_(getsemani).html"&gt;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2389</v>
      </c>
      <c r="C1640" s="1"/>
      <c r="F1640" s="1">
        <v>12</v>
      </c>
      <c r="H1640" s="1" t="s">
        <v>1029</v>
      </c>
      <c r="J1640" s="1" t="s">
        <v>607</v>
      </c>
      <c r="M1640" s="15" t="s">
        <v>2390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640" s="1"/>
      <c r="U1640" s="1"/>
      <c r="V1640" s="32" t="s">
        <v>4537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X1640" s="15" t="str">
        <f>_xlfn.TEXTBEFORE(_xlfn.TEXTAFTER(CantoralDB[[#This Row],[index.html]],"&gt;"),"&gt;")&amp;"&gt;"</f>
        <v>&lt;a href="canciones/nuevas/brilla_jesus.html"&gt;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2626</v>
      </c>
      <c r="C1641" s="1"/>
      <c r="F1641" s="1">
        <v>248</v>
      </c>
      <c r="H1641" s="1" t="s">
        <v>1026</v>
      </c>
      <c r="J1641" s="1" t="s">
        <v>607</v>
      </c>
      <c r="M1641" s="15" t="s">
        <v>2390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641" s="1"/>
      <c r="U1641" s="1"/>
      <c r="V1641" s="32" t="s">
        <v>4484</v>
      </c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X1641" s="15" t="str">
        <f>_xlfn.TEXTBEFORE(_xlfn.TEXTAFTER(CantoralDB[[#This Row],[index.html]],"&gt;"),"&gt;")&amp;"&gt;"</f>
        <v>&lt;a href="canciones/nuevas/seduce_mi_corazon.html"&gt;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2729</v>
      </c>
      <c r="C1642" s="1"/>
      <c r="F1642" s="1">
        <v>355</v>
      </c>
      <c r="J1642" s="1"/>
      <c r="M1642" s="15" t="s">
        <v>2731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X1642" s="15" t="str">
        <f>_xlfn.TEXTBEFORE(_xlfn.TEXTAFTER(CantoralDB[[#This Row],[index.html]],"&gt;"),"&gt;")&amp;"&gt;"</f>
        <v>&lt;a href="canciones/nuevas/no_puedo_parar.html"&gt;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2589</v>
      </c>
      <c r="C1643" s="1"/>
      <c r="F1643" s="1">
        <v>201</v>
      </c>
      <c r="J1643" s="1"/>
      <c r="M1643" s="15" t="s">
        <v>2590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643" s="1"/>
      <c r="U1643" s="1"/>
      <c r="V1643" s="32" t="s">
        <v>4481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X1643" s="15" t="str">
        <f>_xlfn.TEXTBEFORE(_xlfn.TEXTAFTER(CantoralDB[[#This Row],[index.html]],"&gt;"),"&gt;")&amp;"&gt;"</f>
        <v>&lt;a href="canciones/nuevas/quiero_agradecer.html"&gt;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2427</v>
      </c>
      <c r="C1644" s="1"/>
      <c r="F1644" s="1">
        <v>49</v>
      </c>
      <c r="J1644" s="1"/>
      <c r="M1644" s="15" t="s">
        <v>2425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X1644" s="15" t="str">
        <f>_xlfn.TEXTBEFORE(_xlfn.TEXTAFTER(CantoralDB[[#This Row],[index.html]],"&gt;"),"&gt;")&amp;"&gt;"</f>
        <v>&lt;a href="canciones/nuevas/maria_madre_conducenos.html"&gt;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2511</v>
      </c>
      <c r="C1645" s="1"/>
      <c r="F1645" s="1">
        <v>126</v>
      </c>
      <c r="J1645" s="1"/>
      <c r="M1645" s="15" t="s">
        <v>2510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645" s="1"/>
      <c r="U1645" s="1"/>
      <c r="V1645" s="32" t="s">
        <v>4576</v>
      </c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X1645" s="15" t="str">
        <f>_xlfn.TEXTBEFORE(_xlfn.TEXTAFTER(CantoralDB[[#This Row],[index.html]],"&gt;"),"&gt;")&amp;"&gt;"</f>
        <v>&lt;a href="canciones/nuevas/madre.html"&gt;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2601</v>
      </c>
      <c r="C1646" s="1"/>
      <c r="F1646" s="1">
        <v>219</v>
      </c>
      <c r="J1646" s="1"/>
      <c r="M1646" s="15" t="s">
        <v>2602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X1646" s="15" t="str">
        <f>_xlfn.TEXTBEFORE(_xlfn.TEXTAFTER(CantoralDB[[#This Row],[index.html]],"&gt;"),"&gt;")&amp;"&gt;"</f>
        <v>&lt;a href="canciones/nuevas/majestad.html"&gt;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2816</v>
      </c>
      <c r="C1647" s="1"/>
      <c r="F1647" s="1">
        <v>426</v>
      </c>
      <c r="J1647" s="1"/>
      <c r="M1647" s="15" t="s">
        <v>2818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647" s="1"/>
      <c r="U1647" s="1"/>
      <c r="V1647" s="32" t="s">
        <v>4494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X1647" s="15" t="str">
        <f>_xlfn.TEXTBEFORE(_xlfn.TEXTAFTER(CantoralDB[[#This Row],[index.html]],"&gt;"),"&gt;")&amp;"&gt;"</f>
        <v>&lt;a href="canciones/nuevas/esto_es_mi_cuerpo.html"&gt;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2643</v>
      </c>
      <c r="C1648" s="1"/>
      <c r="F1648" s="1">
        <v>267</v>
      </c>
      <c r="J1648" s="1"/>
      <c r="M1648" s="15" t="s">
        <v>2642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648" s="1"/>
      <c r="U1648" s="1"/>
      <c r="V1648" s="32" t="s">
        <v>4516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X1648" s="15" t="str">
        <f>_xlfn.TEXTBEFORE(_xlfn.TEXTAFTER(CantoralDB[[#This Row],[index.html]],"&gt;"),"&gt;")&amp;"&gt;"</f>
        <v>&lt;a href="canciones/nuevas/nadie_te_quiere_como_el.html"&gt;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2827</v>
      </c>
      <c r="C1649" s="1"/>
      <c r="F1649" s="1">
        <v>435</v>
      </c>
      <c r="J1649" s="1"/>
      <c r="M1649" s="15" t="s">
        <v>2172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649" s="1"/>
      <c r="U1649" s="1"/>
      <c r="V1649" s="15"/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X1649" s="15" t="str">
        <f>_xlfn.TEXTBEFORE(_xlfn.TEXTAFTER(CantoralDB[[#This Row],[index.html]],"&gt;"),"&gt;")&amp;"&gt;"</f>
        <v>&lt;a href="canciones/nuevas/cansado_del_camino.html"&gt;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2156</v>
      </c>
      <c r="C1650" s="15"/>
      <c r="H1650" s="1" t="s">
        <v>1026</v>
      </c>
      <c r="J1650" s="1" t="s">
        <v>607</v>
      </c>
      <c r="M1650" s="15" t="s">
        <v>2172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650" s="1"/>
      <c r="U1650" s="1"/>
      <c r="V1650" s="32" t="s">
        <v>2997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650" s="15" t="str">
        <f>_xlfn.TEXTBEFORE(_xlfn.TEXTAFTER(CantoralDB[[#This Row],[index.html]],"&gt;"),"&gt;")&amp;"&gt;"</f>
        <v>&lt;a href="canciones/nuevas/enamorame_de_ti.html"&gt;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2829</v>
      </c>
      <c r="C1651" s="1"/>
      <c r="F1651" s="1">
        <v>437</v>
      </c>
      <c r="J1651" s="1"/>
      <c r="M1651" s="15" t="s">
        <v>2172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651" s="1"/>
      <c r="U1651" s="1"/>
      <c r="V1651" s="15"/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X1651" s="15" t="str">
        <f>_xlfn.TEXTBEFORE(_xlfn.TEXTAFTER(CantoralDB[[#This Row],[index.html]],"&gt;"),"&gt;")&amp;"&gt;"</f>
        <v>&lt;a href="canciones/nuevas/que_seria_de_mi.html"&gt;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1543</v>
      </c>
      <c r="C1652" s="1"/>
      <c r="F1652" s="1">
        <v>235</v>
      </c>
      <c r="J1652" s="1"/>
      <c r="M1652" s="15" t="s">
        <v>2615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652" s="1"/>
      <c r="U1652" s="1"/>
      <c r="V1652" s="32" t="s">
        <v>4502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X1652" s="15" t="str">
        <f>_xlfn.TEXTBEFORE(_xlfn.TEXTAFTER(CantoralDB[[#This Row],[index.html]],"&gt;"),"&gt;")&amp;"&gt;"</f>
        <v>&lt;a href="canciones/nuevas/magnificat.html"&gt;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2575</v>
      </c>
      <c r="C1653" s="1"/>
      <c r="F1653" s="1">
        <v>186</v>
      </c>
      <c r="J1653" s="1"/>
      <c r="M1653" s="15" t="s">
        <v>2576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X1653" s="15" t="str">
        <f>_xlfn.TEXTBEFORE(_xlfn.TEXTAFTER(CantoralDB[[#This Row],[index.html]],"&gt;"),"&gt;")&amp;"&gt;"</f>
        <v>&lt;a href="canciones/nuevas/jesus_jesus_jesus.html"&gt;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2514</v>
      </c>
      <c r="C1654" s="1"/>
      <c r="F1654" s="1">
        <v>128</v>
      </c>
      <c r="J1654" s="1"/>
      <c r="M1654" s="15" t="s">
        <v>2515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654" s="1"/>
      <c r="U1654" s="1"/>
      <c r="V1654" s="32" t="s">
        <v>4558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X1654" s="15" t="str">
        <f>_xlfn.TEXTBEFORE(_xlfn.TEXTAFTER(CantoralDB[[#This Row],[index.html]],"&gt;"),"&gt;")&amp;"&gt;"</f>
        <v>&lt;a href="canciones/nuevas/la_cancion_del_espiritu.html"&gt;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2151</v>
      </c>
      <c r="C1655" s="15"/>
      <c r="H1655" s="1" t="s">
        <v>1028</v>
      </c>
      <c r="J1655" s="1" t="s">
        <v>607</v>
      </c>
      <c r="M1655" s="15" t="s">
        <v>2170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655" s="1"/>
      <c r="U1655" s="1"/>
      <c r="V1655" s="32" t="s">
        <v>2994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655" s="15" t="str">
        <f>_xlfn.TEXTBEFORE(_xlfn.TEXTAFTER(CantoralDB[[#This Row],[index.html]],"&gt;"),"&gt;")&amp;"&gt;"</f>
        <v>&lt;a href="canciones/nuevas/algo_esta_cayendo_aqui.html"&gt;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2622</v>
      </c>
      <c r="C1656" s="1"/>
      <c r="F1656" s="1">
        <v>243</v>
      </c>
      <c r="J1656" s="1"/>
      <c r="M1656" s="15" t="s">
        <v>2621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656" s="1"/>
      <c r="U1656" s="1"/>
      <c r="V1656" s="32" t="s">
        <v>4598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X1656" s="15" t="str">
        <f>_xlfn.TEXTBEFORE(_xlfn.TEXTAFTER(CantoralDB[[#This Row],[index.html]],"&gt;"),"&gt;")&amp;"&gt;"</f>
        <v>&lt;a href="canciones/nuevas/mira_el_rostro_de_jesus.html"&gt;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2547</v>
      </c>
      <c r="C1657" s="1"/>
      <c r="F1657" s="1">
        <v>159</v>
      </c>
      <c r="J1657" s="1"/>
      <c r="M1657" s="15" t="s">
        <v>2509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657" s="1"/>
      <c r="U1657" s="1"/>
      <c r="V1657" s="15"/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X1657" s="15" t="str">
        <f>_xlfn.TEXTBEFORE(_xlfn.TEXTAFTER(CantoralDB[[#This Row],[index.html]],"&gt;"),"&gt;")&amp;"&gt;"</f>
        <v>&lt;a href="canciones/nuevas/escucha_oh_jesus.html"&gt;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2508</v>
      </c>
      <c r="C1658" s="1"/>
      <c r="F1658" s="1">
        <v>125</v>
      </c>
      <c r="J1658" s="1"/>
      <c r="M1658" s="15" t="s">
        <v>2509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658" s="1"/>
      <c r="U1658" s="1"/>
      <c r="V1658" s="15"/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X1658" s="15" t="str">
        <f>_xlfn.TEXTBEFORE(_xlfn.TEXTAFTER(CantoralDB[[#This Row],[index.html]],"&gt;"),"&gt;")&amp;"&gt;"</f>
        <v>&lt;a href="canciones/nuevas/grito_santo.html"&gt;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2775</v>
      </c>
      <c r="C1659" s="1"/>
      <c r="F1659" s="1">
        <v>394</v>
      </c>
      <c r="J1659" s="1"/>
      <c r="M1659" s="15" t="s">
        <v>2509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659" s="1"/>
      <c r="U1659" s="1"/>
      <c r="V1659" s="15"/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X1659" s="15" t="str">
        <f>_xlfn.TEXTBEFORE(_xlfn.TEXTAFTER(CantoralDB[[#This Row],[index.html]],"&gt;"),"&gt;")&amp;"&gt;"</f>
        <v>&lt;a href="canciones/nuevas/he_venido_para_que_vivais.html"&gt;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2504</v>
      </c>
      <c r="C1660" s="1"/>
      <c r="F1660" s="1">
        <v>122</v>
      </c>
      <c r="J1660" s="1"/>
      <c r="M1660" s="15" t="s">
        <v>2505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660" s="1"/>
      <c r="U1660" s="1"/>
      <c r="V1660" s="32" t="s">
        <v>4577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X1660" s="15" t="str">
        <f>_xlfn.TEXTBEFORE(_xlfn.TEXTAFTER(CantoralDB[[#This Row],[index.html]],"&gt;"),"&gt;")&amp;"&gt;"</f>
        <v>&lt;a href="canciones/nuevas/el_señor_es_mi_pastor_(jm_monedero).html"&gt;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489</v>
      </c>
      <c r="C1661" s="1"/>
      <c r="F1661" s="1">
        <v>250</v>
      </c>
      <c r="J1661" s="1"/>
      <c r="M1661" s="15" t="s">
        <v>2505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661" s="1"/>
      <c r="U1661" s="1"/>
      <c r="V1661" s="32" t="s">
        <v>4506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X1661" s="15" t="str">
        <f>_xlfn.TEXTBEFORE(_xlfn.TEXTAFTER(CantoralDB[[#This Row],[index.html]],"&gt;"),"&gt;")&amp;"&gt;"</f>
        <v>&lt;a href="canciones/nuevas/maranatha.html"&gt;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2518</v>
      </c>
      <c r="C1662" s="1"/>
      <c r="F1662" s="1">
        <v>131</v>
      </c>
      <c r="J1662" s="1"/>
      <c r="M1662" s="15" t="s">
        <v>2519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662" s="1"/>
      <c r="U1662" s="1"/>
      <c r="V1662" s="15"/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X1662" s="15" t="str">
        <f>_xlfn.TEXTBEFORE(_xlfn.TEXTAFTER(CantoralDB[[#This Row],[index.html]],"&gt;"),"&gt;")&amp;"&gt;"</f>
        <v>&lt;a href="canciones/nuevas/despertemos.html"&gt;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2383</v>
      </c>
      <c r="C1663" s="1"/>
      <c r="F1663" s="1">
        <v>4</v>
      </c>
      <c r="H1663" s="1" t="s">
        <v>530</v>
      </c>
      <c r="J1663" s="1" t="s">
        <v>607</v>
      </c>
      <c r="M1663" s="15" t="s">
        <v>2384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663" s="1"/>
      <c r="U1663" s="1"/>
      <c r="V1663" s="32" t="s">
        <v>4525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X1663" s="15" t="str">
        <f>_xlfn.TEXTBEFORE(_xlfn.TEXTAFTER(CantoralDB[[#This Row],[index.html]],"&gt;"),"&gt;")&amp;"&gt;"</f>
        <v>&lt;a href="canciones/nuevas/se_fue_pero_a_nuestro_lado_esta.html"&gt;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1505</v>
      </c>
      <c r="C1664" s="1"/>
      <c r="F1664" s="1">
        <v>87</v>
      </c>
      <c r="J1664" s="1"/>
      <c r="M1664" s="15" t="s">
        <v>2469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664" s="1"/>
      <c r="U1664" s="1"/>
      <c r="V1664" s="15"/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X1664" s="15" t="str">
        <f>_xlfn.TEXTBEFORE(_xlfn.TEXTAFTER(CantoralDB[[#This Row],[index.html]],"&gt;"),"&gt;")&amp;"&gt;"</f>
        <v>&lt;a href="canciones/nuevas/alegrate.html"&gt;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193</v>
      </c>
      <c r="C1665" s="1"/>
      <c r="F1665" s="1">
        <v>146</v>
      </c>
      <c r="J1665" s="1"/>
      <c r="M1665" s="15" t="s">
        <v>2532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X1665" s="15" t="str">
        <f>_xlfn.TEXTBEFORE(_xlfn.TEXTAFTER(CantoralDB[[#This Row],[index.html]],"&gt;"),"&gt;")&amp;"&gt;"</f>
        <v>&lt;a href="canciones/nuevas/aleluya.html"&gt;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2764</v>
      </c>
      <c r="C1666" s="1"/>
      <c r="F1666" s="1">
        <v>386</v>
      </c>
      <c r="J1666" s="1"/>
      <c r="M1666" s="15" t="s">
        <v>2513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666" s="1"/>
      <c r="U1666" s="1"/>
      <c r="V1666" s="32" t="s">
        <v>4453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X1666" s="15" t="str">
        <f>_xlfn.TEXTBEFORE(_xlfn.TEXTAFTER(CantoralDB[[#This Row],[index.html]],"&gt;"),"&gt;")&amp;"&gt;"</f>
        <v>&lt;a href="canciones/nuevas/alabad_a_yahve.html"&gt;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2512</v>
      </c>
      <c r="C1667" s="1"/>
      <c r="F1667" s="1">
        <v>127</v>
      </c>
      <c r="J1667" s="1"/>
      <c r="M1667" s="15" t="s">
        <v>2513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667" s="1"/>
      <c r="U1667" s="1"/>
      <c r="V1667" s="32" t="s">
        <v>4460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X1667" s="15" t="str">
        <f>_xlfn.TEXTBEFORE(_xlfn.TEXTAFTER(CantoralDB[[#This Row],[index.html]],"&gt;"),"&gt;")&amp;"&gt;"</f>
        <v>&lt;a href="canciones/nuevas/señor_ten_piedad_de_mi_pecador.html"&gt;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2715</v>
      </c>
      <c r="C1668" s="1"/>
      <c r="F1668" s="1">
        <v>345</v>
      </c>
      <c r="J1668" s="1"/>
      <c r="M1668" s="15" t="s">
        <v>2716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668" s="1"/>
      <c r="U1668" s="1"/>
      <c r="V1668" s="32" t="s">
        <v>4482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X1668" s="15" t="str">
        <f>_xlfn.TEXTBEFORE(_xlfn.TEXTAFTER(CantoralDB[[#This Row],[index.html]],"&gt;"),"&gt;")&amp;"&gt;"</f>
        <v>&lt;a href="canciones/nuevas/mi_paz.html"&gt;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2388</v>
      </c>
      <c r="C1669" s="1"/>
      <c r="F1669" s="1">
        <v>10</v>
      </c>
      <c r="H1669" s="1" t="s">
        <v>530</v>
      </c>
      <c r="J1669" s="1" t="s">
        <v>607</v>
      </c>
      <c r="M1669" s="15" t="s">
        <v>3012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669" s="1"/>
      <c r="U1669" s="1"/>
      <c r="V1669" s="32" t="s">
        <v>3013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X1669" s="15" t="str">
        <f>_xlfn.TEXTBEFORE(_xlfn.TEXTAFTER(CantoralDB[[#This Row],[index.html]],"&gt;"),"&gt;")&amp;"&gt;"</f>
        <v>&lt;a href="canciones/nuevas/mejor_que_vida_es_tu_misericordia.html"&gt;</v>
      </c>
      <c r="Y1669"/>
      <c r="AC1669" s="1"/>
    </row>
    <row r="1670" spans="1:29" x14ac:dyDescent="0.3">
      <c r="A1670" s="33">
        <f>ROW(CantoralDB[[#This Row],[Título]])-1</f>
        <v>1669</v>
      </c>
      <c r="B1670" s="1" t="s">
        <v>4670</v>
      </c>
      <c r="C1670" s="1"/>
      <c r="D1670" s="33"/>
      <c r="E1670" s="33"/>
      <c r="H1670" s="1" t="s">
        <v>1029</v>
      </c>
      <c r="I1670" s="33" t="s">
        <v>2951</v>
      </c>
      <c r="J1670" s="1" t="s">
        <v>607</v>
      </c>
      <c r="M1670" s="15" t="s">
        <v>577</v>
      </c>
      <c r="O1670" s="15"/>
      <c r="P1670" s="15"/>
      <c r="Q1670" s="34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34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670" s="35"/>
      <c r="U1670" s="33"/>
      <c r="V1670" s="32" t="s">
        <v>4671</v>
      </c>
      <c r="W16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670" s="34" t="str">
        <f>_xlfn.TEXTBEFORE(_xlfn.TEXTAFTER(CantoralDB[[#This Row],[index.html]],"&gt;"),"&gt;")&amp;"&gt;"</f>
        <v>&lt;a href="canciones/nuevas/hacia_ti_morada_santa.html"&gt;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2507</v>
      </c>
      <c r="C1671" s="1"/>
      <c r="F1671" s="1">
        <v>123</v>
      </c>
      <c r="J1671" s="1"/>
      <c r="M1671" s="15" t="s">
        <v>2506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X1671" s="15" t="str">
        <f>_xlfn.TEXTBEFORE(_xlfn.TEXTAFTER(CantoralDB[[#This Row],[index.html]],"&gt;"),"&gt;")&amp;"&gt;"</f>
        <v>&lt;a href="canciones/nuevas/te_amo_rey.html"&gt;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2414</v>
      </c>
      <c r="C1672" s="1"/>
      <c r="F1672" s="1">
        <v>38</v>
      </c>
      <c r="J1672" s="1"/>
      <c r="M1672" s="15" t="s">
        <v>2415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672" s="1"/>
      <c r="U1672" s="1"/>
      <c r="V1672" s="32" t="s">
        <v>4490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X1672" s="15" t="str">
        <f>_xlfn.TEXTBEFORE(_xlfn.TEXTAFTER(CantoralDB[[#This Row],[index.html]],"&gt;"),"&gt;")&amp;"&gt;"</f>
        <v>&lt;a href="canciones/nuevas/hemos_venido_a_este_lugar.html"&gt;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1030</v>
      </c>
      <c r="C1673" s="1"/>
      <c r="H1673" s="1" t="s">
        <v>1029</v>
      </c>
      <c r="J1673" s="1" t="s">
        <v>607</v>
      </c>
      <c r="M1673" s="15" t="s">
        <v>2140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673" s="15" t="str">
        <f>_xlfn.TEXTBEFORE(_xlfn.TEXTAFTER(CantoralDB[[#This Row],[index.html]],"&gt;"),"&gt;")&amp;"&gt;"</f>
        <v>&lt;a href="canciones/nuevas/aleluya_(cohen).html"&gt;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2709</v>
      </c>
      <c r="C1674" s="1"/>
      <c r="F1674" s="1">
        <v>340</v>
      </c>
      <c r="J1674" s="1"/>
      <c r="M1674" s="15" t="s">
        <v>2710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674" s="1"/>
      <c r="U1674" s="1"/>
      <c r="V1674" s="15"/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X1674" s="15" t="str">
        <f>_xlfn.TEXTBEFORE(_xlfn.TEXTAFTER(CantoralDB[[#This Row],[index.html]],"&gt;"),"&gt;")&amp;"&gt;"</f>
        <v>&lt;a href="canciones/nuevas/nuestro_dios_reina.html"&gt;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2463</v>
      </c>
      <c r="C1675" s="1"/>
      <c r="F1675" s="1">
        <v>82</v>
      </c>
      <c r="J1675" s="1"/>
      <c r="M1675" s="15" t="s">
        <v>2464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675" s="1"/>
      <c r="U1675" s="1"/>
      <c r="V1675" s="15"/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X1675" s="15" t="str">
        <f>_xlfn.TEXTBEFORE(_xlfn.TEXTAFTER(CantoralDB[[#This Row],[index.html]],"&gt;"),"&gt;")&amp;"&gt;"</f>
        <v>&lt;a href="canciones/nuevas/hay_poder.html"&gt;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2157</v>
      </c>
      <c r="C1676" s="15"/>
      <c r="H1676" s="1" t="s">
        <v>530</v>
      </c>
      <c r="J1676" s="1" t="s">
        <v>607</v>
      </c>
      <c r="M1676" s="15" t="s">
        <v>2173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676" s="1"/>
      <c r="U1676" s="1"/>
      <c r="V1676" s="32" t="s">
        <v>2998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676" s="15" t="str">
        <f>_xlfn.TEXTBEFORE(_xlfn.TEXTAFTER(CantoralDB[[#This Row],[index.html]],"&gt;"),"&gt;")&amp;"&gt;"</f>
        <v>&lt;a href="canciones/nuevas/entra_en_el_corazon_de_dios.html"&gt;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2549</v>
      </c>
      <c r="C1677" s="1"/>
      <c r="F1677" s="1">
        <v>324</v>
      </c>
      <c r="J1677" s="1"/>
      <c r="M1677" s="15" t="s">
        <v>2696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X1677" s="15" t="str">
        <f>_xlfn.TEXTBEFORE(_xlfn.TEXTAFTER(CantoralDB[[#This Row],[index.html]],"&gt;"),"&gt;")&amp;"&gt;"</f>
        <v>&lt;a href="canciones/nuevas/vamos_con_gozo.html"&gt;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2787</v>
      </c>
      <c r="C1678" s="1"/>
      <c r="F1678" s="1">
        <v>405</v>
      </c>
      <c r="J1678" s="1"/>
      <c r="M1678" s="15" t="s">
        <v>2788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678" s="1"/>
      <c r="U1678" s="1"/>
      <c r="V1678" s="32" t="s">
        <v>4600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X1678" s="15" t="str">
        <f>_xlfn.TEXTBEFORE(_xlfn.TEXTAFTER(CantoralDB[[#This Row],[index.html]],"&gt;"),"&gt;")&amp;"&gt;"</f>
        <v>&lt;a href="canciones/nuevas/aclamad_al_señor.html"&gt;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2431</v>
      </c>
      <c r="C1679" s="1"/>
      <c r="F1679" s="1">
        <v>51</v>
      </c>
      <c r="J1679" s="1"/>
      <c r="M1679" s="15" t="s">
        <v>2430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X1679" s="15" t="str">
        <f>_xlfn.TEXTBEFORE(_xlfn.TEXTAFTER(CantoralDB[[#This Row],[index.html]],"&gt;"),"&gt;")&amp;"&gt;"</f>
        <v>&lt;a href="canciones/nuevas/mi_alma_esta_sedienta.html"&gt;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2482</v>
      </c>
      <c r="C1680" s="1"/>
      <c r="F1680" s="1">
        <v>100</v>
      </c>
      <c r="J1680" s="1"/>
      <c r="M1680" s="15" t="s">
        <v>2484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X1680" s="15" t="str">
        <f>_xlfn.TEXTBEFORE(_xlfn.TEXTAFTER(CantoralDB[[#This Row],[index.html]],"&gt;"),"&gt;")&amp;"&gt;"</f>
        <v>&lt;a href="canciones/nuevas/alguien_cerca_esta_de_mi.html"&gt;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2534</v>
      </c>
      <c r="C1681" s="1"/>
      <c r="F1681" s="1">
        <v>148</v>
      </c>
      <c r="J1681" s="1"/>
      <c r="M1681" s="15" t="s">
        <v>2484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681" s="1"/>
      <c r="U1681" s="1"/>
      <c r="V1681" s="32" t="s">
        <v>4555</v>
      </c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X1681" s="15" t="str">
        <f>_xlfn.TEXTBEFORE(_xlfn.TEXTAFTER(CantoralDB[[#This Row],[index.html]],"&gt;"),"&gt;")&amp;"&gt;"</f>
        <v>&lt;a href="canciones/nuevas/dios_precisa_de_ti.html"&gt;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2693</v>
      </c>
      <c r="C1682" s="1"/>
      <c r="F1682" s="1">
        <v>322</v>
      </c>
      <c r="J1682" s="1"/>
      <c r="M1682" s="15" t="s">
        <v>2484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682" s="1"/>
      <c r="U1682" s="1"/>
      <c r="V1682" s="32" t="s">
        <v>4582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X1682" s="15" t="str">
        <f>_xlfn.TEXTBEFORE(_xlfn.TEXTAFTER(CantoralDB[[#This Row],[index.html]],"&gt;"),"&gt;")&amp;"&gt;"</f>
        <v>&lt;a href="canciones/nuevas/hay_una_promesa.html"&gt;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2625</v>
      </c>
      <c r="C1683" s="1"/>
      <c r="F1683" s="1">
        <v>247</v>
      </c>
      <c r="J1683" s="1"/>
      <c r="M1683" s="15" t="s">
        <v>2484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683" s="1"/>
      <c r="U1683" s="1"/>
      <c r="V1683" s="32" t="s">
        <v>4505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X1683" s="15" t="str">
        <f>_xlfn.TEXTBEFORE(_xlfn.TEXTAFTER(CantoralDB[[#This Row],[index.html]],"&gt;"),"&gt;")&amp;"&gt;"</f>
        <v>&lt;a href="canciones/nuevas/vive_jesus.html"&gt;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2560</v>
      </c>
      <c r="C1684" s="1"/>
      <c r="F1684" s="1">
        <v>170</v>
      </c>
      <c r="J1684" s="1"/>
      <c r="M1684" s="15" t="s">
        <v>2559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684" s="1"/>
      <c r="U1684" s="1"/>
      <c r="V1684" s="32" t="s">
        <v>4524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X1684" s="15" t="str">
        <f>_xlfn.TEXTBEFORE(_xlfn.TEXTAFTER(CantoralDB[[#This Row],[index.html]],"&gt;"),"&gt;")&amp;"&gt;"</f>
        <v>&lt;a href="canciones/nuevas/evangelio.html"&gt;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192</v>
      </c>
      <c r="C1685" s="1"/>
      <c r="F1685" s="1">
        <v>333</v>
      </c>
      <c r="J1685" s="1"/>
      <c r="M1685" s="15" t="s">
        <v>2703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685" s="1"/>
      <c r="U1685" s="1"/>
      <c r="V1685" s="32" t="s">
        <v>4462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X1685" s="15" t="str">
        <f>_xlfn.TEXTBEFORE(_xlfn.TEXTAFTER(CantoralDB[[#This Row],[index.html]],"&gt;"),"&gt;")&amp;"&gt;"</f>
        <v>&lt;a href="canciones/nuevas/gloria.html"&gt;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2785</v>
      </c>
      <c r="C1686" s="1"/>
      <c r="F1686" s="1">
        <v>404</v>
      </c>
      <c r="J1686" s="1"/>
      <c r="M1686" s="15" t="s">
        <v>2786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686" s="1"/>
      <c r="U1686" s="1"/>
      <c r="V1686" s="32" t="s">
        <v>4585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X1686" s="15" t="str">
        <f>_xlfn.TEXTBEFORE(_xlfn.TEXTAFTER(CantoralDB[[#This Row],[index.html]],"&gt;"),"&gt;")&amp;"&gt;"</f>
        <v>&lt;a href="canciones/nuevas/ahora_mas_que_nunca.html"&gt;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2154</v>
      </c>
      <c r="C1687" s="15"/>
      <c r="H1687" s="1" t="s">
        <v>530</v>
      </c>
      <c r="J1687" s="1" t="s">
        <v>607</v>
      </c>
      <c r="M1687" s="15" t="s">
        <v>2948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687" s="1"/>
      <c r="U1687" s="1"/>
      <c r="V1687" s="15"/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687" s="15" t="str">
        <f>_xlfn.TEXTBEFORE(_xlfn.TEXTAFTER(CantoralDB[[#This Row],[index.html]],"&gt;"),"&gt;")&amp;"&gt;"</f>
        <v>&lt;a href="canciones/nuevas/dijiste_si.html"&gt;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3006</v>
      </c>
      <c r="C1688" s="1"/>
      <c r="J1688" s="1" t="s">
        <v>607</v>
      </c>
      <c r="M1688" s="15" t="s">
        <v>2948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688" s="1"/>
      <c r="U1688" s="1"/>
      <c r="V1688" s="15"/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688" s="15" t="str">
        <f>_xlfn.TEXTBEFORE(_xlfn.TEXTAFTER(CantoralDB[[#This Row],[index.html]],"&gt;"),"&gt;")&amp;"&gt;"</f>
        <v>&lt;a href="canciones/nuevas/petrus_(in_illo_uno_unum).html"&gt;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2947</v>
      </c>
      <c r="C1689" s="1"/>
      <c r="H1689" s="1" t="s">
        <v>1029</v>
      </c>
      <c r="J1689" s="1" t="s">
        <v>607</v>
      </c>
      <c r="M1689" s="15" t="s">
        <v>2948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689" s="15" t="str">
        <f>_xlfn.TEXTBEFORE(_xlfn.TEXTAFTER(CantoralDB[[#This Row],[index.html]],"&gt;"),"&gt;")&amp;"&gt;"</f>
        <v>&lt;a href="canciones/nuevas/ungidos.html"&gt;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2768</v>
      </c>
      <c r="C1690" s="1"/>
      <c r="F1690" s="1">
        <v>389</v>
      </c>
      <c r="J1690" s="1"/>
      <c r="M1690" s="15" t="s">
        <v>2769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690" s="1"/>
      <c r="U1690" s="1"/>
      <c r="V1690" s="32" t="s">
        <v>4500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X1690" s="15" t="str">
        <f>_xlfn.TEXTBEFORE(_xlfn.TEXTAFTER(CantoralDB[[#This Row],[index.html]],"&gt;"),"&gt;")&amp;"&gt;"</f>
        <v>&lt;a href="canciones/nuevas/entra_en_la_presencia.html"&gt;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201</v>
      </c>
      <c r="C1691" s="1"/>
      <c r="F1691" s="1">
        <v>129</v>
      </c>
      <c r="J1691" s="1"/>
      <c r="M1691" s="15" t="s">
        <v>2485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691" s="1"/>
      <c r="U1691" s="1"/>
      <c r="V1691" s="32" t="s">
        <v>4497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X1691" s="15" t="str">
        <f>_xlfn.TEXTBEFORE(_xlfn.TEXTAFTER(CantoralDB[[#This Row],[index.html]],"&gt;"),"&gt;")&amp;"&gt;"</f>
        <v>&lt;a href="canciones/nuevas/cordero_de_dios.html"&gt;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133</v>
      </c>
      <c r="C1692" s="1"/>
      <c r="F1692" s="1">
        <v>103</v>
      </c>
      <c r="J1692" s="1"/>
      <c r="M1692" s="15" t="s">
        <v>2485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692" s="1"/>
      <c r="U1692" s="1"/>
      <c r="V1692" s="32" t="s">
        <v>4574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X1692" s="15" t="str">
        <f>_xlfn.TEXTBEFORE(_xlfn.TEXTAFTER(CantoralDB[[#This Row],[index.html]],"&gt;"),"&gt;")&amp;"&gt;"</f>
        <v>&lt;a href="canciones/nuevas/señor_ten_piedad.html"&gt;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1505</v>
      </c>
      <c r="C1693" s="1"/>
      <c r="F1693" s="1">
        <v>9</v>
      </c>
      <c r="H1693" s="1" t="s">
        <v>1028</v>
      </c>
      <c r="J1693" s="1" t="s">
        <v>607</v>
      </c>
      <c r="M1693" s="15" t="s">
        <v>489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693" s="1"/>
      <c r="U1693" s="1"/>
      <c r="V1693" s="32" t="s">
        <v>3011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X1693" s="15" t="str">
        <f>_xlfn.TEXTBEFORE(_xlfn.TEXTAFTER(CantoralDB[[#This Row],[index.html]],"&gt;"),"&gt;")&amp;"&gt;"</f>
        <v>&lt;a href="canciones/nuevas/alegrate.html"&gt;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2613</v>
      </c>
      <c r="C1694" s="1"/>
      <c r="F1694" s="1">
        <v>233</v>
      </c>
      <c r="J1694" s="1"/>
      <c r="M1694" s="15" t="s">
        <v>489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X1694" s="15" t="str">
        <f>_xlfn.TEXTBEFORE(_xlfn.TEXTAFTER(CantoralDB[[#This Row],[index.html]],"&gt;"),"&gt;")&amp;"&gt;"</f>
        <v>&lt;a href="canciones/nuevas/resucitaremos_con_el.html"&gt;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2723</v>
      </c>
      <c r="C1695" s="1"/>
      <c r="F1695" s="1">
        <v>350</v>
      </c>
      <c r="J1695" s="1"/>
      <c r="M1695" s="15" t="s">
        <v>2724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695" s="1"/>
      <c r="U1695" s="1"/>
      <c r="V1695" s="15"/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X1695" s="15" t="str">
        <f>_xlfn.TEXTBEFORE(_xlfn.TEXTAFTER(CantoralDB[[#This Row],[index.html]],"&gt;"),"&gt;")&amp;"&gt;"</f>
        <v>&lt;a href="canciones/nuevas/clamamos_a_ti.html"&gt;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2455</v>
      </c>
      <c r="C1696" s="1"/>
      <c r="F1696" s="1">
        <v>75</v>
      </c>
      <c r="J1696" s="1"/>
      <c r="M1696" s="15" t="s">
        <v>2457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X1696" s="15" t="str">
        <f>_xlfn.TEXTBEFORE(_xlfn.TEXTAFTER(CantoralDB[[#This Row],[index.html]],"&gt;"),"&gt;")&amp;"&gt;"</f>
        <v>&lt;a href="canciones/nuevas/la_rosa_de_saron.html"&gt;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2821</v>
      </c>
      <c r="C1697" s="1"/>
      <c r="F1697" s="1">
        <v>430</v>
      </c>
      <c r="J1697" s="1"/>
      <c r="M1697" s="15" t="s">
        <v>2819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697" s="1"/>
      <c r="U1697" s="1"/>
      <c r="V1697" s="15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X1697" s="15" t="str">
        <f>_xlfn.TEXTBEFORE(_xlfn.TEXTAFTER(CantoralDB[[#This Row],[index.html]],"&gt;"),"&gt;")&amp;"&gt;"</f>
        <v>&lt;a href="canciones/nuevas/a_el_le_sea_la_gloria.html"&gt;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2394</v>
      </c>
      <c r="C1698" s="1"/>
      <c r="F1698" s="1">
        <v>15</v>
      </c>
      <c r="H1698" s="1" t="s">
        <v>1029</v>
      </c>
      <c r="J1698" s="1" t="s">
        <v>607</v>
      </c>
      <c r="M1698" s="15" t="s">
        <v>2819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698" s="1"/>
      <c r="U1698" s="1"/>
      <c r="V1698" s="32" t="s">
        <v>3016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X1698" s="15" t="str">
        <f>_xlfn.TEXTBEFORE(_xlfn.TEXTAFTER(CantoralDB[[#This Row],[index.html]],"&gt;"),"&gt;")&amp;"&gt;"</f>
        <v>&lt;a href="canciones/nuevas/cristo_heme_aqui.html"&gt;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2817</v>
      </c>
      <c r="C1699" s="1"/>
      <c r="F1699" s="1">
        <v>427</v>
      </c>
      <c r="J1699" s="1"/>
      <c r="M1699" s="15" t="s">
        <v>2819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X1699" s="15" t="str">
        <f>_xlfn.TEXTBEFORE(_xlfn.TEXTAFTER(CantoralDB[[#This Row],[index.html]],"&gt;"),"&gt;")&amp;"&gt;"</f>
        <v>&lt;a href="canciones/nuevas/ven_espiritu_ven.html"&gt;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2739</v>
      </c>
      <c r="C1700" s="1"/>
      <c r="F1700" s="1">
        <v>366</v>
      </c>
      <c r="J1700" s="1"/>
      <c r="M1700" s="15" t="s">
        <v>2740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00" s="1"/>
      <c r="U1700" s="1"/>
      <c r="V1700" s="15"/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X1700" s="15" t="str">
        <f>_xlfn.TEXTBEFORE(_xlfn.TEXTAFTER(CantoralDB[[#This Row],[index.html]],"&gt;"),"&gt;")&amp;"&gt;"</f>
        <v>&lt;a href="canciones/nuevas/con_gozo_al_señor_cantare.html"&gt;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1225</v>
      </c>
      <c r="C1701" s="1"/>
      <c r="F1701" s="1">
        <v>102</v>
      </c>
      <c r="J1701" s="1"/>
      <c r="M1701" s="15" t="s">
        <v>2483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01" s="1"/>
      <c r="U1701" s="1"/>
      <c r="V1701" s="32" t="s">
        <v>4573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X1701" s="15" t="str">
        <f>_xlfn.TEXTBEFORE(_xlfn.TEXTAFTER(CantoralDB[[#This Row],[index.html]],"&gt;"),"&gt;")&amp;"&gt;"</f>
        <v>&lt;a href="canciones/nuevas/el_espiritu_del_señor.html"&gt;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2798</v>
      </c>
      <c r="C1702" s="1"/>
      <c r="F1702" s="1">
        <v>411</v>
      </c>
      <c r="J1702" s="1"/>
      <c r="M1702" s="15" t="s">
        <v>2797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02" s="1"/>
      <c r="U1702" s="1"/>
      <c r="V1702" s="15"/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X1702" s="15" t="str">
        <f>_xlfn.TEXTBEFORE(_xlfn.TEXTAFTER(CantoralDB[[#This Row],[index.html]],"&gt;"),"&gt;")&amp;"&gt;"</f>
        <v>&lt;a href="canciones/nuevas/de_rodillas_madre.html"&gt;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2810</v>
      </c>
      <c r="C1703" s="1"/>
      <c r="F1703" s="1">
        <v>420</v>
      </c>
      <c r="J1703" s="1"/>
      <c r="M1703" s="15" t="s">
        <v>2807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X1703" s="15" t="str">
        <f>_xlfn.TEXTBEFORE(_xlfn.TEXTAFTER(CantoralDB[[#This Row],[index.html]],"&gt;"),"&gt;")&amp;"&gt;"</f>
        <v>&lt;a href="canciones/nuevas/eres_mi_respirar.html"&gt;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2557</v>
      </c>
      <c r="C1704" s="1"/>
      <c r="F1704" s="1">
        <v>169</v>
      </c>
      <c r="J1704" s="1"/>
      <c r="M1704" s="15" t="s">
        <v>2558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04" s="1"/>
      <c r="U1704" s="1"/>
      <c r="V1704" s="15"/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X1704" s="15" t="str">
        <f>_xlfn.TEXTBEFORE(_xlfn.TEXTAFTER(CantoralDB[[#This Row],[index.html]],"&gt;"),"&gt;")&amp;"&gt;"</f>
        <v>&lt;a href="canciones/nuevas/siento.html"&gt;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2758</v>
      </c>
      <c r="C1705" s="1"/>
      <c r="F1705" s="1">
        <v>383</v>
      </c>
      <c r="J1705" s="1"/>
      <c r="M1705" s="15" t="s">
        <v>2761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X1705" s="15" t="str">
        <f>_xlfn.TEXTBEFORE(_xlfn.TEXTAFTER(CantoralDB[[#This Row],[index.html]],"&gt;"),"&gt;")&amp;"&gt;"</f>
        <v>&lt;a href="canciones/nuevas/asi_es_dios.html"&gt;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2522</v>
      </c>
      <c r="C1706" s="1"/>
      <c r="F1706" s="1">
        <v>136</v>
      </c>
      <c r="J1706" s="1"/>
      <c r="M1706" s="15" t="s">
        <v>2523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06" s="1"/>
      <c r="U1706" s="1"/>
      <c r="V1706" s="15"/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X1706" s="15" t="str">
        <f>_xlfn.TEXTBEFORE(_xlfn.TEXTAFTER(CantoralDB[[#This Row],[index.html]],"&gt;"),"&gt;")&amp;"&gt;"</f>
        <v>&lt;a href="canciones/nuevas/aleluya_cristo_vive.html"&gt;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2556</v>
      </c>
      <c r="C1707" s="1"/>
      <c r="F1707" s="1">
        <v>168</v>
      </c>
      <c r="J1707" s="1"/>
      <c r="M1707" s="15" t="s">
        <v>2523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07" s="1"/>
      <c r="U1707" s="1"/>
      <c r="V1707" s="15"/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X1707" s="15" t="str">
        <f>_xlfn.TEXTBEFORE(_xlfn.TEXTAFTER(CantoralDB[[#This Row],[index.html]],"&gt;"),"&gt;")&amp;"&gt;"</f>
        <v>&lt;a href="canciones/nuevas/jesus_te_quiere_asi.html"&gt;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2741</v>
      </c>
      <c r="C1708" s="1"/>
      <c r="F1708" s="1">
        <v>367</v>
      </c>
      <c r="J1708" s="1"/>
      <c r="M1708" s="15" t="s">
        <v>2742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08" s="1"/>
      <c r="U1708" s="1"/>
      <c r="V1708" s="32" t="s">
        <v>4510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X1708" s="15" t="str">
        <f>_xlfn.TEXTBEFORE(_xlfn.TEXTAFTER(CantoralDB[[#This Row],[index.html]],"&gt;"),"&gt;")&amp;"&gt;"</f>
        <v>&lt;a href="canciones/nuevas/en_presencia.html"&gt;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2753</v>
      </c>
      <c r="C1709" s="1"/>
      <c r="F1709" s="1">
        <v>377</v>
      </c>
      <c r="J1709" s="1"/>
      <c r="M1709" s="15" t="s">
        <v>2754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X1709" s="15" t="str">
        <f>_xlfn.TEXTBEFORE(_xlfn.TEXTAFTER(CantoralDB[[#This Row],[index.html]],"&gt;"),"&gt;")&amp;"&gt;"</f>
        <v>&lt;a href="canciones/nuevas/jesus_tengo_sed.html"&gt;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2629</v>
      </c>
      <c r="C1710" s="1"/>
      <c r="F1710" s="1">
        <v>255</v>
      </c>
      <c r="J1710" s="1"/>
      <c r="M1710" s="15" t="s">
        <v>574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10" s="1"/>
      <c r="U1710" s="1"/>
      <c r="V1710" s="32" t="s">
        <v>4459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X1710" s="15" t="str">
        <f>_xlfn.TEXTBEFORE(_xlfn.TEXTAFTER(CantoralDB[[#This Row],[index.html]],"&gt;"),"&gt;")&amp;"&gt;"</f>
        <v>&lt;a href="canciones/nuevas/gloria_a_jesus_el_señor.html"&gt;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2588</v>
      </c>
      <c r="C1711" s="1"/>
      <c r="F1711" s="1">
        <v>200</v>
      </c>
      <c r="J1711" s="1"/>
      <c r="M1711" s="15" t="s">
        <v>574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11" s="1"/>
      <c r="U1711" s="1"/>
      <c r="V1711" s="15"/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X1711" s="15" t="str">
        <f>_xlfn.TEXTBEFORE(_xlfn.TEXTAFTER(CantoralDB[[#This Row],[index.html]],"&gt;"),"&gt;")&amp;"&gt;"</f>
        <v>&lt;a href="canciones/nuevas/la_pancita.html"&gt;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2707</v>
      </c>
      <c r="C1712" s="1"/>
      <c r="F1712" s="1">
        <v>337</v>
      </c>
      <c r="J1712" s="1"/>
      <c r="M1712" s="15" t="s">
        <v>2708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X1712" s="15" t="str">
        <f>_xlfn.TEXTBEFORE(_xlfn.TEXTAFTER(CantoralDB[[#This Row],[index.html]],"&gt;"),"&gt;")&amp;"&gt;"</f>
        <v>&lt;a href="canciones/nuevas/el_señor_resucitado.html"&gt;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2437</v>
      </c>
      <c r="C1713" s="1"/>
      <c r="F1713" s="1">
        <v>56</v>
      </c>
      <c r="J1713" s="1"/>
      <c r="M1713" s="15" t="s">
        <v>2438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13" s="1"/>
      <c r="U1713" s="1"/>
      <c r="V1713" s="32" t="s">
        <v>4474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X1713" s="15" t="str">
        <f>_xlfn.TEXTBEFORE(_xlfn.TEXTAFTER(CantoralDB[[#This Row],[index.html]],"&gt;"),"&gt;")&amp;"&gt;"</f>
        <v>&lt;a href="canciones/nuevas/viejos_y_jovenes.html"&gt;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2586</v>
      </c>
      <c r="C1714" s="1"/>
      <c r="F1714" s="1">
        <v>199</v>
      </c>
      <c r="J1714" s="1"/>
      <c r="M1714" s="15" t="s">
        <v>2587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X1714" s="15" t="str">
        <f>_xlfn.TEXTBEFORE(_xlfn.TEXTAFTER(CantoralDB[[#This Row],[index.html]],"&gt;"),"&gt;")&amp;"&gt;"</f>
        <v>&lt;a href="canciones/nuevas/clamaremos_al_señor.html"&gt;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2792</v>
      </c>
      <c r="C1715" s="1"/>
      <c r="F1715" s="1">
        <v>408</v>
      </c>
      <c r="J1715" s="1"/>
      <c r="M1715" s="15" t="s">
        <v>2793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15" s="1"/>
      <c r="U1715" s="1"/>
      <c r="V1715" s="32" t="s">
        <v>4485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X1715" s="15" t="str">
        <f>_xlfn.TEXTBEFORE(_xlfn.TEXTAFTER(CantoralDB[[#This Row],[index.html]],"&gt;"),"&gt;")&amp;"&gt;"</f>
        <v>&lt;a href="canciones/nuevas/agnus_dei.html"&gt;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2720</v>
      </c>
      <c r="C1716" s="1"/>
      <c r="F1716" s="1">
        <v>348</v>
      </c>
      <c r="J1716" s="1"/>
      <c r="M1716" s="15" t="s">
        <v>2721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X1716" s="15" t="str">
        <f>_xlfn.TEXTBEFORE(_xlfn.TEXTAFTER(CantoralDB[[#This Row],[index.html]],"&gt;"),"&gt;")&amp;"&gt;"</f>
        <v>&lt;a href="canciones/nuevas/exaltad.html"&gt;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2751</v>
      </c>
      <c r="C1717" s="1"/>
      <c r="F1717" s="1">
        <v>375</v>
      </c>
      <c r="J1717" s="1"/>
      <c r="M1717" s="15" t="s">
        <v>2721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17" s="1"/>
      <c r="U1717" s="1"/>
      <c r="V1717" s="32" t="s">
        <v>4440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X1717" s="15" t="str">
        <f>_xlfn.TEXTBEFORE(_xlfn.TEXTAFTER(CantoralDB[[#This Row],[index.html]],"&gt;"),"&gt;")&amp;"&gt;"</f>
        <v>&lt;a href="canciones/nuevas/tu_fidelidad.html"&gt;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2651</v>
      </c>
      <c r="C1718" s="1"/>
      <c r="F1718" s="1">
        <v>275</v>
      </c>
      <c r="J1718" s="1"/>
      <c r="M1718" s="15" t="s">
        <v>2652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18" s="1"/>
      <c r="U1718" s="1"/>
      <c r="V1718" s="32" t="s">
        <v>4571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X1718" s="15" t="str">
        <f>_xlfn.TEXTBEFORE(_xlfn.TEXTAFTER(CantoralDB[[#This Row],[index.html]],"&gt;"),"&gt;")&amp;"&gt;"</f>
        <v>&lt;a href="canciones/nuevas/no_tengo_mas.html"&gt;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1702</v>
      </c>
      <c r="C1719" s="1"/>
      <c r="F1719" s="1">
        <v>171</v>
      </c>
      <c r="J1719" s="1"/>
      <c r="M1719" s="15" t="s">
        <v>2561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19" s="1"/>
      <c r="U1719" s="1"/>
      <c r="V1719" s="15"/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X1719" s="15" t="str">
        <f>_xlfn.TEXTBEFORE(_xlfn.TEXTAFTER(CantoralDB[[#This Row],[index.html]],"&gt;"),"&gt;")&amp;"&gt;"</f>
        <v>&lt;a href="canciones/nuevas/creo_en_ti.html"&gt;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2851</v>
      </c>
      <c r="C1720" s="1"/>
      <c r="H1720" s="1" t="s">
        <v>1029</v>
      </c>
      <c r="J1720" s="1" t="s">
        <v>607</v>
      </c>
      <c r="M1720" s="15" t="s">
        <v>2854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20" s="1"/>
      <c r="U1720" s="1"/>
      <c r="V1720" s="32" t="s">
        <v>2996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20" s="15" t="str">
        <f>_xlfn.TEXTBEFORE(_xlfn.TEXTAFTER(CantoralDB[[#This Row],[index.html]],"&gt;"),"&gt;")&amp;"&gt;"</f>
        <v>&lt;a href="canciones/nuevas/alza_la_mirada.html"&gt;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2813</v>
      </c>
      <c r="C1721" s="1"/>
      <c r="F1721" s="1">
        <v>425</v>
      </c>
      <c r="J1721" s="1"/>
      <c r="M1721" s="15" t="s">
        <v>2814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21" s="1"/>
      <c r="U1721" s="1"/>
      <c r="V1721" s="15"/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X1721" s="15" t="str">
        <f>_xlfn.TEXTBEFORE(_xlfn.TEXTAFTER(CantoralDB[[#This Row],[index.html]],"&gt;"),"&gt;")&amp;"&gt;"</f>
        <v>&lt;a href="canciones/nuevas/haz_llover.html"&gt;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2432</v>
      </c>
      <c r="C1722" s="1"/>
      <c r="F1722" s="1">
        <v>52</v>
      </c>
      <c r="J1722" s="1"/>
      <c r="M1722" s="15" t="s">
        <v>2433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22" s="1"/>
      <c r="U1722" s="1"/>
      <c r="V1722" s="32" t="s">
        <v>4518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X1722" s="15" t="str">
        <f>_xlfn.TEXTBEFORE(_xlfn.TEXTAFTER(CantoralDB[[#This Row],[index.html]],"&gt;"),"&gt;")&amp;"&gt;"</f>
        <v>&lt;a href="canciones/nuevas/he_decidido_seguir_a_cristo.html"&gt;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2667</v>
      </c>
      <c r="C1723" s="1"/>
      <c r="F1723" s="1">
        <v>294</v>
      </c>
      <c r="J1723" s="1"/>
      <c r="M1723" s="15" t="s">
        <v>2668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23" s="1"/>
      <c r="U1723" s="1"/>
      <c r="V1723" s="15"/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X1723" s="15" t="str">
        <f>_xlfn.TEXTBEFORE(_xlfn.TEXTAFTER(CantoralDB[[#This Row],[index.html]],"&gt;"),"&gt;")&amp;"&gt;"</f>
        <v>&lt;a href="canciones/nuevas/digno_eres.html"&gt;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2637</v>
      </c>
      <c r="C1724" s="1"/>
      <c r="F1724" s="1">
        <v>262</v>
      </c>
      <c r="J1724" s="1"/>
      <c r="M1724" s="15" t="s">
        <v>2638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24" s="1"/>
      <c r="U1724" s="1"/>
      <c r="V1724" s="32" t="s">
        <v>4507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X1724" s="15" t="str">
        <f>_xlfn.TEXTBEFORE(_xlfn.TEXTAFTER(CantoralDB[[#This Row],[index.html]],"&gt;"),"&gt;")&amp;"&gt;"</f>
        <v>&lt;a href="canciones/nuevas/vuelvete_a_mi.html"&gt;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2490</v>
      </c>
      <c r="C1725" s="1"/>
      <c r="F1725" s="1">
        <v>110</v>
      </c>
      <c r="J1725" s="1"/>
      <c r="M1725" s="15" t="s">
        <v>2479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X1725" s="15" t="str">
        <f>_xlfn.TEXTBEFORE(_xlfn.TEXTAFTER(CantoralDB[[#This Row],[index.html]],"&gt;"),"&gt;")&amp;"&gt;"</f>
        <v>&lt;a href="canciones/nuevas/postrado.html"&gt;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2480</v>
      </c>
      <c r="C1726" s="1"/>
      <c r="F1726" s="1">
        <v>98</v>
      </c>
      <c r="J1726" s="1"/>
      <c r="M1726" s="15" t="s">
        <v>2479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26" s="1"/>
      <c r="U1726" s="1"/>
      <c r="V1726" s="15"/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X1726" s="15" t="str">
        <f>_xlfn.TEXTBEFORE(_xlfn.TEXTAFTER(CantoralDB[[#This Row],[index.html]],"&gt;"),"&gt;")&amp;"&gt;"</f>
        <v>&lt;a href="canciones/nuevas/tu_el_dios_de_mi_refugio.html"&gt;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2776</v>
      </c>
      <c r="C1727" s="1"/>
      <c r="F1727" s="1">
        <v>395</v>
      </c>
      <c r="J1727" s="1"/>
      <c r="M1727" s="15" t="s">
        <v>2777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X1727" s="15" t="str">
        <f>_xlfn.TEXTBEFORE(_xlfn.TEXTAFTER(CantoralDB[[#This Row],[index.html]],"&gt;"),"&gt;")&amp;"&gt;"</f>
        <v>&lt;a href="canciones/nuevas/ven_y_juntos_alabemos.html"&gt;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2150</v>
      </c>
      <c r="C1728" s="15"/>
      <c r="F1728" s="1">
        <v>315</v>
      </c>
      <c r="H1728" s="1" t="s">
        <v>472</v>
      </c>
      <c r="J1728" s="1" t="s">
        <v>607</v>
      </c>
      <c r="M1728" s="15" t="s">
        <v>2169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28" s="1"/>
      <c r="U1728" s="1"/>
      <c r="V1728" s="32" t="s">
        <v>2993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X1728" s="15" t="str">
        <f>_xlfn.TEXTBEFORE(_xlfn.TEXTAFTER(CantoralDB[[#This Row],[index.html]],"&gt;"),"&gt;")&amp;"&gt;"</f>
        <v>&lt;a href="canciones/nuevas/aleluya_yo_creo_en_tu_amor.html"&gt;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2853</v>
      </c>
      <c r="C1729" s="1"/>
      <c r="H1729" s="1" t="s">
        <v>530</v>
      </c>
      <c r="J1729" s="1" t="s">
        <v>607</v>
      </c>
      <c r="M1729" s="15" t="s">
        <v>2169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29" s="1"/>
      <c r="U1729" s="1"/>
      <c r="V1729" s="15"/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29" s="15" t="str">
        <f>_xlfn.TEXTBEFORE(_xlfn.TEXTAFTER(CantoralDB[[#This Row],[index.html]],"&gt;"),"&gt;")&amp;"&gt;"</f>
        <v>&lt;a href="canciones/nuevas/pregon_pascual_(neocatecumenal).html"&gt;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2727</v>
      </c>
      <c r="C1730" s="1"/>
      <c r="F1730" s="1">
        <v>353</v>
      </c>
      <c r="J1730" s="1"/>
      <c r="M1730" s="15" t="s">
        <v>2728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30" s="1"/>
      <c r="U1730" s="1"/>
      <c r="V1730" s="15"/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X1730" s="15" t="str">
        <f>_xlfn.TEXTBEFORE(_xlfn.TEXTAFTER(CantoralDB[[#This Row],[index.html]],"&gt;"),"&gt;")&amp;"&gt;"</f>
        <v>&lt;a href="canciones/nuevas/jesus_es_mi_luz_y_mi_salvacion.html"&gt;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2165</v>
      </c>
      <c r="C1731" s="15"/>
      <c r="F1731" s="1">
        <v>439</v>
      </c>
      <c r="H1731" s="1" t="s">
        <v>530</v>
      </c>
      <c r="J1731" s="1" t="s">
        <v>607</v>
      </c>
      <c r="M1731" s="15" t="s">
        <v>2831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31" s="1"/>
      <c r="U1731" s="1"/>
      <c r="V1731" s="15"/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X1731" s="15" t="str">
        <f>_xlfn.TEXTBEFORE(_xlfn.TEXTAFTER(CantoralDB[[#This Row],[index.html]],"&gt;"),"&gt;")&amp;"&gt;"</f>
        <v>&lt;a href="canciones/nuevas/te_doy_mi_corazon.html"&gt;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2546</v>
      </c>
      <c r="C1732" s="1"/>
      <c r="F1732" s="1">
        <v>158</v>
      </c>
      <c r="J1732" s="1"/>
      <c r="M1732" s="15" t="s">
        <v>2545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32" s="1"/>
      <c r="U1732" s="1"/>
      <c r="V1732" s="15"/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X1732" s="15" t="str">
        <f>_xlfn.TEXTBEFORE(_xlfn.TEXTAFTER(CantoralDB[[#This Row],[index.html]],"&gt;"),"&gt;")&amp;"&gt;"</f>
        <v>&lt;a href="canciones/nuevas/eli_eli.html"&gt;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2422</v>
      </c>
      <c r="C1733" s="1"/>
      <c r="F1733" s="1">
        <v>46</v>
      </c>
      <c r="J1733" s="1"/>
      <c r="M1733" s="15" t="s">
        <v>2424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33" s="1"/>
      <c r="U1733" s="1"/>
      <c r="V1733" s="15"/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X1733" s="15" t="str">
        <f>_xlfn.TEXTBEFORE(_xlfn.TEXTAFTER(CantoralDB[[#This Row],[index.html]],"&gt;"),"&gt;")&amp;"&gt;"</f>
        <v>&lt;a href="canciones/nuevas/eres_tu_palabra_de_vida.html"&gt;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1346</v>
      </c>
      <c r="C1734" s="1"/>
      <c r="F1734" s="1">
        <v>273</v>
      </c>
      <c r="J1734" s="1"/>
      <c r="M1734" s="15" t="s">
        <v>2424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X1734" s="15" t="str">
        <f>_xlfn.TEXTBEFORE(_xlfn.TEXTAFTER(CantoralDB[[#This Row],[index.html]],"&gt;"),"&gt;")&amp;"&gt;"</f>
        <v>&lt;a href="canciones/nuevas/ven_espiritu_santo.html"&gt;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2743</v>
      </c>
      <c r="C1735" s="1"/>
      <c r="F1735" s="1">
        <v>369</v>
      </c>
      <c r="J1735" s="1"/>
      <c r="M1735" s="15" t="s">
        <v>2746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35" s="1"/>
      <c r="U1735" s="1"/>
      <c r="V1735" s="15"/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X1735" s="15" t="str">
        <f>_xlfn.TEXTBEFORE(_xlfn.TEXTAFTER(CantoralDB[[#This Row],[index.html]],"&gt;"),"&gt;")&amp;"&gt;"</f>
        <v>&lt;a href="canciones/nuevas/en_la_tierra_habra.html"&gt;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2551</v>
      </c>
      <c r="C1736" s="1"/>
      <c r="F1736" s="1">
        <v>164</v>
      </c>
      <c r="J1736" s="1"/>
      <c r="M1736" s="15" t="s">
        <v>2552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36" s="1"/>
      <c r="U1736" s="1"/>
      <c r="V1736" s="15"/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X1736" s="15" t="str">
        <f>_xlfn.TEXTBEFORE(_xlfn.TEXTAFTER(CantoralDB[[#This Row],[index.html]],"&gt;"),"&gt;")&amp;"&gt;"</f>
        <v>&lt;a href="canciones/nuevas/aleluya_cristo_vivo_esta.html"&gt;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2161</v>
      </c>
      <c r="C1737" s="15"/>
      <c r="H1737" s="1" t="s">
        <v>530</v>
      </c>
      <c r="I1737" s="1" t="s">
        <v>2952</v>
      </c>
      <c r="J1737" s="1" t="s">
        <v>607</v>
      </c>
      <c r="M1737" s="15" t="s">
        <v>2175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737" s="15" t="str">
        <f>_xlfn.TEXTBEFORE(_xlfn.TEXTAFTER(CantoralDB[[#This Row],[index.html]],"&gt;"),"&gt;")&amp;"&gt;"</f>
        <v>&lt;a href="canciones/nuevas/haz_de_tu_casa_un_nazaret.html"&gt;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2473</v>
      </c>
      <c r="C1738" s="1"/>
      <c r="F1738" s="1">
        <v>90</v>
      </c>
      <c r="J1738" s="1"/>
      <c r="M1738" s="15" t="s">
        <v>2472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X1738" s="15" t="str">
        <f>_xlfn.TEXTBEFORE(_xlfn.TEXTAFTER(CantoralDB[[#This Row],[index.html]],"&gt;"),"&gt;")&amp;"&gt;"</f>
        <v>&lt;a href="canciones/nuevas/yo_os_dare_la_fuerza.html"&gt;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2159</v>
      </c>
      <c r="C1739" s="15"/>
      <c r="H1739" s="1" t="s">
        <v>530</v>
      </c>
      <c r="J1739" s="1" t="s">
        <v>607</v>
      </c>
      <c r="M1739" s="15" t="s">
        <v>572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739" s="1"/>
      <c r="U1739" s="1"/>
      <c r="V1739" s="15"/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739" s="15" t="str">
        <f>_xlfn.TEXTBEFORE(_xlfn.TEXTAFTER(CantoralDB[[#This Row],[index.html]],"&gt;"),"&gt;")&amp;"&gt;"</f>
        <v>&lt;a href="canciones/nuevas/estas_aqui_jesus.html"&gt;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2903</v>
      </c>
      <c r="C1740" s="1"/>
      <c r="F1740" s="1">
        <v>309</v>
      </c>
      <c r="H1740" s="1" t="s">
        <v>530</v>
      </c>
      <c r="J1740" s="1" t="s">
        <v>607</v>
      </c>
      <c r="M1740" s="15" t="s">
        <v>2660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X1740" s="15" t="str">
        <f>_xlfn.TEXTBEFORE(_xlfn.TEXTAFTER(CantoralDB[[#This Row],[index.html]],"&gt;"),"&gt;")&amp;"&gt;"</f>
        <v>&lt;a href="canciones/nuevas/abba_padre_(escuchame).html"&gt;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582</v>
      </c>
      <c r="C1741" s="1"/>
      <c r="F1741" s="1">
        <v>285</v>
      </c>
      <c r="H1741" s="1" t="s">
        <v>2960</v>
      </c>
      <c r="J1741" s="1" t="s">
        <v>607</v>
      </c>
      <c r="M1741" s="15" t="s">
        <v>2660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741" s="1"/>
      <c r="U1741" s="1"/>
      <c r="V1741" s="32" t="s">
        <v>4570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X1741" s="15" t="str">
        <f>_xlfn.TEXTBEFORE(_xlfn.TEXTAFTER(CantoralDB[[#This Row],[index.html]],"&gt;"),"&gt;")&amp;"&gt;"</f>
        <v>&lt;a href="canciones/nuevas/salve_regina.html"&gt;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2444</v>
      </c>
      <c r="C1742" s="1"/>
      <c r="F1742" s="1">
        <v>63</v>
      </c>
      <c r="J1742" s="1"/>
      <c r="M1742" s="15" t="s">
        <v>2445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742" s="1"/>
      <c r="U1742" s="1"/>
      <c r="V1742" s="32" t="s">
        <v>4533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X1742" s="15" t="str">
        <f>_xlfn.TEXTBEFORE(_xlfn.TEXTAFTER(CantoralDB[[#This Row],[index.html]],"&gt;"),"&gt;")&amp;"&gt;"</f>
        <v>&lt;a href="canciones/nuevas/hazme_instrumento.html"&gt;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2677</v>
      </c>
      <c r="C1743" s="1"/>
      <c r="F1743" s="1">
        <v>302</v>
      </c>
      <c r="J1743" s="1"/>
      <c r="M1743" s="15" t="s">
        <v>2678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743" s="1"/>
      <c r="U1743" s="1"/>
      <c r="V1743" s="32" t="s">
        <v>4461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X1743" s="15" t="str">
        <f>_xlfn.TEXTBEFORE(_xlfn.TEXTAFTER(CantoralDB[[#This Row],[index.html]],"&gt;"),"&gt;")&amp;"&gt;"</f>
        <v>&lt;a href="canciones/nuevas/dios_el_mas_grande.html"&gt;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2162</v>
      </c>
      <c r="C1744" s="15"/>
      <c r="F1744" s="1">
        <v>101</v>
      </c>
      <c r="H1744" s="1" t="s">
        <v>1026</v>
      </c>
      <c r="J1744" s="1" t="s">
        <v>607</v>
      </c>
      <c r="M1744" s="15" t="s">
        <v>2174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744" s="1"/>
      <c r="U1744" s="1"/>
      <c r="V1744" s="15"/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X1744" s="15" t="str">
        <f>_xlfn.TEXTBEFORE(_xlfn.TEXTAFTER(CantoralDB[[#This Row],[index.html]],"&gt;"),"&gt;")&amp;"&gt;"</f>
        <v>&lt;a href="canciones/nuevas/mas_de_ti_menos_de_mi.html"&gt;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2694</v>
      </c>
      <c r="C1745" s="1"/>
      <c r="F1745" s="1">
        <v>323</v>
      </c>
      <c r="J1745" s="1"/>
      <c r="M1745" s="15" t="s">
        <v>2695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X1745" s="15" t="str">
        <f>_xlfn.TEXTBEFORE(_xlfn.TEXTAFTER(CantoralDB[[#This Row],[index.html]],"&gt;"),"&gt;")&amp;"&gt;"</f>
        <v>&lt;a href="canciones/nuevas/padre_te_adoramos.html"&gt;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2802</v>
      </c>
      <c r="C1746" s="1"/>
      <c r="F1746" s="1">
        <v>416</v>
      </c>
      <c r="J1746" s="1"/>
      <c r="M1746" s="15" t="s">
        <v>2803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746" s="1"/>
      <c r="U1746" s="1"/>
      <c r="V1746" s="32" t="s">
        <v>4591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X1746" s="15" t="str">
        <f>_xlfn.TEXTBEFORE(_xlfn.TEXTAFTER(CantoralDB[[#This Row],[index.html]],"&gt;"),"&gt;")&amp;"&gt;"</f>
        <v>&lt;a href="canciones/nuevas/vengo_a_adorarte.html"&gt;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2778</v>
      </c>
      <c r="C1747" s="1"/>
      <c r="F1747" s="1">
        <v>396</v>
      </c>
      <c r="J1747" s="1"/>
      <c r="M1747" s="15" t="s">
        <v>2780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X1747" s="15" t="str">
        <f>_xlfn.TEXTBEFORE(_xlfn.TEXTAFTER(CantoralDB[[#This Row],[index.html]],"&gt;"),"&gt;")&amp;"&gt;"</f>
        <v>&lt;a href="canciones/nuevas/se_exalta_nuestro_dios.html"&gt;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2598</v>
      </c>
      <c r="C1748" s="1"/>
      <c r="F1748" s="1">
        <v>216</v>
      </c>
      <c r="J1748" s="1"/>
      <c r="M1748" s="15" t="s">
        <v>2599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748" s="1"/>
      <c r="U1748" s="1"/>
      <c r="V1748" s="32" t="s">
        <v>4515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X1748" s="15" t="str">
        <f>_xlfn.TEXTBEFORE(_xlfn.TEXTAFTER(CantoralDB[[#This Row],[index.html]],"&gt;"),"&gt;")&amp;"&gt;"</f>
        <v>&lt;a href="canciones/nuevas/tu_has_sido_fiel.html"&gt;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7</v>
      </c>
      <c r="C1749" s="1" t="s">
        <v>992</v>
      </c>
      <c r="D1749" s="1" t="s">
        <v>1031</v>
      </c>
      <c r="E1749" s="1">
        <v>402</v>
      </c>
      <c r="F1749" s="1">
        <v>124</v>
      </c>
      <c r="G1749" s="1" t="s">
        <v>215</v>
      </c>
      <c r="H1749" s="1" t="s">
        <v>1029</v>
      </c>
      <c r="J1749" s="1" t="s">
        <v>607</v>
      </c>
      <c r="M1749" s="15" t="s">
        <v>569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749" s="1"/>
      <c r="U1749" s="1"/>
      <c r="V1749" s="15"/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X1749" s="15" t="str">
        <f>_xlfn.TEXTBEFORE(_xlfn.TEXTAFTER(CantoralDB[[#This Row],[index.html]],"&gt;"),"&gt;")&amp;"&gt;"</f>
        <v>&lt;a href="canciones/pelayo_sanchez/abro_mi_ser.html"&gt;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2456</v>
      </c>
      <c r="C1750" s="1"/>
      <c r="F1750" s="1">
        <v>76</v>
      </c>
      <c r="J1750" s="1"/>
      <c r="M1750" s="15" t="s">
        <v>569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750" s="1"/>
      <c r="U1750" s="1"/>
      <c r="V1750" s="32" t="s">
        <v>4442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X1750" s="15" t="str">
        <f>_xlfn.TEXTBEFORE(_xlfn.TEXTAFTER(CantoralDB[[#This Row],[index.html]],"&gt;"),"&gt;")&amp;"&gt;"</f>
        <v>&lt;a href="canciones/pelayo_sanchez/avemaria.html"&gt;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26</v>
      </c>
      <c r="C1751" s="1" t="s">
        <v>218</v>
      </c>
      <c r="D1751" s="1" t="s">
        <v>1389</v>
      </c>
      <c r="E1751" s="1">
        <v>411</v>
      </c>
      <c r="F1751" s="1">
        <v>325</v>
      </c>
      <c r="G1751" s="1" t="s">
        <v>208</v>
      </c>
      <c r="H1751" s="1" t="s">
        <v>1028</v>
      </c>
      <c r="I1751" s="1" t="s">
        <v>2949</v>
      </c>
      <c r="J1751" s="1" t="s">
        <v>607</v>
      </c>
      <c r="M1751" s="15" t="s">
        <v>569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751" s="1" t="s">
        <v>807</v>
      </c>
      <c r="U1751" s="1"/>
      <c r="V1751" s="32" t="s">
        <v>4546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X1751" s="15" t="str">
        <f>_xlfn.TEXTBEFORE(_xlfn.TEXTAFTER(CantoralDB[[#This Row],[index.html]],"&gt;"),"&gt;")&amp;"&gt;"</f>
        <v>&lt;a href="canciones/pelayo_sanchez/bendigamos_al_señor.html"&gt;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2714</v>
      </c>
      <c r="C1752" s="1"/>
      <c r="F1752" s="1">
        <v>344</v>
      </c>
      <c r="J1752" s="1"/>
      <c r="M1752" s="15" t="s">
        <v>569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X1752" s="15" t="str">
        <f>_xlfn.TEXTBEFORE(_xlfn.TEXTAFTER(CantoralDB[[#This Row],[index.html]],"&gt;"),"&gt;")&amp;"&gt;"</f>
        <v>&lt;a href="canciones/pelayo_sanchez/desde_cualquier_rincon.html"&gt;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181</v>
      </c>
      <c r="C1753" s="1" t="s">
        <v>199</v>
      </c>
      <c r="D1753" s="1" t="s">
        <v>1419</v>
      </c>
      <c r="F1753" s="1">
        <v>108</v>
      </c>
      <c r="G1753" s="1" t="s">
        <v>208</v>
      </c>
      <c r="H1753" s="1" t="s">
        <v>530</v>
      </c>
      <c r="J1753" s="1" t="s">
        <v>607</v>
      </c>
      <c r="M1753" s="15" t="s">
        <v>569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753" s="1"/>
      <c r="U1753" s="1"/>
      <c r="V1753" s="15"/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X1753" s="15" t="str">
        <f>_xlfn.TEXTBEFORE(_xlfn.TEXTAFTER(CantoralDB[[#This Row],[index.html]],"&gt;"),"&gt;")&amp;"&gt;"</f>
        <v>&lt;a href="canciones/pelayo_sanchez/fuente_de_paz_y_fidelidad.html"&gt;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2488</v>
      </c>
      <c r="C1754" s="1"/>
      <c r="F1754" s="1">
        <v>107</v>
      </c>
      <c r="J1754" s="1"/>
      <c r="M1754" s="15" t="s">
        <v>569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754" s="1"/>
      <c r="U1754" s="1"/>
      <c r="V1754" s="32" t="s">
        <v>4539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X1754" s="15" t="str">
        <f>_xlfn.TEXTBEFORE(_xlfn.TEXTAFTER(CantoralDB[[#This Row],[index.html]],"&gt;"),"&gt;")&amp;"&gt;"</f>
        <v>&lt;a href="canciones/pelayo_sanchez/jesus_esta_en_ti.html"&gt;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2491</v>
      </c>
      <c r="C1755" s="1"/>
      <c r="F1755" s="1">
        <v>111</v>
      </c>
      <c r="J1755" s="1"/>
      <c r="M1755" s="15" t="s">
        <v>569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755" s="1"/>
      <c r="U1755" s="1"/>
      <c r="V1755" s="32" t="s">
        <v>4593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X1755" s="15" t="str">
        <f>_xlfn.TEXTBEFORE(_xlfn.TEXTAFTER(CantoralDB[[#This Row],[index.html]],"&gt;"),"&gt;")&amp;"&gt;"</f>
        <v>&lt;a href="canciones/pelayo_sanchez/mira_oh_dios.html"&gt;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140</v>
      </c>
      <c r="C1756" s="1" t="s">
        <v>192</v>
      </c>
      <c r="D1756" s="1" t="s">
        <v>1469</v>
      </c>
      <c r="F1756" s="1">
        <v>329</v>
      </c>
      <c r="G1756" s="1" t="s">
        <v>208</v>
      </c>
      <c r="H1756" s="1" t="s">
        <v>530</v>
      </c>
      <c r="J1756" s="1" t="s">
        <v>607</v>
      </c>
      <c r="M1756" s="15" t="s">
        <v>569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X1756" s="15" t="str">
        <f>_xlfn.TEXTBEFORE(_xlfn.TEXTAFTER(CantoralDB[[#This Row],[index.html]],"&gt;"),"&gt;")&amp;"&gt;"</f>
        <v>&lt;a href="canciones/pelayo_sanchez/te_damos_gracias_señor.html"&gt;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2664</v>
      </c>
      <c r="C1757" s="1"/>
      <c r="F1757" s="1">
        <v>290</v>
      </c>
      <c r="J1757" s="1"/>
      <c r="M1757" s="15" t="s">
        <v>569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757" s="1"/>
      <c r="U1757" s="1"/>
      <c r="V1757" s="32" t="s">
        <v>4544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X1757" s="15" t="str">
        <f>_xlfn.TEXTBEFORE(_xlfn.TEXTAFTER(CantoralDB[[#This Row],[index.html]],"&gt;"),"&gt;")&amp;"&gt;"</f>
        <v>&lt;a href="canciones/pelayo_sanchez/ved_a_cristo.html"&gt;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2687</v>
      </c>
      <c r="C1758" s="1"/>
      <c r="F1758" s="1">
        <v>313</v>
      </c>
      <c r="J1758" s="1"/>
      <c r="M1758" s="15" t="s">
        <v>569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758" s="1"/>
      <c r="U1758" s="1"/>
      <c r="V1758" s="32" t="s">
        <v>4454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X1758" s="15" t="str">
        <f>_xlfn.TEXTBEFORE(_xlfn.TEXTAFTER(CantoralDB[[#This Row],[index.html]],"&gt;"),"&gt;")&amp;"&gt;"</f>
        <v>&lt;a href="canciones/pelayo_sanchez/ven_a_cantar.html"&gt;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1155</v>
      </c>
      <c r="C1759" s="1"/>
      <c r="E1759" s="1">
        <v>5</v>
      </c>
      <c r="H1759" s="1" t="s">
        <v>472</v>
      </c>
      <c r="J1759" s="1" t="s">
        <v>607</v>
      </c>
      <c r="M1759" s="15" t="s">
        <v>2138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759" s="15" t="str">
        <f>_xlfn.TEXTBEFORE(_xlfn.TEXTAFTER(CantoralDB[[#This Row],[index.html]],"&gt;"),"&gt;")&amp;"&gt;"</f>
        <v>&lt;a href="canciones/perpetuo_socorro/abrid_de_par_en_par.html"&gt;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2878</v>
      </c>
      <c r="C1760" s="1"/>
      <c r="E1760" s="1">
        <v>7</v>
      </c>
      <c r="H1760" s="1" t="s">
        <v>1027</v>
      </c>
      <c r="J1760" s="1" t="s">
        <v>607</v>
      </c>
      <c r="M1760" s="15" t="s">
        <v>2138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760" s="15" t="str">
        <f>_xlfn.TEXTBEFORE(_xlfn.TEXTAFTER(CantoralDB[[#This Row],[index.html]],"&gt;"),"&gt;")&amp;"&gt;"</f>
        <v>&lt;a href="canciones/perpetuo_socorro/amaras_al_señor_tu_dios.html"&gt;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1249</v>
      </c>
      <c r="C1761" s="1"/>
      <c r="E1761" s="1">
        <v>112</v>
      </c>
      <c r="J1761" s="1"/>
      <c r="M1761" s="15" t="s">
        <v>2138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761" s="1"/>
      <c r="U1761" s="1"/>
      <c r="V1761" s="15"/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761" s="15" t="str">
        <f>_xlfn.TEXTBEFORE(_xlfn.TEXTAFTER(CantoralDB[[#This Row],[index.html]],"&gt;"),"&gt;")&amp;"&gt;"</f>
        <v>&lt;a href="canciones/perpetuo_socorro/escuchad_escuchad.html"&gt;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107</v>
      </c>
      <c r="C1762" s="1" t="s">
        <v>197</v>
      </c>
      <c r="D1762" s="1" t="s">
        <v>1448</v>
      </c>
      <c r="E1762" s="1">
        <v>195</v>
      </c>
      <c r="F1762" s="1">
        <v>5</v>
      </c>
      <c r="G1762" s="1" t="s">
        <v>208</v>
      </c>
      <c r="H1762" s="1" t="s">
        <v>1029</v>
      </c>
      <c r="J1762" s="1" t="s">
        <v>607</v>
      </c>
      <c r="M1762" s="15" t="s">
        <v>2138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762" s="1"/>
      <c r="U1762" s="1"/>
      <c r="V1762" s="32" t="s">
        <v>4551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X1762" s="15" t="str">
        <f>_xlfn.TEXTBEFORE(_xlfn.TEXTAFTER(CantoralDB[[#This Row],[index.html]],"&gt;"),"&gt;")&amp;"&gt;"</f>
        <v>&lt;a href="canciones/perpetuo_socorro/padre_unenos.html"&gt;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1314</v>
      </c>
      <c r="C1763" s="1"/>
      <c r="E1763" s="1">
        <v>230</v>
      </c>
      <c r="H1763" s="1" t="s">
        <v>1029</v>
      </c>
      <c r="J1763" s="1" t="s">
        <v>607</v>
      </c>
      <c r="M1763" s="15" t="s">
        <v>2138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763" s="15" t="str">
        <f>_xlfn.TEXTBEFORE(_xlfn.TEXTAFTER(CantoralDB[[#This Row],[index.html]],"&gt;"),"&gt;")&amp;"&gt;"</f>
        <v>&lt;a href="canciones/perpetuo_socorro/señor_guiame_por_el_sendero.html"&gt;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1334</v>
      </c>
      <c r="C1764" s="1"/>
      <c r="E1764" s="1">
        <v>263</v>
      </c>
      <c r="H1764" s="1" t="s">
        <v>1029</v>
      </c>
      <c r="J1764" s="1" t="s">
        <v>607</v>
      </c>
      <c r="M1764" s="15" t="s">
        <v>2138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764" s="1"/>
      <c r="U1764" s="1"/>
      <c r="V1764" s="15"/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764" s="15" t="str">
        <f>_xlfn.TEXTBEFORE(_xlfn.TEXTAFTER(CantoralDB[[#This Row],[index.html]],"&gt;"),"&gt;")&amp;"&gt;"</f>
        <v>&lt;a href="canciones/perpetuo_socorro/todavia_cantamos.html"&gt;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1180</v>
      </c>
      <c r="C1765" s="1"/>
      <c r="E1765" s="1">
        <v>53</v>
      </c>
      <c r="H1765" s="1" t="s">
        <v>530</v>
      </c>
      <c r="J1765" s="1" t="s">
        <v>607</v>
      </c>
      <c r="M1765" s="15" t="s">
        <v>508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765" s="1"/>
      <c r="U1765" s="1"/>
      <c r="V1765" s="15"/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765" s="15" t="str">
        <f>_xlfn.TEXTBEFORE(_xlfn.TEXTAFTER(CantoralDB[[#This Row],[index.html]],"&gt;"),"&gt;")&amp;"&gt;"</f>
        <v>&lt;a href="canciones/ricardo_cantalapiedra/como_le_cantare_al_señor.html"&gt;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1172</v>
      </c>
      <c r="C1766" s="1"/>
      <c r="E1766" s="1">
        <v>37</v>
      </c>
      <c r="H1766" s="1" t="s">
        <v>1027</v>
      </c>
      <c r="J1766" s="1" t="s">
        <v>607</v>
      </c>
      <c r="M1766" s="15" t="s">
        <v>508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766" s="15" t="str">
        <f>_xlfn.TEXTBEFORE(_xlfn.TEXTAFTER(CantoralDB[[#This Row],[index.html]],"&gt;"),"&gt;")&amp;"&gt;"</f>
        <v>&lt;a href="canciones/ricardo_cantalapiedra/con_su_muerte_nos_justificara.html"&gt;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1201</v>
      </c>
      <c r="C1767" s="1"/>
      <c r="E1767" s="1">
        <v>78</v>
      </c>
      <c r="H1767" s="1" t="s">
        <v>1026</v>
      </c>
      <c r="J1767" s="1" t="s">
        <v>607</v>
      </c>
      <c r="M1767" s="15" t="s">
        <v>508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767" s="1"/>
      <c r="U1767" s="1"/>
      <c r="V1767" s="15"/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767" s="15" t="str">
        <f>_xlfn.TEXTBEFORE(_xlfn.TEXTAFTER(CantoralDB[[#This Row],[index.html]],"&gt;"),"&gt;")&amp;"&gt;"</f>
        <v>&lt;a href="canciones/ricardo_cantalapiedra/donde_hay_amor_alli_esta_dios.html"&gt;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1200</v>
      </c>
      <c r="C1768" s="1"/>
      <c r="E1768" s="1">
        <v>76</v>
      </c>
      <c r="H1768" s="1" t="s">
        <v>530</v>
      </c>
      <c r="I1768" s="1" t="s">
        <v>2952</v>
      </c>
      <c r="J1768" s="1" t="s">
        <v>607</v>
      </c>
      <c r="M1768" s="15" t="s">
        <v>508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768" s="15" t="str">
        <f>_xlfn.TEXTBEFORE(_xlfn.TEXTAFTER(CantoralDB[[#This Row],[index.html]],"&gt;"),"&gt;")&amp;"&gt;"</f>
        <v>&lt;a href="canciones/ricardo_cantalapiedra/donde_tu_dices_ley.html"&gt;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1282</v>
      </c>
      <c r="C1769" s="1"/>
      <c r="E1769" s="1">
        <v>172</v>
      </c>
      <c r="H1769" s="1" t="s">
        <v>1029</v>
      </c>
      <c r="J1769" s="1" t="s">
        <v>607</v>
      </c>
      <c r="M1769" s="15" t="s">
        <v>508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769" s="15" t="str">
        <f>_xlfn.TEXTBEFORE(_xlfn.TEXTAFTER(CantoralDB[[#This Row],[index.html]],"&gt;"),"&gt;")&amp;"&gt;"</f>
        <v>&lt;a href="canciones/ricardo_cantalapiedra/no_queremos_a_los_grandes_palabreros.html"&gt;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1295</v>
      </c>
      <c r="C1770" s="1"/>
      <c r="E1770" s="1">
        <v>188</v>
      </c>
      <c r="H1770" s="1" t="s">
        <v>530</v>
      </c>
      <c r="J1770" s="1" t="s">
        <v>607</v>
      </c>
      <c r="M1770" s="15" t="s">
        <v>508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770" s="15" t="str">
        <f>_xlfn.TEXTBEFORE(_xlfn.TEXTAFTER(CantoralDB[[#This Row],[index.html]],"&gt;"),"&gt;")&amp;"&gt;"</f>
        <v>&lt;a href="canciones/ricardo_cantalapiedra/oh_dios_por_que_nos_has_abandonado.html"&gt;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104</v>
      </c>
      <c r="C1771" s="1" t="s">
        <v>200</v>
      </c>
      <c r="D1771" s="1" t="s">
        <v>669</v>
      </c>
      <c r="E1771" s="1">
        <v>192</v>
      </c>
      <c r="G1771" s="1" t="s">
        <v>208</v>
      </c>
      <c r="H1771" s="1" t="s">
        <v>530</v>
      </c>
      <c r="I1771" s="1" t="s">
        <v>2952</v>
      </c>
      <c r="J1771" s="1" t="s">
        <v>607</v>
      </c>
      <c r="M1771" s="15" t="s">
        <v>508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771" s="1" t="s">
        <v>850</v>
      </c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771" s="15" t="str">
        <f>_xlfn.TEXTBEFORE(_xlfn.TEXTAFTER(CantoralDB[[#This Row],[index.html]],"&gt;"),"&gt;")&amp;"&gt;"</f>
        <v>&lt;a href="canciones/ricardo_cantalapiedra/os_doy_un_mandato_nuevo.html"&gt;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116</v>
      </c>
      <c r="C1772" s="1" t="s">
        <v>992</v>
      </c>
      <c r="D1772" s="1" t="s">
        <v>728</v>
      </c>
      <c r="E1772" s="1">
        <v>202</v>
      </c>
      <c r="G1772" s="1" t="s">
        <v>208</v>
      </c>
      <c r="H1772" s="1" t="s">
        <v>530</v>
      </c>
      <c r="J1772" s="1" t="s">
        <v>607</v>
      </c>
      <c r="M1772" s="15" t="s">
        <v>508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772" s="15" t="str">
        <f>_xlfn.TEXTBEFORE(_xlfn.TEXTAFTER(CantoralDB[[#This Row],[index.html]],"&gt;"),"&gt;")&amp;"&gt;"</f>
        <v>&lt;a href="canciones/ricardo_cantalapiedra/protegeme_dios_mio.html"&gt;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117</v>
      </c>
      <c r="C1773" s="1" t="s">
        <v>992</v>
      </c>
      <c r="D1773" s="1" t="s">
        <v>993</v>
      </c>
      <c r="E1773" s="1">
        <v>205</v>
      </c>
      <c r="G1773" s="1" t="s">
        <v>208</v>
      </c>
      <c r="H1773" s="1" t="s">
        <v>530</v>
      </c>
      <c r="I1773" s="1" t="s">
        <v>2949</v>
      </c>
      <c r="J1773" s="1" t="s">
        <v>607</v>
      </c>
      <c r="M1773" s="15" t="s">
        <v>508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773" s="1" t="s">
        <v>855</v>
      </c>
      <c r="U1773" s="1"/>
      <c r="V1773" s="32" t="s">
        <v>3005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773" s="15" t="str">
        <f>_xlfn.TEXTBEFORE(_xlfn.TEXTAFTER(CantoralDB[[#This Row],[index.html]],"&gt;"),"&gt;")&amp;"&gt;"</f>
        <v>&lt;a href="canciones/ricardo_cantalapiedra/pueblo_mio.html"&gt;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1313</v>
      </c>
      <c r="C1774" s="1"/>
      <c r="E1774" s="1">
        <v>229</v>
      </c>
      <c r="J1774" s="1"/>
      <c r="M1774" s="15" t="s">
        <v>508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774" s="1"/>
      <c r="U1774" s="1"/>
      <c r="V1774" s="15"/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774" s="15" t="str">
        <f>_xlfn.TEXTBEFORE(_xlfn.TEXTAFTER(CantoralDB[[#This Row],[index.html]],"&gt;"),"&gt;")&amp;"&gt;"</f>
        <v>&lt;a href="canciones/ricardo_cantalapiedra/si_no_encuentro_la_alegria.html"&gt;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141</v>
      </c>
      <c r="C1775" s="1" t="s">
        <v>200</v>
      </c>
      <c r="D1775" s="1" t="s">
        <v>673</v>
      </c>
      <c r="E1775" s="1">
        <v>257</v>
      </c>
      <c r="G1775" s="1" t="s">
        <v>208</v>
      </c>
      <c r="H1775" s="1" t="s">
        <v>530</v>
      </c>
      <c r="J1775" s="1" t="s">
        <v>607</v>
      </c>
      <c r="M1775" s="15" t="s">
        <v>508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775" s="1" t="s">
        <v>861</v>
      </c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775" s="15" t="str">
        <f>_xlfn.TEXTBEFORE(_xlfn.TEXTAFTER(CantoralDB[[#This Row],[index.html]],"&gt;"),"&gt;")&amp;"&gt;"</f>
        <v>&lt;a href="canciones/ricardo_cantalapiedra/te_ensalzare_señor.html"&gt;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1349</v>
      </c>
      <c r="C1776" s="1"/>
      <c r="E1776" s="1">
        <v>295</v>
      </c>
      <c r="H1776" s="1" t="s">
        <v>1029</v>
      </c>
      <c r="J1776" s="1" t="s">
        <v>607</v>
      </c>
      <c r="M1776" s="15" t="s">
        <v>508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776" s="1"/>
      <c r="U1776" s="1"/>
      <c r="V1776" s="15"/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776" s="15" t="str">
        <f>_xlfn.TEXTBEFORE(_xlfn.TEXTAFTER(CantoralDB[[#This Row],[index.html]],"&gt;"),"&gt;")&amp;"&gt;"</f>
        <v>&lt;a href="canciones/ricardo_cantalapiedra/yo_volvere_a_cantar.html"&gt;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2676</v>
      </c>
      <c r="C1777" s="1"/>
      <c r="F1777" s="1">
        <v>300</v>
      </c>
      <c r="J1777" s="1"/>
      <c r="M1777" s="15" t="s">
        <v>2494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777" s="1"/>
      <c r="U1777" s="1"/>
      <c r="V1777" s="32" t="s">
        <v>4465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X1777" s="15" t="str">
        <f>_xlfn.TEXTBEFORE(_xlfn.TEXTAFTER(CantoralDB[[#This Row],[index.html]],"&gt;"),"&gt;")&amp;"&gt;"</f>
        <v>&lt;a href="canciones/rosa_cruz/al_nombre_de_jesus.html"&gt;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2596</v>
      </c>
      <c r="C1778" s="1"/>
      <c r="F1778" s="1">
        <v>212</v>
      </c>
      <c r="J1778" s="1"/>
      <c r="M1778" s="15" t="s">
        <v>2494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778" s="1"/>
      <c r="U1778" s="1"/>
      <c r="V1778" s="32" t="s">
        <v>4468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X1778" s="15" t="str">
        <f>_xlfn.TEXTBEFORE(_xlfn.TEXTAFTER(CantoralDB[[#This Row],[index.html]],"&gt;"),"&gt;")&amp;"&gt;"</f>
        <v>&lt;a href="canciones/rosa_cruz/anunciamos_con_poder.html"&gt;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2794</v>
      </c>
      <c r="C1779" s="1"/>
      <c r="F1779" s="1">
        <v>409</v>
      </c>
      <c r="J1779" s="1"/>
      <c r="M1779" s="15" t="s">
        <v>2494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779" s="1"/>
      <c r="U1779" s="1"/>
      <c r="V1779" s="32" t="s">
        <v>4534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X1779" s="15" t="str">
        <f>_xlfn.TEXTBEFORE(_xlfn.TEXTAFTER(CantoralDB[[#This Row],[index.html]],"&gt;"),"&gt;")&amp;"&gt;"</f>
        <v>&lt;a href="canciones/rosa_cruz/como_un_niño.html"&gt;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2627</v>
      </c>
      <c r="C1780" s="1"/>
      <c r="F1780" s="1">
        <v>251</v>
      </c>
      <c r="J1780" s="1"/>
      <c r="M1780" s="15" t="s">
        <v>2494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780" s="1"/>
      <c r="U1780" s="1"/>
      <c r="V1780" s="32" t="s">
        <v>4536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X1780" s="15" t="str">
        <f>_xlfn.TEXTBEFORE(_xlfn.TEXTAFTER(CantoralDB[[#This Row],[index.html]],"&gt;"),"&gt;")&amp;"&gt;"</f>
        <v>&lt;a href="canciones/rosa_cruz/cuida_de_mi.html"&gt;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2540</v>
      </c>
      <c r="C1781" s="1"/>
      <c r="F1781" s="1">
        <v>154</v>
      </c>
      <c r="J1781" s="1"/>
      <c r="M1781" s="15" t="s">
        <v>2494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781" s="1"/>
      <c r="U1781" s="1"/>
      <c r="V1781" s="15"/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X1781" s="15" t="str">
        <f>_xlfn.TEXTBEFORE(_xlfn.TEXTAFTER(CantoralDB[[#This Row],[index.html]],"&gt;"),"&gt;")&amp;"&gt;"</f>
        <v>&lt;a href="canciones/rosa_cruz/el_tren.html"&gt;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2641</v>
      </c>
      <c r="C1782" s="1"/>
      <c r="F1782" s="1">
        <v>266</v>
      </c>
      <c r="J1782" s="1"/>
      <c r="M1782" s="15" t="s">
        <v>2494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X1782" s="15" t="str">
        <f>_xlfn.TEXTBEFORE(_xlfn.TEXTAFTER(CantoralDB[[#This Row],[index.html]],"&gt;"),"&gt;")&amp;"&gt;"</f>
        <v>&lt;a href="canciones/rosa_cruz/en_ti_esta_la_fuente_de_la_vida.html"&gt;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2623</v>
      </c>
      <c r="C1783" s="1"/>
      <c r="F1783" s="1">
        <v>246</v>
      </c>
      <c r="J1783" s="1"/>
      <c r="M1783" s="15" t="s">
        <v>2494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783" s="1"/>
      <c r="U1783" s="1"/>
      <c r="V1783" s="15"/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X1783" s="15" t="str">
        <f>_xlfn.TEXTBEFORE(_xlfn.TEXTAFTER(CantoralDB[[#This Row],[index.html]],"&gt;"),"&gt;")&amp;"&gt;"</f>
        <v>&lt;a href="canciones/rosa_cruz/lo_mas_valioso.html"&gt;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2752</v>
      </c>
      <c r="C1784" s="1"/>
      <c r="F1784" s="1">
        <v>376</v>
      </c>
      <c r="J1784" s="1"/>
      <c r="M1784" s="15" t="s">
        <v>2494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X1784" s="15" t="str">
        <f>_xlfn.TEXTBEFORE(_xlfn.TEXTAFTER(CantoralDB[[#This Row],[index.html]],"&gt;"),"&gt;")&amp;"&gt;"</f>
        <v>&lt;a href="canciones/rosa_cruz/no_tengo_señor_alabanza.html"&gt;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2493</v>
      </c>
      <c r="C1785" s="1"/>
      <c r="F1785" s="1">
        <v>115</v>
      </c>
      <c r="J1785" s="1"/>
      <c r="M1785" s="15" t="s">
        <v>2494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X1785" s="15" t="str">
        <f>_xlfn.TEXTBEFORE(_xlfn.TEXTAFTER(CantoralDB[[#This Row],[index.html]],"&gt;"),"&gt;")&amp;"&gt;"</f>
        <v>&lt;a href="canciones/rosa_cruz/paz_a_vosotros.html"&gt;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2711</v>
      </c>
      <c r="C1786" s="1"/>
      <c r="F1786" s="1">
        <v>341</v>
      </c>
      <c r="J1786" s="1"/>
      <c r="M1786" s="15" t="s">
        <v>2494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786" s="1"/>
      <c r="U1786" s="1"/>
      <c r="V1786" s="32" t="s">
        <v>4446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X1786" s="15" t="str">
        <f>_xlfn.TEXTBEFORE(_xlfn.TEXTAFTER(CantoralDB[[#This Row],[index.html]],"&gt;"),"&gt;")&amp;"&gt;"</f>
        <v>&lt;a href="canciones/rosa_cruz/saname_ahora.html"&gt;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2662</v>
      </c>
      <c r="C1787" s="1"/>
      <c r="F1787" s="1">
        <v>288</v>
      </c>
      <c r="J1787" s="1"/>
      <c r="M1787" s="15" t="s">
        <v>2494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X1787" s="15" t="str">
        <f>_xlfn.TEXTBEFORE(_xlfn.TEXTAFTER(CantoralDB[[#This Row],[index.html]],"&gt;"),"&gt;")&amp;"&gt;"</f>
        <v>&lt;a href="canciones/rosa_cruz/yo_abrire_una_puerta.html"&gt;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2666</v>
      </c>
      <c r="C1788" s="1"/>
      <c r="F1788" s="1">
        <v>292</v>
      </c>
      <c r="J1788" s="1"/>
      <c r="M1788" s="15" t="s">
        <v>2494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788" s="1"/>
      <c r="U1788" s="1"/>
      <c r="V1788" s="32" t="s">
        <v>4583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X1788" s="15" t="str">
        <f>_xlfn.TEXTBEFORE(_xlfn.TEXTAFTER(CantoralDB[[#This Row],[index.html]],"&gt;"),"&gt;")&amp;"&gt;"</f>
        <v>&lt;a href="canciones/rosa_cruz/zarza_ardiente.html"&gt;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1864</v>
      </c>
      <c r="C1789" s="1"/>
      <c r="H1789" s="1" t="s">
        <v>530</v>
      </c>
      <c r="J1789" s="1" t="s">
        <v>607</v>
      </c>
      <c r="M1789" s="15" t="s">
        <v>1756</v>
      </c>
      <c r="N1789" s="1" t="s">
        <v>1900</v>
      </c>
      <c r="O1789" s="15">
        <v>1</v>
      </c>
      <c r="P1789" s="15">
        <v>2014</v>
      </c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789" s="1"/>
      <c r="U1789" s="1"/>
      <c r="V1789" s="32" t="s">
        <v>3981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789" s="15" t="str">
        <f>_xlfn.TEXTBEFORE(_xlfn.TEXTAFTER(CantoralDB[[#This Row],[index.html]],"&gt;"),"&gt;")&amp;"&gt;"</f>
        <v>&lt;a href="canciones/ruah/adentrate.html"&gt;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1865</v>
      </c>
      <c r="C1790" s="1"/>
      <c r="H1790" s="1" t="s">
        <v>472</v>
      </c>
      <c r="J1790" s="1" t="s">
        <v>607</v>
      </c>
      <c r="M1790" s="15" t="s">
        <v>1756</v>
      </c>
      <c r="N1790" s="1" t="s">
        <v>1900</v>
      </c>
      <c r="O1790" s="15">
        <v>2</v>
      </c>
      <c r="P1790" s="15">
        <v>2014</v>
      </c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790" s="1"/>
      <c r="U1790" s="1"/>
      <c r="V1790" s="32" t="s">
        <v>3980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790" s="15" t="str">
        <f>_xlfn.TEXTBEFORE(_xlfn.TEXTAFTER(CantoralDB[[#This Row],[index.html]],"&gt;"),"&gt;")&amp;"&gt;"</f>
        <v>&lt;a href="canciones/ruah/pedid_y_se_os_dara.html"&gt;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1866</v>
      </c>
      <c r="C1791" s="1"/>
      <c r="H1791" s="1" t="s">
        <v>530</v>
      </c>
      <c r="J1791" s="1" t="s">
        <v>607</v>
      </c>
      <c r="M1791" s="15" t="s">
        <v>1756</v>
      </c>
      <c r="N1791" s="1" t="s">
        <v>1900</v>
      </c>
      <c r="O1791" s="15">
        <v>3</v>
      </c>
      <c r="P1791" s="15">
        <v>2014</v>
      </c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791" s="1"/>
      <c r="U1791" s="1"/>
      <c r="V1791" s="32" t="s">
        <v>3979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791" s="15" t="str">
        <f>_xlfn.TEXTBEFORE(_xlfn.TEXTAFTER(CantoralDB[[#This Row],[index.html]],"&gt;"),"&gt;")&amp;"&gt;"</f>
        <v>&lt;a href="canciones/ruah/cada_mañana.html"&gt;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1867</v>
      </c>
      <c r="C1792" s="1"/>
      <c r="H1792" s="1" t="s">
        <v>1026</v>
      </c>
      <c r="J1792" s="1" t="s">
        <v>607</v>
      </c>
      <c r="M1792" s="15" t="s">
        <v>1756</v>
      </c>
      <c r="N1792" s="1" t="s">
        <v>1900</v>
      </c>
      <c r="O1792" s="15">
        <v>4</v>
      </c>
      <c r="P1792" s="15">
        <v>2014</v>
      </c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792" s="15" t="str">
        <f>_xlfn.TEXTBEFORE(_xlfn.TEXTAFTER(CantoralDB[[#This Row],[index.html]],"&gt;"),"&gt;")&amp;"&gt;"</f>
        <v>&lt;a href="canciones/ruah/fija_en_ti.html"&gt;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1868</v>
      </c>
      <c r="C1793" s="1"/>
      <c r="H1793" s="1" t="s">
        <v>530</v>
      </c>
      <c r="J1793" s="1" t="s">
        <v>607</v>
      </c>
      <c r="M1793" s="15" t="s">
        <v>1756</v>
      </c>
      <c r="N1793" s="1" t="s">
        <v>1900</v>
      </c>
      <c r="O1793" s="15">
        <v>5</v>
      </c>
      <c r="P1793" s="15">
        <v>2014</v>
      </c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793" s="15" t="str">
        <f>_xlfn.TEXTBEFORE(_xlfn.TEXTAFTER(CantoralDB[[#This Row],[index.html]],"&gt;"),"&gt;")&amp;"&gt;"</f>
        <v>&lt;a href="canciones/ruah/tu_y_no_yo.html"&gt;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1538</v>
      </c>
      <c r="C1794" s="1"/>
      <c r="H1794" s="1" t="s">
        <v>1026</v>
      </c>
      <c r="J1794" s="1" t="s">
        <v>607</v>
      </c>
      <c r="M1794" s="15" t="s">
        <v>1756</v>
      </c>
      <c r="N1794" s="1" t="s">
        <v>1900</v>
      </c>
      <c r="O1794" s="15">
        <v>6</v>
      </c>
      <c r="P1794" s="15">
        <v>2014</v>
      </c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794" s="15" t="str">
        <f>_xlfn.TEXTBEFORE(_xlfn.TEXTAFTER(CantoralDB[[#This Row],[index.html]],"&gt;"),"&gt;")&amp;"&gt;"</f>
        <v>&lt;a href="canciones/ruah/tu_me_sondeas.html"&gt;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1869</v>
      </c>
      <c r="C1795" s="1"/>
      <c r="H1795" s="1" t="s">
        <v>1029</v>
      </c>
      <c r="J1795" s="1" t="s">
        <v>607</v>
      </c>
      <c r="M1795" s="15" t="s">
        <v>1756</v>
      </c>
      <c r="N1795" s="1" t="s">
        <v>1900</v>
      </c>
      <c r="O1795" s="15">
        <v>7</v>
      </c>
      <c r="P1795" s="15">
        <v>2014</v>
      </c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795" s="15" t="str">
        <f>_xlfn.TEXTBEFORE(_xlfn.TEXTAFTER(CantoralDB[[#This Row],[index.html]],"&gt;"),"&gt;")&amp;"&gt;"</f>
        <v>&lt;a href="canciones/ruah/ten_compasion.html"&gt;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1870</v>
      </c>
      <c r="C1796" s="1"/>
      <c r="H1796" s="1" t="s">
        <v>530</v>
      </c>
      <c r="J1796" s="1" t="s">
        <v>607</v>
      </c>
      <c r="M1796" s="15" t="s">
        <v>1756</v>
      </c>
      <c r="N1796" s="1" t="s">
        <v>1900</v>
      </c>
      <c r="O1796" s="15">
        <v>8</v>
      </c>
      <c r="P1796" s="15">
        <v>2014</v>
      </c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796" s="1"/>
      <c r="U1796" s="1"/>
      <c r="V1796" s="32" t="s">
        <v>3977</v>
      </c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796" s="15" t="str">
        <f>_xlfn.TEXTBEFORE(_xlfn.TEXTAFTER(CantoralDB[[#This Row],[index.html]],"&gt;"),"&gt;")&amp;"&gt;"</f>
        <v>&lt;a href="canciones/ruah/a_fuego.html"&gt;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1871</v>
      </c>
      <c r="C1797" s="1"/>
      <c r="H1797" s="1" t="s">
        <v>530</v>
      </c>
      <c r="J1797" s="1" t="s">
        <v>607</v>
      </c>
      <c r="M1797" s="15" t="s">
        <v>1756</v>
      </c>
      <c r="N1797" s="1" t="s">
        <v>1900</v>
      </c>
      <c r="O1797" s="15">
        <v>9</v>
      </c>
      <c r="P1797" s="15">
        <v>2014</v>
      </c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797" s="15" t="str">
        <f>_xlfn.TEXTBEFORE(_xlfn.TEXTAFTER(CantoralDB[[#This Row],[index.html]],"&gt;"),"&gt;")&amp;"&gt;"</f>
        <v>&lt;a href="canciones/ruah/aprendiendo.html"&gt;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1872</v>
      </c>
      <c r="C1798" s="1"/>
      <c r="H1798" s="1" t="s">
        <v>530</v>
      </c>
      <c r="J1798" s="1" t="s">
        <v>607</v>
      </c>
      <c r="M1798" s="15" t="s">
        <v>1756</v>
      </c>
      <c r="N1798" s="1" t="s">
        <v>1900</v>
      </c>
      <c r="O1798" s="15">
        <v>10</v>
      </c>
      <c r="P1798" s="15">
        <v>2014</v>
      </c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798" s="1"/>
      <c r="U1798" s="1"/>
      <c r="V1798" s="15"/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798" s="15" t="str">
        <f>_xlfn.TEXTBEFORE(_xlfn.TEXTAFTER(CantoralDB[[#This Row],[index.html]],"&gt;"),"&gt;")&amp;"&gt;"</f>
        <v>&lt;a href="canciones/ruah/alianza.html"&gt;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1873</v>
      </c>
      <c r="C1799" s="1"/>
      <c r="H1799" s="1" t="s">
        <v>1026</v>
      </c>
      <c r="J1799" s="1" t="s">
        <v>607</v>
      </c>
      <c r="M1799" s="15" t="s">
        <v>1756</v>
      </c>
      <c r="N1799" s="1" t="s">
        <v>1900</v>
      </c>
      <c r="O1799" s="15">
        <v>11</v>
      </c>
      <c r="P1799" s="15">
        <v>2014</v>
      </c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799" s="15" t="str">
        <f>_xlfn.TEXTBEFORE(_xlfn.TEXTAFTER(CantoralDB[[#This Row],[index.html]],"&gt;"),"&gt;")&amp;"&gt;"</f>
        <v>&lt;a href="canciones/ruah/gracias.html"&gt;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1916</v>
      </c>
      <c r="C1800" s="1"/>
      <c r="H1800" s="1" t="s">
        <v>472</v>
      </c>
      <c r="J1800" s="1" t="s">
        <v>607</v>
      </c>
      <c r="M1800" s="15" t="s">
        <v>1756</v>
      </c>
      <c r="N1800" s="1" t="s">
        <v>1900</v>
      </c>
      <c r="O1800" s="15">
        <v>12</v>
      </c>
      <c r="P1800" s="15">
        <v>2014</v>
      </c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00" s="1"/>
      <c r="U1800" s="1"/>
      <c r="V1800" s="15"/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00" s="15" t="str">
        <f>_xlfn.TEXTBEFORE(_xlfn.TEXTAFTER(CantoralDB[[#This Row],[index.html]],"&gt;"),"&gt;")&amp;"&gt;"</f>
        <v>&lt;a href="canciones/ruah/dios_de_la_historia.html"&gt;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1771</v>
      </c>
      <c r="C1801" s="1"/>
      <c r="H1801" s="1" t="s">
        <v>530</v>
      </c>
      <c r="J1801" s="1" t="s">
        <v>607</v>
      </c>
      <c r="M1801" s="15" t="s">
        <v>1756</v>
      </c>
      <c r="N1801" s="1" t="s">
        <v>1900</v>
      </c>
      <c r="O1801" s="15">
        <v>13</v>
      </c>
      <c r="P1801" s="15">
        <v>2014</v>
      </c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01" s="15" t="str">
        <f>_xlfn.TEXTBEFORE(_xlfn.TEXTAFTER(CantoralDB[[#This Row],[index.html]],"&gt;"),"&gt;")&amp;"&gt;"</f>
        <v>&lt;a href="canciones/ruah/para_estar_contigo.html"&gt;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2020</v>
      </c>
      <c r="C1802" s="1"/>
      <c r="H1802" s="1" t="s">
        <v>530</v>
      </c>
      <c r="J1802" s="1" t="s">
        <v>607</v>
      </c>
      <c r="M1802" s="15" t="s">
        <v>1756</v>
      </c>
      <c r="N1802" s="1" t="s">
        <v>1900</v>
      </c>
      <c r="O1802" s="15">
        <v>14</v>
      </c>
      <c r="P1802" s="15">
        <v>2014</v>
      </c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02" s="15" t="str">
        <f>_xlfn.TEXTBEFORE(_xlfn.TEXTAFTER(CantoralDB[[#This Row],[index.html]],"&gt;"),"&gt;")&amp;"&gt;"</f>
        <v>&lt;a href="canciones/ruah/no_lo_notais.html"&gt;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1874</v>
      </c>
      <c r="C1803" s="1"/>
      <c r="H1803" s="1" t="s">
        <v>530</v>
      </c>
      <c r="J1803" s="1" t="s">
        <v>607</v>
      </c>
      <c r="M1803" s="15" t="s">
        <v>1756</v>
      </c>
      <c r="N1803" s="1" t="s">
        <v>1900</v>
      </c>
      <c r="O1803" s="15">
        <v>15</v>
      </c>
      <c r="P1803" s="15">
        <v>2014</v>
      </c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03" s="1"/>
      <c r="U1803" s="1"/>
      <c r="V1803" s="32" t="s">
        <v>3978</v>
      </c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03" s="15" t="str">
        <f>_xlfn.TEXTBEFORE(_xlfn.TEXTAFTER(CantoralDB[[#This Row],[index.html]],"&gt;"),"&gt;")&amp;"&gt;"</f>
        <v>&lt;a href="canciones/ruah/mirame.html"&gt;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1854</v>
      </c>
      <c r="C1804" s="1"/>
      <c r="H1804" s="1" t="s">
        <v>530</v>
      </c>
      <c r="J1804" s="1" t="s">
        <v>607</v>
      </c>
      <c r="M1804" s="15" t="s">
        <v>1756</v>
      </c>
      <c r="N1804" s="1" t="s">
        <v>1899</v>
      </c>
      <c r="O1804" s="15">
        <v>1</v>
      </c>
      <c r="P1804" s="15">
        <v>2012</v>
      </c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04" s="1"/>
      <c r="U1804" s="1"/>
      <c r="V1804" s="15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04" s="15" t="str">
        <f>_xlfn.TEXTBEFORE(_xlfn.TEXTAFTER(CantoralDB[[#This Row],[index.html]],"&gt;"),"&gt;")&amp;"&gt;"</f>
        <v>&lt;a href="canciones/ruah/suelta_el_timon.html"&gt;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1855</v>
      </c>
      <c r="C1805" s="1"/>
      <c r="H1805" s="1" t="s">
        <v>1029</v>
      </c>
      <c r="I1805" s="1" t="s">
        <v>2952</v>
      </c>
      <c r="J1805" s="1" t="s">
        <v>607</v>
      </c>
      <c r="M1805" s="15" t="s">
        <v>1756</v>
      </c>
      <c r="N1805" s="1" t="s">
        <v>1899</v>
      </c>
      <c r="O1805" s="15">
        <v>2</v>
      </c>
      <c r="P1805" s="15">
        <v>2012</v>
      </c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05" s="1"/>
      <c r="U1805" s="1"/>
      <c r="V1805" s="15"/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05" s="15" t="str">
        <f>_xlfn.TEXTBEFORE(_xlfn.TEXTAFTER(CantoralDB[[#This Row],[index.html]],"&gt;"),"&gt;")&amp;"&gt;"</f>
        <v>&lt;a href="canciones/ruah/quiero_confiar.html"&gt;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1856</v>
      </c>
      <c r="C1806" s="1"/>
      <c r="H1806" s="1" t="s">
        <v>1029</v>
      </c>
      <c r="J1806" s="1" t="s">
        <v>607</v>
      </c>
      <c r="M1806" s="15" t="s">
        <v>1756</v>
      </c>
      <c r="N1806" s="1" t="s">
        <v>1899</v>
      </c>
      <c r="O1806" s="15">
        <v>3</v>
      </c>
      <c r="P1806" s="15">
        <v>2012</v>
      </c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06" s="15" t="str">
        <f>_xlfn.TEXTBEFORE(_xlfn.TEXTAFTER(CantoralDB[[#This Row],[index.html]],"&gt;"),"&gt;")&amp;"&gt;"</f>
        <v>&lt;a href="canciones/ruah/soy_de_ti.html"&gt;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1857</v>
      </c>
      <c r="C1807" s="1"/>
      <c r="H1807" s="1" t="s">
        <v>530</v>
      </c>
      <c r="I1807" s="1" t="s">
        <v>2952</v>
      </c>
      <c r="J1807" s="1"/>
      <c r="M1807" s="15" t="s">
        <v>1756</v>
      </c>
      <c r="N1807" s="1" t="s">
        <v>1899</v>
      </c>
      <c r="O1807" s="15">
        <v>4</v>
      </c>
      <c r="P1807" s="15">
        <v>2012</v>
      </c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07" s="1"/>
      <c r="U1807" s="1"/>
      <c r="V1807" s="15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07" s="15" t="str">
        <f>_xlfn.TEXTBEFORE(_xlfn.TEXTAFTER(CantoralDB[[#This Row],[index.html]],"&gt;"),"&gt;")&amp;"&gt;"</f>
        <v>&lt;a href="canciones/ruah/el_boleto.html"&gt;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489</v>
      </c>
      <c r="C1808" s="1"/>
      <c r="H1808" s="1" t="s">
        <v>1029</v>
      </c>
      <c r="J1808" s="1"/>
      <c r="M1808" s="15" t="s">
        <v>1756</v>
      </c>
      <c r="N1808" s="1" t="s">
        <v>1899</v>
      </c>
      <c r="O1808" s="15">
        <v>5</v>
      </c>
      <c r="P1808" s="15">
        <v>2012</v>
      </c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08" s="15" t="str">
        <f>_xlfn.TEXTBEFORE(_xlfn.TEXTAFTER(CantoralDB[[#This Row],[index.html]],"&gt;"),"&gt;")&amp;"&gt;"</f>
        <v>&lt;a href="canciones/ruah/maranatha.html"&gt;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1858</v>
      </c>
      <c r="C1809" s="1"/>
      <c r="H1809" s="1" t="s">
        <v>530</v>
      </c>
      <c r="I1809" s="1" t="s">
        <v>2953</v>
      </c>
      <c r="J1809" s="1" t="s">
        <v>607</v>
      </c>
      <c r="M1809" s="15" t="s">
        <v>1756</v>
      </c>
      <c r="N1809" s="1" t="s">
        <v>1899</v>
      </c>
      <c r="O1809" s="15">
        <v>6</v>
      </c>
      <c r="P1809" s="15">
        <v>2012</v>
      </c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09" s="1"/>
      <c r="U1809" s="1"/>
      <c r="V1809" s="15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09" s="15" t="str">
        <f>_xlfn.TEXTBEFORE(_xlfn.TEXTAFTER(CantoralDB[[#This Row],[index.html]],"&gt;"),"&gt;")&amp;"&gt;"</f>
        <v>&lt;a href="canciones/ruah/tuya_y_nueva.html"&gt;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1859</v>
      </c>
      <c r="C1810" s="1"/>
      <c r="H1810" s="1" t="s">
        <v>1029</v>
      </c>
      <c r="J1810" s="1" t="s">
        <v>607</v>
      </c>
      <c r="M1810" s="15" t="s">
        <v>1756</v>
      </c>
      <c r="N1810" s="1" t="s">
        <v>1899</v>
      </c>
      <c r="O1810" s="15">
        <v>7</v>
      </c>
      <c r="P1810" s="15">
        <v>2012</v>
      </c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10" s="15" t="str">
        <f>_xlfn.TEXTBEFORE(_xlfn.TEXTAFTER(CantoralDB[[#This Row],[index.html]],"&gt;"),"&gt;")&amp;"&gt;"</f>
        <v>&lt;a href="canciones/ruah/no_os_preocupeis.html"&gt;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1860</v>
      </c>
      <c r="C1811" s="1"/>
      <c r="H1811" s="1" t="s">
        <v>1027</v>
      </c>
      <c r="J1811" s="1" t="s">
        <v>607</v>
      </c>
      <c r="L1811" s="1" t="s">
        <v>2177</v>
      </c>
      <c r="M1811" s="15" t="s">
        <v>1756</v>
      </c>
      <c r="N1811" s="1" t="s">
        <v>1899</v>
      </c>
      <c r="O1811" s="15">
        <v>8</v>
      </c>
      <c r="P1811" s="15">
        <v>2012</v>
      </c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11" s="15" t="str">
        <f>_xlfn.TEXTBEFORE(_xlfn.TEXTAFTER(CantoralDB[[#This Row],[index.html]],"&gt;"),"&gt;")&amp;"&gt;"</f>
        <v>&lt;a href="canciones/ruah/sabes_bien.html"&gt;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1861</v>
      </c>
      <c r="C1812" s="1"/>
      <c r="H1812" s="1" t="s">
        <v>472</v>
      </c>
      <c r="J1812" s="1" t="s">
        <v>607</v>
      </c>
      <c r="M1812" s="15" t="s">
        <v>1756</v>
      </c>
      <c r="N1812" s="1" t="s">
        <v>1899</v>
      </c>
      <c r="O1812" s="15">
        <v>9</v>
      </c>
      <c r="P1812" s="15">
        <v>2012</v>
      </c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12" s="1"/>
      <c r="U1812" s="1"/>
      <c r="V1812" s="32" t="s">
        <v>3995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12" s="15" t="str">
        <f>_xlfn.TEXTBEFORE(_xlfn.TEXTAFTER(CantoralDB[[#This Row],[index.html]],"&gt;"),"&gt;")&amp;"&gt;"</f>
        <v>&lt;a href="canciones/ruah/alegraos.html"&gt;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1862</v>
      </c>
      <c r="C1813" s="1"/>
      <c r="H1813" s="1" t="s">
        <v>1026</v>
      </c>
      <c r="J1813" s="1" t="s">
        <v>607</v>
      </c>
      <c r="M1813" s="15" t="s">
        <v>1756</v>
      </c>
      <c r="N1813" s="1" t="s">
        <v>1899</v>
      </c>
      <c r="O1813" s="15">
        <v>10</v>
      </c>
      <c r="P1813" s="15">
        <v>2012</v>
      </c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13" s="1"/>
      <c r="U1813" s="1"/>
      <c r="V1813" s="32" t="s">
        <v>3994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13" s="15" t="str">
        <f>_xlfn.TEXTBEFORE(_xlfn.TEXTAFTER(CantoralDB[[#This Row],[index.html]],"&gt;"),"&gt;")&amp;"&gt;"</f>
        <v>&lt;a href="canciones/ruah/envianos_sin_miedo.html"&gt;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1863</v>
      </c>
      <c r="C1814" s="1"/>
      <c r="H1814" s="1" t="s">
        <v>1026</v>
      </c>
      <c r="J1814" s="1" t="s">
        <v>607</v>
      </c>
      <c r="M1814" s="15" t="s">
        <v>1756</v>
      </c>
      <c r="N1814" s="1" t="s">
        <v>1899</v>
      </c>
      <c r="O1814" s="15">
        <v>11</v>
      </c>
      <c r="P1814" s="15">
        <v>2012</v>
      </c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14" s="1"/>
      <c r="U1814" s="1"/>
      <c r="V1814" s="32" t="s">
        <v>3993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14" s="15" t="str">
        <f>_xlfn.TEXTBEFORE(_xlfn.TEXTAFTER(CantoralDB[[#This Row],[index.html]],"&gt;"),"&gt;")&amp;"&gt;"</f>
        <v>&lt;a href="canciones/ruah/aqui_y_ahora.html"&gt;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1888</v>
      </c>
      <c r="C1815" s="1"/>
      <c r="H1815" s="1" t="s">
        <v>530</v>
      </c>
      <c r="I1815" s="1" t="s">
        <v>2952</v>
      </c>
      <c r="J1815" s="1" t="s">
        <v>607</v>
      </c>
      <c r="M1815" s="15" t="s">
        <v>1756</v>
      </c>
      <c r="N1815" s="1" t="s">
        <v>1894</v>
      </c>
      <c r="O1815" s="15">
        <v>1</v>
      </c>
      <c r="P1815" s="15">
        <v>2022</v>
      </c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15" s="15" t="str">
        <f>_xlfn.TEXTBEFORE(_xlfn.TEXTAFTER(CantoralDB[[#This Row],[index.html]],"&gt;"),"&gt;")&amp;"&gt;"</f>
        <v>&lt;a href="canciones/ruah/te_seguire_llamando.html"&gt;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1889</v>
      </c>
      <c r="C1816" s="1"/>
      <c r="H1816" s="1" t="s">
        <v>1029</v>
      </c>
      <c r="I1816" s="1" t="s">
        <v>2950</v>
      </c>
      <c r="J1816" s="1" t="s">
        <v>607</v>
      </c>
      <c r="M1816" s="15" t="s">
        <v>1756</v>
      </c>
      <c r="N1816" s="1" t="s">
        <v>1894</v>
      </c>
      <c r="O1816" s="15">
        <v>2</v>
      </c>
      <c r="P1816" s="15">
        <v>2022</v>
      </c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16" s="1"/>
      <c r="U1816" s="1"/>
      <c r="V1816" s="15"/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16" s="15" t="str">
        <f>_xlfn.TEXTBEFORE(_xlfn.TEXTAFTER(CantoralDB[[#This Row],[index.html]],"&gt;"),"&gt;")&amp;"&gt;"</f>
        <v>&lt;a href="canciones/ruah/no_volvera_vacia.html"&gt;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1890</v>
      </c>
      <c r="C1817" s="1"/>
      <c r="H1817" s="1" t="s">
        <v>1029</v>
      </c>
      <c r="J1817" s="1" t="s">
        <v>607</v>
      </c>
      <c r="M1817" s="15" t="s">
        <v>1756</v>
      </c>
      <c r="N1817" s="1" t="s">
        <v>1894</v>
      </c>
      <c r="O1817" s="15">
        <v>3</v>
      </c>
      <c r="P1817" s="15">
        <v>2022</v>
      </c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17" s="15" t="str">
        <f>_xlfn.TEXTBEFORE(_xlfn.TEXTAFTER(CantoralDB[[#This Row],[index.html]],"&gt;"),"&gt;")&amp;"&gt;"</f>
        <v>&lt;a href="canciones/ruah/grietas.html"&gt;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1891</v>
      </c>
      <c r="C1818" s="1"/>
      <c r="H1818" s="1" t="s">
        <v>472</v>
      </c>
      <c r="J1818" s="1" t="s">
        <v>607</v>
      </c>
      <c r="M1818" s="15" t="s">
        <v>1756</v>
      </c>
      <c r="N1818" s="1" t="s">
        <v>1894</v>
      </c>
      <c r="O1818" s="15">
        <v>4</v>
      </c>
      <c r="P1818" s="15">
        <v>2022</v>
      </c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18" s="1"/>
      <c r="U1818" s="1"/>
      <c r="V1818" s="15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18" s="15" t="str">
        <f>_xlfn.TEXTBEFORE(_xlfn.TEXTAFTER(CantoralDB[[#This Row],[index.html]],"&gt;"),"&gt;")&amp;"&gt;"</f>
        <v>&lt;a href="canciones/ruah/en_parabolas.html"&gt;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1892</v>
      </c>
      <c r="C1819" s="1"/>
      <c r="H1819" s="1" t="s">
        <v>1027</v>
      </c>
      <c r="J1819" s="1" t="s">
        <v>607</v>
      </c>
      <c r="M1819" s="15" t="s">
        <v>1756</v>
      </c>
      <c r="N1819" s="1" t="s">
        <v>1894</v>
      </c>
      <c r="O1819" s="15">
        <v>5</v>
      </c>
      <c r="P1819" s="15">
        <v>2022</v>
      </c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19" s="1"/>
      <c r="U1819" s="1"/>
      <c r="V1819" s="15"/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X1819" s="15" t="str">
        <f>_xlfn.TEXTBEFORE(_xlfn.TEXTAFTER(CantoralDB[[#This Row],[index.html]],"&gt;"),"&gt;")&amp;"&gt;"</f>
        <v>&lt;a href="canciones/ruah/oyeme.html"&gt;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1893</v>
      </c>
      <c r="C1820" s="1"/>
      <c r="H1820" s="1" t="s">
        <v>530</v>
      </c>
      <c r="I1820" s="1" t="s">
        <v>2949</v>
      </c>
      <c r="J1820" s="1" t="s">
        <v>607</v>
      </c>
      <c r="M1820" s="15" t="s">
        <v>1756</v>
      </c>
      <c r="N1820" s="1" t="s">
        <v>1894</v>
      </c>
      <c r="O1820" s="15">
        <v>6</v>
      </c>
      <c r="P1820" s="15">
        <v>2022</v>
      </c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20" s="1"/>
      <c r="U1820" s="1"/>
      <c r="V1820" s="15"/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20" s="15" t="str">
        <f>_xlfn.TEXTBEFORE(_xlfn.TEXTAFTER(CantoralDB[[#This Row],[index.html]],"&gt;"),"&gt;")&amp;"&gt;"</f>
        <v>&lt;a href="canciones/ruah/bosque.html"&gt;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1894</v>
      </c>
      <c r="C1821" s="1"/>
      <c r="H1821" s="1" t="s">
        <v>1026</v>
      </c>
      <c r="J1821" s="1" t="s">
        <v>607</v>
      </c>
      <c r="M1821" s="15" t="s">
        <v>1756</v>
      </c>
      <c r="N1821" s="1" t="s">
        <v>1894</v>
      </c>
      <c r="O1821" s="15">
        <v>7</v>
      </c>
      <c r="P1821" s="15">
        <v>2022</v>
      </c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21" s="15" t="str">
        <f>_xlfn.TEXTBEFORE(_xlfn.TEXTAFTER(CantoralDB[[#This Row],[index.html]],"&gt;"),"&gt;")&amp;"&gt;"</f>
        <v>&lt;a href="canciones/ruah/nuestro_lugar.html"&gt;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1895</v>
      </c>
      <c r="C1822" s="1"/>
      <c r="H1822" s="1" t="s">
        <v>1026</v>
      </c>
      <c r="J1822" s="1" t="s">
        <v>607</v>
      </c>
      <c r="M1822" s="15" t="s">
        <v>1756</v>
      </c>
      <c r="N1822" s="1" t="s">
        <v>1894</v>
      </c>
      <c r="O1822" s="15">
        <v>8</v>
      </c>
      <c r="P1822" s="15">
        <v>2022</v>
      </c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22" s="15" t="str">
        <f>_xlfn.TEXTBEFORE(_xlfn.TEXTAFTER(CantoralDB[[#This Row],[index.html]],"&gt;"),"&gt;")&amp;"&gt;"</f>
        <v>&lt;a href="canciones/ruah/a_tu_medida.html"&gt;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1896</v>
      </c>
      <c r="C1823" s="1"/>
      <c r="H1823" s="1" t="s">
        <v>1026</v>
      </c>
      <c r="J1823" s="1" t="s">
        <v>607</v>
      </c>
      <c r="M1823" s="15" t="s">
        <v>1756</v>
      </c>
      <c r="N1823" s="1" t="s">
        <v>1894</v>
      </c>
      <c r="O1823" s="15">
        <v>9</v>
      </c>
      <c r="P1823" s="15">
        <v>2022</v>
      </c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23" s="15" t="str">
        <f>_xlfn.TEXTBEFORE(_xlfn.TEXTAFTER(CantoralDB[[#This Row],[index.html]],"&gt;"),"&gt;")&amp;"&gt;"</f>
        <v>&lt;a href="canciones/ruah/mayor_que_todo.html"&gt;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1897</v>
      </c>
      <c r="C1824" s="1"/>
      <c r="H1824" s="1" t="s">
        <v>1029</v>
      </c>
      <c r="I1824" s="1" t="s">
        <v>2950</v>
      </c>
      <c r="J1824" s="1" t="s">
        <v>607</v>
      </c>
      <c r="M1824" s="15" t="s">
        <v>1756</v>
      </c>
      <c r="N1824" s="1" t="s">
        <v>1894</v>
      </c>
      <c r="O1824" s="15">
        <v>10</v>
      </c>
      <c r="P1824" s="15">
        <v>2022</v>
      </c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X1824" s="15" t="str">
        <f>_xlfn.TEXTBEFORE(_xlfn.TEXTAFTER(CantoralDB[[#This Row],[index.html]],"&gt;"),"&gt;")&amp;"&gt;"</f>
        <v>&lt;a href="canciones/ruah/seas.html"&gt;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1898</v>
      </c>
      <c r="C1825" s="1"/>
      <c r="H1825" s="1" t="s">
        <v>530</v>
      </c>
      <c r="J1825" s="1" t="s">
        <v>607</v>
      </c>
      <c r="M1825" s="15" t="s">
        <v>1756</v>
      </c>
      <c r="N1825" s="1" t="s">
        <v>1894</v>
      </c>
      <c r="O1825" s="15">
        <v>11</v>
      </c>
      <c r="P1825" s="15">
        <v>2022</v>
      </c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25" s="1"/>
      <c r="U1825" s="1"/>
      <c r="V1825" s="15"/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25" s="15" t="str">
        <f>_xlfn.TEXTBEFORE(_xlfn.TEXTAFTER(CantoralDB[[#This Row],[index.html]],"&gt;"),"&gt;")&amp;"&gt;"</f>
        <v>&lt;a href="canciones/ruah/brasas.html"&gt;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3997</v>
      </c>
      <c r="C1826" s="1"/>
      <c r="H1826" s="1" t="s">
        <v>1026</v>
      </c>
      <c r="J1826" s="1"/>
      <c r="M1826" s="15" t="s">
        <v>1756</v>
      </c>
      <c r="N1826" s="1" t="s">
        <v>3996</v>
      </c>
      <c r="O1826" s="15">
        <v>1</v>
      </c>
      <c r="P1826" s="15">
        <v>2026</v>
      </c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26" s="1"/>
      <c r="U1826" s="1"/>
      <c r="V1826" s="32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26" s="15" t="str">
        <f>_xlfn.TEXTBEFORE(_xlfn.TEXTAFTER(CantoralDB[[#This Row],[index.html]],"&gt;"),"&gt;")&amp;"&gt;"</f>
        <v>&lt;a href="canciones/ruah/de_ida_y_vuelta.html"&gt;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3998</v>
      </c>
      <c r="C1827" s="1"/>
      <c r="H1827" s="1" t="s">
        <v>1028</v>
      </c>
      <c r="J1827" s="1"/>
      <c r="M1827" s="15" t="s">
        <v>1756</v>
      </c>
      <c r="N1827" s="1" t="s">
        <v>3996</v>
      </c>
      <c r="O1827" s="15">
        <v>2</v>
      </c>
      <c r="P1827" s="15">
        <v>2026</v>
      </c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27" s="1"/>
      <c r="U1827" s="1"/>
      <c r="V1827" s="32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27" s="15" t="str">
        <f>_xlfn.TEXTBEFORE(_xlfn.TEXTAFTER(CantoralDB[[#This Row],[index.html]],"&gt;"),"&gt;")&amp;"&gt;"</f>
        <v>&lt;a href="canciones/ruah/mañana.html"&gt;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3999</v>
      </c>
      <c r="C1828" s="1"/>
      <c r="H1828" s="1" t="s">
        <v>530</v>
      </c>
      <c r="I1828" s="1" t="s">
        <v>2952</v>
      </c>
      <c r="J1828" s="1"/>
      <c r="M1828" s="15" t="s">
        <v>1756</v>
      </c>
      <c r="N1828" s="1" t="s">
        <v>3996</v>
      </c>
      <c r="O1828" s="15">
        <v>3</v>
      </c>
      <c r="P1828" s="15">
        <v>2026</v>
      </c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28" s="1"/>
      <c r="U1828" s="1"/>
      <c r="V1828" s="32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28" s="15" t="str">
        <f>_xlfn.TEXTBEFORE(_xlfn.TEXTAFTER(CantoralDB[[#This Row],[index.html]],"&gt;"),"&gt;")&amp;"&gt;"</f>
        <v>&lt;a href="canciones/ruah/el_que_amas_esta_enfermo.html"&gt;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4000</v>
      </c>
      <c r="C1829" s="1"/>
      <c r="H1829" s="1" t="s">
        <v>472</v>
      </c>
      <c r="I1829" s="1" t="s">
        <v>2951</v>
      </c>
      <c r="J1829" s="1"/>
      <c r="M1829" s="15" t="s">
        <v>1756</v>
      </c>
      <c r="N1829" s="1" t="s">
        <v>3996</v>
      </c>
      <c r="O1829" s="15">
        <v>4</v>
      </c>
      <c r="P1829" s="15">
        <v>2026</v>
      </c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29" s="1"/>
      <c r="U1829" s="1"/>
      <c r="V1829" s="32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29" s="15" t="str">
        <f>_xlfn.TEXTBEFORE(_xlfn.TEXTAFTER(CantoralDB[[#This Row],[index.html]],"&gt;"),"&gt;")&amp;"&gt;"</f>
        <v>&lt;a href="canciones/ruah/confia_en_mi.html"&gt;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4001</v>
      </c>
      <c r="C1830" s="1"/>
      <c r="H1830" s="1" t="s">
        <v>530</v>
      </c>
      <c r="I1830" s="1" t="s">
        <v>2952</v>
      </c>
      <c r="J1830" s="1"/>
      <c r="M1830" s="15" t="s">
        <v>1756</v>
      </c>
      <c r="N1830" s="1" t="s">
        <v>3996</v>
      </c>
      <c r="O1830" s="15">
        <v>5</v>
      </c>
      <c r="P1830" s="15">
        <v>2026</v>
      </c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30" s="1"/>
      <c r="U1830" s="1"/>
      <c r="V1830" s="32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30" s="15" t="str">
        <f>_xlfn.TEXTBEFORE(_xlfn.TEXTAFTER(CantoralDB[[#This Row],[index.html]],"&gt;"),"&gt;")&amp;"&gt;"</f>
        <v>&lt;a href="canciones/ruah/incansable.html"&gt;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4002</v>
      </c>
      <c r="C1831" s="1"/>
      <c r="H1831" s="1" t="s">
        <v>530</v>
      </c>
      <c r="J1831" s="1"/>
      <c r="M1831" s="15" t="s">
        <v>1756</v>
      </c>
      <c r="N1831" s="1" t="s">
        <v>3996</v>
      </c>
      <c r="O1831" s="15">
        <v>6</v>
      </c>
      <c r="P1831" s="15">
        <v>2026</v>
      </c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31" s="1"/>
      <c r="U1831" s="1"/>
      <c r="V1831" s="32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31" s="15" t="str">
        <f>_xlfn.TEXTBEFORE(_xlfn.TEXTAFTER(CantoralDB[[#This Row],[index.html]],"&gt;"),"&gt;")&amp;"&gt;"</f>
        <v>&lt;a href="canciones/ruah/rutinas.html"&gt;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4003</v>
      </c>
      <c r="C1832" s="1"/>
      <c r="H1832" s="1" t="s">
        <v>530</v>
      </c>
      <c r="I1832" s="1" t="s">
        <v>2950</v>
      </c>
      <c r="J1832" s="1"/>
      <c r="M1832" s="15" t="s">
        <v>1756</v>
      </c>
      <c r="N1832" s="1" t="s">
        <v>3996</v>
      </c>
      <c r="O1832" s="15">
        <v>7</v>
      </c>
      <c r="P1832" s="15">
        <v>2026</v>
      </c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32" s="1"/>
      <c r="U1832" s="1"/>
      <c r="V1832" s="32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32" s="15" t="str">
        <f>_xlfn.TEXTBEFORE(_xlfn.TEXTAFTER(CantoralDB[[#This Row],[index.html]],"&gt;"),"&gt;")&amp;"&gt;"</f>
        <v>&lt;a href="canciones/ruah/montaña.html"&gt;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4004</v>
      </c>
      <c r="C1833" s="1"/>
      <c r="H1833" s="1" t="s">
        <v>530</v>
      </c>
      <c r="J1833" s="1"/>
      <c r="M1833" s="15" t="s">
        <v>1756</v>
      </c>
      <c r="N1833" s="1" t="s">
        <v>3996</v>
      </c>
      <c r="O1833" s="15">
        <v>8</v>
      </c>
      <c r="P1833" s="15">
        <v>2026</v>
      </c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33" s="1"/>
      <c r="U1833" s="1"/>
      <c r="V1833" s="32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33" s="15" t="str">
        <f>_xlfn.TEXTBEFORE(_xlfn.TEXTAFTER(CantoralDB[[#This Row],[index.html]],"&gt;"),"&gt;")&amp;"&gt;"</f>
        <v>&lt;a href="canciones/ruah/dragones.html"&gt;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4005</v>
      </c>
      <c r="C1834" s="1"/>
      <c r="H1834" s="1" t="s">
        <v>1026</v>
      </c>
      <c r="J1834" s="1"/>
      <c r="M1834" s="15" t="s">
        <v>1756</v>
      </c>
      <c r="N1834" s="1" t="s">
        <v>3996</v>
      </c>
      <c r="O1834" s="15">
        <v>9</v>
      </c>
      <c r="P1834" s="15">
        <v>2026</v>
      </c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34" s="1"/>
      <c r="U1834" s="1"/>
      <c r="V1834" s="32"/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34" s="15" t="str">
        <f>_xlfn.TEXTBEFORE(_xlfn.TEXTAFTER(CantoralDB[[#This Row],[index.html]],"&gt;"),"&gt;")&amp;"&gt;"</f>
        <v>&lt;a href="canciones/ruah/la_barca_y_el_mar.html"&gt;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3996</v>
      </c>
      <c r="C1835" s="1"/>
      <c r="H1835" s="1" t="s">
        <v>530</v>
      </c>
      <c r="J1835" s="1"/>
      <c r="M1835" s="15" t="s">
        <v>1756</v>
      </c>
      <c r="N1835" s="1" t="s">
        <v>3996</v>
      </c>
      <c r="O1835" s="15">
        <v>10</v>
      </c>
      <c r="P1835" s="15">
        <v>2026</v>
      </c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35" s="1"/>
      <c r="U1835" s="1"/>
      <c r="V1835" s="32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35" s="15" t="str">
        <f>_xlfn.TEXTBEFORE(_xlfn.TEXTAFTER(CantoralDB[[#This Row],[index.html]],"&gt;"),"&gt;")&amp;"&gt;"</f>
        <v>&lt;a href="canciones/ruah/nunca_solas.html"&gt;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4006</v>
      </c>
      <c r="C1836" s="1"/>
      <c r="H1836" s="1" t="s">
        <v>530</v>
      </c>
      <c r="J1836" s="1"/>
      <c r="M1836" s="15" t="s">
        <v>1756</v>
      </c>
      <c r="N1836" s="1" t="s">
        <v>3996</v>
      </c>
      <c r="O1836" s="15">
        <v>11</v>
      </c>
      <c r="P1836" s="15">
        <v>2026</v>
      </c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36" s="1"/>
      <c r="U1836" s="1"/>
      <c r="V1836" s="32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36" s="15" t="str">
        <f>_xlfn.TEXTBEFORE(_xlfn.TEXTAFTER(CantoralDB[[#This Row],[index.html]],"&gt;"),"&gt;")&amp;"&gt;"</f>
        <v>&lt;a href="canciones/ruah/parece_la_vida.html"&gt;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4007</v>
      </c>
      <c r="C1837" s="1"/>
      <c r="H1837" s="1" t="s">
        <v>1029</v>
      </c>
      <c r="J1837" s="1"/>
      <c r="M1837" s="15" t="s">
        <v>1756</v>
      </c>
      <c r="N1837" s="1" t="s">
        <v>3996</v>
      </c>
      <c r="O1837" s="15">
        <v>12</v>
      </c>
      <c r="P1837" s="15">
        <v>2026</v>
      </c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837" s="1"/>
      <c r="U1837" s="1"/>
      <c r="V1837" s="32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837" s="15" t="str">
        <f>_xlfn.TEXTBEFORE(_xlfn.TEXTAFTER(CantoralDB[[#This Row],[index.html]],"&gt;"),"&gt;")&amp;"&gt;"</f>
        <v>&lt;a href="canciones/ruah/tenemos_un_dios.html"&gt;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4008</v>
      </c>
      <c r="C1838" s="1"/>
      <c r="H1838" s="1" t="s">
        <v>530</v>
      </c>
      <c r="I1838" s="1" t="s">
        <v>2952</v>
      </c>
      <c r="J1838" s="1"/>
      <c r="M1838" s="15" t="s">
        <v>1756</v>
      </c>
      <c r="N1838" s="1" t="s">
        <v>3996</v>
      </c>
      <c r="O1838" s="15">
        <v>13</v>
      </c>
      <c r="P1838" s="15">
        <v>2026</v>
      </c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838" s="1"/>
      <c r="U1838" s="1"/>
      <c r="V1838" s="32"/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838" s="15" t="str">
        <f>_xlfn.TEXTBEFORE(_xlfn.TEXTAFTER(CantoralDB[[#This Row],[index.html]],"&gt;"),"&gt;")&amp;"&gt;"</f>
        <v>&lt;a href="canciones/ruah/transformaras.html"&gt;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4009</v>
      </c>
      <c r="C1839" s="1"/>
      <c r="H1839" s="1" t="s">
        <v>1029</v>
      </c>
      <c r="J1839" s="1"/>
      <c r="M1839" s="15" t="s">
        <v>1756</v>
      </c>
      <c r="N1839" s="1" t="s">
        <v>3996</v>
      </c>
      <c r="O1839" s="15">
        <v>14</v>
      </c>
      <c r="P1839" s="15">
        <v>2026</v>
      </c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839" s="1"/>
      <c r="U1839" s="1"/>
      <c r="V1839" s="32"/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839" s="15" t="str">
        <f>_xlfn.TEXTBEFORE(_xlfn.TEXTAFTER(CantoralDB[[#This Row],[index.html]],"&gt;"),"&gt;")&amp;"&gt;"</f>
        <v>&lt;a href="canciones/ruah/tu_casa.html"&gt;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4010</v>
      </c>
      <c r="C1840" s="1"/>
      <c r="H1840" s="1" t="s">
        <v>1029</v>
      </c>
      <c r="I1840" s="1" t="s">
        <v>2952</v>
      </c>
      <c r="J1840" s="1"/>
      <c r="M1840" s="15" t="s">
        <v>1756</v>
      </c>
      <c r="N1840" s="1" t="s">
        <v>3996</v>
      </c>
      <c r="O1840" s="15">
        <v>15</v>
      </c>
      <c r="P1840" s="15">
        <v>2026</v>
      </c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840" s="1"/>
      <c r="U1840" s="1"/>
      <c r="V1840" s="32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840" s="15" t="str">
        <f>_xlfn.TEXTBEFORE(_xlfn.TEXTAFTER(CantoralDB[[#This Row],[index.html]],"&gt;"),"&gt;")&amp;"&gt;"</f>
        <v>&lt;a href="canciones/ruah/a_todos_los_idiomas.html"&gt;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1875</v>
      </c>
      <c r="C1841" s="1"/>
      <c r="J1841" s="1"/>
      <c r="M1841" s="15" t="s">
        <v>1756</v>
      </c>
      <c r="N1841" s="1" t="s">
        <v>1901</v>
      </c>
      <c r="O1841" s="15">
        <v>1</v>
      </c>
      <c r="P1841" s="15">
        <v>2018</v>
      </c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841" s="1"/>
      <c r="U1841" s="1"/>
      <c r="V1841" s="32" t="s">
        <v>3984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841" s="15" t="str">
        <f>_xlfn.TEXTBEFORE(_xlfn.TEXTAFTER(CantoralDB[[#This Row],[index.html]],"&gt;"),"&gt;")&amp;"&gt;"</f>
        <v>&lt;a href="canciones/ruah/a_buscarme.html"&gt;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1876</v>
      </c>
      <c r="C1842" s="1"/>
      <c r="H1842" s="1" t="s">
        <v>530</v>
      </c>
      <c r="J1842" s="1" t="s">
        <v>607</v>
      </c>
      <c r="M1842" s="15" t="s">
        <v>1756</v>
      </c>
      <c r="N1842" s="1" t="s">
        <v>1901</v>
      </c>
      <c r="O1842" s="15">
        <v>2</v>
      </c>
      <c r="P1842" s="15">
        <v>2018</v>
      </c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842" s="1"/>
      <c r="U1842" s="1"/>
      <c r="V1842" s="32" t="s">
        <v>3983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842" s="15" t="str">
        <f>_xlfn.TEXTBEFORE(_xlfn.TEXTAFTER(CantoralDB[[#This Row],[index.html]],"&gt;"),"&gt;")&amp;"&gt;"</f>
        <v>&lt;a href="canciones/ruah/si_tu_quieres.html"&gt;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1877</v>
      </c>
      <c r="C1843" s="1"/>
      <c r="H1843" s="1" t="s">
        <v>1029</v>
      </c>
      <c r="I1843" s="1" t="s">
        <v>2949</v>
      </c>
      <c r="J1843" s="1" t="s">
        <v>607</v>
      </c>
      <c r="M1843" s="15" t="s">
        <v>1756</v>
      </c>
      <c r="N1843" s="1" t="s">
        <v>1901</v>
      </c>
      <c r="O1843" s="15">
        <v>3</v>
      </c>
      <c r="P1843" s="15">
        <v>2018</v>
      </c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843" s="1"/>
      <c r="U1843" s="1"/>
      <c r="V1843" s="32" t="s">
        <v>3988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X1843" s="15" t="str">
        <f>_xlfn.TEXTBEFORE(_xlfn.TEXTAFTER(CantoralDB[[#This Row],[index.html]],"&gt;"),"&gt;")&amp;"&gt;"</f>
        <v>&lt;a href="canciones/ruah/donde.html"&gt;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1878</v>
      </c>
      <c r="C1844" s="1"/>
      <c r="H1844" s="1" t="s">
        <v>472</v>
      </c>
      <c r="J1844" s="1" t="s">
        <v>607</v>
      </c>
      <c r="M1844" s="15" t="s">
        <v>1756</v>
      </c>
      <c r="N1844" s="1" t="s">
        <v>1901</v>
      </c>
      <c r="O1844" s="15">
        <v>4</v>
      </c>
      <c r="P1844" s="15">
        <v>2018</v>
      </c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844" s="1"/>
      <c r="U1844" s="1"/>
      <c r="V1844" s="32" t="s">
        <v>3987</v>
      </c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844" s="15" t="str">
        <f>_xlfn.TEXTBEFORE(_xlfn.TEXTAFTER(CantoralDB[[#This Row],[index.html]],"&gt;"),"&gt;")&amp;"&gt;"</f>
        <v>&lt;a href="canciones/ruah/escuchame.html"&gt;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1879</v>
      </c>
      <c r="C1845" s="1"/>
      <c r="H1845" s="1" t="s">
        <v>1029</v>
      </c>
      <c r="J1845" s="1" t="s">
        <v>607</v>
      </c>
      <c r="M1845" s="15" t="s">
        <v>1756</v>
      </c>
      <c r="N1845" s="1" t="s">
        <v>1901</v>
      </c>
      <c r="O1845" s="15">
        <v>5</v>
      </c>
      <c r="P1845" s="15">
        <v>2018</v>
      </c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845" s="15" t="str">
        <f>_xlfn.TEXTBEFORE(_xlfn.TEXTAFTER(CantoralDB[[#This Row],[index.html]],"&gt;"),"&gt;")&amp;"&gt;"</f>
        <v>&lt;a href="canciones/ruah/a_la_puerta.html"&gt;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1880</v>
      </c>
      <c r="C1846" s="1"/>
      <c r="H1846" s="1" t="s">
        <v>1029</v>
      </c>
      <c r="J1846" s="1" t="s">
        <v>607</v>
      </c>
      <c r="M1846" s="15" t="s">
        <v>1756</v>
      </c>
      <c r="N1846" s="1" t="s">
        <v>1901</v>
      </c>
      <c r="O1846" s="15">
        <v>6</v>
      </c>
      <c r="P1846" s="15">
        <v>2018</v>
      </c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846" s="15" t="str">
        <f>_xlfn.TEXTBEFORE(_xlfn.TEXTAFTER(CantoralDB[[#This Row],[index.html]],"&gt;"),"&gt;")&amp;"&gt;"</f>
        <v>&lt;a href="canciones/ruah/en_quien_si_no.html"&gt;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1881</v>
      </c>
      <c r="C1847" s="1"/>
      <c r="H1847" s="1" t="s">
        <v>530</v>
      </c>
      <c r="I1847" s="1" t="s">
        <v>2952</v>
      </c>
      <c r="J1847" s="1" t="s">
        <v>607</v>
      </c>
      <c r="M1847" s="15" t="s">
        <v>1756</v>
      </c>
      <c r="N1847" s="1" t="s">
        <v>1901</v>
      </c>
      <c r="O1847" s="15">
        <v>7</v>
      </c>
      <c r="P1847" s="15">
        <v>2018</v>
      </c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847" s="15" t="str">
        <f>_xlfn.TEXTBEFORE(_xlfn.TEXTAFTER(CantoralDB[[#This Row],[index.html]],"&gt;"),"&gt;")&amp;"&gt;"</f>
        <v>&lt;a href="canciones/ruah/silencio.html"&gt;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1882</v>
      </c>
      <c r="C1848" s="1"/>
      <c r="H1848" s="1" t="s">
        <v>1026</v>
      </c>
      <c r="J1848" s="1" t="s">
        <v>607</v>
      </c>
      <c r="M1848" s="15" t="s">
        <v>1756</v>
      </c>
      <c r="N1848" s="1" t="s">
        <v>1901</v>
      </c>
      <c r="O1848" s="15">
        <v>8</v>
      </c>
      <c r="P1848" s="15">
        <v>2018</v>
      </c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848" s="1"/>
      <c r="U1848" s="1"/>
      <c r="V1848" s="32" t="s">
        <v>3986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848" s="15" t="str">
        <f>_xlfn.TEXTBEFORE(_xlfn.TEXTAFTER(CantoralDB[[#This Row],[index.html]],"&gt;"),"&gt;")&amp;"&gt;"</f>
        <v>&lt;a href="canciones/ruah/de_repente.html"&gt;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2143</v>
      </c>
      <c r="C1849" s="1"/>
      <c r="H1849" s="1" t="s">
        <v>1029</v>
      </c>
      <c r="I1849" s="1" t="s">
        <v>2953</v>
      </c>
      <c r="J1849" s="1" t="s">
        <v>607</v>
      </c>
      <c r="M1849" s="15" t="s">
        <v>1756</v>
      </c>
      <c r="N1849" s="1" t="s">
        <v>1901</v>
      </c>
      <c r="O1849" s="15">
        <v>9</v>
      </c>
      <c r="P1849" s="15">
        <v>2018</v>
      </c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849" s="1"/>
      <c r="U1849" s="1"/>
      <c r="V1849" s="32" t="s">
        <v>3992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849" s="15" t="str">
        <f>_xlfn.TEXTBEFORE(_xlfn.TEXTAFTER(CantoralDB[[#This Row],[index.html]],"&gt;"),"&gt;")&amp;"&gt;"</f>
        <v>&lt;a href="canciones/ruah/quien_amo_primero.html"&gt;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1883</v>
      </c>
      <c r="C1850" s="1"/>
      <c r="H1850" s="1" t="s">
        <v>1029</v>
      </c>
      <c r="I1850" s="1" t="s">
        <v>2951</v>
      </c>
      <c r="J1850" s="1" t="s">
        <v>607</v>
      </c>
      <c r="M1850" s="15" t="s">
        <v>1756</v>
      </c>
      <c r="N1850" s="1" t="s">
        <v>1901</v>
      </c>
      <c r="O1850" s="15">
        <v>10</v>
      </c>
      <c r="P1850" s="15">
        <v>2018</v>
      </c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850" s="15" t="str">
        <f>_xlfn.TEXTBEFORE(_xlfn.TEXTAFTER(CantoralDB[[#This Row],[index.html]],"&gt;"),"&gt;")&amp;"&gt;"</f>
        <v>&lt;a href="canciones/ruah/alabarte.html"&gt;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1902</v>
      </c>
      <c r="C1851" s="1"/>
      <c r="H1851" s="1" t="s">
        <v>1027</v>
      </c>
      <c r="J1851" s="1" t="s">
        <v>607</v>
      </c>
      <c r="M1851" s="15" t="s">
        <v>1756</v>
      </c>
      <c r="N1851" s="1" t="s">
        <v>1901</v>
      </c>
      <c r="O1851" s="15">
        <v>11</v>
      </c>
      <c r="P1851" s="15">
        <v>2018</v>
      </c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851" s="1"/>
      <c r="U1851" s="1"/>
      <c r="V1851" s="32" t="s">
        <v>3990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851" s="15" t="str">
        <f>_xlfn.TEXTBEFORE(_xlfn.TEXTAFTER(CantoralDB[[#This Row],[index.html]],"&gt;"),"&gt;")&amp;"&gt;"</f>
        <v>&lt;a href="canciones/ruah/bailare.html"&gt;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1915</v>
      </c>
      <c r="C1852" s="1"/>
      <c r="H1852" s="1" t="s">
        <v>530</v>
      </c>
      <c r="I1852" s="1" t="s">
        <v>2952</v>
      </c>
      <c r="J1852" s="1" t="s">
        <v>607</v>
      </c>
      <c r="M1852" s="15" t="s">
        <v>1756</v>
      </c>
      <c r="N1852" s="1" t="s">
        <v>1901</v>
      </c>
      <c r="O1852" s="15">
        <v>12</v>
      </c>
      <c r="P1852" s="15">
        <v>2018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852" s="1"/>
      <c r="U1852" s="1"/>
      <c r="V1852" s="32" t="s">
        <v>3991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852" s="15" t="str">
        <f>_xlfn.TEXTBEFORE(_xlfn.TEXTAFTER(CantoralDB[[#This Row],[index.html]],"&gt;"),"&gt;")&amp;"&gt;"</f>
        <v>&lt;a href="canciones/ruah/por_ti_jerusalen.html"&gt;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1884</v>
      </c>
      <c r="C1853" s="1"/>
      <c r="H1853" s="1" t="s">
        <v>530</v>
      </c>
      <c r="J1853" s="1" t="s">
        <v>607</v>
      </c>
      <c r="M1853" s="15" t="s">
        <v>1756</v>
      </c>
      <c r="N1853" s="1" t="s">
        <v>1901</v>
      </c>
      <c r="O1853" s="15">
        <v>13</v>
      </c>
      <c r="P1853" s="15">
        <v>2018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853" s="15" t="str">
        <f>_xlfn.TEXTBEFORE(_xlfn.TEXTAFTER(CantoralDB[[#This Row],[index.html]],"&gt;"),"&gt;")&amp;"&gt;"</f>
        <v>&lt;a href="canciones/ruah/frontera.html"&gt;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1885</v>
      </c>
      <c r="C1854" s="1"/>
      <c r="H1854" s="1" t="s">
        <v>530</v>
      </c>
      <c r="J1854" s="1" t="s">
        <v>607</v>
      </c>
      <c r="M1854" s="15" t="s">
        <v>1756</v>
      </c>
      <c r="N1854" s="1" t="s">
        <v>1901</v>
      </c>
      <c r="O1854" s="15">
        <v>14</v>
      </c>
      <c r="P1854" s="15">
        <v>2018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854" s="1"/>
      <c r="U1854" s="1"/>
      <c r="V1854" s="32" t="s">
        <v>3985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854" s="15" t="str">
        <f>_xlfn.TEXTBEFORE(_xlfn.TEXTAFTER(CantoralDB[[#This Row],[index.html]],"&gt;"),"&gt;")&amp;"&gt;"</f>
        <v>&lt;a href="canciones/ruah/despierto.html"&gt;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1886</v>
      </c>
      <c r="C1855" s="1"/>
      <c r="H1855" s="1" t="s">
        <v>1026</v>
      </c>
      <c r="I1855" s="1" t="s">
        <v>2952</v>
      </c>
      <c r="J1855" s="1" t="s">
        <v>607</v>
      </c>
      <c r="M1855" s="15" t="s">
        <v>1756</v>
      </c>
      <c r="N1855" s="1" t="s">
        <v>1901</v>
      </c>
      <c r="O1855" s="15">
        <v>15</v>
      </c>
      <c r="P1855" s="15">
        <v>2018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855" s="1"/>
      <c r="U1855" s="1"/>
      <c r="V1855" s="32" t="s">
        <v>3989</v>
      </c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855" s="15" t="str">
        <f>_xlfn.TEXTBEFORE(_xlfn.TEXTAFTER(CantoralDB[[#This Row],[index.html]],"&gt;"),"&gt;")&amp;"&gt;"</f>
        <v>&lt;a href="canciones/ruah/como_niños.html"&gt;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1887</v>
      </c>
      <c r="C1856" s="1"/>
      <c r="H1856" s="1" t="s">
        <v>1026</v>
      </c>
      <c r="J1856" s="1" t="s">
        <v>607</v>
      </c>
      <c r="M1856" s="15" t="s">
        <v>1756</v>
      </c>
      <c r="N1856" s="1" t="s">
        <v>1901</v>
      </c>
      <c r="O1856" s="15">
        <v>16</v>
      </c>
      <c r="P1856" s="15">
        <v>2018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856" s="1"/>
      <c r="U1856" s="1"/>
      <c r="V1856" s="32" t="s">
        <v>3982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X1856" s="15" t="str">
        <f>_xlfn.TEXTBEFORE(_xlfn.TEXTAFTER(CantoralDB[[#This Row],[index.html]],"&gt;"),"&gt;")&amp;"&gt;"</f>
        <v>&lt;a href="canciones/ruah/vivir.html"&gt;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39</v>
      </c>
      <c r="C1857" s="1" t="s">
        <v>992</v>
      </c>
      <c r="D1857" s="1" t="s">
        <v>689</v>
      </c>
      <c r="E1857" s="1">
        <v>65</v>
      </c>
      <c r="G1857" s="1" t="s">
        <v>208</v>
      </c>
      <c r="H1857" s="1" t="s">
        <v>472</v>
      </c>
      <c r="I1857" s="1" t="s">
        <v>2949</v>
      </c>
      <c r="J1857" s="1" t="s">
        <v>607</v>
      </c>
      <c r="M1857" s="15" t="s">
        <v>267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857" s="15" t="str">
        <f>_xlfn.TEXTBEFORE(_xlfn.TEXTAFTER(CantoralDB[[#This Row],[index.html]],"&gt;"),"&gt;")&amp;"&gt;"</f>
        <v>&lt;a href="canciones/taize/cristo_ha_resucitado.html"&gt;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2808</v>
      </c>
      <c r="C1858" s="1"/>
      <c r="F1858" s="1">
        <v>421</v>
      </c>
      <c r="J1858" s="1"/>
      <c r="M1858" s="15" t="s">
        <v>267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X1858" s="15" t="str">
        <f>_xlfn.TEXTBEFORE(_xlfn.TEXTAFTER(CantoralDB[[#This Row],[index.html]],"&gt;"),"&gt;")&amp;"&gt;"</f>
        <v>&lt;a href="canciones/taize/oh_pobreza.html"&gt;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886</v>
      </c>
      <c r="C1859" s="1" t="s">
        <v>1020</v>
      </c>
      <c r="D1859" s="1" t="s">
        <v>1089</v>
      </c>
      <c r="H1859" s="1" t="s">
        <v>530</v>
      </c>
      <c r="I1859" s="1" t="s">
        <v>2950</v>
      </c>
      <c r="J1859" s="1" t="s">
        <v>607</v>
      </c>
      <c r="M1859" s="15" t="s">
        <v>1938</v>
      </c>
      <c r="N1859" s="1" t="s">
        <v>4017</v>
      </c>
      <c r="O1859" s="15">
        <v>1</v>
      </c>
      <c r="P1859" s="15">
        <v>1988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859" s="1" t="s">
        <v>952</v>
      </c>
      <c r="U1859" s="1" t="s">
        <v>318</v>
      </c>
      <c r="V1859" s="15" t="s">
        <v>4063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859" s="15" t="str">
        <f>_xlfn.TEXTBEFORE(_xlfn.TEXTAFTER(CantoralDB[[#This Row],[index.html]],"&gt;"),"&gt;")&amp;"&gt;"</f>
        <v>&lt;a href="canciones/taize/bless_the_lord.html"&gt;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874</v>
      </c>
      <c r="C1860" s="1" t="s">
        <v>1020</v>
      </c>
      <c r="D1860" s="1" t="s">
        <v>1077</v>
      </c>
      <c r="H1860" s="1" t="s">
        <v>1029</v>
      </c>
      <c r="I1860" s="1" t="s">
        <v>2949</v>
      </c>
      <c r="J1860" s="1" t="s">
        <v>607</v>
      </c>
      <c r="M1860" s="15" t="s">
        <v>1938</v>
      </c>
      <c r="N1860" s="1" t="s">
        <v>4017</v>
      </c>
      <c r="O1860" s="15">
        <v>2</v>
      </c>
      <c r="P1860" s="15">
        <v>1988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860" s="1"/>
      <c r="U1860" s="1" t="s">
        <v>296</v>
      </c>
      <c r="V1860" s="15" t="s">
        <v>4064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860" s="15" t="str">
        <f>_xlfn.TEXTBEFORE(_xlfn.TEXTAFTER(CantoralDB[[#This Row],[index.html]],"&gt;"),"&gt;")&amp;"&gt;"</f>
        <v>&lt;a href="canciones/taize/alleluia_11.html"&gt;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898</v>
      </c>
      <c r="C1861" s="1" t="s">
        <v>1020</v>
      </c>
      <c r="D1861" s="1" t="s">
        <v>1108</v>
      </c>
      <c r="H1861" s="1" t="s">
        <v>472</v>
      </c>
      <c r="I1861" s="1" t="s">
        <v>2952</v>
      </c>
      <c r="J1861" s="1" t="s">
        <v>607</v>
      </c>
      <c r="M1861" s="15" t="s">
        <v>1938</v>
      </c>
      <c r="N1861" s="1" t="s">
        <v>4017</v>
      </c>
      <c r="O1861" s="15">
        <v>3</v>
      </c>
      <c r="P1861" s="15">
        <v>1988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861" s="1"/>
      <c r="U1861" s="1" t="s">
        <v>335</v>
      </c>
      <c r="V1861" s="15" t="s">
        <v>4065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861" s="15" t="str">
        <f>_xlfn.TEXTBEFORE(_xlfn.TEXTAFTER(CantoralDB[[#This Row],[index.html]],"&gt;"),"&gt;")&amp;"&gt;"</f>
        <v>&lt;a href="canciones/taize/dans_nos_obscurites.html"&gt;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894</v>
      </c>
      <c r="C1862" s="1" t="s">
        <v>1020</v>
      </c>
      <c r="D1862" s="1" t="s">
        <v>1098</v>
      </c>
      <c r="F1862" s="1">
        <v>423</v>
      </c>
      <c r="H1862" s="1" t="s">
        <v>530</v>
      </c>
      <c r="I1862" s="1" t="s">
        <v>2952</v>
      </c>
      <c r="J1862" s="1" t="s">
        <v>607</v>
      </c>
      <c r="M1862" s="15" t="s">
        <v>1938</v>
      </c>
      <c r="N1862" s="1" t="s">
        <v>4017</v>
      </c>
      <c r="O1862" s="15">
        <v>4</v>
      </c>
      <c r="P1862" s="15">
        <v>1988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862" s="1" t="s">
        <v>956</v>
      </c>
      <c r="U1862" s="1" t="s">
        <v>331</v>
      </c>
      <c r="V1862" s="15" t="s">
        <v>4066</v>
      </c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X1862" s="15" t="str">
        <f>_xlfn.TEXTBEFORE(_xlfn.TEXTAFTER(CantoralDB[[#This Row],[index.html]],"&gt;"),"&gt;")&amp;"&gt;"</f>
        <v>&lt;a href="canciones/taize/confitemini_domino.html"&gt;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408</v>
      </c>
      <c r="C1863" s="1" t="s">
        <v>1020</v>
      </c>
      <c r="D1863" s="1" t="s">
        <v>1141</v>
      </c>
      <c r="F1863" s="1">
        <v>68</v>
      </c>
      <c r="H1863" s="1" t="s">
        <v>1029</v>
      </c>
      <c r="J1863" s="1" t="s">
        <v>607</v>
      </c>
      <c r="M1863" s="15" t="s">
        <v>1938</v>
      </c>
      <c r="N1863" s="1" t="s">
        <v>4017</v>
      </c>
      <c r="O1863" s="15">
        <v>6</v>
      </c>
      <c r="P1863" s="15">
        <v>1988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863" s="1" t="s">
        <v>975</v>
      </c>
      <c r="U1863" s="1" t="s">
        <v>408</v>
      </c>
      <c r="V1863" s="32" t="s">
        <v>4068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X1863" s="15" t="str">
        <f>_xlfn.TEXTBEFORE(_xlfn.TEXTAFTER(CantoralDB[[#This Row],[index.html]],"&gt;"),"&gt;")&amp;"&gt;"</f>
        <v>&lt;a href="canciones/taize/magnificat_(canon).html"&gt;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931</v>
      </c>
      <c r="C1864" s="1" t="s">
        <v>1020</v>
      </c>
      <c r="D1864" s="1" t="s">
        <v>1144</v>
      </c>
      <c r="H1864" s="1" t="s">
        <v>530</v>
      </c>
      <c r="I1864" s="1" t="s">
        <v>2950</v>
      </c>
      <c r="J1864" s="1" t="s">
        <v>607</v>
      </c>
      <c r="M1864" s="15" t="s">
        <v>1938</v>
      </c>
      <c r="N1864" s="1" t="s">
        <v>4017</v>
      </c>
      <c r="O1864" s="15">
        <v>11</v>
      </c>
      <c r="P1864" s="15">
        <v>1988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864" s="1"/>
      <c r="U1864" s="1" t="s">
        <v>425</v>
      </c>
      <c r="V1864" s="15" t="s">
        <v>4072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864" s="15" t="str">
        <f>_xlfn.TEXTBEFORE(_xlfn.TEXTAFTER(CantoralDB[[#This Row],[index.html]],"&gt;"),"&gt;")&amp;"&gt;"</f>
        <v>&lt;a href="canciones/taize/per_crucem.html"&gt;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926</v>
      </c>
      <c r="C1865" s="1" t="s">
        <v>1020</v>
      </c>
      <c r="D1865" s="1" t="s">
        <v>1139</v>
      </c>
      <c r="F1865" s="1">
        <v>429</v>
      </c>
      <c r="H1865" s="1" t="s">
        <v>530</v>
      </c>
      <c r="I1865" s="1" t="s">
        <v>2951</v>
      </c>
      <c r="J1865" s="1" t="s">
        <v>607</v>
      </c>
      <c r="M1865" s="15" t="s">
        <v>1938</v>
      </c>
      <c r="N1865" s="1" t="s">
        <v>4017</v>
      </c>
      <c r="O1865" s="15">
        <v>12</v>
      </c>
      <c r="P1865" s="15">
        <v>1988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865" s="1" t="s">
        <v>973</v>
      </c>
      <c r="U1865" s="1" t="s">
        <v>784</v>
      </c>
      <c r="V1865" s="15" t="s">
        <v>4073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X1865" s="15" t="str">
        <f>_xlfn.TEXTBEFORE(_xlfn.TEXTAFTER(CantoralDB[[#This Row],[index.html]],"&gt;"),"&gt;")&amp;"&gt;"</f>
        <v>&lt;a href="canciones/taize/laudate_omnes_gentes.html"&gt;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905</v>
      </c>
      <c r="C1866" s="1" t="s">
        <v>1020</v>
      </c>
      <c r="D1866" s="1" t="s">
        <v>1119</v>
      </c>
      <c r="H1866" s="1" t="s">
        <v>530</v>
      </c>
      <c r="I1866" s="1" t="s">
        <v>2950</v>
      </c>
      <c r="J1866" s="1" t="s">
        <v>607</v>
      </c>
      <c r="M1866" s="15" t="s">
        <v>1938</v>
      </c>
      <c r="N1866" s="1" t="s">
        <v>4017</v>
      </c>
      <c r="O1866" s="15">
        <v>13</v>
      </c>
      <c r="P1866" s="15">
        <v>1988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866" s="1" t="s">
        <v>962</v>
      </c>
      <c r="U1866" s="1" t="s">
        <v>346</v>
      </c>
      <c r="V1866" s="15" t="s">
        <v>4074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866" s="15" t="str">
        <f>_xlfn.TEXTBEFORE(_xlfn.TEXTAFTER(CantoralDB[[#This Row],[index.html]],"&gt;"),"&gt;")&amp;"&gt;"</f>
        <v>&lt;a href="canciones/taize/el_senyor.html"&gt;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872</v>
      </c>
      <c r="C1867" s="1" t="s">
        <v>1020</v>
      </c>
      <c r="D1867" s="1" t="s">
        <v>1072</v>
      </c>
      <c r="H1867" s="1" t="s">
        <v>1027</v>
      </c>
      <c r="I1867" s="1" t="s">
        <v>2952</v>
      </c>
      <c r="J1867" s="1" t="s">
        <v>607</v>
      </c>
      <c r="M1867" s="15" t="s">
        <v>1938</v>
      </c>
      <c r="N1867" s="1" t="s">
        <v>4061</v>
      </c>
      <c r="O1867" s="15">
        <v>2</v>
      </c>
      <c r="P1867" s="15">
        <v>1998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867" s="1"/>
      <c r="U1867" s="1" t="s">
        <v>280</v>
      </c>
      <c r="V1867" s="15" t="s">
        <v>4076</v>
      </c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867" s="15" t="str">
        <f>_xlfn.TEXTBEFORE(_xlfn.TEXTAFTER(CantoralDB[[#This Row],[index.html]],"&gt;"),"&gt;")&amp;"&gt;"</f>
        <v>&lt;a href="canciones/taize/adoramus_te_o_christe.html"&gt;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890</v>
      </c>
      <c r="C1868" s="1" t="s">
        <v>1020</v>
      </c>
      <c r="D1868" s="1" t="s">
        <v>1093</v>
      </c>
      <c r="H1868" s="1" t="s">
        <v>1029</v>
      </c>
      <c r="J1868" s="1" t="s">
        <v>607</v>
      </c>
      <c r="M1868" s="15" t="s">
        <v>1938</v>
      </c>
      <c r="N1868" s="1" t="s">
        <v>4042</v>
      </c>
      <c r="O1868" s="15">
        <v>2</v>
      </c>
      <c r="P1868" s="15">
        <v>2006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868" s="1" t="s">
        <v>954</v>
      </c>
      <c r="U1868" s="1" t="s">
        <v>324</v>
      </c>
      <c r="V1868" s="15" t="s">
        <v>4078</v>
      </c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868" s="15" t="str">
        <f>_xlfn.TEXTBEFORE(_xlfn.TEXTAFTER(CantoralDB[[#This Row],[index.html]],"&gt;"),"&gt;")&amp;"&gt;"</f>
        <v>&lt;a href="canciones/taize/cantarei_ao_senhor.html"&gt;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882</v>
      </c>
      <c r="C1869" s="1" t="s">
        <v>1020</v>
      </c>
      <c r="D1869" s="1" t="s">
        <v>1085</v>
      </c>
      <c r="H1869" s="1" t="s">
        <v>530</v>
      </c>
      <c r="I1869" s="1" t="s">
        <v>2951</v>
      </c>
      <c r="J1869" s="1" t="s">
        <v>607</v>
      </c>
      <c r="M1869" s="15" t="s">
        <v>1938</v>
      </c>
      <c r="N1869" s="1" t="s">
        <v>4042</v>
      </c>
      <c r="O1869" s="15">
        <v>3</v>
      </c>
      <c r="P1869" s="15">
        <v>2006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869" s="1" t="s">
        <v>948</v>
      </c>
      <c r="U1869" s="1" t="s">
        <v>311</v>
      </c>
      <c r="V1869" s="15" t="s">
        <v>4079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869" s="15" t="str">
        <f>_xlfn.TEXTBEFORE(_xlfn.TEXTAFTER(CantoralDB[[#This Row],[index.html]],"&gt;"),"&gt;")&amp;"&gt;"</f>
        <v>&lt;a href="canciones/taize/behüte_mich_gott.html"&gt;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909</v>
      </c>
      <c r="C1870" s="1" t="s">
        <v>1020</v>
      </c>
      <c r="D1870" s="1" t="s">
        <v>1126</v>
      </c>
      <c r="H1870" s="1" t="s">
        <v>1026</v>
      </c>
      <c r="I1870" s="1" t="s">
        <v>2952</v>
      </c>
      <c r="J1870" s="1" t="s">
        <v>607</v>
      </c>
      <c r="M1870" s="15" t="s">
        <v>1938</v>
      </c>
      <c r="N1870" s="1" t="s">
        <v>4042</v>
      </c>
      <c r="O1870" s="15">
        <v>5</v>
      </c>
      <c r="P1870" s="15">
        <v>2006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870" s="1" t="s">
        <v>965</v>
      </c>
      <c r="U1870" s="1" t="s">
        <v>366</v>
      </c>
      <c r="V1870" s="15" t="s">
        <v>4081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870" s="15" t="str">
        <f>_xlfn.TEXTBEFORE(_xlfn.TEXTAFTER(CantoralDB[[#This Row],[index.html]],"&gt;"),"&gt;")&amp;"&gt;"</f>
        <v>&lt;a href="canciones/taize/i_am_sure_i_shall_see.html"&gt;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891</v>
      </c>
      <c r="C1871" s="1" t="s">
        <v>1020</v>
      </c>
      <c r="D1871" s="1" t="s">
        <v>1094</v>
      </c>
      <c r="H1871" s="1" t="s">
        <v>1029</v>
      </c>
      <c r="J1871" s="1" t="s">
        <v>607</v>
      </c>
      <c r="M1871" s="15" t="s">
        <v>1938</v>
      </c>
      <c r="N1871" s="1" t="s">
        <v>4042</v>
      </c>
      <c r="O1871" s="15">
        <v>9</v>
      </c>
      <c r="P1871" s="15">
        <v>2006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871" s="1" t="s">
        <v>955</v>
      </c>
      <c r="U1871" s="1" t="s">
        <v>326</v>
      </c>
      <c r="V1871" s="15" t="s">
        <v>4085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871" s="15" t="str">
        <f>_xlfn.TEXTBEFORE(_xlfn.TEXTAFTER(CantoralDB[[#This Row],[index.html]],"&gt;"),"&gt;")&amp;"&gt;"</f>
        <v>&lt;a href="canciones/taize/cantate_domino_canticum_novum.html"&gt;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921</v>
      </c>
      <c r="C1872" s="1" t="s">
        <v>1020</v>
      </c>
      <c r="D1872" s="1" t="s">
        <v>1133</v>
      </c>
      <c r="H1872" s="1" t="s">
        <v>530</v>
      </c>
      <c r="I1872" s="1" t="s">
        <v>2951</v>
      </c>
      <c r="J1872" s="1" t="s">
        <v>607</v>
      </c>
      <c r="M1872" s="15" t="s">
        <v>1938</v>
      </c>
      <c r="N1872" s="1" t="s">
        <v>4042</v>
      </c>
      <c r="O1872" s="15">
        <v>10</v>
      </c>
      <c r="P1872" s="15">
        <v>2006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872" s="1"/>
      <c r="U1872" s="1" t="s">
        <v>398</v>
      </c>
      <c r="V1872" s="15" t="s">
        <v>4086</v>
      </c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872" s="15" t="str">
        <f>_xlfn.TEXTBEFORE(_xlfn.TEXTAFTER(CantoralDB[[#This Row],[index.html]],"&gt;"),"&gt;")&amp;"&gt;"</f>
        <v>&lt;a href="canciones/taize/kyrie_20.html"&gt;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893</v>
      </c>
      <c r="C1873" s="1" t="s">
        <v>1020</v>
      </c>
      <c r="D1873" s="1" t="s">
        <v>1096</v>
      </c>
      <c r="H1873" s="1" t="s">
        <v>1026</v>
      </c>
      <c r="I1873" s="1" t="s">
        <v>2951</v>
      </c>
      <c r="J1873" s="1" t="s">
        <v>607</v>
      </c>
      <c r="M1873" s="15" t="s">
        <v>1938</v>
      </c>
      <c r="N1873" s="1" t="s">
        <v>4042</v>
      </c>
      <c r="O1873" s="15">
        <v>13</v>
      </c>
      <c r="P1873" s="15">
        <v>2006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873" s="1" t="s">
        <v>869</v>
      </c>
      <c r="U1873" s="1" t="s">
        <v>328</v>
      </c>
      <c r="V1873" s="15" t="s">
        <v>4089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873" s="15" t="str">
        <f>_xlfn.TEXTBEFORE(_xlfn.TEXTAFTER(CantoralDB[[#This Row],[index.html]],"&gt;"),"&gt;")&amp;"&gt;"</f>
        <v>&lt;a href="canciones/taize/christe_lux_mundi.html"&gt;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901</v>
      </c>
      <c r="C1874" s="1" t="s">
        <v>1020</v>
      </c>
      <c r="D1874" s="1" t="s">
        <v>1099</v>
      </c>
      <c r="H1874" s="1" t="s">
        <v>530</v>
      </c>
      <c r="J1874" s="1" t="s">
        <v>607</v>
      </c>
      <c r="M1874" s="15" t="s">
        <v>1938</v>
      </c>
      <c r="N1874" s="1" t="s">
        <v>4042</v>
      </c>
      <c r="O1874" s="15">
        <v>14</v>
      </c>
      <c r="P1874" s="15">
        <v>2006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874" s="1" t="s">
        <v>960</v>
      </c>
      <c r="U1874" s="1" t="s">
        <v>341</v>
      </c>
      <c r="V1874" s="15" t="s">
        <v>4090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874" s="15" t="str">
        <f>_xlfn.TEXTBEFORE(_xlfn.TEXTAFTER(CantoralDB[[#This Row],[index.html]],"&gt;"),"&gt;")&amp;"&gt;"</f>
        <v>&lt;a href="canciones/taize/dominus_spiritus_est.html"&gt;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907</v>
      </c>
      <c r="C1875" s="1" t="s">
        <v>1020</v>
      </c>
      <c r="D1875" s="1" t="s">
        <v>1115</v>
      </c>
      <c r="H1875" s="1" t="s">
        <v>1029</v>
      </c>
      <c r="J1875" s="1" t="s">
        <v>607</v>
      </c>
      <c r="M1875" s="15" t="s">
        <v>1938</v>
      </c>
      <c r="N1875" s="1" t="s">
        <v>343</v>
      </c>
      <c r="O1875" s="15">
        <v>8</v>
      </c>
      <c r="P1875" s="15">
        <v>2026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875" s="1" t="s">
        <v>963</v>
      </c>
      <c r="U1875" s="1" t="s">
        <v>275</v>
      </c>
      <c r="V1875" s="15" t="s">
        <v>4095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875" s="15" t="str">
        <f>_xlfn.TEXTBEFORE(_xlfn.TEXTAFTER(CantoralDB[[#This Row],[index.html]],"&gt;"),"&gt;")&amp;"&gt;"</f>
        <v>&lt;a href="canciones/taize/herre_visa_mig_vägen.html"&gt;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942</v>
      </c>
      <c r="C1876" s="1" t="s">
        <v>1020</v>
      </c>
      <c r="D1876" s="1" t="s">
        <v>1151</v>
      </c>
      <c r="H1876" s="1" t="s">
        <v>1026</v>
      </c>
      <c r="I1876" s="1" t="s">
        <v>2952</v>
      </c>
      <c r="J1876" s="1" t="s">
        <v>607</v>
      </c>
      <c r="M1876" s="15" t="s">
        <v>1938</v>
      </c>
      <c r="N1876" s="1" t="s">
        <v>343</v>
      </c>
      <c r="O1876" s="15">
        <v>9</v>
      </c>
      <c r="P1876" s="15">
        <v>2026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876" s="1"/>
      <c r="U1876" s="1" t="s">
        <v>465</v>
      </c>
      <c r="V1876" s="15" t="s">
        <v>4096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876" s="15" t="str">
        <f>_xlfn.TEXTBEFORE(_xlfn.TEXTAFTER(CantoralDB[[#This Row],[index.html]],"&gt;"),"&gt;")&amp;"&gt;"</f>
        <v>&lt;a href="canciones/taize/vieni_spirito_creatore_(canon).html"&gt;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899</v>
      </c>
      <c r="C1877" s="1" t="s">
        <v>1020</v>
      </c>
      <c r="D1877" s="1" t="s">
        <v>1113</v>
      </c>
      <c r="H1877" s="1" t="s">
        <v>1029</v>
      </c>
      <c r="I1877" s="1" t="s">
        <v>2949</v>
      </c>
      <c r="J1877" s="1" t="s">
        <v>607</v>
      </c>
      <c r="M1877" s="15" t="s">
        <v>1938</v>
      </c>
      <c r="N1877" s="1" t="s">
        <v>343</v>
      </c>
      <c r="O1877" s="15">
        <v>12</v>
      </c>
      <c r="P1877" s="15">
        <v>2026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877" s="1" t="s">
        <v>961</v>
      </c>
      <c r="U1877" s="1" t="s">
        <v>338</v>
      </c>
      <c r="V1877" s="15" t="s">
        <v>4098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877" s="15" t="str">
        <f>_xlfn.TEXTBEFORE(_xlfn.TEXTAFTER(CantoralDB[[#This Row],[index.html]],"&gt;"),"&gt;")&amp;"&gt;"</f>
        <v>&lt;a href="canciones/taize/deus_deus_meus_(canon).html"&gt;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1024</v>
      </c>
      <c r="C1878" s="1" t="s">
        <v>1020</v>
      </c>
      <c r="D1878" s="1" t="s">
        <v>1111</v>
      </c>
      <c r="H1878" s="1" t="s">
        <v>1026</v>
      </c>
      <c r="I1878" s="1" t="s">
        <v>2952</v>
      </c>
      <c r="J1878" s="1" t="s">
        <v>607</v>
      </c>
      <c r="M1878" s="15" t="s">
        <v>1938</v>
      </c>
      <c r="N1878" s="1" t="s">
        <v>343</v>
      </c>
      <c r="O1878" s="15">
        <v>13</v>
      </c>
      <c r="P1878" s="15">
        <v>2026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878" s="1"/>
      <c r="U1878" s="1" t="s">
        <v>1025</v>
      </c>
      <c r="V1878" s="15" t="s">
        <v>4099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878" s="15" t="str">
        <f>_xlfn.TEXTBEFORE(_xlfn.TEXTAFTER(CantoralDB[[#This Row],[index.html]],"&gt;"),"&gt;")&amp;"&gt;"</f>
        <v>&lt;a href="canciones/taize/v_tebi_je_izvir_življenja.html"&gt;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986</v>
      </c>
      <c r="C1879" s="1" t="s">
        <v>1020</v>
      </c>
      <c r="D1879" s="1" t="s">
        <v>1069</v>
      </c>
      <c r="H1879" s="1" t="s">
        <v>530</v>
      </c>
      <c r="I1879" s="1" t="s">
        <v>2952</v>
      </c>
      <c r="J1879" s="1" t="s">
        <v>607</v>
      </c>
      <c r="M1879" s="15" t="s">
        <v>1938</v>
      </c>
      <c r="N1879" s="1" t="s">
        <v>379</v>
      </c>
      <c r="O1879" s="15">
        <v>16</v>
      </c>
      <c r="P1879" s="15">
        <v>2024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879" s="1" t="s">
        <v>987</v>
      </c>
      <c r="U1879" s="1" t="s">
        <v>471</v>
      </c>
      <c r="V1879" s="15" t="s">
        <v>4104</v>
      </c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879" s="15" t="str">
        <f>_xlfn.TEXTBEFORE(_xlfn.TEXTAFTER(CantoralDB[[#This Row],[index.html]],"&gt;"),"&gt;")&amp;"&gt;"</f>
        <v>&lt;a href="canciones/taize/zu_wem_sollen_wir_gehen.html"&gt;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914</v>
      </c>
      <c r="C1880" s="1" t="s">
        <v>1020</v>
      </c>
      <c r="D1880" s="1" t="s">
        <v>1102</v>
      </c>
      <c r="H1880" s="1" t="s">
        <v>530</v>
      </c>
      <c r="I1880" s="1" t="s">
        <v>2952</v>
      </c>
      <c r="J1880" s="1" t="s">
        <v>607</v>
      </c>
      <c r="M1880" s="15" t="s">
        <v>1938</v>
      </c>
      <c r="N1880" s="1" t="s">
        <v>4020</v>
      </c>
      <c r="O1880" s="15">
        <v>7</v>
      </c>
      <c r="P1880" s="15">
        <v>1992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880" s="1"/>
      <c r="U1880" s="1" t="s">
        <v>376</v>
      </c>
      <c r="V1880" s="15" t="s">
        <v>4111</v>
      </c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880" s="15" t="str">
        <f>_xlfn.TEXTBEFORE(_xlfn.TEXTAFTER(CantoralDB[[#This Row],[index.html]],"&gt;"),"&gt;")&amp;"&gt;"</f>
        <v>&lt;a href="canciones/taize/jesus_le_christ.html"&gt;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925</v>
      </c>
      <c r="C1881" s="1" t="s">
        <v>1020</v>
      </c>
      <c r="D1881" s="1" t="s">
        <v>1138</v>
      </c>
      <c r="H1881" s="1" t="s">
        <v>1029</v>
      </c>
      <c r="I1881" s="1" t="s">
        <v>2951</v>
      </c>
      <c r="J1881" s="1" t="s">
        <v>607</v>
      </c>
      <c r="M1881" s="15" t="s">
        <v>1938</v>
      </c>
      <c r="N1881" s="1" t="s">
        <v>4020</v>
      </c>
      <c r="O1881" s="15">
        <v>8</v>
      </c>
      <c r="P1881" s="15">
        <v>1992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881" s="1" t="s">
        <v>973</v>
      </c>
      <c r="U1881" s="1" t="s">
        <v>783</v>
      </c>
      <c r="V1881" s="15" t="s">
        <v>4112</v>
      </c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881" s="15" t="str">
        <f>_xlfn.TEXTBEFORE(_xlfn.TEXTAFTER(CantoralDB[[#This Row],[index.html]],"&gt;"),"&gt;")&amp;"&gt;"</f>
        <v>&lt;a href="canciones/taize/laudate_dominum.html"&gt;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884</v>
      </c>
      <c r="C1882" s="1" t="s">
        <v>1020</v>
      </c>
      <c r="D1882" s="1" t="s">
        <v>1086</v>
      </c>
      <c r="H1882" s="1" t="s">
        <v>530</v>
      </c>
      <c r="I1882" s="1" t="s">
        <v>2952</v>
      </c>
      <c r="J1882" s="1" t="s">
        <v>607</v>
      </c>
      <c r="M1882" s="15" t="s">
        <v>1938</v>
      </c>
      <c r="N1882" s="1" t="s">
        <v>4020</v>
      </c>
      <c r="O1882" s="15">
        <v>9</v>
      </c>
      <c r="P1882" s="15">
        <v>1992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882" s="1" t="s">
        <v>950</v>
      </c>
      <c r="U1882" s="1" t="s">
        <v>315</v>
      </c>
      <c r="V1882" s="15" t="s">
        <v>4113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882" s="15" t="str">
        <f>_xlfn.TEXTBEFORE(_xlfn.TEXTAFTER(CantoralDB[[#This Row],[index.html]],"&gt;"),"&gt;")&amp;"&gt;"</f>
        <v>&lt;a href="canciones/taize/benissez_le_seigneur.html"&gt;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889</v>
      </c>
      <c r="C1883" s="1" t="s">
        <v>1020</v>
      </c>
      <c r="D1883" s="1" t="s">
        <v>1092</v>
      </c>
      <c r="H1883" s="1" t="s">
        <v>530</v>
      </c>
      <c r="I1883" s="1" t="s">
        <v>2950</v>
      </c>
      <c r="J1883" s="1" t="s">
        <v>607</v>
      </c>
      <c r="M1883" s="15" t="s">
        <v>1938</v>
      </c>
      <c r="N1883" s="1" t="s">
        <v>4020</v>
      </c>
      <c r="O1883" s="15">
        <v>13</v>
      </c>
      <c r="P1883" s="15">
        <v>1992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883" s="1" t="s">
        <v>953</v>
      </c>
      <c r="U1883" s="1" t="s">
        <v>322</v>
      </c>
      <c r="V1883" s="15" t="s">
        <v>4117</v>
      </c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883" s="15" t="str">
        <f>_xlfn.TEXTBEFORE(_xlfn.TEXTAFTER(CantoralDB[[#This Row],[index.html]],"&gt;"),"&gt;")&amp;"&gt;"</f>
        <v>&lt;a href="canciones/taize/bonum_est_confidere.html"&gt;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916</v>
      </c>
      <c r="C1884" s="1" t="s">
        <v>1020</v>
      </c>
      <c r="D1884" s="1" t="s">
        <v>1129</v>
      </c>
      <c r="H1884" s="1" t="s">
        <v>530</v>
      </c>
      <c r="I1884" s="1" t="s">
        <v>2951</v>
      </c>
      <c r="J1884" s="1" t="s">
        <v>607</v>
      </c>
      <c r="M1884" s="15" t="s">
        <v>1938</v>
      </c>
      <c r="N1884" s="1" t="s">
        <v>4020</v>
      </c>
      <c r="O1884" s="15">
        <v>16</v>
      </c>
      <c r="P1884" s="15">
        <v>1992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884" s="1" t="s">
        <v>969</v>
      </c>
      <c r="U1884" s="1" t="s">
        <v>378</v>
      </c>
      <c r="V1884" s="15" t="s">
        <v>4120</v>
      </c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884" s="15" t="str">
        <f>_xlfn.TEXTBEFORE(_xlfn.TEXTAFTER(CantoralDB[[#This Row],[index.html]],"&gt;"),"&gt;")&amp;"&gt;"</f>
        <v>&lt;a href="canciones/taize/jesus_remember_me.html"&gt;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917</v>
      </c>
      <c r="C1885" s="1" t="s">
        <v>1020</v>
      </c>
      <c r="D1885" s="1" t="s">
        <v>1075</v>
      </c>
      <c r="H1885" s="1" t="s">
        <v>472</v>
      </c>
      <c r="J1885" s="1" t="s">
        <v>607</v>
      </c>
      <c r="M1885" s="15" t="s">
        <v>1938</v>
      </c>
      <c r="N1885" s="1" t="s">
        <v>4054</v>
      </c>
      <c r="O1885" s="15">
        <v>3</v>
      </c>
      <c r="P1885" s="15">
        <v>2017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885" s="1" t="s">
        <v>970</v>
      </c>
      <c r="U1885" s="1" t="s">
        <v>379</v>
      </c>
      <c r="V1885" s="15" t="s">
        <v>4122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885" s="15" t="str">
        <f>_xlfn.TEXTBEFORE(_xlfn.TEXTAFTER(CantoralDB[[#This Row],[index.html]],"&gt;"),"&gt;")&amp;"&gt;"</f>
        <v>&lt;a href="canciones/taize/jubelt_und_freut_euch.html"&gt;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933</v>
      </c>
      <c r="C1886" s="1" t="s">
        <v>1020</v>
      </c>
      <c r="D1886" s="1" t="s">
        <v>1145</v>
      </c>
      <c r="H1886" s="1" t="s">
        <v>530</v>
      </c>
      <c r="I1886" s="1" t="s">
        <v>2950</v>
      </c>
      <c r="J1886" s="1" t="s">
        <v>607</v>
      </c>
      <c r="M1886" s="15" t="s">
        <v>1938</v>
      </c>
      <c r="N1886" s="1" t="s">
        <v>4054</v>
      </c>
      <c r="O1886" s="15">
        <v>4</v>
      </c>
      <c r="P1886" s="15">
        <v>2017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886" s="1" t="s">
        <v>980</v>
      </c>
      <c r="U1886" s="1" t="s">
        <v>432</v>
      </c>
      <c r="V1886" s="15" t="s">
        <v>4123</v>
      </c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886" s="15" t="str">
        <f>_xlfn.TEXTBEFORE(_xlfn.TEXTAFTER(CantoralDB[[#This Row],[index.html]],"&gt;"),"&gt;")&amp;"&gt;"</f>
        <v>&lt;a href="canciones/taize/sanasi_on_lamppu.html"&gt;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908</v>
      </c>
      <c r="C1887" s="1" t="s">
        <v>1020</v>
      </c>
      <c r="D1887" s="1" t="s">
        <v>1125</v>
      </c>
      <c r="H1887" s="1" t="s">
        <v>1029</v>
      </c>
      <c r="I1887" s="1" t="s">
        <v>2950</v>
      </c>
      <c r="J1887" s="1" t="s">
        <v>607</v>
      </c>
      <c r="M1887" s="15" t="s">
        <v>1938</v>
      </c>
      <c r="N1887" s="1" t="s">
        <v>4054</v>
      </c>
      <c r="O1887" s="15">
        <v>11</v>
      </c>
      <c r="P1887" s="15">
        <v>2017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887" s="1" t="s">
        <v>964</v>
      </c>
      <c r="U1887" s="1" t="s">
        <v>362</v>
      </c>
      <c r="V1887" s="15" t="s">
        <v>4128</v>
      </c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887" s="15" t="str">
        <f>_xlfn.TEXTBEFORE(_xlfn.TEXTAFTER(CantoralDB[[#This Row],[index.html]],"&gt;"),"&gt;")&amp;"&gt;"</f>
        <v>&lt;a href="canciones/taize/heureux_qui_s’abandonne_à_toi.html"&gt;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943</v>
      </c>
      <c r="C1888" s="1" t="s">
        <v>1020</v>
      </c>
      <c r="D1888" s="1" t="s">
        <v>1121</v>
      </c>
      <c r="H1888" s="1" t="s">
        <v>530</v>
      </c>
      <c r="I1888" s="1" t="s">
        <v>2951</v>
      </c>
      <c r="J1888" s="1" t="s">
        <v>607</v>
      </c>
      <c r="M1888" s="15" t="s">
        <v>1938</v>
      </c>
      <c r="N1888" s="1" t="s">
        <v>4054</v>
      </c>
      <c r="O1888" s="15">
        <v>14</v>
      </c>
      <c r="P1888" s="15">
        <v>2017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888" s="1" t="s">
        <v>985</v>
      </c>
      <c r="U1888" s="1" t="s">
        <v>467</v>
      </c>
      <c r="V1888" s="15" t="s">
        <v>4131</v>
      </c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888" s="15" t="str">
        <f>_xlfn.TEXTBEFORE(_xlfn.TEXTAFTER(CantoralDB[[#This Row],[index.html]],"&gt;"),"&gt;")&amp;"&gt;"</f>
        <v>&lt;a href="canciones/taize/voici_dieu_qui_vient_à_mon_secours.html"&gt;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935</v>
      </c>
      <c r="C1889" s="1" t="s">
        <v>1020</v>
      </c>
      <c r="D1889" s="1" t="s">
        <v>1146</v>
      </c>
      <c r="H1889" s="1" t="s">
        <v>472</v>
      </c>
      <c r="I1889" s="1" t="s">
        <v>2950</v>
      </c>
      <c r="J1889" s="1" t="s">
        <v>607</v>
      </c>
      <c r="M1889" s="15" t="s">
        <v>1938</v>
      </c>
      <c r="N1889" s="1" t="s">
        <v>4054</v>
      </c>
      <c r="O1889" s="15">
        <v>16</v>
      </c>
      <c r="P1889" s="15">
        <v>2017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889" s="1" t="s">
        <v>982</v>
      </c>
      <c r="U1889" s="1" t="s">
        <v>442</v>
      </c>
      <c r="V1889" s="15" t="s">
        <v>4132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889" s="15" t="str">
        <f>_xlfn.TEXTBEFORE(_xlfn.TEXTAFTER(CantoralDB[[#This Row],[index.html]],"&gt;"),"&gt;")&amp;"&gt;"</f>
        <v>&lt;a href="canciones/taize/staňte_se_soli.html"&gt;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941</v>
      </c>
      <c r="C1890" s="1" t="s">
        <v>1020</v>
      </c>
      <c r="D1890" s="1" t="s">
        <v>1116</v>
      </c>
      <c r="E1890" s="1">
        <v>466</v>
      </c>
      <c r="H1890" s="1" t="s">
        <v>530</v>
      </c>
      <c r="I1890" s="1" t="s">
        <v>2950</v>
      </c>
      <c r="J1890" s="1" t="s">
        <v>607</v>
      </c>
      <c r="M1890" s="15" t="s">
        <v>1938</v>
      </c>
      <c r="N1890" s="1" t="s">
        <v>784</v>
      </c>
      <c r="O1890" s="15">
        <v>6</v>
      </c>
      <c r="P1890" s="15">
        <v>2002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890" s="1"/>
      <c r="U1890" s="1" t="s">
        <v>455</v>
      </c>
      <c r="V1890" s="15" t="s">
        <v>4133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890" s="15" t="str">
        <f>_xlfn.TEXTBEFORE(_xlfn.TEXTAFTER(CantoralDB[[#This Row],[index.html]],"&gt;"),"&gt;")&amp;"&gt;"</f>
        <v>&lt;a href="canciones/taize/ubi_caritas.html"&gt;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937</v>
      </c>
      <c r="C1891" s="1" t="s">
        <v>1020</v>
      </c>
      <c r="D1891" s="1" t="s">
        <v>1101</v>
      </c>
      <c r="H1891" s="1" t="s">
        <v>472</v>
      </c>
      <c r="I1891" s="1" t="s">
        <v>2951</v>
      </c>
      <c r="J1891" s="1" t="s">
        <v>607</v>
      </c>
      <c r="M1891" s="15" t="s">
        <v>1938</v>
      </c>
      <c r="N1891" s="1" t="s">
        <v>784</v>
      </c>
      <c r="O1891" s="15">
        <v>8</v>
      </c>
      <c r="P1891" s="15">
        <v>2002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891" s="1" t="s">
        <v>983</v>
      </c>
      <c r="U1891" s="1" t="s">
        <v>444</v>
      </c>
      <c r="V1891" s="15" t="s">
        <v>4134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891" s="15" t="str">
        <f>_xlfn.TEXTBEFORE(_xlfn.TEXTAFTER(CantoralDB[[#This Row],[index.html]],"&gt;"),"&gt;")&amp;"&gt;"</f>
        <v>&lt;a href="canciones/taize/surrexit_dominus_vere_(canon).html"&gt;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892</v>
      </c>
      <c r="C1892" s="1" t="s">
        <v>1020</v>
      </c>
      <c r="D1892" s="1" t="s">
        <v>1095</v>
      </c>
      <c r="H1892" s="1" t="s">
        <v>530</v>
      </c>
      <c r="I1892" s="1" t="s">
        <v>2951</v>
      </c>
      <c r="J1892" s="1" t="s">
        <v>607</v>
      </c>
      <c r="M1892" s="15" t="s">
        <v>1938</v>
      </c>
      <c r="N1892" s="1" t="s">
        <v>784</v>
      </c>
      <c r="O1892" s="15">
        <v>17</v>
      </c>
      <c r="P1892" s="15">
        <v>2002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892" s="1"/>
      <c r="U1892" s="1" t="s">
        <v>329</v>
      </c>
      <c r="V1892" s="15" t="s">
        <v>4136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892" s="15" t="str">
        <f>_xlfn.TEXTBEFORE(_xlfn.TEXTAFTER(CantoralDB[[#This Row],[index.html]],"&gt;"),"&gt;")&amp;"&gt;"</f>
        <v>&lt;a href="canciones/taize/christe_salvator.html"&gt;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883</v>
      </c>
      <c r="C1893" s="1" t="s">
        <v>1020</v>
      </c>
      <c r="D1893" s="1" t="s">
        <v>1087</v>
      </c>
      <c r="H1893" s="1" t="s">
        <v>1027</v>
      </c>
      <c r="I1893" s="1" t="s">
        <v>2952</v>
      </c>
      <c r="J1893" s="1" t="s">
        <v>607</v>
      </c>
      <c r="M1893" s="15" t="s">
        <v>1938</v>
      </c>
      <c r="N1893" s="1" t="s">
        <v>784</v>
      </c>
      <c r="O1893" s="15">
        <v>18</v>
      </c>
      <c r="P1893" s="15">
        <v>2002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893" s="1" t="s">
        <v>949</v>
      </c>
      <c r="U1893" s="1" t="s">
        <v>313</v>
      </c>
      <c r="V1893" s="15" t="s">
        <v>4137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893" s="15" t="str">
        <f>_xlfn.TEXTBEFORE(_xlfn.TEXTAFTER(CantoralDB[[#This Row],[index.html]],"&gt;"),"&gt;")&amp;"&gt;"</f>
        <v>&lt;a href="canciones/taize/benedictus_qui_venit_(canon).html"&gt;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929</v>
      </c>
      <c r="C1894" s="1" t="s">
        <v>1020</v>
      </c>
      <c r="D1894" s="1" t="s">
        <v>1110</v>
      </c>
      <c r="H1894" s="1" t="s">
        <v>1029</v>
      </c>
      <c r="J1894" s="1" t="s">
        <v>607</v>
      </c>
      <c r="M1894" s="15" t="s">
        <v>1938</v>
      </c>
      <c r="N1894" s="1" t="s">
        <v>784</v>
      </c>
      <c r="O1894" s="15">
        <v>19</v>
      </c>
      <c r="P1894" s="15">
        <v>2002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894" s="1" t="s">
        <v>978</v>
      </c>
      <c r="U1894" s="1" t="s">
        <v>419</v>
      </c>
      <c r="V1894" s="15" t="s">
        <v>4138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894" s="15" t="str">
        <f>_xlfn.TEXTBEFORE(_xlfn.TEXTAFTER(CantoralDB[[#This Row],[index.html]],"&gt;"),"&gt;")&amp;"&gt;"</f>
        <v>&lt;a href="canciones/taize/nunc_dimittis.html"&gt;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873</v>
      </c>
      <c r="C1895" s="1" t="s">
        <v>1020</v>
      </c>
      <c r="D1895" s="1" t="s">
        <v>1071</v>
      </c>
      <c r="H1895" s="1" t="s">
        <v>1042</v>
      </c>
      <c r="I1895" s="1" t="s">
        <v>2952</v>
      </c>
      <c r="J1895" s="1" t="s">
        <v>607</v>
      </c>
      <c r="M1895" s="15" t="s">
        <v>1938</v>
      </c>
      <c r="N1895" s="1" t="s">
        <v>411</v>
      </c>
      <c r="O1895" s="15">
        <v>1</v>
      </c>
      <c r="P1895" s="15">
        <v>2010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895" s="1" t="s">
        <v>946</v>
      </c>
      <c r="U1895" s="1" t="s">
        <v>277</v>
      </c>
      <c r="V1895" s="15" t="s">
        <v>4139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895" s="15" t="str">
        <f>_xlfn.TEXTBEFORE(_xlfn.TEXTAFTER(CantoralDB[[#This Row],[index.html]],"&gt;"),"&gt;")&amp;"&gt;"</f>
        <v>&lt;a href="canciones/taize/ad_te_jesu_christe.html"&gt;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911</v>
      </c>
      <c r="C1896" s="1" t="s">
        <v>1020</v>
      </c>
      <c r="D1896" s="1" t="s">
        <v>1120</v>
      </c>
      <c r="H1896" s="1" t="s">
        <v>1026</v>
      </c>
      <c r="I1896" s="1" t="s">
        <v>2952</v>
      </c>
      <c r="J1896" s="1" t="s">
        <v>607</v>
      </c>
      <c r="M1896" s="15" t="s">
        <v>1938</v>
      </c>
      <c r="N1896" s="1" t="s">
        <v>411</v>
      </c>
      <c r="O1896" s="15">
        <v>2</v>
      </c>
      <c r="P1896" s="15">
        <v>2010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896" s="1" t="s">
        <v>967</v>
      </c>
      <c r="U1896" s="1" t="s">
        <v>368</v>
      </c>
      <c r="V1896" s="15" t="s">
        <v>4140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896" s="15" t="str">
        <f>_xlfn.TEXTBEFORE(_xlfn.TEXTAFTER(CantoralDB[[#This Row],[index.html]],"&gt;"),"&gt;")&amp;"&gt;"</f>
        <v>&lt;a href="canciones/taize/il_signore_ti_ristora.html"&gt;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876</v>
      </c>
      <c r="C1897" s="1" t="s">
        <v>1020</v>
      </c>
      <c r="D1897" s="1" t="s">
        <v>1079</v>
      </c>
      <c r="H1897" s="1" t="s">
        <v>472</v>
      </c>
      <c r="I1897" s="1" t="s">
        <v>2951</v>
      </c>
      <c r="J1897" s="1" t="s">
        <v>607</v>
      </c>
      <c r="M1897" s="15" t="s">
        <v>1938</v>
      </c>
      <c r="N1897" s="1" t="s">
        <v>411</v>
      </c>
      <c r="O1897" s="15">
        <v>3</v>
      </c>
      <c r="P1897" s="15">
        <v>2010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897" s="1"/>
      <c r="U1897" s="1" t="s">
        <v>302</v>
      </c>
      <c r="V1897" s="15" t="s">
        <v>4141</v>
      </c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897" s="15" t="str">
        <f>_xlfn.TEXTBEFORE(_xlfn.TEXTAFTER(CantoralDB[[#This Row],[index.html]],"&gt;"),"&gt;")&amp;"&gt;"</f>
        <v>&lt;a href="canciones/taize/alleluia_22.html"&gt;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910</v>
      </c>
      <c r="C1898" s="1" t="s">
        <v>1020</v>
      </c>
      <c r="D1898" s="1" t="s">
        <v>1127</v>
      </c>
      <c r="H1898" s="1" t="s">
        <v>1027</v>
      </c>
      <c r="I1898" s="1" t="s">
        <v>2952</v>
      </c>
      <c r="J1898" s="1" t="s">
        <v>607</v>
      </c>
      <c r="M1898" s="15" t="s">
        <v>1938</v>
      </c>
      <c r="N1898" s="1" t="s">
        <v>411</v>
      </c>
      <c r="O1898" s="15">
        <v>6</v>
      </c>
      <c r="P1898" s="15">
        <v>2010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898" s="1" t="s">
        <v>966</v>
      </c>
      <c r="U1898" s="1" t="s">
        <v>367</v>
      </c>
      <c r="V1898" s="15" t="s">
        <v>4144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898" s="15" t="str">
        <f>_xlfn.TEXTBEFORE(_xlfn.TEXTAFTER(CantoralDB[[#This Row],[index.html]],"&gt;"),"&gt;")&amp;"&gt;"</f>
        <v>&lt;a href="canciones/taize/iedere_nacht_verlang_ik.html"&gt;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871</v>
      </c>
      <c r="C1899" s="1" t="s">
        <v>1020</v>
      </c>
      <c r="D1899" s="1" t="s">
        <v>1070</v>
      </c>
      <c r="H1899" s="1" t="s">
        <v>530</v>
      </c>
      <c r="I1899" s="1" t="s">
        <v>2953</v>
      </c>
      <c r="J1899" s="1" t="s">
        <v>607</v>
      </c>
      <c r="M1899" s="15" t="s">
        <v>1938</v>
      </c>
      <c r="N1899" s="1" t="s">
        <v>411</v>
      </c>
      <c r="O1899" s="15">
        <v>11</v>
      </c>
      <c r="P1899" s="15">
        <v>2010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899" s="1" t="s">
        <v>945</v>
      </c>
      <c r="U1899" s="1" t="s">
        <v>276</v>
      </c>
      <c r="V1899" s="15" t="s">
        <v>4148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899" s="15" t="str">
        <f>_xlfn.TEXTBEFORE(_xlfn.TEXTAFTER(CantoralDB[[#This Row],[index.html]],"&gt;"),"&gt;")&amp;"&gt;"</f>
        <v>&lt;a href="canciones/taize/aber_du_weisst_den_weg_für_mich.html"&gt;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904</v>
      </c>
      <c r="C1900" s="1" t="s">
        <v>1020</v>
      </c>
      <c r="D1900" s="1" t="s">
        <v>1097</v>
      </c>
      <c r="H1900" s="1" t="s">
        <v>1027</v>
      </c>
      <c r="I1900" s="1" t="s">
        <v>2952</v>
      </c>
      <c r="J1900" s="1" t="s">
        <v>607</v>
      </c>
      <c r="M1900" s="15" t="s">
        <v>1938</v>
      </c>
      <c r="N1900" s="1" t="s">
        <v>411</v>
      </c>
      <c r="O1900" s="15">
        <v>14</v>
      </c>
      <c r="P1900" s="15">
        <v>2010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00" s="1" t="s">
        <v>868</v>
      </c>
      <c r="U1900" s="1" t="s">
        <v>344</v>
      </c>
      <c r="V1900" s="15" t="s">
        <v>4151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00" s="15" t="str">
        <f>_xlfn.TEXTBEFORE(_xlfn.TEXTAFTER(CantoralDB[[#This Row],[index.html]],"&gt;"),"&gt;")&amp;"&gt;"</f>
        <v>&lt;a href="canciones/taize/eat_this_bread.html"&gt;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906</v>
      </c>
      <c r="C1901" s="1" t="s">
        <v>1020</v>
      </c>
      <c r="D1901" s="1" t="s">
        <v>1123</v>
      </c>
      <c r="H1901" s="1" t="s">
        <v>1029</v>
      </c>
      <c r="J1901" s="1" t="s">
        <v>607</v>
      </c>
      <c r="M1901" s="15" t="s">
        <v>1938</v>
      </c>
      <c r="N1901" s="1" t="s">
        <v>411</v>
      </c>
      <c r="O1901" s="15">
        <v>17</v>
      </c>
      <c r="P1901" s="15">
        <v>2010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01" s="1"/>
      <c r="U1901" s="1" t="s">
        <v>348</v>
      </c>
      <c r="V1901" s="15" t="s">
        <v>4154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01" s="15" t="str">
        <f>_xlfn.TEXTBEFORE(_xlfn.TEXTAFTER(CantoralDB[[#This Row],[index.html]],"&gt;"),"&gt;")&amp;"&gt;"</f>
        <v>&lt;a href="canciones/taize/esprit_consolateur.html"&gt;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927</v>
      </c>
      <c r="C1902" s="1" t="s">
        <v>1020</v>
      </c>
      <c r="D1902" s="1" t="s">
        <v>1140</v>
      </c>
      <c r="H1902" s="1" t="s">
        <v>530</v>
      </c>
      <c r="I1902" s="1" t="s">
        <v>2952</v>
      </c>
      <c r="J1902" s="1" t="s">
        <v>607</v>
      </c>
      <c r="M1902" s="15" t="s">
        <v>1938</v>
      </c>
      <c r="N1902" s="1" t="s">
        <v>4052</v>
      </c>
      <c r="O1902" s="15">
        <v>19</v>
      </c>
      <c r="P1902" s="15">
        <v>2014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02" s="1" t="s">
        <v>974</v>
      </c>
      <c r="U1902" s="1" t="s">
        <v>407</v>
      </c>
      <c r="V1902" s="15" t="s">
        <v>4157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02" s="15" t="str">
        <f>_xlfn.TEXTBEFORE(_xlfn.TEXTAFTER(CantoralDB[[#This Row],[index.html]],"&gt;"),"&gt;")&amp;"&gt;"</f>
        <v>&lt;a href="canciones/taize/let_all_who_are_thirsty_come.html"&gt;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875</v>
      </c>
      <c r="C1903" s="1" t="s">
        <v>1020</v>
      </c>
      <c r="D1903" s="1" t="s">
        <v>1078</v>
      </c>
      <c r="H1903" s="1" t="s">
        <v>1029</v>
      </c>
      <c r="I1903" s="1" t="s">
        <v>2952</v>
      </c>
      <c r="J1903" s="1" t="s">
        <v>607</v>
      </c>
      <c r="M1903" s="15" t="s">
        <v>1938</v>
      </c>
      <c r="N1903" s="1" t="s">
        <v>4048</v>
      </c>
      <c r="O1903" s="15">
        <v>2</v>
      </c>
      <c r="P1903" s="15">
        <v>2012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03" s="1"/>
      <c r="U1903" s="1" t="s">
        <v>298</v>
      </c>
      <c r="V1903" s="15" t="s">
        <v>4158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03" s="15" t="str">
        <f>_xlfn.TEXTBEFORE(_xlfn.TEXTAFTER(CantoralDB[[#This Row],[index.html]],"&gt;"),"&gt;")&amp;"&gt;"</f>
        <v>&lt;a href="canciones/taize/alleluia_17.html"&gt;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915</v>
      </c>
      <c r="C1904" s="1" t="s">
        <v>1020</v>
      </c>
      <c r="D1904" s="1" t="s">
        <v>1130</v>
      </c>
      <c r="H1904" s="1" t="s">
        <v>1029</v>
      </c>
      <c r="J1904" s="1" t="s">
        <v>607</v>
      </c>
      <c r="M1904" s="15" t="s">
        <v>1938</v>
      </c>
      <c r="N1904" s="1" t="s">
        <v>4048</v>
      </c>
      <c r="O1904" s="15">
        <v>14</v>
      </c>
      <c r="P1904" s="15">
        <v>2012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04" s="1"/>
      <c r="U1904" s="1" t="s">
        <v>377</v>
      </c>
      <c r="V1904" s="15" t="s">
        <v>4161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04" s="15" t="str">
        <f>_xlfn.TEXTBEFORE(_xlfn.TEXTAFTER(CantoralDB[[#This Row],[index.html]],"&gt;"),"&gt;")&amp;"&gt;"</f>
        <v>&lt;a href="canciones/taize/jesus_ma_joie.html"&gt;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922</v>
      </c>
      <c r="C1905" s="1" t="s">
        <v>1020</v>
      </c>
      <c r="D1905" s="1" t="s">
        <v>1134</v>
      </c>
      <c r="H1905" s="1" t="s">
        <v>1029</v>
      </c>
      <c r="I1905" s="1" t="s">
        <v>2949</v>
      </c>
      <c r="J1905" s="1" t="s">
        <v>607</v>
      </c>
      <c r="M1905" s="15" t="s">
        <v>1938</v>
      </c>
      <c r="N1905" s="1" t="s">
        <v>4048</v>
      </c>
      <c r="O1905" s="15">
        <v>16</v>
      </c>
      <c r="P1905" s="15">
        <v>2012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05" s="1"/>
      <c r="U1905" s="1" t="s">
        <v>387</v>
      </c>
      <c r="V1905" s="15" t="s">
        <v>4162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05" s="15" t="str">
        <f>_xlfn.TEXTBEFORE(_xlfn.TEXTAFTER(CantoralDB[[#This Row],[index.html]],"&gt;"),"&gt;")&amp;"&gt;"</f>
        <v>&lt;a href="canciones/taize/kyrie_6.html"&gt;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902</v>
      </c>
      <c r="C1906" s="1" t="s">
        <v>1020</v>
      </c>
      <c r="D1906" s="1" t="s">
        <v>1107</v>
      </c>
      <c r="H1906" s="1" t="s">
        <v>1029</v>
      </c>
      <c r="I1906" s="1" t="s">
        <v>2950</v>
      </c>
      <c r="J1906" s="1" t="s">
        <v>607</v>
      </c>
      <c r="M1906" s="15" t="s">
        <v>1938</v>
      </c>
      <c r="N1906" s="1" t="s">
        <v>4012</v>
      </c>
      <c r="O1906" s="15">
        <v>5</v>
      </c>
      <c r="P1906" s="15">
        <v>1985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06" s="1"/>
      <c r="U1906" s="1" t="s">
        <v>342</v>
      </c>
      <c r="V1906" s="15" t="s">
        <v>4169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06" s="15" t="str">
        <f>_xlfn.TEXTBEFORE(_xlfn.TEXTAFTER(CantoralDB[[#This Row],[index.html]],"&gt;"),"&gt;")&amp;"&gt;"</f>
        <v>&lt;a href="canciones/taize/dona_la_pace.html"&gt;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885</v>
      </c>
      <c r="C1907" s="1" t="s">
        <v>1020</v>
      </c>
      <c r="D1907" s="1" t="s">
        <v>1088</v>
      </c>
      <c r="H1907" s="1" t="s">
        <v>530</v>
      </c>
      <c r="I1907" s="1" t="s">
        <v>2950</v>
      </c>
      <c r="J1907" s="1" t="s">
        <v>607</v>
      </c>
      <c r="M1907" s="15" t="s">
        <v>1938</v>
      </c>
      <c r="N1907" s="1" t="s">
        <v>4012</v>
      </c>
      <c r="O1907" s="15">
        <v>7</v>
      </c>
      <c r="P1907" s="15">
        <v>1985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07" s="1" t="s">
        <v>951</v>
      </c>
      <c r="U1907" s="1" t="s">
        <v>317</v>
      </c>
      <c r="V1907" s="15" t="s">
        <v>4171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07" s="15" t="str">
        <f>_xlfn.TEXTBEFORE(_xlfn.TEXTAFTER(CantoralDB[[#This Row],[index.html]],"&gt;"),"&gt;")&amp;"&gt;"</f>
        <v>&lt;a href="canciones/taize/bleibet_hier.html"&gt;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936</v>
      </c>
      <c r="C1908" s="1" t="s">
        <v>1020</v>
      </c>
      <c r="D1908" s="1" t="s">
        <v>1100</v>
      </c>
      <c r="H1908" s="1" t="s">
        <v>530</v>
      </c>
      <c r="I1908" s="1" t="s">
        <v>2952</v>
      </c>
      <c r="J1908" s="1" t="s">
        <v>607</v>
      </c>
      <c r="M1908" s="15" t="s">
        <v>1938</v>
      </c>
      <c r="N1908" s="1" t="s">
        <v>4012</v>
      </c>
      <c r="O1908" s="15">
        <v>8</v>
      </c>
      <c r="P1908" s="15">
        <v>1985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08" s="1"/>
      <c r="U1908" s="1" t="s">
        <v>443</v>
      </c>
      <c r="V1908" s="15" t="s">
        <v>4172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08" s="15" t="str">
        <f>_xlfn.TEXTBEFORE(_xlfn.TEXTAFTER(CantoralDB[[#This Row],[index.html]],"&gt;"),"&gt;")&amp;"&gt;"</f>
        <v>&lt;a href="canciones/taize/surrexit_christus.html"&gt;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2855</v>
      </c>
      <c r="C1909" s="1" t="s">
        <v>1020</v>
      </c>
      <c r="E1909" s="1">
        <v>187</v>
      </c>
      <c r="H1909" s="1" t="s">
        <v>1026</v>
      </c>
      <c r="J1909" s="1" t="s">
        <v>607</v>
      </c>
      <c r="M1909" s="15" t="s">
        <v>1938</v>
      </c>
      <c r="N1909" s="1" t="s">
        <v>4012</v>
      </c>
      <c r="O1909" s="15">
        <v>10</v>
      </c>
      <c r="P1909" s="15">
        <v>1985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09" s="1"/>
      <c r="U1909" s="1" t="s">
        <v>420</v>
      </c>
      <c r="V1909" s="15" t="s">
        <v>4174</v>
      </c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09" s="15" t="str">
        <f>_xlfn.TEXTBEFORE(_xlfn.TEXTAFTER(CantoralDB[[#This Row],[index.html]],"&gt;"),"&gt;")&amp;"&gt;"</f>
        <v>&lt;a href="canciones/taize/o_christe_domine_jesu.html"&gt;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877</v>
      </c>
      <c r="C1910" s="1" t="s">
        <v>1020</v>
      </c>
      <c r="D1910" s="1" t="s">
        <v>1080</v>
      </c>
      <c r="H1910" s="1" t="s">
        <v>1027</v>
      </c>
      <c r="J1910" s="1" t="s">
        <v>607</v>
      </c>
      <c r="M1910" s="15" t="s">
        <v>1938</v>
      </c>
      <c r="N1910" s="1" t="s">
        <v>4012</v>
      </c>
      <c r="O1910" s="15">
        <v>12</v>
      </c>
      <c r="P1910" s="15">
        <v>1985</v>
      </c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10" s="1"/>
      <c r="U1910" s="1" t="s">
        <v>293</v>
      </c>
      <c r="V1910" s="15" t="s">
        <v>4176</v>
      </c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10" s="15" t="str">
        <f>_xlfn.TEXTBEFORE(_xlfn.TEXTAFTER(CantoralDB[[#This Row],[index.html]],"&gt;"),"&gt;")&amp;"&gt;"</f>
        <v>&lt;a href="canciones/taize/alleluia_7.html"&gt;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903</v>
      </c>
      <c r="C1911" s="1" t="s">
        <v>1020</v>
      </c>
      <c r="D1911" s="1" t="s">
        <v>1106</v>
      </c>
      <c r="H1911" s="1" t="s">
        <v>1029</v>
      </c>
      <c r="I1911" s="1" t="s">
        <v>2950</v>
      </c>
      <c r="J1911" s="1" t="s">
        <v>607</v>
      </c>
      <c r="M1911" s="15" t="s">
        <v>1938</v>
      </c>
      <c r="N1911" s="1" t="s">
        <v>4012</v>
      </c>
      <c r="O1911" s="15">
        <v>13</v>
      </c>
      <c r="P1911" s="15">
        <v>1985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11" s="1"/>
      <c r="U1911" s="1" t="s">
        <v>343</v>
      </c>
      <c r="V1911" s="15" t="s">
        <v>4177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11" s="15" t="str">
        <f>_xlfn.TEXTBEFORE(_xlfn.TEXTAFTER(CantoralDB[[#This Row],[index.html]],"&gt;"),"&gt;")&amp;"&gt;"</f>
        <v>&lt;a href="canciones/taize/dona_nobis_pacem.html"&gt;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2121</v>
      </c>
      <c r="C1912" s="1" t="s">
        <v>1020</v>
      </c>
      <c r="D1912" s="1" t="s">
        <v>1124</v>
      </c>
      <c r="H1912" s="1" t="s">
        <v>1029</v>
      </c>
      <c r="I1912" s="1" t="s">
        <v>2951</v>
      </c>
      <c r="J1912" s="1" t="s">
        <v>607</v>
      </c>
      <c r="M1912" s="15" t="s">
        <v>1938</v>
      </c>
      <c r="N1912" s="1" t="s">
        <v>4012</v>
      </c>
      <c r="O1912" s="15">
        <v>14</v>
      </c>
      <c r="P1912" s="15">
        <v>1985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12" s="1" t="s">
        <v>979</v>
      </c>
      <c r="U1912" s="1" t="s">
        <v>427</v>
      </c>
      <c r="V1912" s="15" t="s">
        <v>4178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12" s="15" t="str">
        <f>_xlfn.TEXTBEFORE(_xlfn.TEXTAFTER(CantoralDB[[#This Row],[index.html]],"&gt;"),"&gt;")&amp;"&gt;"</f>
        <v>&lt;a href="canciones/taize/psallite_deo.html"&gt;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900</v>
      </c>
      <c r="C1913" s="1" t="s">
        <v>1020</v>
      </c>
      <c r="D1913" s="1" t="s">
        <v>1114</v>
      </c>
      <c r="H1913" s="1" t="s">
        <v>530</v>
      </c>
      <c r="I1913" s="1" t="s">
        <v>2952</v>
      </c>
      <c r="J1913" s="1" t="s">
        <v>607</v>
      </c>
      <c r="M1913" s="15" t="s">
        <v>1938</v>
      </c>
      <c r="N1913" s="1" t="s">
        <v>4031</v>
      </c>
      <c r="O1913" s="15">
        <v>7</v>
      </c>
      <c r="P1913" s="15">
        <v>1995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13" s="1"/>
      <c r="U1913" s="1" t="s">
        <v>339</v>
      </c>
      <c r="V1913" s="15" t="s">
        <v>4180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13" s="15" t="str">
        <f>_xlfn.TEXTBEFORE(_xlfn.TEXTAFTER(CantoralDB[[#This Row],[index.html]],"&gt;"),"&gt;")&amp;"&gt;"</f>
        <v>&lt;a href="canciones/taize/dieu_ne_peut_que_donner.html"&gt;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896</v>
      </c>
      <c r="C1914" s="1" t="s">
        <v>1020</v>
      </c>
      <c r="D1914" s="1" t="s">
        <v>1104</v>
      </c>
      <c r="H1914" s="1" t="s">
        <v>530</v>
      </c>
      <c r="I1914" s="1" t="s">
        <v>2951</v>
      </c>
      <c r="J1914" s="1" t="s">
        <v>607</v>
      </c>
      <c r="M1914" s="15" t="s">
        <v>1938</v>
      </c>
      <c r="N1914" s="1" t="s">
        <v>455</v>
      </c>
      <c r="O1914" s="15">
        <v>7</v>
      </c>
      <c r="P1914" s="15">
        <v>1996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14" s="1"/>
      <c r="U1914" s="1" t="s">
        <v>333</v>
      </c>
      <c r="V1914" s="15" t="s">
        <v>4185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14" s="15" t="str">
        <f>_xlfn.TEXTBEFORE(_xlfn.TEXTAFTER(CantoralDB[[#This Row],[index.html]],"&gt;"),"&gt;")&amp;"&gt;"</f>
        <v>&lt;a href="canciones/taize/da_pacem_cordium_(canon).html"&gt;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919</v>
      </c>
      <c r="C1915" s="1" t="s">
        <v>1020</v>
      </c>
      <c r="D1915" s="1" t="s">
        <v>1073</v>
      </c>
      <c r="H1915" s="1" t="s">
        <v>1026</v>
      </c>
      <c r="I1915" s="1" t="s">
        <v>2951</v>
      </c>
      <c r="J1915" s="1" t="s">
        <v>607</v>
      </c>
      <c r="M1915" s="15" t="s">
        <v>1938</v>
      </c>
      <c r="N1915" s="1" t="s">
        <v>455</v>
      </c>
      <c r="O1915" s="15">
        <v>16</v>
      </c>
      <c r="P1915" s="15">
        <v>1996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1915" s="1" t="s">
        <v>971</v>
      </c>
      <c r="U1915" s="1" t="s">
        <v>382</v>
      </c>
      <c r="V1915" s="15" t="s">
        <v>4190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X1915" s="15" t="str">
        <f>_xlfn.TEXTBEFORE(_xlfn.TEXTAFTER(CantoralDB[[#This Row],[index.html]],"&gt;"),"&gt;")&amp;"&gt;"</f>
        <v>&lt;a href="canciones/taize/jubilate_deo.html"&gt;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940</v>
      </c>
      <c r="C1916" s="1" t="s">
        <v>1020</v>
      </c>
      <c r="D1916" s="1" t="s">
        <v>1150</v>
      </c>
      <c r="H1916" s="1" t="s">
        <v>1027</v>
      </c>
      <c r="I1916" s="1" t="s">
        <v>2952</v>
      </c>
      <c r="J1916" s="1" t="s">
        <v>607</v>
      </c>
      <c r="M1916" s="15" t="s">
        <v>1938</v>
      </c>
      <c r="N1916" s="1" t="s">
        <v>463</v>
      </c>
      <c r="O1916" s="15">
        <v>4</v>
      </c>
      <c r="P1916" s="15">
        <v>1994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16" s="1"/>
      <c r="U1916" s="1" t="s">
        <v>454</v>
      </c>
      <c r="V1916" s="15" t="s">
        <v>4197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16" s="15" t="str">
        <f>_xlfn.TEXTBEFORE(_xlfn.TEXTAFTER(CantoralDB[[#This Row],[index.html]],"&gt;"),"&gt;")&amp;"&gt;"</f>
        <v>&lt;a href="canciones/taize/tui_amoris.html"&gt;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897</v>
      </c>
      <c r="C1917" s="1" t="s">
        <v>1020</v>
      </c>
      <c r="D1917" s="1" t="s">
        <v>1105</v>
      </c>
      <c r="H1917" s="1" t="s">
        <v>1028</v>
      </c>
      <c r="I1917" s="1" t="s">
        <v>2951</v>
      </c>
      <c r="J1917" s="1" t="s">
        <v>607</v>
      </c>
      <c r="M1917" s="15" t="s">
        <v>1938</v>
      </c>
      <c r="N1917" s="1" t="s">
        <v>463</v>
      </c>
      <c r="O1917" s="15">
        <v>5</v>
      </c>
      <c r="P1917" s="15">
        <v>1994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17" s="1" t="s">
        <v>957</v>
      </c>
      <c r="U1917" s="1" t="s">
        <v>334</v>
      </c>
      <c r="V1917" s="15" t="s">
        <v>4198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17" s="15" t="str">
        <f>_xlfn.TEXTBEFORE(_xlfn.TEXTAFTER(CantoralDB[[#This Row],[index.html]],"&gt;"),"&gt;")&amp;"&gt;"</f>
        <v>&lt;a href="canciones/taize/da_pacem..._in_diebus.html"&gt;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928</v>
      </c>
      <c r="C1918" s="1" t="s">
        <v>1020</v>
      </c>
      <c r="D1918" s="1" t="s">
        <v>1137</v>
      </c>
      <c r="E1918" s="1">
        <v>157</v>
      </c>
      <c r="H1918" s="1" t="s">
        <v>530</v>
      </c>
      <c r="I1918" s="1" t="s">
        <v>2950</v>
      </c>
      <c r="J1918" s="1" t="s">
        <v>607</v>
      </c>
      <c r="M1918" s="15" t="s">
        <v>1938</v>
      </c>
      <c r="N1918" s="1" t="s">
        <v>463</v>
      </c>
      <c r="O1918" s="15">
        <v>6</v>
      </c>
      <c r="P1918" s="15">
        <v>1994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18" s="1" t="s">
        <v>976</v>
      </c>
      <c r="U1918" s="1" t="s">
        <v>412</v>
      </c>
      <c r="V1918" s="15" t="s">
        <v>4199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18" s="15" t="str">
        <f>_xlfn.TEXTBEFORE(_xlfn.TEXTAFTER(CantoralDB[[#This Row],[index.html]],"&gt;"),"&gt;")&amp;"&gt;"</f>
        <v>&lt;a href="canciones/taize/misericordias_domini.html"&gt;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895</v>
      </c>
      <c r="C1919" s="1" t="s">
        <v>1020</v>
      </c>
      <c r="D1919" s="1" t="s">
        <v>1103</v>
      </c>
      <c r="H1919" s="1" t="s">
        <v>1027</v>
      </c>
      <c r="I1919" s="1" t="s">
        <v>2952</v>
      </c>
      <c r="J1919" s="1" t="s">
        <v>607</v>
      </c>
      <c r="M1919" s="15" t="s">
        <v>1938</v>
      </c>
      <c r="N1919" s="1" t="s">
        <v>463</v>
      </c>
      <c r="O1919" s="15">
        <v>8</v>
      </c>
      <c r="P1919" s="15">
        <v>1994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19" s="1"/>
      <c r="U1919" s="1" t="s">
        <v>332</v>
      </c>
      <c r="V1919" s="15" t="s">
        <v>4201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19" s="15" t="str">
        <f>_xlfn.TEXTBEFORE(_xlfn.TEXTAFTER(CantoralDB[[#This Row],[index.html]],"&gt;"),"&gt;")&amp;"&gt;"</f>
        <v>&lt;a href="canciones/taize/crucem_tuam.html"&gt;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934</v>
      </c>
      <c r="C1920" s="1" t="s">
        <v>1020</v>
      </c>
      <c r="D1920" s="1" t="s">
        <v>1122</v>
      </c>
      <c r="H1920" s="1" t="s">
        <v>1027</v>
      </c>
      <c r="I1920" s="1" t="s">
        <v>2950</v>
      </c>
      <c r="J1920" s="1" t="s">
        <v>607</v>
      </c>
      <c r="M1920" s="15" t="s">
        <v>1938</v>
      </c>
      <c r="N1920" s="1" t="s">
        <v>463</v>
      </c>
      <c r="O1920" s="15">
        <v>15</v>
      </c>
      <c r="P1920" s="15">
        <v>1994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20" s="1"/>
      <c r="U1920" s="1" t="s">
        <v>441</v>
      </c>
      <c r="V1920" s="15" t="s">
        <v>4208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20" s="15" t="str">
        <f>_xlfn.TEXTBEFORE(_xlfn.TEXTAFTER(CantoralDB[[#This Row],[index.html]],"&gt;"),"&gt;")&amp;"&gt;"</f>
        <v>&lt;a href="canciones/taize/spiritus_jesu_christi.html"&gt;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918</v>
      </c>
      <c r="C1921" s="1" t="s">
        <v>1020</v>
      </c>
      <c r="D1921" s="1" t="s">
        <v>1131</v>
      </c>
      <c r="H1921" s="1" t="s">
        <v>530</v>
      </c>
      <c r="I1921" s="1" t="s">
        <v>2952</v>
      </c>
      <c r="J1921" s="1" t="s">
        <v>607</v>
      </c>
      <c r="M1921" s="15" t="s">
        <v>1938</v>
      </c>
      <c r="N1921" s="1" t="s">
        <v>463</v>
      </c>
      <c r="O1921" s="15">
        <v>16</v>
      </c>
      <c r="P1921" s="15">
        <v>1994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21" s="1"/>
      <c r="U1921" s="1" t="s">
        <v>381</v>
      </c>
      <c r="V1921" s="15" t="s">
        <v>4209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21" s="15" t="str">
        <f>_xlfn.TEXTBEFORE(_xlfn.TEXTAFTER(CantoralDB[[#This Row],[index.html]],"&gt;"),"&gt;")&amp;"&gt;"</f>
        <v>&lt;a href="canciones/taize/jubilate_coeli_(canon).html"&gt;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938</v>
      </c>
      <c r="C1922" s="1" t="s">
        <v>1020</v>
      </c>
      <c r="D1922" s="1" t="s">
        <v>1118</v>
      </c>
      <c r="H1922" s="1" t="s">
        <v>1027</v>
      </c>
      <c r="I1922" s="1" t="s">
        <v>2952</v>
      </c>
      <c r="J1922" s="1" t="s">
        <v>607</v>
      </c>
      <c r="M1922" s="15" t="s">
        <v>1938</v>
      </c>
      <c r="N1922" s="1" t="s">
        <v>4037</v>
      </c>
      <c r="O1922" s="15">
        <v>3</v>
      </c>
      <c r="P1922" s="15">
        <v>2001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22" s="1" t="s">
        <v>805</v>
      </c>
      <c r="U1922" s="1" t="s">
        <v>448</v>
      </c>
      <c r="V1922" s="15" t="s">
        <v>4213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22" s="15" t="str">
        <f>_xlfn.TEXTBEFORE(_xlfn.TEXTAFTER(CantoralDB[[#This Row],[index.html]],"&gt;"),"&gt;")&amp;"&gt;"</f>
        <v>&lt;a href="canciones/taize/the_kingdom_of_god.html"&gt;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887</v>
      </c>
      <c r="C1923" s="1" t="s">
        <v>1020</v>
      </c>
      <c r="D1923" s="1" t="s">
        <v>1090</v>
      </c>
      <c r="H1923" s="1" t="s">
        <v>1029</v>
      </c>
      <c r="I1923" s="1" t="s">
        <v>2952</v>
      </c>
      <c r="J1923" s="1" t="s">
        <v>607</v>
      </c>
      <c r="M1923" s="15" t="s">
        <v>1938</v>
      </c>
      <c r="N1923" s="1" t="s">
        <v>4037</v>
      </c>
      <c r="O1923" s="15">
        <v>5</v>
      </c>
      <c r="P1923" s="15">
        <v>2001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23" s="1"/>
      <c r="U1923" s="1" t="s">
        <v>319</v>
      </c>
      <c r="V1923" s="15" t="s">
        <v>4215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23" s="15" t="str">
        <f>_xlfn.TEXTBEFORE(_xlfn.TEXTAFTER(CantoralDB[[#This Row],[index.html]],"&gt;"),"&gt;")&amp;"&gt;"</f>
        <v>&lt;a href="canciones/taize/bog_jest_miłością.html"&gt;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888</v>
      </c>
      <c r="C1924" s="1" t="s">
        <v>1020</v>
      </c>
      <c r="D1924" s="1" t="s">
        <v>1091</v>
      </c>
      <c r="H1924" s="1" t="s">
        <v>1029</v>
      </c>
      <c r="J1924" s="1" t="s">
        <v>607</v>
      </c>
      <c r="M1924" s="15" t="s">
        <v>1938</v>
      </c>
      <c r="N1924" s="1" t="s">
        <v>4037</v>
      </c>
      <c r="O1924" s="15">
        <v>6</v>
      </c>
      <c r="P1924" s="15">
        <v>2001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24" s="1"/>
      <c r="U1924" s="1" t="s">
        <v>320</v>
      </c>
      <c r="V1924" s="15" t="s">
        <v>4216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24" s="15" t="str">
        <f>_xlfn.TEXTBEFORE(_xlfn.TEXTAFTER(CantoralDB[[#This Row],[index.html]],"&gt;"),"&gt;")&amp;"&gt;"</f>
        <v>&lt;a href="canciones/taize/bogoroditse_dievo_1.html"&gt;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881</v>
      </c>
      <c r="C1925" s="1" t="s">
        <v>1020</v>
      </c>
      <c r="D1925" s="1" t="s">
        <v>1084</v>
      </c>
      <c r="H1925" s="1" t="s">
        <v>472</v>
      </c>
      <c r="I1925" s="1" t="s">
        <v>2951</v>
      </c>
      <c r="J1925" s="1" t="s">
        <v>607</v>
      </c>
      <c r="M1925" s="15" t="s">
        <v>1938</v>
      </c>
      <c r="N1925" s="1" t="s">
        <v>4037</v>
      </c>
      <c r="O1925" s="15">
        <v>7</v>
      </c>
      <c r="P1925" s="15">
        <v>2001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25" s="1" t="s">
        <v>947</v>
      </c>
      <c r="U1925" s="1" t="s">
        <v>309</v>
      </c>
      <c r="V1925" s="15" t="s">
        <v>4217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25" s="15" t="str">
        <f>_xlfn.TEXTBEFORE(_xlfn.TEXTAFTER(CantoralDB[[#This Row],[index.html]],"&gt;"),"&gt;")&amp;"&gt;"</f>
        <v>&lt;a href="canciones/taize/beati_voi_poveri.html"&gt;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912</v>
      </c>
      <c r="C1926" s="1" t="s">
        <v>1020</v>
      </c>
      <c r="D1926" s="1" t="s">
        <v>1128</v>
      </c>
      <c r="H1926" s="1" t="s">
        <v>530</v>
      </c>
      <c r="I1926" s="1" t="s">
        <v>2952</v>
      </c>
      <c r="J1926" s="1" t="s">
        <v>607</v>
      </c>
      <c r="M1926" s="15" t="s">
        <v>1938</v>
      </c>
      <c r="N1926" s="1" t="s">
        <v>4037</v>
      </c>
      <c r="O1926" s="15">
        <v>10</v>
      </c>
      <c r="P1926" s="15">
        <v>2001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26" s="1" t="s">
        <v>968</v>
      </c>
      <c r="U1926" s="1" t="s">
        <v>369</v>
      </c>
      <c r="V1926" s="15" t="s">
        <v>4220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26" s="15" t="str">
        <f>_xlfn.TEXTBEFORE(_xlfn.TEXTAFTER(CantoralDB[[#This Row],[index.html]],"&gt;"),"&gt;")&amp;"&gt;"</f>
        <v>&lt;a href="canciones/taize/in_manus_tuas.html"&gt;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913</v>
      </c>
      <c r="C1927" s="1" t="s">
        <v>1020</v>
      </c>
      <c r="D1927" s="1" t="s">
        <v>1076</v>
      </c>
      <c r="H1927" s="1" t="s">
        <v>530</v>
      </c>
      <c r="I1927" s="1" t="s">
        <v>2952</v>
      </c>
      <c r="J1927" s="1" t="s">
        <v>607</v>
      </c>
      <c r="M1927" s="15" t="s">
        <v>1938</v>
      </c>
      <c r="N1927" s="1" t="s">
        <v>4037</v>
      </c>
      <c r="O1927" s="15">
        <v>12</v>
      </c>
      <c r="P1927" s="15">
        <v>2001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27" s="1"/>
      <c r="U1927" s="1" t="s">
        <v>370</v>
      </c>
      <c r="V1927" s="15" t="s">
        <v>4222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27" s="15" t="str">
        <f>_xlfn.TEXTBEFORE(_xlfn.TEXTAFTER(CantoralDB[[#This Row],[index.html]],"&gt;"),"&gt;")&amp;"&gt;"</f>
        <v>&lt;a href="canciones/taize/in_resurrectione_tua.html"&gt;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939</v>
      </c>
      <c r="C1928" s="1" t="s">
        <v>1020</v>
      </c>
      <c r="D1928" s="1" t="s">
        <v>1148</v>
      </c>
      <c r="H1928" s="1" t="s">
        <v>530</v>
      </c>
      <c r="I1928" s="1" t="s">
        <v>2951</v>
      </c>
      <c r="J1928" s="1" t="s">
        <v>607</v>
      </c>
      <c r="M1928" s="15" t="s">
        <v>1938</v>
      </c>
      <c r="N1928" s="1" t="s">
        <v>4037</v>
      </c>
      <c r="O1928" s="15">
        <v>13</v>
      </c>
      <c r="P1928" s="15">
        <v>2001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28" s="1"/>
      <c r="U1928" s="1" t="s">
        <v>453</v>
      </c>
      <c r="V1928" s="15" t="s">
        <v>4223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28" s="15" t="str">
        <f>_xlfn.TEXTBEFORE(_xlfn.TEXTAFTER(CantoralDB[[#This Row],[index.html]],"&gt;"),"&gt;")&amp;"&gt;"</f>
        <v>&lt;a href="canciones/taize/tu_sei_sorgente_viva.html"&gt;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924</v>
      </c>
      <c r="C1929" s="1" t="s">
        <v>1020</v>
      </c>
      <c r="D1929" s="1" t="s">
        <v>1136</v>
      </c>
      <c r="H1929" s="1" t="s">
        <v>1028</v>
      </c>
      <c r="I1929" s="1" t="s">
        <v>2951</v>
      </c>
      <c r="J1929" s="1" t="s">
        <v>607</v>
      </c>
      <c r="M1929" s="15" t="s">
        <v>1938</v>
      </c>
      <c r="N1929" s="1" t="s">
        <v>4037</v>
      </c>
      <c r="O1929" s="15">
        <v>16</v>
      </c>
      <c r="P1929" s="15">
        <v>2001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29" s="1" t="s">
        <v>972</v>
      </c>
      <c r="U1929" s="1" t="s">
        <v>400</v>
      </c>
      <c r="V1929" s="15" t="s">
        <v>4226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29" s="15" t="str">
        <f>_xlfn.TEXTBEFORE(_xlfn.TEXTAFTER(CantoralDB[[#This Row],[index.html]],"&gt;"),"&gt;")&amp;"&gt;"</f>
        <v>&lt;a href="canciones/taize/l’ajuda_em_vindrà.html"&gt;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879</v>
      </c>
      <c r="C1930" s="1" t="s">
        <v>1020</v>
      </c>
      <c r="D1930" s="1" t="s">
        <v>1082</v>
      </c>
      <c r="H1930" s="1" t="s">
        <v>1029</v>
      </c>
      <c r="J1930" s="1" t="s">
        <v>607</v>
      </c>
      <c r="M1930" s="15" t="s">
        <v>1938</v>
      </c>
      <c r="N1930" s="1" t="s">
        <v>4037</v>
      </c>
      <c r="O1930" s="15">
        <v>18</v>
      </c>
      <c r="P1930" s="15">
        <v>2001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30" s="1"/>
      <c r="U1930" s="1" t="s">
        <v>786</v>
      </c>
      <c r="V1930" s="15" t="s">
        <v>4228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30" s="15" t="str">
        <f>_xlfn.TEXTBEFORE(_xlfn.TEXTAFTER(CantoralDB[[#This Row],[index.html]],"&gt;"),"&gt;")&amp;"&gt;"</f>
        <v>&lt;a href="canciones/taize/alleluia_96.html"&gt;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944</v>
      </c>
      <c r="C1931" s="1" t="s">
        <v>1020</v>
      </c>
      <c r="D1931" s="1" t="s">
        <v>1074</v>
      </c>
      <c r="H1931" s="1" t="s">
        <v>1026</v>
      </c>
      <c r="I1931" s="1" t="s">
        <v>2952</v>
      </c>
      <c r="J1931" s="1" t="s">
        <v>607</v>
      </c>
      <c r="M1931" s="15" t="s">
        <v>1938</v>
      </c>
      <c r="N1931" s="1" t="s">
        <v>4037</v>
      </c>
      <c r="O1931" s="15">
        <v>19</v>
      </c>
      <c r="P1931" s="15">
        <v>2001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31" s="1"/>
      <c r="U1931" s="1" t="s">
        <v>470</v>
      </c>
      <c r="V1931" s="15" t="s">
        <v>4229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31" s="15" t="str">
        <f>_xlfn.TEXTBEFORE(_xlfn.TEXTAFTER(CantoralDB[[#This Row],[index.html]],"&gt;"),"&gt;")&amp;"&gt;"</f>
        <v>&lt;a href="canciones/taize/wysławiajcie_pana.html"&gt;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878</v>
      </c>
      <c r="C1932" s="1" t="s">
        <v>1020</v>
      </c>
      <c r="D1932" s="1" t="s">
        <v>1081</v>
      </c>
      <c r="H1932" s="1" t="s">
        <v>472</v>
      </c>
      <c r="I1932" s="1" t="s">
        <v>2949</v>
      </c>
      <c r="J1932" s="1" t="s">
        <v>607</v>
      </c>
      <c r="M1932" s="15" t="s">
        <v>1938</v>
      </c>
      <c r="O1932" s="15"/>
      <c r="P1932" s="15"/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32" s="1"/>
      <c r="U1932" s="1" t="s">
        <v>785</v>
      </c>
      <c r="V1932" s="15" t="s">
        <v>4230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32" s="15" t="str">
        <f>_xlfn.TEXTBEFORE(_xlfn.TEXTAFTER(CantoralDB[[#This Row],[index.html]],"&gt;"),"&gt;")&amp;"&gt;"</f>
        <v>&lt;a href="canciones/taize/alleluia_94.html"&gt;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880</v>
      </c>
      <c r="C1933" s="1" t="s">
        <v>1020</v>
      </c>
      <c r="D1933" s="1" t="s">
        <v>1083</v>
      </c>
      <c r="H1933" s="1" t="s">
        <v>1029</v>
      </c>
      <c r="I1933" s="1" t="s">
        <v>2951</v>
      </c>
      <c r="J1933" s="1" t="s">
        <v>607</v>
      </c>
      <c r="M1933" s="15" t="s">
        <v>1938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33" s="1"/>
      <c r="U1933" s="1" t="s">
        <v>787</v>
      </c>
      <c r="V1933" s="15" t="s">
        <v>4231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33" s="15" t="str">
        <f>_xlfn.TEXTBEFORE(_xlfn.TEXTAFTER(CantoralDB[[#This Row],[index.html]],"&gt;"),"&gt;")&amp;"&gt;"</f>
        <v>&lt;a href="canciones/taize/alleluia_97.html"&gt;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930</v>
      </c>
      <c r="C1934" s="1" t="s">
        <v>1020</v>
      </c>
      <c r="D1934" s="1" t="s">
        <v>1143</v>
      </c>
      <c r="H1934" s="1" t="s">
        <v>530</v>
      </c>
      <c r="J1934" s="1" t="s">
        <v>607</v>
      </c>
      <c r="M1934" s="15" t="s">
        <v>1938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34" s="1"/>
      <c r="U1934" s="1" t="s">
        <v>424</v>
      </c>
      <c r="V1934" s="15" t="s">
        <v>4234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34" s="15" t="str">
        <f>_xlfn.TEXTBEFORE(_xlfn.TEXTAFTER(CantoralDB[[#This Row],[index.html]],"&gt;"),"&gt;")&amp;"&gt;"</f>
        <v>&lt;a href="canciones/taize/para_mim_ser_feliz.html"&gt;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920</v>
      </c>
      <c r="C1935" s="1" t="s">
        <v>1020</v>
      </c>
      <c r="D1935" s="1" t="s">
        <v>1132</v>
      </c>
      <c r="H1935" s="1" t="s">
        <v>1029</v>
      </c>
      <c r="J1935" s="1" t="s">
        <v>607</v>
      </c>
      <c r="M1935" s="15" t="s">
        <v>1938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35" s="1"/>
      <c r="U1935" s="1" t="s">
        <v>385</v>
      </c>
      <c r="V1935" s="15" t="s">
        <v>4232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35" s="15" t="str">
        <f>_xlfn.TEXTBEFORE(_xlfn.TEXTAFTER(CantoralDB[[#This Row],[index.html]],"&gt;"),"&gt;")&amp;"&gt;"</f>
        <v>&lt;a href="canciones/taize/kyrie_1.html"&gt;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923</v>
      </c>
      <c r="C1936" s="1" t="s">
        <v>1020</v>
      </c>
      <c r="D1936" s="1" t="s">
        <v>1135</v>
      </c>
      <c r="H1936" s="1" t="s">
        <v>530</v>
      </c>
      <c r="I1936" s="1" t="s">
        <v>2952</v>
      </c>
      <c r="J1936" s="1" t="s">
        <v>607</v>
      </c>
      <c r="M1936" s="15" t="s">
        <v>1938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36" s="1"/>
      <c r="U1936" s="1" t="s">
        <v>389</v>
      </c>
      <c r="V1936" s="15" t="s">
        <v>4233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36" s="15" t="str">
        <f>_xlfn.TEXTBEFORE(_xlfn.TEXTAFTER(CantoralDB[[#This Row],[index.html]],"&gt;"),"&gt;")&amp;"&gt;"</f>
        <v>&lt;a href="canciones/taize/kyrie_8.html"&gt;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318</v>
      </c>
      <c r="C1937" s="1" t="s">
        <v>1021</v>
      </c>
      <c r="D1937" s="1" t="s">
        <v>1089</v>
      </c>
      <c r="H1937" s="1" t="s">
        <v>530</v>
      </c>
      <c r="I1937" s="1" t="s">
        <v>2950</v>
      </c>
      <c r="J1937" s="1" t="s">
        <v>607</v>
      </c>
      <c r="M1937" s="15" t="s">
        <v>2133</v>
      </c>
      <c r="N1937" s="1" t="s">
        <v>4017</v>
      </c>
      <c r="O1937" s="15">
        <v>1</v>
      </c>
      <c r="P1937" s="15">
        <v>1988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37" s="1"/>
      <c r="U1937" s="1"/>
      <c r="V1937" s="32" t="s">
        <v>4063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1937" s="15" t="str">
        <f>_xlfn.TEXTBEFORE(_xlfn.TEXTAFTER(CantoralDB[[#This Row],[index.html]],"&gt;"),"&gt;")&amp;"&gt;"</f>
        <v>&lt;a href="canciones/taize/bless_the_lord.html"&gt;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296</v>
      </c>
      <c r="C1938" s="1" t="s">
        <v>1021</v>
      </c>
      <c r="D1938" s="1" t="s">
        <v>1077</v>
      </c>
      <c r="H1938" s="1" t="s">
        <v>1029</v>
      </c>
      <c r="I1938" s="1" t="s">
        <v>2949</v>
      </c>
      <c r="J1938" s="1" t="s">
        <v>607</v>
      </c>
      <c r="M1938" s="15" t="s">
        <v>2133</v>
      </c>
      <c r="N1938" s="1" t="s">
        <v>4017</v>
      </c>
      <c r="O1938" s="15">
        <v>2</v>
      </c>
      <c r="P1938" s="15">
        <v>1988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38" s="1"/>
      <c r="U1938" s="1"/>
      <c r="V1938" s="32" t="s">
        <v>4064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1938" s="15" t="str">
        <f>_xlfn.TEXTBEFORE(_xlfn.TEXTAFTER(CantoralDB[[#This Row],[index.html]],"&gt;"),"&gt;")&amp;"&gt;"</f>
        <v>&lt;a href="canciones/taize/alleluia_11.html"&gt;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335</v>
      </c>
      <c r="C1939" s="1" t="s">
        <v>1021</v>
      </c>
      <c r="D1939" s="1" t="s">
        <v>1108</v>
      </c>
      <c r="H1939" s="1" t="s">
        <v>472</v>
      </c>
      <c r="I1939" s="1" t="s">
        <v>2952</v>
      </c>
      <c r="J1939" s="1" t="s">
        <v>607</v>
      </c>
      <c r="M1939" s="15" t="s">
        <v>2133</v>
      </c>
      <c r="N1939" s="1" t="s">
        <v>4017</v>
      </c>
      <c r="O1939" s="15">
        <v>3</v>
      </c>
      <c r="P1939" s="15">
        <v>1988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39" s="1"/>
      <c r="U1939" s="1"/>
      <c r="V1939" s="32" t="s">
        <v>4065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1939" s="15" t="str">
        <f>_xlfn.TEXTBEFORE(_xlfn.TEXTAFTER(CantoralDB[[#This Row],[index.html]],"&gt;"),"&gt;")&amp;"&gt;"</f>
        <v>&lt;a href="canciones/taize/dans_nos_obscurites.html"&gt;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331</v>
      </c>
      <c r="C1940" s="1" t="s">
        <v>1021</v>
      </c>
      <c r="D1940" s="1" t="s">
        <v>1098</v>
      </c>
      <c r="F1940" s="1">
        <v>423</v>
      </c>
      <c r="H1940" s="1" t="s">
        <v>530</v>
      </c>
      <c r="I1940" s="1" t="s">
        <v>2952</v>
      </c>
      <c r="J1940" s="1" t="s">
        <v>607</v>
      </c>
      <c r="M1940" s="15" t="s">
        <v>2133</v>
      </c>
      <c r="N1940" s="1" t="s">
        <v>4017</v>
      </c>
      <c r="O1940" s="15">
        <v>4</v>
      </c>
      <c r="P1940" s="15">
        <v>1988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40" s="1"/>
      <c r="U1940" s="1"/>
      <c r="V1940" s="32" t="s">
        <v>4066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X1940" s="15" t="str">
        <f>_xlfn.TEXTBEFORE(_xlfn.TEXTAFTER(CantoralDB[[#This Row],[index.html]],"&gt;"),"&gt;")&amp;"&gt;"</f>
        <v>&lt;a href="canciones/taize/confitemini_domino.html"&gt;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4018</v>
      </c>
      <c r="C1941" s="1"/>
      <c r="J1941" s="1"/>
      <c r="M1941" s="15" t="s">
        <v>2133</v>
      </c>
      <c r="N1941" s="1" t="s">
        <v>4017</v>
      </c>
      <c r="O1941" s="15">
        <v>5</v>
      </c>
      <c r="P1941" s="15">
        <v>1988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1941" s="1"/>
      <c r="U1941" s="1"/>
      <c r="V1941" s="32" t="s">
        <v>4067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1941" s="15" t="str">
        <f>_xlfn.TEXTBEFORE(_xlfn.TEXTAFTER(CantoralDB[[#This Row],[index.html]],"&gt;"),"&gt;")&amp;"&gt;"</f>
        <v>&lt;a href="canciones/taize/exaltabo_te.html"&gt;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408</v>
      </c>
      <c r="C1942" s="1" t="s">
        <v>1021</v>
      </c>
      <c r="D1942" s="1" t="s">
        <v>1141</v>
      </c>
      <c r="F1942" s="1">
        <v>68</v>
      </c>
      <c r="H1942" s="1" t="s">
        <v>1029</v>
      </c>
      <c r="J1942" s="1" t="s">
        <v>607</v>
      </c>
      <c r="M1942" s="15" t="s">
        <v>2133</v>
      </c>
      <c r="N1942" s="1" t="s">
        <v>4017</v>
      </c>
      <c r="O1942" s="15">
        <v>6</v>
      </c>
      <c r="P1942" s="15">
        <v>1988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42" s="1"/>
      <c r="U1942" s="1"/>
      <c r="V1942" s="32" t="s">
        <v>4068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X1942" s="15" t="str">
        <f>_xlfn.TEXTBEFORE(_xlfn.TEXTAFTER(CantoralDB[[#This Row],[index.html]],"&gt;"),"&gt;")&amp;"&gt;"</f>
        <v>&lt;a href="canciones/taize/magnificat_(canon).html"&gt;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468</v>
      </c>
      <c r="C1943" s="1"/>
      <c r="J1943" s="1"/>
      <c r="M1943" s="15" t="s">
        <v>2133</v>
      </c>
      <c r="N1943" s="1" t="s">
        <v>4017</v>
      </c>
      <c r="O1943" s="15">
        <v>7</v>
      </c>
      <c r="P1943" s="15">
        <v>1988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1943" s="1"/>
      <c r="U1943" s="1"/>
      <c r="V1943" s="32" t="s">
        <v>4069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1943" s="15" t="str">
        <f>_xlfn.TEXTBEFORE(_xlfn.TEXTAFTER(CantoralDB[[#This Row],[index.html]],"&gt;"),"&gt;")&amp;"&gt;"</f>
        <v>&lt;a href="canciones/taize/wait_for_the_lord.html"&gt;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4019</v>
      </c>
      <c r="C1944" s="1"/>
      <c r="J1944" s="1"/>
      <c r="M1944" s="15" t="s">
        <v>2133</v>
      </c>
      <c r="N1944" s="1" t="s">
        <v>4017</v>
      </c>
      <c r="O1944" s="15">
        <v>8</v>
      </c>
      <c r="P1944" s="15">
        <v>1988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1944" s="1"/>
      <c r="U1944" s="1"/>
      <c r="V1944" s="32" t="s">
        <v>4070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1944" s="15" t="str">
        <f>_xlfn.TEXTBEFORE(_xlfn.TEXTAFTER(CantoralDB[[#This Row],[index.html]],"&gt;"),"&gt;")&amp;"&gt;"</f>
        <v>&lt;a href="canciones/taize/gloria_in_excelsis_deo.html"&gt;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336</v>
      </c>
      <c r="C1945" s="1" t="s">
        <v>1021</v>
      </c>
      <c r="D1945" s="1" t="s">
        <v>1109</v>
      </c>
      <c r="F1945" s="1">
        <v>415</v>
      </c>
      <c r="H1945" s="1" t="s">
        <v>530</v>
      </c>
      <c r="I1945" s="1" t="s">
        <v>2950</v>
      </c>
      <c r="J1945" s="1" t="s">
        <v>607</v>
      </c>
      <c r="M1945" s="15" t="s">
        <v>2133</v>
      </c>
      <c r="N1945" s="1" t="s">
        <v>4017</v>
      </c>
      <c r="O1945" s="15">
        <v>9</v>
      </c>
      <c r="P1945" s="15">
        <v>1988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1945" s="1" t="s">
        <v>958</v>
      </c>
      <c r="U1945" s="1"/>
      <c r="V1945" s="32" t="s">
        <v>4071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X1945" s="15" t="str">
        <f>_xlfn.TEXTBEFORE(_xlfn.TEXTAFTER(CantoralDB[[#This Row],[index.html]],"&gt;"),"&gt;")&amp;"&gt;"</f>
        <v>&lt;a href="canciones/taize/de_noche.html"&gt;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425</v>
      </c>
      <c r="C1946" s="1" t="s">
        <v>1021</v>
      </c>
      <c r="D1946" s="1" t="s">
        <v>1144</v>
      </c>
      <c r="H1946" s="1" t="s">
        <v>530</v>
      </c>
      <c r="I1946" s="1" t="s">
        <v>2950</v>
      </c>
      <c r="J1946" s="1" t="s">
        <v>607</v>
      </c>
      <c r="M1946" s="15" t="s">
        <v>2133</v>
      </c>
      <c r="N1946" s="1" t="s">
        <v>4017</v>
      </c>
      <c r="O1946" s="15">
        <v>11</v>
      </c>
      <c r="P1946" s="15">
        <v>1988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46" s="1"/>
      <c r="U1946" s="1"/>
      <c r="V1946" s="32" t="s">
        <v>4072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1946" s="15" t="str">
        <f>_xlfn.TEXTBEFORE(_xlfn.TEXTAFTER(CantoralDB[[#This Row],[index.html]],"&gt;"),"&gt;")&amp;"&gt;"</f>
        <v>&lt;a href="canciones/taize/per_crucem.html"&gt;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784</v>
      </c>
      <c r="C1947" s="1" t="s">
        <v>1021</v>
      </c>
      <c r="D1947" s="1" t="s">
        <v>1139</v>
      </c>
      <c r="F1947" s="1">
        <v>429</v>
      </c>
      <c r="H1947" s="1" t="s">
        <v>530</v>
      </c>
      <c r="I1947" s="1" t="s">
        <v>2951</v>
      </c>
      <c r="J1947" s="1" t="s">
        <v>607</v>
      </c>
      <c r="M1947" s="15" t="s">
        <v>2133</v>
      </c>
      <c r="N1947" s="1" t="s">
        <v>4017</v>
      </c>
      <c r="O1947" s="15">
        <v>12</v>
      </c>
      <c r="P1947" s="15">
        <v>1988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47" s="1"/>
      <c r="U1947" s="1"/>
      <c r="V1947" s="32" t="s">
        <v>4073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X1947" s="15" t="str">
        <f>_xlfn.TEXTBEFORE(_xlfn.TEXTAFTER(CantoralDB[[#This Row],[index.html]],"&gt;"),"&gt;")&amp;"&gt;"</f>
        <v>&lt;a href="canciones/taize/laudate_omnes_gentes.html"&gt;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346</v>
      </c>
      <c r="C1948" s="1" t="s">
        <v>1021</v>
      </c>
      <c r="D1948" s="1" t="s">
        <v>1119</v>
      </c>
      <c r="H1948" s="1" t="s">
        <v>530</v>
      </c>
      <c r="I1948" s="1" t="s">
        <v>2950</v>
      </c>
      <c r="J1948" s="1" t="s">
        <v>607</v>
      </c>
      <c r="M1948" s="15" t="s">
        <v>2133</v>
      </c>
      <c r="N1948" s="1" t="s">
        <v>4017</v>
      </c>
      <c r="O1948" s="15">
        <v>13</v>
      </c>
      <c r="P1948" s="15">
        <v>1988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48" s="1"/>
      <c r="U1948" s="1"/>
      <c r="V1948" s="32" t="s">
        <v>4074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1948" s="15" t="str">
        <f>_xlfn.TEXTBEFORE(_xlfn.TEXTAFTER(CantoralDB[[#This Row],[index.html]],"&gt;"),"&gt;")&amp;"&gt;"</f>
        <v>&lt;a href="canciones/taize/el_senyor.html"&gt;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325</v>
      </c>
      <c r="C1949" s="1"/>
      <c r="J1949" s="1"/>
      <c r="M1949" s="15" t="s">
        <v>2133</v>
      </c>
      <c r="N1949" s="1" t="s">
        <v>4017</v>
      </c>
      <c r="O1949" s="15">
        <v>14</v>
      </c>
      <c r="P1949" s="15">
        <v>1988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1949" s="1"/>
      <c r="U1949" s="1"/>
      <c r="V1949" s="32" t="s">
        <v>4075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1949" s="15" t="str">
        <f>_xlfn.TEXTBEFORE(_xlfn.TEXTAFTER(CantoralDB[[#This Row],[index.html]],"&gt;"),"&gt;")&amp;"&gt;"</f>
        <v>&lt;a href="canciones/taize/cantate_domino.html"&gt;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280</v>
      </c>
      <c r="C1950" s="1" t="s">
        <v>1021</v>
      </c>
      <c r="D1950" s="1" t="s">
        <v>1072</v>
      </c>
      <c r="H1950" s="1" t="s">
        <v>1027</v>
      </c>
      <c r="I1950" s="1" t="s">
        <v>2952</v>
      </c>
      <c r="J1950" s="1" t="s">
        <v>607</v>
      </c>
      <c r="M1950" s="15" t="s">
        <v>2133</v>
      </c>
      <c r="N1950" s="1" t="s">
        <v>4061</v>
      </c>
      <c r="O1950" s="15">
        <v>2</v>
      </c>
      <c r="P1950" s="15">
        <v>1998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50" s="1"/>
      <c r="U1950" s="1"/>
      <c r="V1950" s="32" t="s">
        <v>4076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1950" s="15" t="str">
        <f>_xlfn.TEXTBEFORE(_xlfn.TEXTAFTER(CantoralDB[[#This Row],[index.html]],"&gt;"),"&gt;")&amp;"&gt;"</f>
        <v>&lt;a href="canciones/taize/adoramus_te_o_christe.html"&gt;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4041</v>
      </c>
      <c r="C1951" s="1"/>
      <c r="J1951" s="1"/>
      <c r="M1951" s="15" t="s">
        <v>2133</v>
      </c>
      <c r="N1951" s="1" t="s">
        <v>4042</v>
      </c>
      <c r="O1951" s="15">
        <v>1</v>
      </c>
      <c r="P1951" s="15">
        <v>2006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1951" s="1"/>
      <c r="U1951" s="1"/>
      <c r="V1951" s="32" t="s">
        <v>4077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1951" s="15" t="str">
        <f>_xlfn.TEXTBEFORE(_xlfn.TEXTAFTER(CantoralDB[[#This Row],[index.html]],"&gt;"),"&gt;")&amp;"&gt;"</f>
        <v>&lt;a href="canciones/taize/magnificat_3.html"&gt;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324</v>
      </c>
      <c r="C1952" s="1" t="s">
        <v>1021</v>
      </c>
      <c r="D1952" s="1" t="s">
        <v>1093</v>
      </c>
      <c r="H1952" s="1" t="s">
        <v>1029</v>
      </c>
      <c r="J1952" s="1" t="s">
        <v>607</v>
      </c>
      <c r="M1952" s="15" t="s">
        <v>2133</v>
      </c>
      <c r="N1952" s="1" t="s">
        <v>4042</v>
      </c>
      <c r="O1952" s="15">
        <v>2</v>
      </c>
      <c r="P1952" s="15">
        <v>2006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52" s="1"/>
      <c r="U1952" s="1"/>
      <c r="V1952" s="32" t="s">
        <v>4078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1952" s="15" t="str">
        <f>_xlfn.TEXTBEFORE(_xlfn.TEXTAFTER(CantoralDB[[#This Row],[index.html]],"&gt;"),"&gt;")&amp;"&gt;"</f>
        <v>&lt;a href="canciones/taize/cantarei_ao_senhor.html"&gt;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311</v>
      </c>
      <c r="C1953" s="1" t="s">
        <v>1021</v>
      </c>
      <c r="D1953" s="1" t="s">
        <v>1085</v>
      </c>
      <c r="H1953" s="1" t="s">
        <v>530</v>
      </c>
      <c r="I1953" s="1" t="s">
        <v>2951</v>
      </c>
      <c r="J1953" s="1" t="s">
        <v>607</v>
      </c>
      <c r="M1953" s="15" t="s">
        <v>2133</v>
      </c>
      <c r="N1953" s="1" t="s">
        <v>4042</v>
      </c>
      <c r="O1953" s="15">
        <v>3</v>
      </c>
      <c r="P1953" s="15">
        <v>2006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53" s="1"/>
      <c r="U1953" s="1"/>
      <c r="V1953" s="32" t="s">
        <v>4079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1953" s="15" t="str">
        <f>_xlfn.TEXTBEFORE(_xlfn.TEXTAFTER(CantoralDB[[#This Row],[index.html]],"&gt;"),"&gt;")&amp;"&gt;"</f>
        <v>&lt;a href="canciones/taize/behüte_mich_gott.html"&gt;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439</v>
      </c>
      <c r="C1954" s="1"/>
      <c r="J1954" s="1"/>
      <c r="M1954" s="15" t="s">
        <v>2133</v>
      </c>
      <c r="N1954" s="1" t="s">
        <v>4042</v>
      </c>
      <c r="O1954" s="15">
        <v>4</v>
      </c>
      <c r="P1954" s="15">
        <v>2006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1954" s="1"/>
      <c r="U1954" s="1"/>
      <c r="V1954" s="32" t="s">
        <v>4080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1954" s="15" t="str">
        <f>_xlfn.TEXTBEFORE(_xlfn.TEXTAFTER(CantoralDB[[#This Row],[index.html]],"&gt;"),"&gt;")&amp;"&gt;"</f>
        <v>&lt;a href="canciones/taize/sit_nomen_domini.html"&gt;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366</v>
      </c>
      <c r="C1955" s="1" t="s">
        <v>1021</v>
      </c>
      <c r="D1955" s="1" t="s">
        <v>1126</v>
      </c>
      <c r="H1955" s="1" t="s">
        <v>1026</v>
      </c>
      <c r="I1955" s="1" t="s">
        <v>2952</v>
      </c>
      <c r="J1955" s="1" t="s">
        <v>607</v>
      </c>
      <c r="M1955" s="15" t="s">
        <v>2133</v>
      </c>
      <c r="N1955" s="1" t="s">
        <v>4042</v>
      </c>
      <c r="O1955" s="15">
        <v>5</v>
      </c>
      <c r="P1955" s="15">
        <v>2006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55" s="1"/>
      <c r="U1955" s="1"/>
      <c r="V1955" s="32" t="s">
        <v>4081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1955" s="15" t="str">
        <f>_xlfn.TEXTBEFORE(_xlfn.TEXTAFTER(CantoralDB[[#This Row],[index.html]],"&gt;"),"&gt;")&amp;"&gt;"</f>
        <v>&lt;a href="canciones/taize/i_am_sure_i_shall_see.html"&gt;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435</v>
      </c>
      <c r="C1956" s="1"/>
      <c r="J1956" s="1"/>
      <c r="M1956" s="15" t="s">
        <v>2133</v>
      </c>
      <c r="N1956" s="1" t="s">
        <v>4042</v>
      </c>
      <c r="O1956" s="15">
        <v>6</v>
      </c>
      <c r="P1956" s="15">
        <v>2006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1956" s="1"/>
      <c r="U1956" s="1"/>
      <c r="V1956" s="32" t="s">
        <v>4082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1956" s="15" t="str">
        <f>_xlfn.TEXTBEFORE(_xlfn.TEXTAFTER(CantoralDB[[#This Row],[index.html]],"&gt;"),"&gt;")&amp;"&gt;"</f>
        <v>&lt;a href="canciones/taize/seigneur_tu_gardes_mon_âme.html"&gt;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4043</v>
      </c>
      <c r="C1957" s="1"/>
      <c r="J1957" s="1"/>
      <c r="M1957" s="15" t="s">
        <v>2133</v>
      </c>
      <c r="N1957" s="1" t="s">
        <v>4042</v>
      </c>
      <c r="O1957" s="15">
        <v>7</v>
      </c>
      <c r="P1957" s="15">
        <v>2006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1957" s="1"/>
      <c r="U1957" s="1"/>
      <c r="V1957" s="32" t="s">
        <v>4083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1957" s="15" t="str">
        <f>_xlfn.TEXTBEFORE(_xlfn.TEXTAFTER(CantoralDB[[#This Row],[index.html]],"&gt;"),"&gt;")&amp;"&gt;"</f>
        <v>&lt;a href="canciones/taize/viespatie_tu_viska_zinai.html"&gt;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351</v>
      </c>
      <c r="C1958" s="1"/>
      <c r="J1958" s="1"/>
      <c r="M1958" s="15" t="s">
        <v>2133</v>
      </c>
      <c r="N1958" s="1" t="s">
        <v>4042</v>
      </c>
      <c r="O1958" s="15">
        <v>8</v>
      </c>
      <c r="P1958" s="15">
        <v>2006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1958" s="1"/>
      <c r="U1958" s="1"/>
      <c r="V1958" s="32" t="s">
        <v>4084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1958" s="15" t="str">
        <f>_xlfn.TEXTBEFORE(_xlfn.TEXTAFTER(CantoralDB[[#This Row],[index.html]],"&gt;"),"&gt;")&amp;"&gt;"</f>
        <v>&lt;a href="canciones/taize/fiez-vous_en_lui.html"&gt;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326</v>
      </c>
      <c r="C1959" s="1" t="s">
        <v>1021</v>
      </c>
      <c r="D1959" s="1" t="s">
        <v>1094</v>
      </c>
      <c r="H1959" s="1" t="s">
        <v>1029</v>
      </c>
      <c r="J1959" s="1" t="s">
        <v>607</v>
      </c>
      <c r="M1959" s="15" t="s">
        <v>2133</v>
      </c>
      <c r="N1959" s="1" t="s">
        <v>4042</v>
      </c>
      <c r="O1959" s="15">
        <v>9</v>
      </c>
      <c r="P1959" s="15">
        <v>2006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59" s="1"/>
      <c r="U1959" s="1"/>
      <c r="V1959" s="32" t="s">
        <v>4085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1959" s="15" t="str">
        <f>_xlfn.TEXTBEFORE(_xlfn.TEXTAFTER(CantoralDB[[#This Row],[index.html]],"&gt;"),"&gt;")&amp;"&gt;"</f>
        <v>&lt;a href="canciones/taize/cantate_domino_canticum_novum.html"&gt;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398</v>
      </c>
      <c r="C1960" s="1" t="s">
        <v>1021</v>
      </c>
      <c r="D1960" s="1" t="s">
        <v>1133</v>
      </c>
      <c r="H1960" s="1" t="s">
        <v>530</v>
      </c>
      <c r="I1960" s="1" t="s">
        <v>2951</v>
      </c>
      <c r="J1960" s="1" t="s">
        <v>607</v>
      </c>
      <c r="M1960" s="15" t="s">
        <v>2133</v>
      </c>
      <c r="N1960" s="1" t="s">
        <v>4042</v>
      </c>
      <c r="O1960" s="15">
        <v>10</v>
      </c>
      <c r="P1960" s="15">
        <v>2006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60" s="1"/>
      <c r="U1960" s="1"/>
      <c r="V1960" s="32" t="s">
        <v>4086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1960" s="15" t="str">
        <f>_xlfn.TEXTBEFORE(_xlfn.TEXTAFTER(CantoralDB[[#This Row],[index.html]],"&gt;"),"&gt;")&amp;"&gt;"</f>
        <v>&lt;a href="canciones/taize/kyrie_20.html"&gt;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4044</v>
      </c>
      <c r="C1961" s="1"/>
      <c r="J1961" s="1"/>
      <c r="M1961" s="15" t="s">
        <v>2133</v>
      </c>
      <c r="N1961" s="1" t="s">
        <v>4042</v>
      </c>
      <c r="O1961" s="15">
        <v>11</v>
      </c>
      <c r="P1961" s="15">
        <v>2006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1961" s="1"/>
      <c r="U1961" s="1"/>
      <c r="V1961" s="32" t="s">
        <v>4087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1961" s="15" t="str">
        <f>_xlfn.TEXTBEFORE(_xlfn.TEXTAFTER(CantoralDB[[#This Row],[index.html]],"&gt;"),"&gt;")&amp;"&gt;"</f>
        <v>&lt;a href="canciones/taize/frieden_frieden.html"&gt;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4045</v>
      </c>
      <c r="C1962" s="1"/>
      <c r="J1962" s="1"/>
      <c r="M1962" s="15" t="s">
        <v>2133</v>
      </c>
      <c r="N1962" s="1" t="s">
        <v>4042</v>
      </c>
      <c r="O1962" s="15">
        <v>12</v>
      </c>
      <c r="P1962" s="15">
        <v>2006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1962" s="1"/>
      <c r="U1962" s="1"/>
      <c r="V1962" s="32" t="s">
        <v>4088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1962" s="15" t="str">
        <f>_xlfn.TEXTBEFORE(_xlfn.TEXTAFTER(CantoralDB[[#This Row],[index.html]],"&gt;"),"&gt;")&amp;"&gt;"</f>
        <v>&lt;a href="canciones/taize/que_j'exulte_et_jubile.html"&gt;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328</v>
      </c>
      <c r="C1963" s="1" t="s">
        <v>1021</v>
      </c>
      <c r="D1963" s="1" t="s">
        <v>1096</v>
      </c>
      <c r="H1963" s="1" t="s">
        <v>1026</v>
      </c>
      <c r="I1963" s="1" t="s">
        <v>2951</v>
      </c>
      <c r="J1963" s="1" t="s">
        <v>607</v>
      </c>
      <c r="M1963" s="15" t="s">
        <v>2133</v>
      </c>
      <c r="N1963" s="1" t="s">
        <v>4042</v>
      </c>
      <c r="O1963" s="15">
        <v>13</v>
      </c>
      <c r="P1963" s="15">
        <v>2006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63" s="1"/>
      <c r="U1963" s="1"/>
      <c r="V1963" s="32" t="s">
        <v>4089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1963" s="15" t="str">
        <f>_xlfn.TEXTBEFORE(_xlfn.TEXTAFTER(CantoralDB[[#This Row],[index.html]],"&gt;"),"&gt;")&amp;"&gt;"</f>
        <v>&lt;a href="canciones/taize/christe_lux_mundi.html"&gt;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341</v>
      </c>
      <c r="C1964" s="1" t="s">
        <v>1021</v>
      </c>
      <c r="D1964" s="1" t="s">
        <v>1099</v>
      </c>
      <c r="H1964" s="1" t="s">
        <v>530</v>
      </c>
      <c r="J1964" s="1" t="s">
        <v>607</v>
      </c>
      <c r="M1964" s="15" t="s">
        <v>2133</v>
      </c>
      <c r="N1964" s="1" t="s">
        <v>4042</v>
      </c>
      <c r="O1964" s="15">
        <v>14</v>
      </c>
      <c r="P1964" s="15">
        <v>2006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64" s="1"/>
      <c r="U1964" s="1"/>
      <c r="V1964" s="32" t="s">
        <v>4090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1964" s="15" t="str">
        <f>_xlfn.TEXTBEFORE(_xlfn.TEXTAFTER(CantoralDB[[#This Row],[index.html]],"&gt;"),"&gt;")&amp;"&gt;"</f>
        <v>&lt;a href="canciones/taize/dominus_spiritus_est.html"&gt;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384</v>
      </c>
      <c r="C1965" s="1"/>
      <c r="J1965" s="1"/>
      <c r="M1965" s="15" t="s">
        <v>2133</v>
      </c>
      <c r="N1965" s="1" t="s">
        <v>4042</v>
      </c>
      <c r="O1965" s="15">
        <v>15</v>
      </c>
      <c r="P1965" s="15">
        <v>2006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1965" s="1"/>
      <c r="U1965" s="1"/>
      <c r="V1965" s="32" t="s">
        <v>4091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1965" s="15" t="str">
        <f>_xlfn.TEXTBEFORE(_xlfn.TEXTAFTER(CantoralDB[[#This Row],[index.html]],"&gt;"),"&gt;")&amp;"&gt;"</f>
        <v>&lt;a href="canciones/taize/kristus_din_ande.html"&gt;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321</v>
      </c>
      <c r="C1966" s="1"/>
      <c r="J1966" s="1"/>
      <c r="M1966" s="15" t="s">
        <v>2133</v>
      </c>
      <c r="N1966" s="1" t="s">
        <v>4042</v>
      </c>
      <c r="O1966" s="15">
        <v>16</v>
      </c>
      <c r="P1966" s="15">
        <v>2006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1966" s="1"/>
      <c r="U1966" s="1"/>
      <c r="V1966" s="32" t="s">
        <v>4092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1966" s="15" t="str">
        <f>_xlfn.TEXTBEFORE(_xlfn.TEXTAFTER(CantoralDB[[#This Row],[index.html]],"&gt;"),"&gt;")&amp;"&gt;"</f>
        <v>&lt;a href="canciones/taize/bogoroditse_dievo_2.html"&gt;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4059</v>
      </c>
      <c r="C1967" s="1"/>
      <c r="J1967" s="1"/>
      <c r="M1967" s="15" t="s">
        <v>2133</v>
      </c>
      <c r="N1967" s="1" t="s">
        <v>343</v>
      </c>
      <c r="O1967" s="15">
        <v>1</v>
      </c>
      <c r="P1967" s="15">
        <v>2026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1967" s="1"/>
      <c r="U1967" s="1"/>
      <c r="V1967" s="32" t="s">
        <v>4093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1967" s="15" t="str">
        <f>_xlfn.TEXTBEFORE(_xlfn.TEXTAFTER(CantoralDB[[#This Row],[index.html]],"&gt;"),"&gt;")&amp;"&gt;"</f>
        <v>&lt;a href="canciones/taize/adsumus_sancte_spiritus.html"&gt;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426</v>
      </c>
      <c r="C1968" s="1"/>
      <c r="J1968" s="1"/>
      <c r="M1968" s="15" t="s">
        <v>2133</v>
      </c>
      <c r="N1968" s="1" t="s">
        <v>343</v>
      </c>
      <c r="O1968" s="15">
        <v>6</v>
      </c>
      <c r="P1968" s="15">
        <v>2026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1968" s="1"/>
      <c r="U1968" s="1"/>
      <c r="V1968" s="32" t="s">
        <v>4094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1968" s="15" t="str">
        <f>_xlfn.TEXTBEFORE(_xlfn.TEXTAFTER(CantoralDB[[#This Row],[index.html]],"&gt;"),"&gt;")&amp;"&gt;"</f>
        <v>&lt;a href="canciones/taize/przybądź_duchu_boży.html"&gt;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275</v>
      </c>
      <c r="C1969" s="1" t="s">
        <v>1021</v>
      </c>
      <c r="D1969" s="1" t="s">
        <v>1115</v>
      </c>
      <c r="H1969" s="1" t="s">
        <v>1029</v>
      </c>
      <c r="J1969" s="1" t="s">
        <v>607</v>
      </c>
      <c r="M1969" s="15" t="s">
        <v>2133</v>
      </c>
      <c r="N1969" s="1" t="s">
        <v>343</v>
      </c>
      <c r="O1969" s="15">
        <v>8</v>
      </c>
      <c r="P1969" s="15">
        <v>2026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69" s="1"/>
      <c r="U1969" s="1"/>
      <c r="V1969" s="32" t="s">
        <v>4095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1969" s="15" t="str">
        <f>_xlfn.TEXTBEFORE(_xlfn.TEXTAFTER(CantoralDB[[#This Row],[index.html]],"&gt;"),"&gt;")&amp;"&gt;"</f>
        <v>&lt;a href="canciones/taize/herre_visa_mig_vägen.html"&gt;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465</v>
      </c>
      <c r="C1970" s="1" t="s">
        <v>1021</v>
      </c>
      <c r="D1970" s="1" t="s">
        <v>1151</v>
      </c>
      <c r="H1970" s="1" t="s">
        <v>1026</v>
      </c>
      <c r="I1970" s="1" t="s">
        <v>2952</v>
      </c>
      <c r="J1970" s="1" t="s">
        <v>607</v>
      </c>
      <c r="M1970" s="15" t="s">
        <v>2133</v>
      </c>
      <c r="N1970" s="1" t="s">
        <v>343</v>
      </c>
      <c r="O1970" s="15">
        <v>9</v>
      </c>
      <c r="P1970" s="15">
        <v>2026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70" s="1"/>
      <c r="U1970" s="1"/>
      <c r="V1970" s="32" t="s">
        <v>4096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1970" s="15" t="str">
        <f>_xlfn.TEXTBEFORE(_xlfn.TEXTAFTER(CantoralDB[[#This Row],[index.html]],"&gt;"),"&gt;")&amp;"&gt;"</f>
        <v>&lt;a href="canciones/taize/vieni_spirito_creatore_(canon).html"&gt;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4060</v>
      </c>
      <c r="C1971" s="1"/>
      <c r="J1971" s="1"/>
      <c r="M1971" s="15" t="s">
        <v>2133</v>
      </c>
      <c r="N1971" s="1" t="s">
        <v>343</v>
      </c>
      <c r="O1971" s="15">
        <v>10</v>
      </c>
      <c r="P1971" s="15">
        <v>2026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1971" s="1"/>
      <c r="U1971" s="1"/>
      <c r="V1971" s="32" t="s">
        <v>4097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1971" s="15" t="str">
        <f>_xlfn.TEXTBEFORE(_xlfn.TEXTAFTER(CantoralDB[[#This Row],[index.html]],"&gt;"),"&gt;")&amp;"&gt;"</f>
        <v>&lt;a href="canciones/taize/tibi_deo_gloria.html"&gt;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338</v>
      </c>
      <c r="C1972" s="1" t="s">
        <v>1021</v>
      </c>
      <c r="D1972" s="1" t="s">
        <v>1113</v>
      </c>
      <c r="H1972" s="1" t="s">
        <v>1029</v>
      </c>
      <c r="I1972" s="1" t="s">
        <v>2949</v>
      </c>
      <c r="J1972" s="1" t="s">
        <v>607</v>
      </c>
      <c r="M1972" s="15" t="s">
        <v>2133</v>
      </c>
      <c r="N1972" s="1" t="s">
        <v>343</v>
      </c>
      <c r="O1972" s="15">
        <v>12</v>
      </c>
      <c r="P1972" s="15">
        <v>2026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72" s="1"/>
      <c r="U1972" s="1"/>
      <c r="V1972" s="32" t="s">
        <v>4098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1972" s="15" t="str">
        <f>_xlfn.TEXTBEFORE(_xlfn.TEXTAFTER(CantoralDB[[#This Row],[index.html]],"&gt;"),"&gt;")&amp;"&gt;"</f>
        <v>&lt;a href="canciones/taize/deus_deus_meus_(canon).html"&gt;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1025</v>
      </c>
      <c r="C1973" s="1" t="s">
        <v>1021</v>
      </c>
      <c r="D1973" s="1" t="s">
        <v>1111</v>
      </c>
      <c r="H1973" s="1" t="s">
        <v>1026</v>
      </c>
      <c r="I1973" s="1" t="s">
        <v>2952</v>
      </c>
      <c r="J1973" s="1" t="s">
        <v>607</v>
      </c>
      <c r="M1973" s="15" t="s">
        <v>2133</v>
      </c>
      <c r="N1973" s="1" t="s">
        <v>343</v>
      </c>
      <c r="O1973" s="15">
        <v>13</v>
      </c>
      <c r="P1973" s="15">
        <v>2026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73" s="1"/>
      <c r="U1973" s="1"/>
      <c r="V1973" s="32" t="s">
        <v>4099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1973" s="15" t="str">
        <f>_xlfn.TEXTBEFORE(_xlfn.TEXTAFTER(CantoralDB[[#This Row],[index.html]],"&gt;"),"&gt;")&amp;"&gt;"</f>
        <v>&lt;a href="canciones/taize/v_tebi_je_izvir_življenja.html"&gt;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337</v>
      </c>
      <c r="C1974" s="1" t="s">
        <v>1021</v>
      </c>
      <c r="D1974" s="1" t="s">
        <v>1112</v>
      </c>
      <c r="H1974" s="1" t="s">
        <v>530</v>
      </c>
      <c r="I1974" s="1" t="s">
        <v>2952</v>
      </c>
      <c r="J1974" s="1" t="s">
        <v>607</v>
      </c>
      <c r="M1974" s="15" t="s">
        <v>2133</v>
      </c>
      <c r="N1974" s="1" t="s">
        <v>343</v>
      </c>
      <c r="O1974" s="15">
        <v>16</v>
      </c>
      <c r="P1974" s="15">
        <v>2026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1974" s="1" t="s">
        <v>959</v>
      </c>
      <c r="U1974" s="1"/>
      <c r="V1974" s="32" t="s">
        <v>4100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1974" s="15" t="str">
        <f>_xlfn.TEXTBEFORE(_xlfn.TEXTAFTER(CantoralDB[[#This Row],[index.html]],"&gt;"),"&gt;")&amp;"&gt;"</f>
        <v>&lt;a href="canciones/taize/despierta_tu_que_duermes.html"&gt;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353</v>
      </c>
      <c r="C1975" s="1"/>
      <c r="J1975" s="1"/>
      <c r="M1975" s="15" t="s">
        <v>2133</v>
      </c>
      <c r="N1975" s="1" t="s">
        <v>379</v>
      </c>
      <c r="O1975" s="15">
        <v>3</v>
      </c>
      <c r="P1975" s="15">
        <v>2024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1975" s="1"/>
      <c r="U1975" s="1"/>
      <c r="V1975" s="32" t="s">
        <v>4101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1975" s="15" t="str">
        <f>_xlfn.TEXTBEFORE(_xlfn.TEXTAFTER(CantoralDB[[#This Row],[index.html]],"&gt;"),"&gt;")&amp;"&gt;"</f>
        <v>&lt;a href="canciones/taize/gib_mich_ganz_zu_eigen_dir.html"&gt;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451</v>
      </c>
      <c r="C1976" s="1"/>
      <c r="J1976" s="1"/>
      <c r="M1976" s="15" t="s">
        <v>2133</v>
      </c>
      <c r="N1976" s="1" t="s">
        <v>379</v>
      </c>
      <c r="O1976" s="15">
        <v>9</v>
      </c>
      <c r="P1976" s="15">
        <v>2024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1976" s="1"/>
      <c r="U1976" s="1"/>
      <c r="V1976" s="32" t="s">
        <v>4102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1976" s="15" t="str">
        <f>_xlfn.TEXTBEFORE(_xlfn.TEXTAFTER(CantoralDB[[#This Row],[index.html]],"&gt;"),"&gt;")&amp;"&gt;"</f>
        <v>&lt;a href="canciones/taize/tu_mecum_es.html"&gt;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4058</v>
      </c>
      <c r="C1977" s="1"/>
      <c r="J1977" s="1"/>
      <c r="M1977" s="15" t="s">
        <v>2133</v>
      </c>
      <c r="N1977" s="1" t="s">
        <v>379</v>
      </c>
      <c r="O1977" s="15">
        <v>13</v>
      </c>
      <c r="P1977" s="15">
        <v>2024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1977" s="1"/>
      <c r="U1977" s="1"/>
      <c r="V1977" s="32" t="s">
        <v>4103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1977" s="15" t="str">
        <f>_xlfn.TEXTBEFORE(_xlfn.TEXTAFTER(CantoralDB[[#This Row],[index.html]],"&gt;"),"&gt;")&amp;"&gt;"</f>
        <v>&lt;a href="canciones/taize/dona_nobis_pacem_2.html"&gt;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471</v>
      </c>
      <c r="C1978" s="1" t="s">
        <v>1021</v>
      </c>
      <c r="D1978" s="1" t="s">
        <v>1069</v>
      </c>
      <c r="H1978" s="1" t="s">
        <v>530</v>
      </c>
      <c r="I1978" s="1" t="s">
        <v>2952</v>
      </c>
      <c r="J1978" s="1" t="s">
        <v>607</v>
      </c>
      <c r="M1978" s="15" t="s">
        <v>2133</v>
      </c>
      <c r="N1978" s="1" t="s">
        <v>379</v>
      </c>
      <c r="O1978" s="15">
        <v>16</v>
      </c>
      <c r="P1978" s="15">
        <v>2024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78" s="1"/>
      <c r="U1978" s="1"/>
      <c r="V1978" s="32" t="s">
        <v>4104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1978" s="15" t="str">
        <f>_xlfn.TEXTBEFORE(_xlfn.TEXTAFTER(CantoralDB[[#This Row],[index.html]],"&gt;"),"&gt;")&amp;"&gt;"</f>
        <v>&lt;a href="canciones/taize/zu_wem_sollen_wir_gehen.html"&gt;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383</v>
      </c>
      <c r="C1979" s="1"/>
      <c r="J1979" s="1"/>
      <c r="M1979" s="15" t="s">
        <v>2133</v>
      </c>
      <c r="N1979" s="1" t="s">
        <v>4020</v>
      </c>
      <c r="O1979" s="15">
        <v>1</v>
      </c>
      <c r="P1979" s="15">
        <v>1992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1979" s="1"/>
      <c r="U1979" s="1"/>
      <c r="V1979" s="32" t="s">
        <v>4105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1979" s="15" t="str">
        <f>_xlfn.TEXTBEFORE(_xlfn.TEXTAFTER(CantoralDB[[#This Row],[index.html]],"&gt;"),"&gt;")&amp;"&gt;"</f>
        <v>&lt;a href="canciones/taize/jubilate_servite.html"&gt;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4021</v>
      </c>
      <c r="C1980" s="1"/>
      <c r="J1980" s="1"/>
      <c r="M1980" s="15" t="s">
        <v>2133</v>
      </c>
      <c r="N1980" s="1" t="s">
        <v>4020</v>
      </c>
      <c r="O1980" s="15">
        <v>2</v>
      </c>
      <c r="P1980" s="15">
        <v>1992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1980" s="1"/>
      <c r="U1980" s="1"/>
      <c r="V1980" s="32" t="s">
        <v>4106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1980" s="15" t="str">
        <f>_xlfn.TEXTBEFORE(_xlfn.TEXTAFTER(CantoralDB[[#This Row],[index.html]],"&gt;"),"&gt;")&amp;"&gt;"</f>
        <v>&lt;a href="canciones/taize/veni_creator_spiritus.html"&gt;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438</v>
      </c>
      <c r="C1981" s="1"/>
      <c r="J1981" s="1"/>
      <c r="M1981" s="15" t="s">
        <v>2133</v>
      </c>
      <c r="N1981" s="1" t="s">
        <v>4020</v>
      </c>
      <c r="O1981" s="15">
        <v>3</v>
      </c>
      <c r="P1981" s="15">
        <v>1992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1981" s="1"/>
      <c r="U1981" s="1"/>
      <c r="V1981" s="32" t="s">
        <v>4107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1981" s="15" t="str">
        <f>_xlfn.TEXTBEFORE(_xlfn.TEXTAFTER(CantoralDB[[#This Row],[index.html]],"&gt;"),"&gt;")&amp;"&gt;"</f>
        <v>&lt;a href="canciones/taize/singt_dem_herrn.html"&gt;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295</v>
      </c>
      <c r="C1982" s="1"/>
      <c r="J1982" s="1"/>
      <c r="M1982" s="15" t="s">
        <v>2133</v>
      </c>
      <c r="N1982" s="1" t="s">
        <v>4020</v>
      </c>
      <c r="O1982" s="15">
        <v>4</v>
      </c>
      <c r="P1982" s="15">
        <v>1992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1982" s="1"/>
      <c r="U1982" s="1"/>
      <c r="V1982" s="32" t="s">
        <v>4108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1982" s="15" t="str">
        <f>_xlfn.TEXTBEFORE(_xlfn.TEXTAFTER(CantoralDB[[#This Row],[index.html]],"&gt;"),"&gt;")&amp;"&gt;"</f>
        <v>&lt;a href="canciones/taize/alleluia_10.html"&gt;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316</v>
      </c>
      <c r="C1983" s="1"/>
      <c r="J1983" s="1"/>
      <c r="M1983" s="15" t="s">
        <v>2133</v>
      </c>
      <c r="N1983" s="1" t="s">
        <v>4020</v>
      </c>
      <c r="O1983" s="15">
        <v>5</v>
      </c>
      <c r="P1983" s="15">
        <v>1992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1983" s="1"/>
      <c r="U1983" s="1"/>
      <c r="V1983" s="32" t="s">
        <v>4109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1983" s="15" t="str">
        <f>_xlfn.TEXTBEFORE(_xlfn.TEXTAFTER(CantoralDB[[#This Row],[index.html]],"&gt;"),"&gt;")&amp;"&gt;"</f>
        <v>&lt;a href="canciones/taize/bleib_mit_deiner_gnade.html"&gt;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394</v>
      </c>
      <c r="C1984" s="1"/>
      <c r="J1984" s="1"/>
      <c r="M1984" s="15" t="s">
        <v>2133</v>
      </c>
      <c r="N1984" s="1" t="s">
        <v>4020</v>
      </c>
      <c r="O1984" s="15">
        <v>6</v>
      </c>
      <c r="P1984" s="15">
        <v>1992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1984" s="1"/>
      <c r="U1984" s="1"/>
      <c r="V1984" s="32" t="s">
        <v>4110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1984" s="15" t="str">
        <f>_xlfn.TEXTBEFORE(_xlfn.TEXTAFTER(CantoralDB[[#This Row],[index.html]],"&gt;"),"&gt;")&amp;"&gt;"</f>
        <v>&lt;a href="canciones/taize/kyrie_13.html"&gt;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376</v>
      </c>
      <c r="C1985" s="1" t="s">
        <v>1021</v>
      </c>
      <c r="D1985" s="1" t="s">
        <v>1102</v>
      </c>
      <c r="H1985" s="1" t="s">
        <v>530</v>
      </c>
      <c r="I1985" s="1" t="s">
        <v>2952</v>
      </c>
      <c r="J1985" s="1" t="s">
        <v>607</v>
      </c>
      <c r="M1985" s="15" t="s">
        <v>2133</v>
      </c>
      <c r="N1985" s="1" t="s">
        <v>4020</v>
      </c>
      <c r="O1985" s="15">
        <v>7</v>
      </c>
      <c r="P1985" s="15">
        <v>1992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85" s="1"/>
      <c r="U1985" s="1"/>
      <c r="V1985" s="32" t="s">
        <v>4111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1985" s="15" t="str">
        <f>_xlfn.TEXTBEFORE(_xlfn.TEXTAFTER(CantoralDB[[#This Row],[index.html]],"&gt;"),"&gt;")&amp;"&gt;"</f>
        <v>&lt;a href="canciones/taize/jesus_le_christ.html"&gt;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783</v>
      </c>
      <c r="C1986" s="1" t="s">
        <v>1021</v>
      </c>
      <c r="D1986" s="1" t="s">
        <v>1138</v>
      </c>
      <c r="H1986" s="1" t="s">
        <v>1029</v>
      </c>
      <c r="I1986" s="1" t="s">
        <v>2951</v>
      </c>
      <c r="J1986" s="1" t="s">
        <v>607</v>
      </c>
      <c r="M1986" s="15" t="s">
        <v>2133</v>
      </c>
      <c r="N1986" s="1" t="s">
        <v>4020</v>
      </c>
      <c r="O1986" s="15">
        <v>8</v>
      </c>
      <c r="P1986" s="15">
        <v>1992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86" s="1"/>
      <c r="U1986" s="1"/>
      <c r="V1986" s="32" t="s">
        <v>4112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1986" s="15" t="str">
        <f>_xlfn.TEXTBEFORE(_xlfn.TEXTAFTER(CantoralDB[[#This Row],[index.html]],"&gt;"),"&gt;")&amp;"&gt;"</f>
        <v>&lt;a href="canciones/taize/laudate_dominum.html"&gt;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315</v>
      </c>
      <c r="C1987" s="1" t="s">
        <v>1021</v>
      </c>
      <c r="D1987" s="1" t="s">
        <v>1086</v>
      </c>
      <c r="H1987" s="1" t="s">
        <v>530</v>
      </c>
      <c r="I1987" s="1" t="s">
        <v>2952</v>
      </c>
      <c r="J1987" s="1" t="s">
        <v>607</v>
      </c>
      <c r="M1987" s="15" t="s">
        <v>2133</v>
      </c>
      <c r="N1987" s="1" t="s">
        <v>4020</v>
      </c>
      <c r="O1987" s="15">
        <v>9</v>
      </c>
      <c r="P1987" s="15">
        <v>1992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87" s="1"/>
      <c r="U1987" s="1"/>
      <c r="V1987" s="32" t="s">
        <v>4113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1987" s="15" t="str">
        <f>_xlfn.TEXTBEFORE(_xlfn.TEXTAFTER(CantoralDB[[#This Row],[index.html]],"&gt;"),"&gt;")&amp;"&gt;"</f>
        <v>&lt;a href="canciones/taize/benissez_le_seigneur.html"&gt;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279</v>
      </c>
      <c r="C1988" s="1"/>
      <c r="J1988" s="1"/>
      <c r="M1988" s="15" t="s">
        <v>2133</v>
      </c>
      <c r="N1988" s="1" t="s">
        <v>4020</v>
      </c>
      <c r="O1988" s="15">
        <v>10</v>
      </c>
      <c r="P1988" s="15">
        <v>1992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1988" s="1"/>
      <c r="U1988" s="1"/>
      <c r="V1988" s="32" t="s">
        <v>4114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1988" s="15" t="str">
        <f>_xlfn.TEXTBEFORE(_xlfn.TEXTAFTER(CantoralDB[[#This Row],[index.html]],"&gt;"),"&gt;")&amp;"&gt;"</f>
        <v>&lt;a href="canciones/taize/adoramus_te_christe.html"&gt;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4022</v>
      </c>
      <c r="C1989" s="1"/>
      <c r="J1989" s="1"/>
      <c r="M1989" s="15" t="s">
        <v>2133</v>
      </c>
      <c r="N1989" s="1" t="s">
        <v>4020</v>
      </c>
      <c r="O1989" s="15">
        <v>11</v>
      </c>
      <c r="P1989" s="15">
        <v>1992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1989" s="1"/>
      <c r="U1989" s="1"/>
      <c r="V1989" s="32" t="s">
        <v>4115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1989" s="15" t="str">
        <f>_xlfn.TEXTBEFORE(_xlfn.TEXTAFTER(CantoralDB[[#This Row],[index.html]],"&gt;"),"&gt;")&amp;"&gt;"</f>
        <v>&lt;a href="canciones/taize/magnificat_(choral).html"&gt;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4023</v>
      </c>
      <c r="C1990" s="1"/>
      <c r="J1990" s="1"/>
      <c r="M1990" s="15" t="s">
        <v>2133</v>
      </c>
      <c r="N1990" s="1" t="s">
        <v>4020</v>
      </c>
      <c r="O1990" s="15">
        <v>12</v>
      </c>
      <c r="P1990" s="15">
        <v>1992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1990" s="1"/>
      <c r="U1990" s="1"/>
      <c r="V1990" s="32" t="s">
        <v>4116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1990" s="15" t="str">
        <f>_xlfn.TEXTBEFORE(_xlfn.TEXTAFTER(CantoralDB[[#This Row],[index.html]],"&gt;"),"&gt;")&amp;"&gt;"</f>
        <v>&lt;a href="canciones/taize/il_n'est_pas_de_plus_grand_amour.html"&gt;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322</v>
      </c>
      <c r="C1991" s="1" t="s">
        <v>1021</v>
      </c>
      <c r="D1991" s="1" t="s">
        <v>1092</v>
      </c>
      <c r="H1991" s="1" t="s">
        <v>530</v>
      </c>
      <c r="I1991" s="1" t="s">
        <v>2950</v>
      </c>
      <c r="J1991" s="1" t="s">
        <v>607</v>
      </c>
      <c r="M1991" s="15" t="s">
        <v>2133</v>
      </c>
      <c r="N1991" s="1" t="s">
        <v>4020</v>
      </c>
      <c r="O1991" s="15">
        <v>13</v>
      </c>
      <c r="P1991" s="15">
        <v>1992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91" s="1"/>
      <c r="U1991" s="1"/>
      <c r="V1991" s="32" t="s">
        <v>4117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1991" s="15" t="str">
        <f>_xlfn.TEXTBEFORE(_xlfn.TEXTAFTER(CantoralDB[[#This Row],[index.html]],"&gt;"),"&gt;")&amp;"&gt;"</f>
        <v>&lt;a href="canciones/taize/bonum_est_confidere.html"&gt;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356</v>
      </c>
      <c r="C1992" s="1"/>
      <c r="J1992" s="1"/>
      <c r="M1992" s="15" t="s">
        <v>2133</v>
      </c>
      <c r="N1992" s="1" t="s">
        <v>4020</v>
      </c>
      <c r="O1992" s="15">
        <v>14</v>
      </c>
      <c r="P1992" s="15">
        <v>1992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1992" s="1"/>
      <c r="U1992" s="1"/>
      <c r="V1992" s="32" t="s">
        <v>4118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1992" s="15" t="str">
        <f>_xlfn.TEXTBEFORE(_xlfn.TEXTAFTER(CantoralDB[[#This Row],[index.html]],"&gt;"),"&gt;")&amp;"&gt;"</f>
        <v>&lt;a href="canciones/taize/gospodi_a.html"&gt;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4024</v>
      </c>
      <c r="C1993" s="1"/>
      <c r="J1993" s="1"/>
      <c r="M1993" s="15" t="s">
        <v>2133</v>
      </c>
      <c r="N1993" s="1" t="s">
        <v>4020</v>
      </c>
      <c r="O1993" s="15">
        <v>15</v>
      </c>
      <c r="P1993" s="15">
        <v>1992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1993" s="1"/>
      <c r="U1993" s="1"/>
      <c r="V1993" s="32" t="s">
        <v>4119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1993" s="15" t="str">
        <f>_xlfn.TEXTBEFORE(_xlfn.TEXTAFTER(CantoralDB[[#This Row],[index.html]],"&gt;"),"&gt;")&amp;"&gt;"</f>
        <v>&lt;a href="canciones/taize/notre_âme_attend_le_seigneur.html"&gt;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378</v>
      </c>
      <c r="C1994" s="1" t="s">
        <v>1021</v>
      </c>
      <c r="D1994" s="1" t="s">
        <v>1129</v>
      </c>
      <c r="H1994" s="1" t="s">
        <v>530</v>
      </c>
      <c r="I1994" s="1" t="s">
        <v>2951</v>
      </c>
      <c r="J1994" s="1" t="s">
        <v>607</v>
      </c>
      <c r="M1994" s="15" t="s">
        <v>2133</v>
      </c>
      <c r="N1994" s="1" t="s">
        <v>4020</v>
      </c>
      <c r="O1994" s="15">
        <v>16</v>
      </c>
      <c r="P1994" s="15">
        <v>1992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94" s="1"/>
      <c r="U1994" s="1"/>
      <c r="V1994" s="32" t="s">
        <v>4120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1994" s="15" t="str">
        <f>_xlfn.TEXTBEFORE(_xlfn.TEXTAFTER(CantoralDB[[#This Row],[index.html]],"&gt;"),"&gt;")&amp;"&gt;"</f>
        <v>&lt;a href="canciones/taize/jesus_remember_me.html"&gt;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406</v>
      </c>
      <c r="C1995" s="1"/>
      <c r="J1995" s="1"/>
      <c r="M1995" s="15" t="s">
        <v>2133</v>
      </c>
      <c r="N1995" s="1" t="s">
        <v>4054</v>
      </c>
      <c r="O1995" s="15">
        <v>1</v>
      </c>
      <c r="P1995" s="15">
        <v>2017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1995" s="1"/>
      <c r="U1995" s="1"/>
      <c r="V1995" s="32" t="s">
        <v>4121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1995" s="15" t="str">
        <f>_xlfn.TEXTBEFORE(_xlfn.TEXTAFTER(CantoralDB[[#This Row],[index.html]],"&gt;"),"&gt;")&amp;"&gt;"</f>
        <v>&lt;a href="canciones/taize/laudemus_deum.html"&gt;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379</v>
      </c>
      <c r="C1996" s="1" t="s">
        <v>1021</v>
      </c>
      <c r="D1996" s="1" t="s">
        <v>1075</v>
      </c>
      <c r="H1996" s="1" t="s">
        <v>472</v>
      </c>
      <c r="J1996" s="1" t="s">
        <v>607</v>
      </c>
      <c r="M1996" s="15" t="s">
        <v>2133</v>
      </c>
      <c r="N1996" s="1" t="s">
        <v>4054</v>
      </c>
      <c r="O1996" s="15">
        <v>3</v>
      </c>
      <c r="P1996" s="15">
        <v>2017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96" s="1"/>
      <c r="U1996" s="1"/>
      <c r="V1996" s="32" t="s">
        <v>4122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1996" s="15" t="str">
        <f>_xlfn.TEXTBEFORE(_xlfn.TEXTAFTER(CantoralDB[[#This Row],[index.html]],"&gt;"),"&gt;")&amp;"&gt;"</f>
        <v>&lt;a href="canciones/taize/jubelt_und_freut_euch.html"&gt;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432</v>
      </c>
      <c r="C1997" s="1" t="s">
        <v>1021</v>
      </c>
      <c r="D1997" s="1" t="s">
        <v>1145</v>
      </c>
      <c r="H1997" s="1" t="s">
        <v>530</v>
      </c>
      <c r="I1997" s="1" t="s">
        <v>2950</v>
      </c>
      <c r="J1997" s="1" t="s">
        <v>607</v>
      </c>
      <c r="M1997" s="15" t="s">
        <v>2133</v>
      </c>
      <c r="N1997" s="1" t="s">
        <v>4054</v>
      </c>
      <c r="O1997" s="15">
        <v>4</v>
      </c>
      <c r="P1997" s="15">
        <v>2017</v>
      </c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97" s="1"/>
      <c r="U1997" s="1"/>
      <c r="V1997" s="32" t="s">
        <v>4123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1997" s="15" t="str">
        <f>_xlfn.TEXTBEFORE(_xlfn.TEXTAFTER(CantoralDB[[#This Row],[index.html]],"&gt;"),"&gt;")&amp;"&gt;"</f>
        <v>&lt;a href="canciones/taize/sanasi_on_lamppu.html"&gt;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373</v>
      </c>
      <c r="C1998" s="1"/>
      <c r="J1998" s="1"/>
      <c r="M1998" s="15" t="s">
        <v>2133</v>
      </c>
      <c r="N1998" s="1" t="s">
        <v>4054</v>
      </c>
      <c r="O1998" s="15">
        <v>5</v>
      </c>
      <c r="P1998" s="15">
        <v>2017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1998" s="1"/>
      <c r="U1998" s="1"/>
      <c r="V1998" s="32" t="s">
        <v>4124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1998" s="15" t="str">
        <f>_xlfn.TEXTBEFORE(_xlfn.TEXTAFTER(CantoralDB[[#This Row],[index.html]],"&gt;"),"&gt;")&amp;"&gt;"</f>
        <v>&lt;a href="canciones/taize/jesu_christe_fili_dei.html"&gt;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436</v>
      </c>
      <c r="C1999" s="1" t="s">
        <v>1021</v>
      </c>
      <c r="D1999" s="1" t="s">
        <v>1147</v>
      </c>
      <c r="H1999" s="1" t="s">
        <v>1027</v>
      </c>
      <c r="I1999" s="1" t="s">
        <v>2952</v>
      </c>
      <c r="J1999" s="1" t="s">
        <v>607</v>
      </c>
      <c r="M1999" s="15" t="s">
        <v>2133</v>
      </c>
      <c r="N1999" s="1" t="s">
        <v>4054</v>
      </c>
      <c r="O1999" s="15">
        <v>7</v>
      </c>
      <c r="P1999" s="15">
        <v>2017</v>
      </c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1999" s="1" t="s">
        <v>981</v>
      </c>
      <c r="U1999" s="1"/>
      <c r="V1999" s="32" t="s">
        <v>4125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1999" s="15" t="str">
        <f>_xlfn.TEXTBEFORE(_xlfn.TEXTAFTER(CantoralDB[[#This Row],[index.html]],"&gt;"),"&gt;")&amp;"&gt;"</f>
        <v>&lt;a href="canciones/taize/señor_que_florezca_tu_justicia.html"&gt;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4055</v>
      </c>
      <c r="C2000" s="1"/>
      <c r="J2000" s="1"/>
      <c r="M2000" s="15" t="s">
        <v>2133</v>
      </c>
      <c r="N2000" s="1" t="s">
        <v>4054</v>
      </c>
      <c r="O2000" s="15">
        <v>8</v>
      </c>
      <c r="P2000" s="15">
        <v>2017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00" s="1"/>
      <c r="U2000" s="1"/>
      <c r="V2000" s="32" t="s">
        <v>4126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00" s="15" t="str">
        <f>_xlfn.TEXTBEFORE(_xlfn.TEXTAFTER(CantoralDB[[#This Row],[index.html]],"&gt;"),"&gt;")&amp;"&gt;"</f>
        <v>&lt;a href="canciones/taize/ô_sagesse.html"&gt;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4056</v>
      </c>
      <c r="C2001" s="1"/>
      <c r="J2001" s="1"/>
      <c r="M2001" s="15" t="s">
        <v>2133</v>
      </c>
      <c r="N2001" s="1" t="s">
        <v>4054</v>
      </c>
      <c r="O2001" s="15">
        <v>10</v>
      </c>
      <c r="P2001" s="15">
        <v>2017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01" s="1"/>
      <c r="U2001" s="1"/>
      <c r="V2001" s="32" t="s">
        <v>4127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01" s="15" t="str">
        <f>_xlfn.TEXTBEFORE(_xlfn.TEXTAFTER(CantoralDB[[#This Row],[index.html]],"&gt;"),"&gt;")&amp;"&gt;"</f>
        <v>&lt;a href="canciones/taize/ô_vous_qui_dans_l'obscurite.html"&gt;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362</v>
      </c>
      <c r="C2002" s="1" t="s">
        <v>1021</v>
      </c>
      <c r="D2002" s="1" t="s">
        <v>1125</v>
      </c>
      <c r="H2002" s="1" t="s">
        <v>1029</v>
      </c>
      <c r="I2002" s="1" t="s">
        <v>2950</v>
      </c>
      <c r="J2002" s="1" t="s">
        <v>607</v>
      </c>
      <c r="M2002" s="15" t="s">
        <v>2133</v>
      </c>
      <c r="N2002" s="1" t="s">
        <v>4054</v>
      </c>
      <c r="O2002" s="15">
        <v>11</v>
      </c>
      <c r="P2002" s="15">
        <v>2017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02" s="1"/>
      <c r="U2002" s="1"/>
      <c r="V2002" s="32" t="s">
        <v>4128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02" s="15" t="str">
        <f>_xlfn.TEXTBEFORE(_xlfn.TEXTAFTER(CantoralDB[[#This Row],[index.html]],"&gt;"),"&gt;")&amp;"&gt;"</f>
        <v>&lt;a href="canciones/taize/heureux_qui_s’abandonne_à_toi.html"&gt;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4054</v>
      </c>
      <c r="C2003" s="1"/>
      <c r="J2003" s="1"/>
      <c r="M2003" s="15" t="s">
        <v>2133</v>
      </c>
      <c r="N2003" s="1" t="s">
        <v>4054</v>
      </c>
      <c r="O2003" s="15">
        <v>12</v>
      </c>
      <c r="P2003" s="15">
        <v>2017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03" s="1"/>
      <c r="U2003" s="1"/>
      <c r="V2003" s="32" t="s">
        <v>4129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03" s="15" t="str">
        <f>_xlfn.TEXTBEFORE(_xlfn.TEXTAFTER(CantoralDB[[#This Row],[index.html]],"&gt;"),"&gt;")&amp;"&gt;"</f>
        <v>&lt;a href="canciones/taize/laudamus_te.html"&gt;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4057</v>
      </c>
      <c r="C2004" s="1"/>
      <c r="J2004" s="1"/>
      <c r="M2004" s="15" t="s">
        <v>2133</v>
      </c>
      <c r="N2004" s="1" t="s">
        <v>4054</v>
      </c>
      <c r="O2004" s="15">
        <v>13</v>
      </c>
      <c r="P2004" s="15">
        <v>2017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04" s="1"/>
      <c r="U2004" s="1"/>
      <c r="V2004" s="32" t="s">
        <v>4130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04" s="15" t="str">
        <f>_xlfn.TEXTBEFORE(_xlfn.TEXTAFTER(CantoralDB[[#This Row],[index.html]],"&gt;"),"&gt;")&amp;"&gt;"</f>
        <v>&lt;a href="canciones/taize/atme_in_uns_heilliger_geist.html"&gt;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467</v>
      </c>
      <c r="C2005" s="1" t="s">
        <v>1021</v>
      </c>
      <c r="D2005" s="1" t="s">
        <v>1121</v>
      </c>
      <c r="H2005" s="1" t="s">
        <v>530</v>
      </c>
      <c r="I2005" s="1" t="s">
        <v>2951</v>
      </c>
      <c r="J2005" s="1" t="s">
        <v>607</v>
      </c>
      <c r="M2005" s="15" t="s">
        <v>2133</v>
      </c>
      <c r="N2005" s="1" t="s">
        <v>4054</v>
      </c>
      <c r="O2005" s="15">
        <v>14</v>
      </c>
      <c r="P2005" s="15">
        <v>2017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05" s="1"/>
      <c r="U2005" s="1"/>
      <c r="V2005" s="32" t="s">
        <v>4131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05" s="15" t="str">
        <f>_xlfn.TEXTBEFORE(_xlfn.TEXTAFTER(CantoralDB[[#This Row],[index.html]],"&gt;"),"&gt;")&amp;"&gt;"</f>
        <v>&lt;a href="canciones/taize/voici_dieu_qui_vient_à_mon_secours.html"&gt;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442</v>
      </c>
      <c r="C2006" s="1" t="s">
        <v>1021</v>
      </c>
      <c r="D2006" s="1" t="s">
        <v>1146</v>
      </c>
      <c r="H2006" s="1" t="s">
        <v>472</v>
      </c>
      <c r="I2006" s="1" t="s">
        <v>2950</v>
      </c>
      <c r="J2006" s="1" t="s">
        <v>607</v>
      </c>
      <c r="M2006" s="15" t="s">
        <v>2133</v>
      </c>
      <c r="N2006" s="1" t="s">
        <v>4054</v>
      </c>
      <c r="O2006" s="15">
        <v>16</v>
      </c>
      <c r="P2006" s="15">
        <v>2017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06" s="1"/>
      <c r="U2006" s="1"/>
      <c r="V2006" s="32" t="s">
        <v>4132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06" s="15" t="str">
        <f>_xlfn.TEXTBEFORE(_xlfn.TEXTAFTER(CantoralDB[[#This Row],[index.html]],"&gt;"),"&gt;")&amp;"&gt;"</f>
        <v>&lt;a href="canciones/taize/staňte_se_soli.html"&gt;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455</v>
      </c>
      <c r="C2007" s="1" t="s">
        <v>1021</v>
      </c>
      <c r="D2007" s="1" t="s">
        <v>1116</v>
      </c>
      <c r="E2007" s="1">
        <v>466</v>
      </c>
      <c r="H2007" s="1" t="s">
        <v>530</v>
      </c>
      <c r="I2007" s="1" t="s">
        <v>2950</v>
      </c>
      <c r="J2007" s="1" t="s">
        <v>607</v>
      </c>
      <c r="M2007" s="15" t="s">
        <v>2133</v>
      </c>
      <c r="N2007" s="1" t="s">
        <v>784</v>
      </c>
      <c r="O2007" s="15">
        <v>6</v>
      </c>
      <c r="P2007" s="15">
        <v>2002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07" s="1"/>
      <c r="U2007" s="1"/>
      <c r="V2007" s="32" t="s">
        <v>4133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07" s="15" t="str">
        <f>_xlfn.TEXTBEFORE(_xlfn.TEXTAFTER(CantoralDB[[#This Row],[index.html]],"&gt;"),"&gt;")&amp;"&gt;"</f>
        <v>&lt;a href="canciones/taize/ubi_caritas.html"&gt;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444</v>
      </c>
      <c r="C2008" s="1" t="s">
        <v>1021</v>
      </c>
      <c r="D2008" s="1" t="s">
        <v>1101</v>
      </c>
      <c r="H2008" s="1" t="s">
        <v>472</v>
      </c>
      <c r="I2008" s="1" t="s">
        <v>2951</v>
      </c>
      <c r="J2008" s="1" t="s">
        <v>607</v>
      </c>
      <c r="M2008" s="15" t="s">
        <v>2133</v>
      </c>
      <c r="N2008" s="1" t="s">
        <v>784</v>
      </c>
      <c r="O2008" s="15">
        <v>8</v>
      </c>
      <c r="P2008" s="15">
        <v>2002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08" s="1"/>
      <c r="U2008" s="1"/>
      <c r="V2008" s="32" t="s">
        <v>4134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08" s="15" t="str">
        <f>_xlfn.TEXTBEFORE(_xlfn.TEXTAFTER(CantoralDB[[#This Row],[index.html]],"&gt;"),"&gt;")&amp;"&gt;"</f>
        <v>&lt;a href="canciones/taize/surrexit_dominus_vere_(canon).html"&gt;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4040</v>
      </c>
      <c r="C2009" s="1"/>
      <c r="J2009" s="1"/>
      <c r="M2009" s="15" t="s">
        <v>2133</v>
      </c>
      <c r="N2009" s="1" t="s">
        <v>784</v>
      </c>
      <c r="O2009" s="15">
        <v>13</v>
      </c>
      <c r="P2009" s="15">
        <v>2002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09" s="1"/>
      <c r="U2009" s="1"/>
      <c r="V2009" s="32" t="s">
        <v>4135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09" s="15" t="str">
        <f>_xlfn.TEXTBEFORE(_xlfn.TEXTAFTER(CantoralDB[[#This Row],[index.html]],"&gt;"),"&gt;")&amp;"&gt;"</f>
        <v>&lt;a href="canciones/taize/gloria…_et_in_terra_pax.html"&gt;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329</v>
      </c>
      <c r="C2010" s="1" t="s">
        <v>1021</v>
      </c>
      <c r="D2010" s="1" t="s">
        <v>1095</v>
      </c>
      <c r="H2010" s="1" t="s">
        <v>530</v>
      </c>
      <c r="I2010" s="1" t="s">
        <v>2951</v>
      </c>
      <c r="J2010" s="1" t="s">
        <v>607</v>
      </c>
      <c r="M2010" s="15" t="s">
        <v>2133</v>
      </c>
      <c r="N2010" s="1" t="s">
        <v>784</v>
      </c>
      <c r="O2010" s="15">
        <v>17</v>
      </c>
      <c r="P2010" s="15">
        <v>2002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10" s="1"/>
      <c r="U2010" s="1"/>
      <c r="V2010" s="32" t="s">
        <v>4136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10" s="15" t="str">
        <f>_xlfn.TEXTBEFORE(_xlfn.TEXTAFTER(CantoralDB[[#This Row],[index.html]],"&gt;"),"&gt;")&amp;"&gt;"</f>
        <v>&lt;a href="canciones/taize/christe_salvator.html"&gt;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313</v>
      </c>
      <c r="C2011" s="1" t="s">
        <v>1021</v>
      </c>
      <c r="D2011" s="1" t="s">
        <v>1087</v>
      </c>
      <c r="H2011" s="1" t="s">
        <v>1027</v>
      </c>
      <c r="I2011" s="1" t="s">
        <v>2952</v>
      </c>
      <c r="J2011" s="1" t="s">
        <v>607</v>
      </c>
      <c r="M2011" s="15" t="s">
        <v>2133</v>
      </c>
      <c r="N2011" s="1" t="s">
        <v>784</v>
      </c>
      <c r="O2011" s="15">
        <v>18</v>
      </c>
      <c r="P2011" s="15">
        <v>2002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11" s="1"/>
      <c r="U2011" s="1"/>
      <c r="V2011" s="32" t="s">
        <v>4137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11" s="15" t="str">
        <f>_xlfn.TEXTBEFORE(_xlfn.TEXTAFTER(CantoralDB[[#This Row],[index.html]],"&gt;"),"&gt;")&amp;"&gt;"</f>
        <v>&lt;a href="canciones/taize/benedictus_qui_venit_(canon).html"&gt;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419</v>
      </c>
      <c r="C2012" s="1" t="s">
        <v>1021</v>
      </c>
      <c r="D2012" s="1" t="s">
        <v>1110</v>
      </c>
      <c r="H2012" s="1" t="s">
        <v>1029</v>
      </c>
      <c r="J2012" s="1" t="s">
        <v>607</v>
      </c>
      <c r="M2012" s="15" t="s">
        <v>2133</v>
      </c>
      <c r="N2012" s="1" t="s">
        <v>784</v>
      </c>
      <c r="O2012" s="15">
        <v>19</v>
      </c>
      <c r="P2012" s="15">
        <v>2002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12" s="1"/>
      <c r="U2012" s="1"/>
      <c r="V2012" s="32" t="s">
        <v>4138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12" s="15" t="str">
        <f>_xlfn.TEXTBEFORE(_xlfn.TEXTAFTER(CantoralDB[[#This Row],[index.html]],"&gt;"),"&gt;")&amp;"&gt;"</f>
        <v>&lt;a href="canciones/taize/nunc_dimittis.html"&gt;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277</v>
      </c>
      <c r="C2013" s="1" t="s">
        <v>1021</v>
      </c>
      <c r="D2013" s="1" t="s">
        <v>1071</v>
      </c>
      <c r="H2013" s="1" t="s">
        <v>1042</v>
      </c>
      <c r="I2013" s="1" t="s">
        <v>2952</v>
      </c>
      <c r="J2013" s="1" t="s">
        <v>607</v>
      </c>
      <c r="M2013" s="15" t="s">
        <v>2133</v>
      </c>
      <c r="N2013" s="1" t="s">
        <v>411</v>
      </c>
      <c r="O2013" s="15">
        <v>1</v>
      </c>
      <c r="P2013" s="15">
        <v>2010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13" s="1"/>
      <c r="U2013" s="1"/>
      <c r="V2013" s="32" t="s">
        <v>4139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13" s="15" t="str">
        <f>_xlfn.TEXTBEFORE(_xlfn.TEXTAFTER(CantoralDB[[#This Row],[index.html]],"&gt;"),"&gt;")&amp;"&gt;"</f>
        <v>&lt;a href="canciones/taize/ad_te_jesu_christe.html"&gt;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368</v>
      </c>
      <c r="C2014" s="1" t="s">
        <v>1021</v>
      </c>
      <c r="D2014" s="1" t="s">
        <v>1120</v>
      </c>
      <c r="H2014" s="1" t="s">
        <v>1026</v>
      </c>
      <c r="I2014" s="1" t="s">
        <v>2952</v>
      </c>
      <c r="J2014" s="1" t="s">
        <v>607</v>
      </c>
      <c r="M2014" s="15" t="s">
        <v>2133</v>
      </c>
      <c r="N2014" s="1" t="s">
        <v>411</v>
      </c>
      <c r="O2014" s="15">
        <v>2</v>
      </c>
      <c r="P2014" s="15">
        <v>2010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14" s="1"/>
      <c r="U2014" s="1"/>
      <c r="V2014" s="32" t="s">
        <v>4140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14" s="15" t="str">
        <f>_xlfn.TEXTBEFORE(_xlfn.TEXTAFTER(CantoralDB[[#This Row],[index.html]],"&gt;"),"&gt;")&amp;"&gt;"</f>
        <v>&lt;a href="canciones/taize/il_signore_ti_ristora.html"&gt;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302</v>
      </c>
      <c r="C2015" s="1" t="s">
        <v>1021</v>
      </c>
      <c r="D2015" s="1" t="s">
        <v>1079</v>
      </c>
      <c r="H2015" s="1" t="s">
        <v>472</v>
      </c>
      <c r="I2015" s="1" t="s">
        <v>2951</v>
      </c>
      <c r="J2015" s="1" t="s">
        <v>607</v>
      </c>
      <c r="M2015" s="15" t="s">
        <v>2133</v>
      </c>
      <c r="N2015" s="1" t="s">
        <v>411</v>
      </c>
      <c r="O2015" s="15">
        <v>3</v>
      </c>
      <c r="P2015" s="15">
        <v>2010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15" s="1"/>
      <c r="U2015" s="1"/>
      <c r="V2015" s="32" t="s">
        <v>4141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15" s="15" t="str">
        <f>_xlfn.TEXTBEFORE(_xlfn.TEXTAFTER(CantoralDB[[#This Row],[index.html]],"&gt;"),"&gt;")&amp;"&gt;"</f>
        <v>&lt;a href="canciones/taize/alleluia_22.html"&gt;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434</v>
      </c>
      <c r="C2016" s="1"/>
      <c r="J2016" s="1"/>
      <c r="M2016" s="15" t="s">
        <v>2133</v>
      </c>
      <c r="N2016" s="1" t="s">
        <v>411</v>
      </c>
      <c r="O2016" s="15">
        <v>4</v>
      </c>
      <c r="P2016" s="15">
        <v>2010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16" s="1"/>
      <c r="U2016" s="1"/>
      <c r="V2016" s="32" t="s">
        <v>4142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16" s="15" t="str">
        <f>_xlfn.TEXTBEFORE(_xlfn.TEXTAFTER(CantoralDB[[#This Row],[index.html]],"&gt;"),"&gt;")&amp;"&gt;"</f>
        <v>&lt;a href="canciones/taize/see_i_am_near.html"&gt;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437</v>
      </c>
      <c r="C2017" s="1"/>
      <c r="J2017" s="1"/>
      <c r="M2017" s="15" t="s">
        <v>2133</v>
      </c>
      <c r="N2017" s="1" t="s">
        <v>411</v>
      </c>
      <c r="O2017" s="15">
        <v>5</v>
      </c>
      <c r="P2017" s="15">
        <v>2010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17" s="1"/>
      <c r="U2017" s="1"/>
      <c r="V2017" s="32" t="s">
        <v>4143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17" s="15" t="str">
        <f>_xlfn.TEXTBEFORE(_xlfn.TEXTAFTER(CantoralDB[[#This Row],[index.html]],"&gt;"),"&gt;")&amp;"&gt;"</f>
        <v>&lt;a href="canciones/taize/sfinte_dumnezeule.html"&gt;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367</v>
      </c>
      <c r="C2018" s="1" t="s">
        <v>1021</v>
      </c>
      <c r="D2018" s="1" t="s">
        <v>1127</v>
      </c>
      <c r="H2018" s="1" t="s">
        <v>1027</v>
      </c>
      <c r="I2018" s="1" t="s">
        <v>2952</v>
      </c>
      <c r="J2018" s="1" t="s">
        <v>607</v>
      </c>
      <c r="M2018" s="15" t="s">
        <v>2133</v>
      </c>
      <c r="N2018" s="1" t="s">
        <v>411</v>
      </c>
      <c r="O2018" s="15">
        <v>6</v>
      </c>
      <c r="P2018" s="15">
        <v>2010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18" s="1"/>
      <c r="U2018" s="1"/>
      <c r="V2018" s="32" t="s">
        <v>4144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18" s="15" t="str">
        <f>_xlfn.TEXTBEFORE(_xlfn.TEXTAFTER(CantoralDB[[#This Row],[index.html]],"&gt;"),"&gt;")&amp;"&gt;"</f>
        <v>&lt;a href="canciones/taize/iedere_nacht_verlang_ik.html"&gt;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402</v>
      </c>
      <c r="C2019" s="1"/>
      <c r="J2019" s="1"/>
      <c r="M2019" s="15" t="s">
        <v>2133</v>
      </c>
      <c r="N2019" s="1" t="s">
        <v>411</v>
      </c>
      <c r="O2019" s="15">
        <v>7</v>
      </c>
      <c r="P2019" s="15">
        <v>2010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19" s="1"/>
      <c r="U2019" s="1"/>
      <c r="V2019" s="32" t="s">
        <v>4145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19" s="15" t="str">
        <f>_xlfn.TEXTBEFORE(_xlfn.TEXTAFTER(CantoralDB[[#This Row],[index.html]],"&gt;"),"&gt;")&amp;"&gt;"</f>
        <v>&lt;a href="canciones/taize/laetentur_coeli.html"&gt;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4047</v>
      </c>
      <c r="C2020" s="1"/>
      <c r="J2020" s="1"/>
      <c r="M2020" s="15" t="s">
        <v>2133</v>
      </c>
      <c r="N2020" s="1" t="s">
        <v>411</v>
      </c>
      <c r="O2020" s="15">
        <v>8</v>
      </c>
      <c r="P2020" s="15">
        <v>2010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20" s="1"/>
      <c r="U2020" s="1"/>
      <c r="V2020" s="32" t="s">
        <v>4146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20" s="15" t="str">
        <f>_xlfn.TEXTBEFORE(_xlfn.TEXTAFTER(CantoralDB[[#This Row],[index.html]],"&gt;"),"&gt;")&amp;"&gt;"</f>
        <v>&lt;a href="canciones/taize/sto_oko_ne_vidje.html"&gt;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399</v>
      </c>
      <c r="C2021" s="1"/>
      <c r="J2021" s="1"/>
      <c r="M2021" s="15" t="s">
        <v>2133</v>
      </c>
      <c r="N2021" s="1" t="s">
        <v>411</v>
      </c>
      <c r="O2021" s="15">
        <v>9</v>
      </c>
      <c r="P2021" s="15">
        <v>2010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21" s="1"/>
      <c r="U2021" s="1"/>
      <c r="V2021" s="32" t="s">
        <v>4147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21" s="15" t="str">
        <f>_xlfn.TEXTBEFORE(_xlfn.TEXTAFTER(CantoralDB[[#This Row],[index.html]],"&gt;"),"&gt;")&amp;"&gt;"</f>
        <v>&lt;a href="canciones/taize/kyrie_21.html"&gt;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276</v>
      </c>
      <c r="C2022" s="1" t="s">
        <v>1021</v>
      </c>
      <c r="D2022" s="1" t="s">
        <v>1070</v>
      </c>
      <c r="H2022" s="1" t="s">
        <v>530</v>
      </c>
      <c r="I2022" s="1" t="s">
        <v>2953</v>
      </c>
      <c r="J2022" s="1" t="s">
        <v>607</v>
      </c>
      <c r="M2022" s="15" t="s">
        <v>2133</v>
      </c>
      <c r="N2022" s="1" t="s">
        <v>411</v>
      </c>
      <c r="O2022" s="15">
        <v>11</v>
      </c>
      <c r="P2022" s="15">
        <v>2010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22" s="1"/>
      <c r="U2022" s="1"/>
      <c r="V2022" s="32" t="s">
        <v>4148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22" s="15" t="str">
        <f>_xlfn.TEXTBEFORE(_xlfn.TEXTAFTER(CantoralDB[[#This Row],[index.html]],"&gt;"),"&gt;")&amp;"&gt;"</f>
        <v>&lt;a href="canciones/taize/aber_du_weisst_den_weg_für_mich.html"&gt;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349</v>
      </c>
      <c r="C2023" s="1"/>
      <c r="J2023" s="1"/>
      <c r="M2023" s="15" t="s">
        <v>2133</v>
      </c>
      <c r="N2023" s="1" t="s">
        <v>411</v>
      </c>
      <c r="O2023" s="15">
        <v>12</v>
      </c>
      <c r="P2023" s="15">
        <v>2010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23" s="1"/>
      <c r="U2023" s="1"/>
      <c r="V2023" s="32" t="s">
        <v>4149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23" s="15" t="str">
        <f>_xlfn.TEXTBEFORE(_xlfn.TEXTAFTER(CantoralDB[[#This Row],[index.html]],"&gt;"),"&gt;")&amp;"&gt;"</f>
        <v>&lt;a href="canciones/taize/exaudi_orationem_meam.html"&gt;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287</v>
      </c>
      <c r="C2024" s="1"/>
      <c r="J2024" s="1"/>
      <c r="M2024" s="15" t="s">
        <v>2133</v>
      </c>
      <c r="N2024" s="1" t="s">
        <v>411</v>
      </c>
      <c r="O2024" s="15">
        <v>13</v>
      </c>
      <c r="P2024" s="15">
        <v>2010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24" s="1"/>
      <c r="U2024" s="1"/>
      <c r="V2024" s="32" t="s">
        <v>4150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24" s="15" t="str">
        <f>_xlfn.TEXTBEFORE(_xlfn.TEXTAFTER(CantoralDB[[#This Row],[index.html]],"&gt;"),"&gt;")&amp;"&gt;"</f>
        <v>&lt;a href="canciones/taize/alleluia_(kiev).html"&gt;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344</v>
      </c>
      <c r="C2025" s="1" t="s">
        <v>1021</v>
      </c>
      <c r="D2025" s="1" t="s">
        <v>1097</v>
      </c>
      <c r="H2025" s="1" t="s">
        <v>1027</v>
      </c>
      <c r="I2025" s="1" t="s">
        <v>2952</v>
      </c>
      <c r="J2025" s="1" t="s">
        <v>607</v>
      </c>
      <c r="M2025" s="15" t="s">
        <v>2133</v>
      </c>
      <c r="N2025" s="1" t="s">
        <v>411</v>
      </c>
      <c r="O2025" s="15">
        <v>14</v>
      </c>
      <c r="P2025" s="15">
        <v>2010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25" s="1"/>
      <c r="U2025" s="1"/>
      <c r="V2025" s="32" t="s">
        <v>4151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25" s="15" t="str">
        <f>_xlfn.TEXTBEFORE(_xlfn.TEXTAFTER(CantoralDB[[#This Row],[index.html]],"&gt;"),"&gt;")&amp;"&gt;"</f>
        <v>&lt;a href="canciones/taize/eat_this_bread.html"&gt;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1022</v>
      </c>
      <c r="C2026" s="1" t="s">
        <v>1021</v>
      </c>
      <c r="D2026" s="1" t="s">
        <v>1097</v>
      </c>
      <c r="H2026" s="1" t="s">
        <v>1027</v>
      </c>
      <c r="I2026" s="1" t="s">
        <v>2952</v>
      </c>
      <c r="J2026" s="1" t="s">
        <v>607</v>
      </c>
      <c r="M2026" s="15" t="s">
        <v>2133</v>
      </c>
      <c r="N2026" s="1" t="s">
        <v>411</v>
      </c>
      <c r="O2026" s="15">
        <v>14</v>
      </c>
      <c r="P2026" s="15">
        <v>2010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26" s="1"/>
      <c r="U2026" s="1"/>
      <c r="V2026" s="32" t="s">
        <v>4151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26" s="15" t="str">
        <f>_xlfn.TEXTBEFORE(_xlfn.TEXTAFTER(CantoralDB[[#This Row],[index.html]],"&gt;"),"&gt;")&amp;"&gt;"</f>
        <v>&lt;a href="canciones/taize/jesus_christ_bread_of_life.html"&gt;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411</v>
      </c>
      <c r="C2027" s="1"/>
      <c r="J2027" s="1"/>
      <c r="M2027" s="15" t="s">
        <v>2133</v>
      </c>
      <c r="N2027" s="1" t="s">
        <v>411</v>
      </c>
      <c r="O2027" s="15">
        <v>15</v>
      </c>
      <c r="P2027" s="15">
        <v>2010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27" s="1"/>
      <c r="U2027" s="1"/>
      <c r="V2027" s="32" t="s">
        <v>4152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27" s="15" t="str">
        <f>_xlfn.TEXTBEFORE(_xlfn.TEXTAFTER(CantoralDB[[#This Row],[index.html]],"&gt;"),"&gt;")&amp;"&gt;"</f>
        <v>&lt;a href="canciones/taize/mane_nobiscum.html"&gt;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458</v>
      </c>
      <c r="C2028" s="1"/>
      <c r="J2028" s="1"/>
      <c r="M2028" s="15" t="s">
        <v>2133</v>
      </c>
      <c r="N2028" s="1" t="s">
        <v>411</v>
      </c>
      <c r="O2028" s="15">
        <v>16</v>
      </c>
      <c r="P2028" s="15">
        <v>2010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28" s="1"/>
      <c r="U2028" s="1"/>
      <c r="V2028" s="32" t="s">
        <v>4153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28" s="15" t="str">
        <f>_xlfn.TEXTBEFORE(_xlfn.TEXTAFTER(CantoralDB[[#This Row],[index.html]],"&gt;"),"&gt;")&amp;"&gt;"</f>
        <v>&lt;a href="canciones/taize/veni_creator_(canon).html"&gt;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348</v>
      </c>
      <c r="C2029" s="1" t="s">
        <v>1021</v>
      </c>
      <c r="D2029" s="1" t="s">
        <v>1123</v>
      </c>
      <c r="H2029" s="1" t="s">
        <v>1029</v>
      </c>
      <c r="J2029" s="1" t="s">
        <v>607</v>
      </c>
      <c r="M2029" s="15" t="s">
        <v>2133</v>
      </c>
      <c r="N2029" s="1" t="s">
        <v>411</v>
      </c>
      <c r="O2029" s="15">
        <v>17</v>
      </c>
      <c r="P2029" s="15">
        <v>2010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29" s="1"/>
      <c r="U2029" s="1"/>
      <c r="V2029" s="32" t="s">
        <v>4154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29" s="15" t="str">
        <f>_xlfn.TEXTBEFORE(_xlfn.TEXTAFTER(CantoralDB[[#This Row],[index.html]],"&gt;"),"&gt;")&amp;"&gt;"</f>
        <v>&lt;a href="canciones/taize/esprit_consolateur.html"&gt;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358</v>
      </c>
      <c r="C2030" s="1"/>
      <c r="J2030" s="1"/>
      <c r="M2030" s="15" t="s">
        <v>2133</v>
      </c>
      <c r="N2030" s="1" t="s">
        <v>4052</v>
      </c>
      <c r="O2030" s="15">
        <v>13</v>
      </c>
      <c r="P2030" s="15">
        <v>2014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30" s="1"/>
      <c r="U2030" s="1"/>
      <c r="V2030" s="32" t="s">
        <v>4155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30" s="15" t="str">
        <f>_xlfn.TEXTBEFORE(_xlfn.TEXTAFTER(CantoralDB[[#This Row],[index.html]],"&gt;"),"&gt;")&amp;"&gt;"</f>
        <v>&lt;a href="canciones/taize/gospodi_c.html"&gt;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4053</v>
      </c>
      <c r="C2031" s="1"/>
      <c r="J2031" s="1"/>
      <c r="M2031" s="15" t="s">
        <v>2133</v>
      </c>
      <c r="N2031" s="1" t="s">
        <v>4052</v>
      </c>
      <c r="O2031" s="15">
        <v>15</v>
      </c>
      <c r="P2031" s="15">
        <v>2014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31" s="1"/>
      <c r="U2031" s="1"/>
      <c r="V2031" s="32" t="s">
        <v>4156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31" s="15" t="str">
        <f>_xlfn.TEXTBEFORE(_xlfn.TEXTAFTER(CantoralDB[[#This Row],[index.html]],"&gt;"),"&gt;")&amp;"&gt;"</f>
        <v>&lt;a href="canciones/taize/cantique_de_simeon.html"&gt;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407</v>
      </c>
      <c r="C2032" s="1" t="s">
        <v>1021</v>
      </c>
      <c r="D2032" s="1" t="s">
        <v>1140</v>
      </c>
      <c r="H2032" s="1" t="s">
        <v>530</v>
      </c>
      <c r="I2032" s="1" t="s">
        <v>2952</v>
      </c>
      <c r="J2032" s="1" t="s">
        <v>607</v>
      </c>
      <c r="M2032" s="15" t="s">
        <v>2133</v>
      </c>
      <c r="N2032" s="1" t="s">
        <v>4052</v>
      </c>
      <c r="O2032" s="15">
        <v>19</v>
      </c>
      <c r="P2032" s="15">
        <v>2014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32" s="1"/>
      <c r="U2032" s="1"/>
      <c r="V2032" s="32" t="s">
        <v>4157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32" s="15" t="str">
        <f>_xlfn.TEXTBEFORE(_xlfn.TEXTAFTER(CantoralDB[[#This Row],[index.html]],"&gt;"),"&gt;")&amp;"&gt;"</f>
        <v>&lt;a href="canciones/taize/let_all_who_are_thirsty_come.html"&gt;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298</v>
      </c>
      <c r="C2033" s="1" t="s">
        <v>1021</v>
      </c>
      <c r="D2033" s="1" t="s">
        <v>1078</v>
      </c>
      <c r="H2033" s="1" t="s">
        <v>1029</v>
      </c>
      <c r="I2033" s="1" t="s">
        <v>2952</v>
      </c>
      <c r="J2033" s="1" t="s">
        <v>607</v>
      </c>
      <c r="M2033" s="15" t="s">
        <v>2133</v>
      </c>
      <c r="N2033" s="1" t="s">
        <v>4048</v>
      </c>
      <c r="O2033" s="15">
        <v>2</v>
      </c>
      <c r="P2033" s="15">
        <v>2012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33" s="1"/>
      <c r="U2033" s="1"/>
      <c r="V2033" s="32" t="s">
        <v>4158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33" s="15" t="str">
        <f>_xlfn.TEXTBEFORE(_xlfn.TEXTAFTER(CantoralDB[[#This Row],[index.html]],"&gt;"),"&gt;")&amp;"&gt;"</f>
        <v>&lt;a href="canciones/taize/alleluia_17.html"&gt;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4049</v>
      </c>
      <c r="C2034" s="1"/>
      <c r="J2034" s="1"/>
      <c r="M2034" s="15" t="s">
        <v>2133</v>
      </c>
      <c r="N2034" s="1" t="s">
        <v>4048</v>
      </c>
      <c r="O2034" s="15">
        <v>10</v>
      </c>
      <c r="P2034" s="15">
        <v>2012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34" s="1"/>
      <c r="U2034" s="1"/>
      <c r="V2034" s="32" t="s">
        <v>4159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34" s="15" t="str">
        <f>_xlfn.TEXTBEFORE(_xlfn.TEXTAFTER(CantoralDB[[#This Row],[index.html]],"&gt;"),"&gt;")&amp;"&gt;"</f>
        <v>&lt;a href="canciones/taize/seigneur_je_compte_sur_toi.html"&gt;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4048</v>
      </c>
      <c r="C2035" s="1"/>
      <c r="J2035" s="1"/>
      <c r="M2035" s="15" t="s">
        <v>2133</v>
      </c>
      <c r="N2035" s="1" t="s">
        <v>4048</v>
      </c>
      <c r="O2035" s="15">
        <v>11</v>
      </c>
      <c r="P2035" s="15">
        <v>2012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35" s="1"/>
      <c r="U2035" s="1"/>
      <c r="V2035" s="32" t="s">
        <v>4160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35" s="15" t="str">
        <f>_xlfn.TEXTBEFORE(_xlfn.TEXTAFTER(CantoralDB[[#This Row],[index.html]],"&gt;"),"&gt;")&amp;"&gt;"</f>
        <v>&lt;a href="canciones/taize/ô_toi_l'au-delà_de_tout.html"&gt;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377</v>
      </c>
      <c r="C2036" s="1" t="s">
        <v>1021</v>
      </c>
      <c r="D2036" s="1" t="s">
        <v>1130</v>
      </c>
      <c r="H2036" s="1" t="s">
        <v>1029</v>
      </c>
      <c r="J2036" s="1" t="s">
        <v>607</v>
      </c>
      <c r="M2036" s="15" t="s">
        <v>2133</v>
      </c>
      <c r="N2036" s="1" t="s">
        <v>4048</v>
      </c>
      <c r="O2036" s="15">
        <v>14</v>
      </c>
      <c r="P2036" s="15">
        <v>2012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36" s="1"/>
      <c r="U2036" s="1"/>
      <c r="V2036" s="32" t="s">
        <v>4161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36" s="15" t="str">
        <f>_xlfn.TEXTBEFORE(_xlfn.TEXTAFTER(CantoralDB[[#This Row],[index.html]],"&gt;"),"&gt;")&amp;"&gt;"</f>
        <v>&lt;a href="canciones/taize/jesus_ma_joie.html"&gt;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387</v>
      </c>
      <c r="C2037" s="1" t="s">
        <v>1021</v>
      </c>
      <c r="D2037" s="1" t="s">
        <v>1134</v>
      </c>
      <c r="H2037" s="1" t="s">
        <v>1029</v>
      </c>
      <c r="I2037" s="1" t="s">
        <v>2949</v>
      </c>
      <c r="J2037" s="1" t="s">
        <v>607</v>
      </c>
      <c r="M2037" s="15" t="s">
        <v>2133</v>
      </c>
      <c r="N2037" s="1" t="s">
        <v>4048</v>
      </c>
      <c r="O2037" s="15">
        <v>16</v>
      </c>
      <c r="P2037" s="15">
        <v>2012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037" s="1"/>
      <c r="U2037" s="1"/>
      <c r="V2037" s="32" t="s">
        <v>4162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037" s="15" t="str">
        <f>_xlfn.TEXTBEFORE(_xlfn.TEXTAFTER(CantoralDB[[#This Row],[index.html]],"&gt;"),"&gt;")&amp;"&gt;"</f>
        <v>&lt;a href="canciones/taize/kyrie_6.html"&gt;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4050</v>
      </c>
      <c r="C2038" s="1"/>
      <c r="J2038" s="1"/>
      <c r="M2038" s="15" t="s">
        <v>2133</v>
      </c>
      <c r="N2038" s="1" t="s">
        <v>4048</v>
      </c>
      <c r="O2038" s="15">
        <v>18</v>
      </c>
      <c r="P2038" s="15">
        <v>2012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038" s="1"/>
      <c r="U2038" s="1"/>
      <c r="V2038" s="32" t="s">
        <v>4163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038" s="15" t="str">
        <f>_xlfn.TEXTBEFORE(_xlfn.TEXTAFTER(CantoralDB[[#This Row],[index.html]],"&gt;"),"&gt;")&amp;"&gt;"</f>
        <v>&lt;a href="canciones/taize/retourne_mon_âme.html"&gt;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4051</v>
      </c>
      <c r="C2039" s="1"/>
      <c r="J2039" s="1"/>
      <c r="M2039" s="15" t="s">
        <v>2133</v>
      </c>
      <c r="N2039" s="1" t="s">
        <v>4048</v>
      </c>
      <c r="O2039" s="15">
        <v>19</v>
      </c>
      <c r="P2039" s="15">
        <v>2012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039" s="1"/>
      <c r="U2039" s="1"/>
      <c r="V2039" s="32" t="s">
        <v>4164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039" s="15" t="str">
        <f>_xlfn.TEXTBEFORE(_xlfn.TEXTAFTER(CantoralDB[[#This Row],[index.html]],"&gt;"),"&gt;")&amp;"&gt;"</f>
        <v>&lt;a href="canciones/taize/benedictus_dominus_deus.html"&gt;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4011</v>
      </c>
      <c r="C2040" s="1"/>
      <c r="J2040" s="1"/>
      <c r="M2040" s="15" t="s">
        <v>2133</v>
      </c>
      <c r="N2040" s="1" t="s">
        <v>4012</v>
      </c>
      <c r="O2040" s="15">
        <v>1</v>
      </c>
      <c r="P2040" s="15">
        <v>1985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040" s="1"/>
      <c r="U2040" s="1"/>
      <c r="V2040" s="32" t="s">
        <v>4165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040" s="15" t="str">
        <f>_xlfn.TEXTBEFORE(_xlfn.TEXTAFTER(CantoralDB[[#This Row],[index.html]],"&gt;"),"&gt;")&amp;"&gt;"</f>
        <v>&lt;a href="canciones/taize/christus_resurrexit.html"&gt;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414</v>
      </c>
      <c r="C2041" s="1" t="s">
        <v>1021</v>
      </c>
      <c r="D2041" s="1" t="s">
        <v>1142</v>
      </c>
      <c r="E2041" s="1">
        <v>173</v>
      </c>
      <c r="F2041" s="1">
        <v>319</v>
      </c>
      <c r="H2041" s="1" t="s">
        <v>1029</v>
      </c>
      <c r="I2041" s="1" t="s">
        <v>2950</v>
      </c>
      <c r="J2041" s="1" t="s">
        <v>607</v>
      </c>
      <c r="M2041" s="15" t="s">
        <v>2133</v>
      </c>
      <c r="N2041" s="1" t="s">
        <v>4012</v>
      </c>
      <c r="O2041" s="15">
        <v>2</v>
      </c>
      <c r="P2041" s="15">
        <v>1985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041" s="1" t="s">
        <v>977</v>
      </c>
      <c r="U2041" s="1"/>
      <c r="V2041" s="32" t="s">
        <v>4166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X2041" s="15" t="str">
        <f>_xlfn.TEXTBEFORE(_xlfn.TEXTAFTER(CantoralDB[[#This Row],[index.html]],"&gt;"),"&gt;")&amp;"&gt;"</f>
        <v>&lt;a href="canciones/taize/nada_te_turbe.html"&gt;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4013</v>
      </c>
      <c r="C2042" s="1"/>
      <c r="J2042" s="1"/>
      <c r="M2042" s="15" t="s">
        <v>2133</v>
      </c>
      <c r="N2042" s="1" t="s">
        <v>4012</v>
      </c>
      <c r="O2042" s="15">
        <v>3</v>
      </c>
      <c r="P2042" s="15">
        <v>1985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042" s="1"/>
      <c r="U2042" s="1"/>
      <c r="V2042" s="32" t="s">
        <v>4167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042" s="15" t="str">
        <f>_xlfn.TEXTBEFORE(_xlfn.TEXTAFTER(CantoralDB[[#This Row],[index.html]],"&gt;"),"&gt;")&amp;"&gt;"</f>
        <v>&lt;a href="canciones/taize/la_tenèbre_n'est_point_tenèbre.html"&gt;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4014</v>
      </c>
      <c r="C2043" s="1"/>
      <c r="J2043" s="1"/>
      <c r="M2043" s="15" t="s">
        <v>2133</v>
      </c>
      <c r="N2043" s="1" t="s">
        <v>4012</v>
      </c>
      <c r="O2043" s="15">
        <v>4</v>
      </c>
      <c r="P2043" s="15">
        <v>1985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043" s="1"/>
      <c r="U2043" s="1"/>
      <c r="V2043" s="32" t="s">
        <v>4168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043" s="15" t="str">
        <f>_xlfn.TEXTBEFORE(_xlfn.TEXTAFTER(CantoralDB[[#This Row],[index.html]],"&gt;"),"&gt;")&amp;"&gt;"</f>
        <v>&lt;a href="canciones/taize/veni_lumen_cordium.html"&gt;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342</v>
      </c>
      <c r="C2044" s="1" t="s">
        <v>1021</v>
      </c>
      <c r="D2044" s="1" t="s">
        <v>1107</v>
      </c>
      <c r="H2044" s="1" t="s">
        <v>1029</v>
      </c>
      <c r="I2044" s="1" t="s">
        <v>2950</v>
      </c>
      <c r="J2044" s="1" t="s">
        <v>607</v>
      </c>
      <c r="M2044" s="15" t="s">
        <v>2133</v>
      </c>
      <c r="N2044" s="1" t="s">
        <v>4012</v>
      </c>
      <c r="O2044" s="15">
        <v>5</v>
      </c>
      <c r="P2044" s="15">
        <v>1985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044" s="1"/>
      <c r="U2044" s="1"/>
      <c r="V2044" s="32" t="s">
        <v>4169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044" s="15" t="str">
        <f>_xlfn.TEXTBEFORE(_xlfn.TEXTAFTER(CantoralDB[[#This Row],[index.html]],"&gt;"),"&gt;")&amp;"&gt;"</f>
        <v>&lt;a href="canciones/taize/dona_la_pace.html"&gt;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4015</v>
      </c>
      <c r="C2045" s="1"/>
      <c r="J2045" s="1"/>
      <c r="M2045" s="15" t="s">
        <v>2133</v>
      </c>
      <c r="N2045" s="1" t="s">
        <v>4012</v>
      </c>
      <c r="O2045" s="15">
        <v>6</v>
      </c>
      <c r="P2045" s="15">
        <v>1985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045" s="1"/>
      <c r="U2045" s="1"/>
      <c r="V2045" s="32" t="s">
        <v>4170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045" s="15" t="str">
        <f>_xlfn.TEXTBEFORE(_xlfn.TEXTAFTER(CantoralDB[[#This Row],[index.html]],"&gt;"),"&gt;")&amp;"&gt;"</f>
        <v>&lt;a href="canciones/taize/exaudi_nos.html"&gt;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317</v>
      </c>
      <c r="C2046" s="1" t="s">
        <v>1021</v>
      </c>
      <c r="D2046" s="1" t="s">
        <v>1088</v>
      </c>
      <c r="H2046" s="1" t="s">
        <v>530</v>
      </c>
      <c r="I2046" s="1" t="s">
        <v>2950</v>
      </c>
      <c r="J2046" s="1" t="s">
        <v>607</v>
      </c>
      <c r="M2046" s="15" t="s">
        <v>2133</v>
      </c>
      <c r="N2046" s="1" t="s">
        <v>4012</v>
      </c>
      <c r="O2046" s="15">
        <v>7</v>
      </c>
      <c r="P2046" s="15">
        <v>1985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046" s="1"/>
      <c r="U2046" s="1"/>
      <c r="V2046" s="32" t="s">
        <v>4171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046" s="15" t="str">
        <f>_xlfn.TEXTBEFORE(_xlfn.TEXTAFTER(CantoralDB[[#This Row],[index.html]],"&gt;"),"&gt;")&amp;"&gt;"</f>
        <v>&lt;a href="canciones/taize/bleibet_hier.html"&gt;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443</v>
      </c>
      <c r="C2047" s="1" t="s">
        <v>1021</v>
      </c>
      <c r="D2047" s="1" t="s">
        <v>1100</v>
      </c>
      <c r="H2047" s="1" t="s">
        <v>530</v>
      </c>
      <c r="I2047" s="1" t="s">
        <v>2952</v>
      </c>
      <c r="J2047" s="1" t="s">
        <v>607</v>
      </c>
      <c r="M2047" s="15" t="s">
        <v>2133</v>
      </c>
      <c r="N2047" s="1" t="s">
        <v>4012</v>
      </c>
      <c r="O2047" s="15">
        <v>8</v>
      </c>
      <c r="P2047" s="15">
        <v>1985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047" s="1"/>
      <c r="U2047" s="1"/>
      <c r="V2047" s="32" t="s">
        <v>4172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047" s="15" t="str">
        <f>_xlfn.TEXTBEFORE(_xlfn.TEXTAFTER(CantoralDB[[#This Row],[index.html]],"&gt;"),"&gt;")&amp;"&gt;"</f>
        <v>&lt;a href="canciones/taize/surrexit_christus.html"&gt;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413</v>
      </c>
      <c r="C2048" s="1"/>
      <c r="J2048" s="1"/>
      <c r="M2048" s="15" t="s">
        <v>2133</v>
      </c>
      <c r="N2048" s="1" t="s">
        <v>4012</v>
      </c>
      <c r="O2048" s="15">
        <v>9</v>
      </c>
      <c r="P2048" s="15">
        <v>1985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048" s="1"/>
      <c r="U2048" s="1"/>
      <c r="V2048" s="32" t="s">
        <v>4173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048" s="15" t="str">
        <f>_xlfn.TEXTBEFORE(_xlfn.TEXTAFTER(CantoralDB[[#This Row],[index.html]],"&gt;"),"&gt;")&amp;"&gt;"</f>
        <v>&lt;a href="canciones/taize/mon_âme_se_repose.html"&gt;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420</v>
      </c>
      <c r="C2049" s="1" t="s">
        <v>1021</v>
      </c>
      <c r="E2049" s="1">
        <v>187</v>
      </c>
      <c r="H2049" s="1" t="s">
        <v>1026</v>
      </c>
      <c r="J2049" s="1" t="s">
        <v>607</v>
      </c>
      <c r="M2049" s="15" t="s">
        <v>2133</v>
      </c>
      <c r="N2049" s="1" t="s">
        <v>4012</v>
      </c>
      <c r="O2049" s="15">
        <v>10</v>
      </c>
      <c r="P2049" s="15">
        <v>1985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049" s="1"/>
      <c r="U2049" s="1" t="s">
        <v>420</v>
      </c>
      <c r="V2049" s="32" t="s">
        <v>4174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049" s="15" t="str">
        <f>_xlfn.TEXTBEFORE(_xlfn.TEXTAFTER(CantoralDB[[#This Row],[index.html]],"&gt;"),"&gt;")&amp;"&gt;"</f>
        <v>&lt;a href="canciones/taize/o_christe_domine_jesu.html"&gt;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4016</v>
      </c>
      <c r="C2050" s="1"/>
      <c r="J2050" s="1"/>
      <c r="M2050" s="15" t="s">
        <v>2133</v>
      </c>
      <c r="N2050" s="1" t="s">
        <v>4012</v>
      </c>
      <c r="O2050" s="15">
        <v>11</v>
      </c>
      <c r="P2050" s="15">
        <v>1985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050" s="1"/>
      <c r="U2050" s="1"/>
      <c r="V2050" s="32" t="s">
        <v>4175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050" s="15" t="str">
        <f>_xlfn.TEXTBEFORE(_xlfn.TEXTAFTER(CantoralDB[[#This Row],[index.html]],"&gt;"),"&gt;")&amp;"&gt;"</f>
        <v>&lt;a href="canciones/taize/o_lord_hear_my_prayer.html"&gt;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293</v>
      </c>
      <c r="C2051" s="1" t="s">
        <v>1021</v>
      </c>
      <c r="D2051" s="1" t="s">
        <v>1080</v>
      </c>
      <c r="H2051" s="1" t="s">
        <v>1027</v>
      </c>
      <c r="J2051" s="1" t="s">
        <v>607</v>
      </c>
      <c r="M2051" s="15" t="s">
        <v>2133</v>
      </c>
      <c r="N2051" s="1" t="s">
        <v>4012</v>
      </c>
      <c r="O2051" s="15">
        <v>12</v>
      </c>
      <c r="P2051" s="15">
        <v>1985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051" s="1"/>
      <c r="U2051" s="1"/>
      <c r="V2051" s="32" t="s">
        <v>4176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051" s="15" t="str">
        <f>_xlfn.TEXTBEFORE(_xlfn.TEXTAFTER(CantoralDB[[#This Row],[index.html]],"&gt;"),"&gt;")&amp;"&gt;"</f>
        <v>&lt;a href="canciones/taize/alleluia_7.html"&gt;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343</v>
      </c>
      <c r="C2052" s="1" t="s">
        <v>1021</v>
      </c>
      <c r="D2052" s="1" t="s">
        <v>1106</v>
      </c>
      <c r="H2052" s="1" t="s">
        <v>1029</v>
      </c>
      <c r="I2052" s="1" t="s">
        <v>2950</v>
      </c>
      <c r="J2052" s="1" t="s">
        <v>607</v>
      </c>
      <c r="M2052" s="15" t="s">
        <v>2133</v>
      </c>
      <c r="N2052" s="1" t="s">
        <v>4012</v>
      </c>
      <c r="O2052" s="15">
        <v>13</v>
      </c>
      <c r="P2052" s="15">
        <v>1985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052" s="1"/>
      <c r="U2052" s="1"/>
      <c r="V2052" s="32" t="s">
        <v>4177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052" s="15" t="str">
        <f>_xlfn.TEXTBEFORE(_xlfn.TEXTAFTER(CantoralDB[[#This Row],[index.html]],"&gt;"),"&gt;")&amp;"&gt;"</f>
        <v>&lt;a href="canciones/taize/dona_nobis_pacem.html"&gt;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427</v>
      </c>
      <c r="C2053" s="1" t="s">
        <v>1021</v>
      </c>
      <c r="D2053" s="1" t="s">
        <v>1124</v>
      </c>
      <c r="H2053" s="1" t="s">
        <v>1029</v>
      </c>
      <c r="I2053" s="1" t="s">
        <v>2951</v>
      </c>
      <c r="J2053" s="1" t="s">
        <v>607</v>
      </c>
      <c r="M2053" s="15" t="s">
        <v>2133</v>
      </c>
      <c r="N2053" s="1" t="s">
        <v>4012</v>
      </c>
      <c r="O2053" s="15">
        <v>14</v>
      </c>
      <c r="P2053" s="15">
        <v>1985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053" s="1"/>
      <c r="U2053" s="1"/>
      <c r="V2053" s="32" t="s">
        <v>4178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053" s="15" t="str">
        <f>_xlfn.TEXTBEFORE(_xlfn.TEXTAFTER(CantoralDB[[#This Row],[index.html]],"&gt;"),"&gt;")&amp;"&gt;"</f>
        <v>&lt;a href="canciones/taize/psallite_deo.html"&gt;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294</v>
      </c>
      <c r="C2054" s="1"/>
      <c r="J2054" s="1"/>
      <c r="M2054" s="15" t="s">
        <v>2133</v>
      </c>
      <c r="N2054" s="1" t="s">
        <v>4031</v>
      </c>
      <c r="O2054" s="15">
        <v>4</v>
      </c>
      <c r="P2054" s="15">
        <v>1995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054" s="1"/>
      <c r="U2054" s="1"/>
      <c r="V2054" s="32" t="s">
        <v>4179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054" s="15" t="str">
        <f>_xlfn.TEXTBEFORE(_xlfn.TEXTAFTER(CantoralDB[[#This Row],[index.html]],"&gt;"),"&gt;")&amp;"&gt;"</f>
        <v>&lt;a href="canciones/taize/alleluia_8.html"&gt;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339</v>
      </c>
      <c r="C2055" s="1" t="s">
        <v>1021</v>
      </c>
      <c r="D2055" s="1" t="s">
        <v>1114</v>
      </c>
      <c r="H2055" s="1" t="s">
        <v>530</v>
      </c>
      <c r="I2055" s="1" t="s">
        <v>2952</v>
      </c>
      <c r="J2055" s="1" t="s">
        <v>607</v>
      </c>
      <c r="M2055" s="15" t="s">
        <v>2133</v>
      </c>
      <c r="N2055" s="1" t="s">
        <v>4031</v>
      </c>
      <c r="O2055" s="15">
        <v>7</v>
      </c>
      <c r="P2055" s="15">
        <v>1995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055" s="1"/>
      <c r="U2055" s="1"/>
      <c r="V2055" s="32" t="s">
        <v>4180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055" s="15" t="str">
        <f>_xlfn.TEXTBEFORE(_xlfn.TEXTAFTER(CantoralDB[[#This Row],[index.html]],"&gt;"),"&gt;")&amp;"&gt;"</f>
        <v>&lt;a href="canciones/taize/dieu_ne_peut_que_donner.html"&gt;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4032</v>
      </c>
      <c r="C2056" s="1"/>
      <c r="J2056" s="1"/>
      <c r="M2056" s="15" t="s">
        <v>2133</v>
      </c>
      <c r="N2056" s="1" t="s">
        <v>4031</v>
      </c>
      <c r="O2056" s="15">
        <v>9</v>
      </c>
      <c r="P2056" s="15">
        <v>1995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056" s="1"/>
      <c r="U2056" s="1"/>
      <c r="V2056" s="32" t="s">
        <v>4181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056" s="15" t="str">
        <f>_xlfn.TEXTBEFORE(_xlfn.TEXTAFTER(CantoralDB[[#This Row],[index.html]],"&gt;"),"&gt;")&amp;"&gt;"</f>
        <v>&lt;a href="canciones/taize/c'est_toi_la_lumière.html"&gt;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391</v>
      </c>
      <c r="C2057" s="1"/>
      <c r="J2057" s="1"/>
      <c r="M2057" s="15" t="s">
        <v>2133</v>
      </c>
      <c r="N2057" s="1" t="s">
        <v>4031</v>
      </c>
      <c r="O2057" s="15">
        <v>12</v>
      </c>
      <c r="P2057" s="15">
        <v>1995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057" s="1"/>
      <c r="U2057" s="1"/>
      <c r="V2057" s="32" t="s">
        <v>4182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057" s="15" t="str">
        <f>_xlfn.TEXTBEFORE(_xlfn.TEXTAFTER(CantoralDB[[#This Row],[index.html]],"&gt;"),"&gt;")&amp;"&gt;"</f>
        <v>&lt;a href="canciones/taize/kyrie_10.html"&gt;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290</v>
      </c>
      <c r="C2058" s="1"/>
      <c r="J2058" s="1"/>
      <c r="M2058" s="15" t="s">
        <v>2133</v>
      </c>
      <c r="N2058" s="1" t="s">
        <v>4046</v>
      </c>
      <c r="O2058" s="15">
        <v>3</v>
      </c>
      <c r="P2058" s="15">
        <v>2008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058" s="1"/>
      <c r="U2058" s="1"/>
      <c r="V2058" s="32" t="s">
        <v>4183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058" s="15" t="str">
        <f>_xlfn.TEXTBEFORE(_xlfn.TEXTAFTER(CantoralDB[[#This Row],[index.html]],"&gt;"),"&gt;")&amp;"&gt;"</f>
        <v>&lt;a href="canciones/taize/alleluia_4.html"&gt;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4033</v>
      </c>
      <c r="C2059" s="1"/>
      <c r="J2059" s="1"/>
      <c r="M2059" s="15" t="s">
        <v>2133</v>
      </c>
      <c r="N2059" s="1" t="s">
        <v>455</v>
      </c>
      <c r="O2059" s="15">
        <v>5</v>
      </c>
      <c r="P2059" s="15">
        <v>1996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059" s="1"/>
      <c r="U2059" s="1"/>
      <c r="V2059" s="32" t="s">
        <v>4184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059" s="15" t="str">
        <f>_xlfn.TEXTBEFORE(_xlfn.TEXTAFTER(CantoralDB[[#This Row],[index.html]],"&gt;"),"&gt;")&amp;"&gt;"</f>
        <v>&lt;a href="canciones/taize/donnez_une_voix_à_sa_louange.html"&gt;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333</v>
      </c>
      <c r="C2060" s="1" t="s">
        <v>1021</v>
      </c>
      <c r="D2060" s="1" t="s">
        <v>1104</v>
      </c>
      <c r="H2060" s="1" t="s">
        <v>530</v>
      </c>
      <c r="I2060" s="1" t="s">
        <v>2951</v>
      </c>
      <c r="J2060" s="1" t="s">
        <v>607</v>
      </c>
      <c r="M2060" s="15" t="s">
        <v>2133</v>
      </c>
      <c r="N2060" s="1" t="s">
        <v>455</v>
      </c>
      <c r="O2060" s="15">
        <v>7</v>
      </c>
      <c r="P2060" s="15">
        <v>1996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060" s="1"/>
      <c r="U2060" s="1"/>
      <c r="V2060" s="32" t="s">
        <v>4185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060" s="15" t="str">
        <f>_xlfn.TEXTBEFORE(_xlfn.TEXTAFTER(CantoralDB[[#This Row],[index.html]],"&gt;"),"&gt;")&amp;"&gt;"</f>
        <v>&lt;a href="canciones/taize/da_pacem_cordium_(canon).html"&gt;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423</v>
      </c>
      <c r="C2061" s="1"/>
      <c r="J2061" s="1"/>
      <c r="M2061" s="15" t="s">
        <v>2133</v>
      </c>
      <c r="N2061" s="1" t="s">
        <v>455</v>
      </c>
      <c r="O2061" s="15">
        <v>11</v>
      </c>
      <c r="P2061" s="15">
        <v>1996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061" s="1"/>
      <c r="U2061" s="1"/>
      <c r="V2061" s="32" t="s">
        <v>4186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061" s="15" t="str">
        <f>_xlfn.TEXTBEFORE(_xlfn.TEXTAFTER(CantoralDB[[#This Row],[index.html]],"&gt;"),"&gt;")&amp;"&gt;"</f>
        <v>&lt;a href="canciones/taize/ostende_nobis.html"&gt;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361</v>
      </c>
      <c r="C2062" s="1"/>
      <c r="J2062" s="1"/>
      <c r="M2062" s="15" t="s">
        <v>2133</v>
      </c>
      <c r="N2062" s="1" t="s">
        <v>455</v>
      </c>
      <c r="O2062" s="15">
        <v>12</v>
      </c>
      <c r="P2062" s="15">
        <v>1996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062" s="1"/>
      <c r="U2062" s="1"/>
      <c r="V2062" s="32" t="s">
        <v>4187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062" s="15" t="str">
        <f>_xlfn.TEXTBEFORE(_xlfn.TEXTAFTER(CantoralDB[[#This Row],[index.html]],"&gt;"),"&gt;")&amp;"&gt;"</f>
        <v>&lt;a href="canciones/taize/grande_est_ta_bonte.html"&gt;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4034</v>
      </c>
      <c r="C2063" s="1"/>
      <c r="J2063" s="1"/>
      <c r="M2063" s="15" t="s">
        <v>2133</v>
      </c>
      <c r="N2063" s="1" t="s">
        <v>455</v>
      </c>
      <c r="O2063" s="15">
        <v>13</v>
      </c>
      <c r="P2063" s="15">
        <v>1996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063" s="1"/>
      <c r="U2063" s="1"/>
      <c r="V2063" s="32" t="s">
        <v>4188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063" s="15" t="str">
        <f>_xlfn.TEXTBEFORE(_xlfn.TEXTAFTER(CantoralDB[[#This Row],[index.html]],"&gt;"),"&gt;")&amp;"&gt;"</f>
        <v>&lt;a href="canciones/taize/meine_seele_ist_zu_tode_betrübt.html"&gt;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4035</v>
      </c>
      <c r="C2064" s="1"/>
      <c r="J2064" s="1"/>
      <c r="M2064" s="15" t="s">
        <v>2133</v>
      </c>
      <c r="N2064" s="1" t="s">
        <v>455</v>
      </c>
      <c r="O2064" s="15">
        <v>14</v>
      </c>
      <c r="P2064" s="15">
        <v>1996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064" s="1"/>
      <c r="U2064" s="1"/>
      <c r="V2064" s="32" t="s">
        <v>4189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064" s="15" t="str">
        <f>_xlfn.TEXTBEFORE(_xlfn.TEXTAFTER(CantoralDB[[#This Row],[index.html]],"&gt;"),"&gt;")&amp;"&gt;"</f>
        <v>&lt;a href="canciones/taize/jesus_inclino_la_cabeza.html"&gt;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382</v>
      </c>
      <c r="C2065" s="1"/>
      <c r="J2065" s="1"/>
      <c r="M2065" s="15" t="s">
        <v>2133</v>
      </c>
      <c r="N2065" s="1" t="s">
        <v>455</v>
      </c>
      <c r="O2065" s="15">
        <v>16</v>
      </c>
      <c r="P2065" s="15">
        <v>1996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065" s="1"/>
      <c r="U2065" s="1"/>
      <c r="V2065" s="32" t="s">
        <v>4190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065" s="15" t="str">
        <f>_xlfn.TEXTBEFORE(_xlfn.TEXTAFTER(CantoralDB[[#This Row],[index.html]],"&gt;"),"&gt;")&amp;"&gt;"</f>
        <v>&lt;a href="canciones/taize/jubilate_deo.html"&gt;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4036</v>
      </c>
      <c r="C2066" s="1"/>
      <c r="J2066" s="1"/>
      <c r="M2066" s="15" t="s">
        <v>2133</v>
      </c>
      <c r="N2066" s="1" t="s">
        <v>455</v>
      </c>
      <c r="O2066" s="15">
        <v>24</v>
      </c>
      <c r="P2066" s="15">
        <v>1996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066" s="1"/>
      <c r="U2066" s="1"/>
      <c r="V2066" s="32" t="s">
        <v>4191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066" s="15" t="str">
        <f>_xlfn.TEXTBEFORE(_xlfn.TEXTAFTER(CantoralDB[[#This Row],[index.html]],"&gt;"),"&gt;")&amp;"&gt;"</f>
        <v>&lt;a href="canciones/taize/regnum_tuum_veniat.html"&gt;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457</v>
      </c>
      <c r="C2067" s="1"/>
      <c r="J2067" s="1"/>
      <c r="M2067" s="15" t="s">
        <v>2133</v>
      </c>
      <c r="N2067" s="1" t="s">
        <v>455</v>
      </c>
      <c r="O2067" s="15">
        <v>26</v>
      </c>
      <c r="P2067" s="15">
        <v>1996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067" s="1"/>
      <c r="U2067" s="1"/>
      <c r="V2067" s="32" t="s">
        <v>4192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067" s="15" t="str">
        <f>_xlfn.TEXTBEFORE(_xlfn.TEXTAFTER(CantoralDB[[#This Row],[index.html]],"&gt;"),"&gt;")&amp;"&gt;"</f>
        <v>&lt;a href="canciones/taize/une_soif_emplit_notre_âme.html"&gt;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456</v>
      </c>
      <c r="C2068" s="1"/>
      <c r="J2068" s="1"/>
      <c r="M2068" s="15" t="s">
        <v>2133</v>
      </c>
      <c r="N2068" s="1" t="s">
        <v>455</v>
      </c>
      <c r="O2068" s="15">
        <v>27</v>
      </c>
      <c r="P2068" s="15">
        <v>1996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068" s="1"/>
      <c r="U2068" s="1"/>
      <c r="V2068" s="32" t="s">
        <v>4193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068" s="15" t="str">
        <f>_xlfn.TEXTBEFORE(_xlfn.TEXTAFTER(CantoralDB[[#This Row],[index.html]],"&gt;"),"&gt;")&amp;"&gt;"</f>
        <v>&lt;a href="canciones/taize/ubi_caritas_deus_ibi_est.html"&gt;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4025</v>
      </c>
      <c r="C2069" s="1"/>
      <c r="J2069" s="1"/>
      <c r="M2069" s="15" t="s">
        <v>2133</v>
      </c>
      <c r="N2069" s="1" t="s">
        <v>463</v>
      </c>
      <c r="O2069" s="15">
        <v>1</v>
      </c>
      <c r="P2069" s="15">
        <v>1994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069" s="1"/>
      <c r="U2069" s="1"/>
      <c r="V2069" s="32" t="s">
        <v>4194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069" s="15" t="str">
        <f>_xlfn.TEXTBEFORE(_xlfn.TEXTAFTER(CantoralDB[[#This Row],[index.html]],"&gt;"),"&gt;")&amp;"&gt;"</f>
        <v>&lt;a href="canciones/taize/veni_lumen_(choral).html"&gt;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450</v>
      </c>
      <c r="C2070" s="1"/>
      <c r="J2070" s="1"/>
      <c r="M2070" s="15" t="s">
        <v>2133</v>
      </c>
      <c r="N2070" s="1" t="s">
        <v>463</v>
      </c>
      <c r="O2070" s="15">
        <v>2</v>
      </c>
      <c r="P2070" s="15">
        <v>1994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070" s="1"/>
      <c r="U2070" s="1"/>
      <c r="V2070" s="32" t="s">
        <v>4195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070" s="15" t="str">
        <f>_xlfn.TEXTBEFORE(_xlfn.TEXTAFTER(CantoralDB[[#This Row],[index.html]],"&gt;"),"&gt;")&amp;"&gt;"</f>
        <v>&lt;a href="canciones/taize/toi_tu_nous_aimes.html"&gt;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4026</v>
      </c>
      <c r="C2071" s="1"/>
      <c r="J2071" s="1"/>
      <c r="M2071" s="15" t="s">
        <v>2133</v>
      </c>
      <c r="N2071" s="1" t="s">
        <v>463</v>
      </c>
      <c r="O2071" s="15">
        <v>3</v>
      </c>
      <c r="P2071" s="15">
        <v>1994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071" s="1"/>
      <c r="U2071" s="1"/>
      <c r="V2071" s="32" t="s">
        <v>4196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071" s="15" t="str">
        <f>_xlfn.TEXTBEFORE(_xlfn.TEXTAFTER(CantoralDB[[#This Row],[index.html]],"&gt;"),"&gt;")&amp;"&gt;"</f>
        <v>&lt;a href="canciones/taize/alleluia_(zagorsk).html"&gt;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454</v>
      </c>
      <c r="C2072" s="1" t="s">
        <v>1021</v>
      </c>
      <c r="D2072" s="1" t="s">
        <v>1150</v>
      </c>
      <c r="H2072" s="1" t="s">
        <v>1027</v>
      </c>
      <c r="I2072" s="1" t="s">
        <v>2952</v>
      </c>
      <c r="J2072" s="1" t="s">
        <v>607</v>
      </c>
      <c r="M2072" s="15" t="s">
        <v>2133</v>
      </c>
      <c r="N2072" s="1" t="s">
        <v>463</v>
      </c>
      <c r="O2072" s="15">
        <v>4</v>
      </c>
      <c r="P2072" s="15">
        <v>1994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072" s="1"/>
      <c r="U2072" s="1"/>
      <c r="V2072" s="32" t="s">
        <v>4197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072" s="15" t="str">
        <f>_xlfn.TEXTBEFORE(_xlfn.TEXTAFTER(CantoralDB[[#This Row],[index.html]],"&gt;"),"&gt;")&amp;"&gt;"</f>
        <v>&lt;a href="canciones/taize/tui_amoris.html"&gt;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334</v>
      </c>
      <c r="C2073" s="1" t="s">
        <v>1021</v>
      </c>
      <c r="D2073" s="1" t="s">
        <v>1105</v>
      </c>
      <c r="H2073" s="1" t="s">
        <v>1028</v>
      </c>
      <c r="I2073" s="1" t="s">
        <v>2951</v>
      </c>
      <c r="J2073" s="1" t="s">
        <v>607</v>
      </c>
      <c r="M2073" s="15" t="s">
        <v>2133</v>
      </c>
      <c r="N2073" s="1" t="s">
        <v>463</v>
      </c>
      <c r="O2073" s="15">
        <v>5</v>
      </c>
      <c r="P2073" s="15">
        <v>1994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073" s="1"/>
      <c r="U2073" s="1"/>
      <c r="V2073" s="32" t="s">
        <v>4198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073" s="15" t="str">
        <f>_xlfn.TEXTBEFORE(_xlfn.TEXTAFTER(CantoralDB[[#This Row],[index.html]],"&gt;"),"&gt;")&amp;"&gt;"</f>
        <v>&lt;a href="canciones/taize/da_pacem..._in_diebus.html"&gt;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412</v>
      </c>
      <c r="C2074" s="1" t="s">
        <v>1021</v>
      </c>
      <c r="D2074" s="1" t="s">
        <v>1137</v>
      </c>
      <c r="E2074" s="1">
        <v>157</v>
      </c>
      <c r="H2074" s="1" t="s">
        <v>530</v>
      </c>
      <c r="I2074" s="1" t="s">
        <v>2950</v>
      </c>
      <c r="J2074" s="1" t="s">
        <v>607</v>
      </c>
      <c r="M2074" s="15" t="s">
        <v>2133</v>
      </c>
      <c r="N2074" s="1" t="s">
        <v>463</v>
      </c>
      <c r="O2074" s="15">
        <v>6</v>
      </c>
      <c r="P2074" s="15">
        <v>1994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074" s="1"/>
      <c r="U2074" s="1"/>
      <c r="V2074" s="32" t="s">
        <v>4199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074" s="15" t="str">
        <f>_xlfn.TEXTBEFORE(_xlfn.TEXTAFTER(CantoralDB[[#This Row],[index.html]],"&gt;"),"&gt;")&amp;"&gt;"</f>
        <v>&lt;a href="canciones/taize/misericordias_domini.html"&gt;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288</v>
      </c>
      <c r="C2075" s="1"/>
      <c r="J2075" s="1"/>
      <c r="M2075" s="15" t="s">
        <v>2133</v>
      </c>
      <c r="N2075" s="1" t="s">
        <v>463</v>
      </c>
      <c r="O2075" s="15">
        <v>7</v>
      </c>
      <c r="P2075" s="15">
        <v>1994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075" s="1"/>
      <c r="U2075" s="1"/>
      <c r="V2075" s="32" t="s">
        <v>4200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075" s="15" t="str">
        <f>_xlfn.TEXTBEFORE(_xlfn.TEXTAFTER(CantoralDB[[#This Row],[index.html]],"&gt;"),"&gt;")&amp;"&gt;"</f>
        <v>&lt;a href="canciones/taize/alleluia_1.html"&gt;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332</v>
      </c>
      <c r="C2076" s="1" t="s">
        <v>1021</v>
      </c>
      <c r="D2076" s="1" t="s">
        <v>1103</v>
      </c>
      <c r="H2076" s="1" t="s">
        <v>1027</v>
      </c>
      <c r="I2076" s="1" t="s">
        <v>2952</v>
      </c>
      <c r="J2076" s="1" t="s">
        <v>607</v>
      </c>
      <c r="M2076" s="15" t="s">
        <v>2133</v>
      </c>
      <c r="N2076" s="1" t="s">
        <v>463</v>
      </c>
      <c r="O2076" s="15">
        <v>8</v>
      </c>
      <c r="P2076" s="15">
        <v>1994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076" s="1"/>
      <c r="U2076" s="1"/>
      <c r="V2076" s="32" t="s">
        <v>4201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076" s="15" t="str">
        <f>_xlfn.TEXTBEFORE(_xlfn.TEXTAFTER(CantoralDB[[#This Row],[index.html]],"&gt;"),"&gt;")&amp;"&gt;"</f>
        <v>&lt;a href="canciones/taize/crucem_tuam.html"&gt;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463</v>
      </c>
      <c r="C2077" s="1"/>
      <c r="J2077" s="1"/>
      <c r="M2077" s="15" t="s">
        <v>2133</v>
      </c>
      <c r="N2077" s="1" t="s">
        <v>463</v>
      </c>
      <c r="O2077" s="15">
        <v>9</v>
      </c>
      <c r="P2077" s="15">
        <v>1994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077" s="1"/>
      <c r="U2077" s="1"/>
      <c r="V2077" s="32" t="s">
        <v>4202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077" s="15" t="str">
        <f>_xlfn.TEXTBEFORE(_xlfn.TEXTAFTER(CantoralDB[[#This Row],[index.html]],"&gt;"),"&gt;")&amp;"&gt;"</f>
        <v>&lt;a href="canciones/taize/veni_sancte_spiritus.html"&gt;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4027</v>
      </c>
      <c r="C2078" s="1"/>
      <c r="J2078" s="1"/>
      <c r="M2078" s="15" t="s">
        <v>2133</v>
      </c>
      <c r="N2078" s="1" t="s">
        <v>463</v>
      </c>
      <c r="O2078" s="15">
        <v>10</v>
      </c>
      <c r="P2078" s="15">
        <v>1994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078" s="1"/>
      <c r="U2078" s="1"/>
      <c r="V2078" s="32" t="s">
        <v>4203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078" s="15" t="str">
        <f>_xlfn.TEXTBEFORE(_xlfn.TEXTAFTER(CantoralDB[[#This Row],[index.html]],"&gt;"),"&gt;")&amp;"&gt;"</f>
        <v>&lt;a href="canciones/taize/o_christ_le_fils_de_dieu_vivant.html"&gt;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4028</v>
      </c>
      <c r="C2079" s="1"/>
      <c r="J2079" s="1"/>
      <c r="M2079" s="15" t="s">
        <v>2133</v>
      </c>
      <c r="N2079" s="1" t="s">
        <v>463</v>
      </c>
      <c r="O2079" s="15">
        <v>11</v>
      </c>
      <c r="P2079" s="15">
        <v>1994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079" s="1"/>
      <c r="U2079" s="1"/>
      <c r="V2079" s="32" t="s">
        <v>4204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079" s="15" t="str">
        <f>_xlfn.TEXTBEFORE(_xlfn.TEXTAFTER(CantoralDB[[#This Row],[index.html]],"&gt;"),"&gt;")&amp;"&gt;"</f>
        <v>&lt;a href="canciones/taize/herr_wohin.html"&gt;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4029</v>
      </c>
      <c r="C2080" s="1"/>
      <c r="J2080" s="1"/>
      <c r="M2080" s="15" t="s">
        <v>2133</v>
      </c>
      <c r="N2080" s="1" t="s">
        <v>463</v>
      </c>
      <c r="O2080" s="15">
        <v>12</v>
      </c>
      <c r="P2080" s="15">
        <v>1994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080" s="1"/>
      <c r="U2080" s="1"/>
      <c r="V2080" s="32" t="s">
        <v>4205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080" s="15" t="str">
        <f>_xlfn.TEXTBEFORE(_xlfn.TEXTAFTER(CantoralDB[[#This Row],[index.html]],"&gt;"),"&gt;")&amp;"&gt;"</f>
        <v>&lt;a href="canciones/taize/c'est_toi_ma_lampe_seigneur.html"&gt;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4030</v>
      </c>
      <c r="C2081" s="1"/>
      <c r="J2081" s="1"/>
      <c r="M2081" s="15" t="s">
        <v>2133</v>
      </c>
      <c r="N2081" s="1" t="s">
        <v>463</v>
      </c>
      <c r="O2081" s="15">
        <v>13</v>
      </c>
      <c r="P2081" s="15">
        <v>1994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081" s="1"/>
      <c r="U2081" s="1"/>
      <c r="V2081" s="32" t="s">
        <v>4206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081" s="15" t="str">
        <f>_xlfn.TEXTBEFORE(_xlfn.TEXTAFTER(CantoralDB[[#This Row],[index.html]],"&gt;"),"&gt;")&amp;"&gt;"</f>
        <v>&lt;a href="canciones/taize/sanctus_nomen_domini.html"&gt;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359</v>
      </c>
      <c r="C2082" s="1"/>
      <c r="J2082" s="1"/>
      <c r="M2082" s="15" t="s">
        <v>2133</v>
      </c>
      <c r="N2082" s="1" t="s">
        <v>463</v>
      </c>
      <c r="O2082" s="15">
        <v>14</v>
      </c>
      <c r="P2082" s="15">
        <v>1994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082" s="1"/>
      <c r="U2082" s="1"/>
      <c r="V2082" s="32" t="s">
        <v>4207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082" s="15" t="str">
        <f>_xlfn.TEXTBEFORE(_xlfn.TEXTAFTER(CantoralDB[[#This Row],[index.html]],"&gt;"),"&gt;")&amp;"&gt;"</f>
        <v>&lt;a href="canciones/taize/gospodi_e.html"&gt;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441</v>
      </c>
      <c r="C2083" s="1" t="s">
        <v>1021</v>
      </c>
      <c r="D2083" s="1" t="s">
        <v>1122</v>
      </c>
      <c r="H2083" s="1" t="s">
        <v>1027</v>
      </c>
      <c r="I2083" s="1" t="s">
        <v>2950</v>
      </c>
      <c r="J2083" s="1" t="s">
        <v>607</v>
      </c>
      <c r="M2083" s="15" t="s">
        <v>2133</v>
      </c>
      <c r="N2083" s="1" t="s">
        <v>463</v>
      </c>
      <c r="O2083" s="15">
        <v>15</v>
      </c>
      <c r="P2083" s="15">
        <v>1994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083" s="1"/>
      <c r="U2083" s="1"/>
      <c r="V2083" s="32" t="s">
        <v>4208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083" s="15" t="str">
        <f>_xlfn.TEXTBEFORE(_xlfn.TEXTAFTER(CantoralDB[[#This Row],[index.html]],"&gt;"),"&gt;")&amp;"&gt;"</f>
        <v>&lt;a href="canciones/taize/spiritus_jesu_christi.html"&gt;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381</v>
      </c>
      <c r="C2084" s="1" t="s">
        <v>1021</v>
      </c>
      <c r="D2084" s="1" t="s">
        <v>1131</v>
      </c>
      <c r="H2084" s="1" t="s">
        <v>530</v>
      </c>
      <c r="I2084" s="1" t="s">
        <v>2952</v>
      </c>
      <c r="J2084" s="1" t="s">
        <v>607</v>
      </c>
      <c r="M2084" s="15" t="s">
        <v>2133</v>
      </c>
      <c r="N2084" s="1" t="s">
        <v>463</v>
      </c>
      <c r="O2084" s="15">
        <v>16</v>
      </c>
      <c r="P2084" s="15">
        <v>1994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084" s="1"/>
      <c r="U2084" s="1"/>
      <c r="V2084" s="32" t="s">
        <v>4209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084" s="15" t="str">
        <f>_xlfn.TEXTBEFORE(_xlfn.TEXTAFTER(CantoralDB[[#This Row],[index.html]],"&gt;"),"&gt;")&amp;"&gt;"</f>
        <v>&lt;a href="canciones/taize/jubilate_coeli_(canon).html"&gt;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371</v>
      </c>
      <c r="C2085" s="1"/>
      <c r="J2085" s="1"/>
      <c r="M2085" s="15" t="s">
        <v>2133</v>
      </c>
      <c r="N2085" s="1" t="s">
        <v>463</v>
      </c>
      <c r="O2085" s="15">
        <v>17</v>
      </c>
      <c r="P2085" s="15">
        <v>1994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085" s="1"/>
      <c r="U2085" s="1"/>
      <c r="V2085" s="32" t="s">
        <v>4210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085" s="15" t="str">
        <f>_xlfn.TEXTBEFORE(_xlfn.TEXTAFTER(CantoralDB[[#This Row],[index.html]],"&gt;"),"&gt;")&amp;"&gt;"</f>
        <v>&lt;a href="canciones/taize/in_te_confido.html"&gt;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464</v>
      </c>
      <c r="C2086" s="1"/>
      <c r="J2086" s="1"/>
      <c r="M2086" s="15" t="s">
        <v>2133</v>
      </c>
      <c r="N2086" s="1" t="s">
        <v>4037</v>
      </c>
      <c r="O2086" s="15">
        <v>1</v>
      </c>
      <c r="P2086" s="15">
        <v>2001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086" s="1"/>
      <c r="U2086" s="1"/>
      <c r="V2086" s="32" t="s">
        <v>4211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086" s="15" t="str">
        <f>_xlfn.TEXTBEFORE(_xlfn.TEXTAFTER(CantoralDB[[#This Row],[index.html]],"&gt;"),"&gt;")&amp;"&gt;"</f>
        <v>&lt;a href="canciones/taize/venite_exultemus_domino.html"&gt;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345</v>
      </c>
      <c r="C2087" s="1" t="s">
        <v>1021</v>
      </c>
      <c r="D2087" s="1" t="s">
        <v>1117</v>
      </c>
      <c r="H2087" s="1" t="s">
        <v>1029</v>
      </c>
      <c r="I2087" s="1" t="s">
        <v>2952</v>
      </c>
      <c r="J2087" s="1" t="s">
        <v>607</v>
      </c>
      <c r="M2087" s="15" t="s">
        <v>2133</v>
      </c>
      <c r="N2087" s="1" t="s">
        <v>4037</v>
      </c>
      <c r="O2087" s="15">
        <v>2</v>
      </c>
      <c r="P2087" s="15">
        <v>2001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087" s="1" t="s">
        <v>797</v>
      </c>
      <c r="U2087" s="1"/>
      <c r="V2087" s="32" t="s">
        <v>4212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087" s="15" t="str">
        <f>_xlfn.TEXTBEFORE(_xlfn.TEXTAFTER(CantoralDB[[#This Row],[index.html]],"&gt;"),"&gt;")&amp;"&gt;"</f>
        <v>&lt;a href="canciones/taize/el_alma_que_anda_en_amor.html"&gt;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448</v>
      </c>
      <c r="C2088" s="1" t="s">
        <v>1021</v>
      </c>
      <c r="D2088" s="1" t="s">
        <v>1118</v>
      </c>
      <c r="H2088" s="1" t="s">
        <v>1027</v>
      </c>
      <c r="I2088" s="1" t="s">
        <v>2952</v>
      </c>
      <c r="J2088" s="1" t="s">
        <v>607</v>
      </c>
      <c r="M2088" s="15" t="s">
        <v>2133</v>
      </c>
      <c r="N2088" s="1" t="s">
        <v>4037</v>
      </c>
      <c r="O2088" s="15">
        <v>3</v>
      </c>
      <c r="P2088" s="15">
        <v>2001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088" s="1"/>
      <c r="U2088" s="1"/>
      <c r="V2088" s="32" t="s">
        <v>4213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088" s="15" t="str">
        <f>_xlfn.TEXTBEFORE(_xlfn.TEXTAFTER(CantoralDB[[#This Row],[index.html]],"&gt;"),"&gt;")&amp;"&gt;"</f>
        <v>&lt;a href="canciones/taize/the_kingdom_of_god.html"&gt;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300</v>
      </c>
      <c r="C2089" s="1"/>
      <c r="J2089" s="1"/>
      <c r="M2089" s="15" t="s">
        <v>2133</v>
      </c>
      <c r="N2089" s="1" t="s">
        <v>4037</v>
      </c>
      <c r="O2089" s="15">
        <v>4</v>
      </c>
      <c r="P2089" s="15">
        <v>2001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089" s="1"/>
      <c r="U2089" s="1"/>
      <c r="V2089" s="32" t="s">
        <v>4214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089" s="15" t="str">
        <f>_xlfn.TEXTBEFORE(_xlfn.TEXTAFTER(CantoralDB[[#This Row],[index.html]],"&gt;"),"&gt;")&amp;"&gt;"</f>
        <v>&lt;a href="canciones/taize/alleluia_20.html"&gt;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319</v>
      </c>
      <c r="C2090" s="1" t="s">
        <v>1021</v>
      </c>
      <c r="D2090" s="1" t="s">
        <v>1090</v>
      </c>
      <c r="H2090" s="1" t="s">
        <v>1029</v>
      </c>
      <c r="I2090" s="1" t="s">
        <v>2952</v>
      </c>
      <c r="J2090" s="1" t="s">
        <v>607</v>
      </c>
      <c r="M2090" s="15" t="s">
        <v>2133</v>
      </c>
      <c r="N2090" s="1" t="s">
        <v>4037</v>
      </c>
      <c r="O2090" s="15">
        <v>5</v>
      </c>
      <c r="P2090" s="15">
        <v>2001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090" s="1"/>
      <c r="U2090" s="1"/>
      <c r="V2090" s="32" t="s">
        <v>4215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090" s="15" t="str">
        <f>_xlfn.TEXTBEFORE(_xlfn.TEXTAFTER(CantoralDB[[#This Row],[index.html]],"&gt;"),"&gt;")&amp;"&gt;"</f>
        <v>&lt;a href="canciones/taize/bog_jest_miłością.html"&gt;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320</v>
      </c>
      <c r="C2091" s="1" t="s">
        <v>1021</v>
      </c>
      <c r="D2091" s="1" t="s">
        <v>1091</v>
      </c>
      <c r="H2091" s="1" t="s">
        <v>1029</v>
      </c>
      <c r="J2091" s="1" t="s">
        <v>607</v>
      </c>
      <c r="M2091" s="15" t="s">
        <v>2133</v>
      </c>
      <c r="N2091" s="1" t="s">
        <v>4037</v>
      </c>
      <c r="O2091" s="15">
        <v>6</v>
      </c>
      <c r="P2091" s="15">
        <v>2001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091" s="1"/>
      <c r="U2091" s="1"/>
      <c r="V2091" s="32" t="s">
        <v>4216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091" s="15" t="str">
        <f>_xlfn.TEXTBEFORE(_xlfn.TEXTAFTER(CantoralDB[[#This Row],[index.html]],"&gt;"),"&gt;")&amp;"&gt;"</f>
        <v>&lt;a href="canciones/taize/bogoroditse_dievo_1.html"&gt;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309</v>
      </c>
      <c r="C2092" s="1" t="s">
        <v>1021</v>
      </c>
      <c r="D2092" s="1" t="s">
        <v>1084</v>
      </c>
      <c r="H2092" s="1" t="s">
        <v>472</v>
      </c>
      <c r="I2092" s="1" t="s">
        <v>2951</v>
      </c>
      <c r="J2092" s="1" t="s">
        <v>607</v>
      </c>
      <c r="M2092" s="15" t="s">
        <v>2133</v>
      </c>
      <c r="N2092" s="1" t="s">
        <v>4037</v>
      </c>
      <c r="O2092" s="15">
        <v>7</v>
      </c>
      <c r="P2092" s="15">
        <v>2001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092" s="1"/>
      <c r="U2092" s="1"/>
      <c r="V2092" s="32" t="s">
        <v>4217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092" s="15" t="str">
        <f>_xlfn.TEXTBEFORE(_xlfn.TEXTAFTER(CantoralDB[[#This Row],[index.html]],"&gt;"),"&gt;")&amp;"&gt;"</f>
        <v>&lt;a href="canciones/taize/beati_voi_poveri.html"&gt;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4038</v>
      </c>
      <c r="C2093" s="1"/>
      <c r="J2093" s="1"/>
      <c r="M2093" s="15" t="s">
        <v>2133</v>
      </c>
      <c r="N2093" s="1" t="s">
        <v>4037</v>
      </c>
      <c r="O2093" s="15">
        <v>8</v>
      </c>
      <c r="P2093" s="15">
        <v>2001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093" s="1"/>
      <c r="U2093" s="1"/>
      <c r="V2093" s="32" t="s">
        <v>4218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093" s="15" t="str">
        <f>_xlfn.TEXTBEFORE(_xlfn.TEXTAFTER(CantoralDB[[#This Row],[index.html]],"&gt;"),"&gt;")&amp;"&gt;"</f>
        <v>&lt;a href="canciones/taize/jesu_redemptor.html"&gt;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429</v>
      </c>
      <c r="C2094" s="1"/>
      <c r="J2094" s="1"/>
      <c r="M2094" s="15" t="s">
        <v>2133</v>
      </c>
      <c r="N2094" s="1" t="s">
        <v>4037</v>
      </c>
      <c r="O2094" s="15">
        <v>9</v>
      </c>
      <c r="P2094" s="15">
        <v>2001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094" s="1"/>
      <c r="U2094" s="1"/>
      <c r="V2094" s="32" t="s">
        <v>4219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094" s="15" t="str">
        <f>_xlfn.TEXTBEFORE(_xlfn.TEXTAFTER(CantoralDB[[#This Row],[index.html]],"&gt;"),"&gt;")&amp;"&gt;"</f>
        <v>&lt;a href="canciones/taize/qui_regarde_vers_dieu.html"&gt;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369</v>
      </c>
      <c r="C2095" s="1" t="s">
        <v>1021</v>
      </c>
      <c r="D2095" s="1" t="s">
        <v>1128</v>
      </c>
      <c r="H2095" s="1" t="s">
        <v>530</v>
      </c>
      <c r="I2095" s="1" t="s">
        <v>2952</v>
      </c>
      <c r="J2095" s="1" t="s">
        <v>607</v>
      </c>
      <c r="M2095" s="15" t="s">
        <v>2133</v>
      </c>
      <c r="N2095" s="1" t="s">
        <v>4037</v>
      </c>
      <c r="O2095" s="15">
        <v>10</v>
      </c>
      <c r="P2095" s="15">
        <v>2001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095" s="1"/>
      <c r="U2095" s="1"/>
      <c r="V2095" s="32" t="s">
        <v>4220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095" s="15" t="str">
        <f>_xlfn.TEXTBEFORE(_xlfn.TEXTAFTER(CantoralDB[[#This Row],[index.html]],"&gt;"),"&gt;")&amp;"&gt;"</f>
        <v>&lt;a href="canciones/taize/in_manus_tuas.html"&gt;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4062</v>
      </c>
      <c r="C2096" s="1" t="s">
        <v>1021</v>
      </c>
      <c r="D2096" s="1" t="s">
        <v>1073</v>
      </c>
      <c r="H2096" s="1" t="s">
        <v>1026</v>
      </c>
      <c r="I2096" s="1" t="s">
        <v>2951</v>
      </c>
      <c r="J2096" s="1" t="s">
        <v>607</v>
      </c>
      <c r="M2096" s="15" t="s">
        <v>2133</v>
      </c>
      <c r="N2096" s="1" t="s">
        <v>4037</v>
      </c>
      <c r="O2096" s="15">
        <v>11</v>
      </c>
      <c r="P2096" s="15">
        <v>2001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096" s="1"/>
      <c r="U2096" s="1"/>
      <c r="V2096" s="32" t="s">
        <v>4221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096" s="15" t="str">
        <f>_xlfn.TEXTBEFORE(_xlfn.TEXTAFTER(CantoralDB[[#This Row],[index.html]],"&gt;"),"&gt;")&amp;"&gt;"</f>
        <v>&lt;a href="canciones/taize/jubilate_deo_omnis_terra.html"&gt;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370</v>
      </c>
      <c r="C2097" s="1" t="s">
        <v>1021</v>
      </c>
      <c r="D2097" s="1" t="s">
        <v>1076</v>
      </c>
      <c r="H2097" s="1" t="s">
        <v>530</v>
      </c>
      <c r="I2097" s="1" t="s">
        <v>2952</v>
      </c>
      <c r="J2097" s="1" t="s">
        <v>607</v>
      </c>
      <c r="M2097" s="15" t="s">
        <v>2133</v>
      </c>
      <c r="N2097" s="1" t="s">
        <v>4037</v>
      </c>
      <c r="O2097" s="15">
        <v>12</v>
      </c>
      <c r="P2097" s="15">
        <v>2001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097" s="1"/>
      <c r="U2097" s="1"/>
      <c r="V2097" s="32" t="s">
        <v>4222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097" s="15" t="str">
        <f>_xlfn.TEXTBEFORE(_xlfn.TEXTAFTER(CantoralDB[[#This Row],[index.html]],"&gt;"),"&gt;")&amp;"&gt;"</f>
        <v>&lt;a href="canciones/taize/in_resurrectione_tua.html"&gt;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453</v>
      </c>
      <c r="C2098" s="1" t="s">
        <v>1021</v>
      </c>
      <c r="D2098" s="1" t="s">
        <v>1148</v>
      </c>
      <c r="H2098" s="1" t="s">
        <v>530</v>
      </c>
      <c r="I2098" s="1" t="s">
        <v>2951</v>
      </c>
      <c r="J2098" s="1" t="s">
        <v>607</v>
      </c>
      <c r="M2098" s="15" t="s">
        <v>2133</v>
      </c>
      <c r="N2098" s="1" t="s">
        <v>4037</v>
      </c>
      <c r="O2098" s="15">
        <v>13</v>
      </c>
      <c r="P2098" s="15">
        <v>2001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098" s="1"/>
      <c r="U2098" s="1"/>
      <c r="V2098" s="32" t="s">
        <v>4223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098" s="15" t="str">
        <f>_xlfn.TEXTBEFORE(_xlfn.TEXTAFTER(CantoralDB[[#This Row],[index.html]],"&gt;"),"&gt;")&amp;"&gt;"</f>
        <v>&lt;a href="canciones/taize/tu_sei_sorgente_viva.html"&gt;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397</v>
      </c>
      <c r="C2099" s="1"/>
      <c r="J2099" s="1"/>
      <c r="M2099" s="15" t="s">
        <v>2133</v>
      </c>
      <c r="N2099" s="1" t="s">
        <v>4037</v>
      </c>
      <c r="O2099" s="15">
        <v>14</v>
      </c>
      <c r="P2099" s="15">
        <v>2001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099" s="1"/>
      <c r="U2099" s="1"/>
      <c r="V2099" s="32" t="s">
        <v>4224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099" s="15" t="str">
        <f>_xlfn.TEXTBEFORE(_xlfn.TEXTAFTER(CantoralDB[[#This Row],[index.html]],"&gt;"),"&gt;")&amp;"&gt;"</f>
        <v>&lt;a href="canciones/taize/kyrie_19.html"&gt;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4039</v>
      </c>
      <c r="C2100" s="1"/>
      <c r="J2100" s="1"/>
      <c r="M2100" s="15" t="s">
        <v>2133</v>
      </c>
      <c r="N2100" s="1" t="s">
        <v>4037</v>
      </c>
      <c r="O2100" s="15">
        <v>15</v>
      </c>
      <c r="P2100" s="15">
        <v>2001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00" s="1"/>
      <c r="U2100" s="1"/>
      <c r="V2100" s="32" t="s">
        <v>4225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00" s="15" t="str">
        <f>_xlfn.TEXTBEFORE(_xlfn.TEXTAFTER(CantoralDB[[#This Row],[index.html]],"&gt;"),"&gt;")&amp;"&gt;"</f>
        <v>&lt;a href="canciones/taize/nothing_can_ever_come_between_us.html"&gt;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400</v>
      </c>
      <c r="C2101" s="1" t="s">
        <v>1021</v>
      </c>
      <c r="D2101" s="1" t="s">
        <v>1136</v>
      </c>
      <c r="H2101" s="1" t="s">
        <v>1028</v>
      </c>
      <c r="I2101" s="1" t="s">
        <v>2951</v>
      </c>
      <c r="J2101" s="1" t="s">
        <v>607</v>
      </c>
      <c r="M2101" s="15" t="s">
        <v>2133</v>
      </c>
      <c r="N2101" s="1" t="s">
        <v>4037</v>
      </c>
      <c r="O2101" s="15">
        <v>16</v>
      </c>
      <c r="P2101" s="15">
        <v>2001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01" s="1"/>
      <c r="U2101" s="1"/>
      <c r="V2101" s="32" t="s">
        <v>4226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01" s="15" t="str">
        <f>_xlfn.TEXTBEFORE(_xlfn.TEXTAFTER(CantoralDB[[#This Row],[index.html]],"&gt;"),"&gt;")&amp;"&gt;"</f>
        <v>&lt;a href="canciones/taize/l’ajuda_em_vindrà.html"&gt;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312</v>
      </c>
      <c r="C2102" s="1"/>
      <c r="J2102" s="1"/>
      <c r="M2102" s="15" t="s">
        <v>2133</v>
      </c>
      <c r="N2102" s="1" t="s">
        <v>4037</v>
      </c>
      <c r="O2102" s="15">
        <v>17</v>
      </c>
      <c r="P2102" s="15">
        <v>2001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02" s="1"/>
      <c r="U2102" s="1"/>
      <c r="V2102" s="32" t="s">
        <v>4227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02" s="15" t="str">
        <f>_xlfn.TEXTBEFORE(_xlfn.TEXTAFTER(CantoralDB[[#This Row],[index.html]],"&gt;"),"&gt;")&amp;"&gt;"</f>
        <v>&lt;a href="canciones/taize/bendigo_al_señor.html"&gt;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786</v>
      </c>
      <c r="C2103" s="1" t="s">
        <v>1021</v>
      </c>
      <c r="D2103" s="1" t="s">
        <v>1082</v>
      </c>
      <c r="H2103" s="1" t="s">
        <v>1029</v>
      </c>
      <c r="J2103" s="1" t="s">
        <v>607</v>
      </c>
      <c r="M2103" s="15" t="s">
        <v>2133</v>
      </c>
      <c r="N2103" s="1" t="s">
        <v>4037</v>
      </c>
      <c r="O2103" s="15">
        <v>18</v>
      </c>
      <c r="P2103" s="15">
        <v>2001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03" s="1"/>
      <c r="U2103" s="1"/>
      <c r="V2103" s="32" t="s">
        <v>4228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03" s="15" t="str">
        <f>_xlfn.TEXTBEFORE(_xlfn.TEXTAFTER(CantoralDB[[#This Row],[index.html]],"&gt;"),"&gt;")&amp;"&gt;"</f>
        <v>&lt;a href="canciones/taize/alleluia_96.html"&gt;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470</v>
      </c>
      <c r="C2104" s="1" t="s">
        <v>1021</v>
      </c>
      <c r="D2104" s="1" t="s">
        <v>1074</v>
      </c>
      <c r="H2104" s="1" t="s">
        <v>1026</v>
      </c>
      <c r="I2104" s="1" t="s">
        <v>2952</v>
      </c>
      <c r="J2104" s="1" t="s">
        <v>607</v>
      </c>
      <c r="M2104" s="15" t="s">
        <v>2133</v>
      </c>
      <c r="N2104" s="1" t="s">
        <v>4037</v>
      </c>
      <c r="O2104" s="15">
        <v>19</v>
      </c>
      <c r="P2104" s="15">
        <v>2001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04" s="1"/>
      <c r="U2104" s="1"/>
      <c r="V2104" s="32" t="s">
        <v>4229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04" s="15" t="str">
        <f>_xlfn.TEXTBEFORE(_xlfn.TEXTAFTER(CantoralDB[[#This Row],[index.html]],"&gt;"),"&gt;")&amp;"&gt;"</f>
        <v>&lt;a href="canciones/taize/wysławiajcie_pana.html"&gt;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785</v>
      </c>
      <c r="C2105" s="1" t="s">
        <v>1021</v>
      </c>
      <c r="D2105" s="1" t="s">
        <v>1081</v>
      </c>
      <c r="H2105" s="1" t="s">
        <v>472</v>
      </c>
      <c r="I2105" s="1" t="s">
        <v>2949</v>
      </c>
      <c r="J2105" s="1" t="s">
        <v>607</v>
      </c>
      <c r="M2105" s="15" t="s">
        <v>2133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05" s="1"/>
      <c r="U2105" s="1"/>
      <c r="V2105" s="32" t="s">
        <v>4230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05" s="15" t="str">
        <f>_xlfn.TEXTBEFORE(_xlfn.TEXTAFTER(CantoralDB[[#This Row],[index.html]],"&gt;"),"&gt;")&amp;"&gt;"</f>
        <v>&lt;a href="canciones/taize/alleluia_94.html"&gt;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787</v>
      </c>
      <c r="C2106" s="1" t="s">
        <v>1021</v>
      </c>
      <c r="D2106" s="1" t="s">
        <v>1083</v>
      </c>
      <c r="H2106" s="1" t="s">
        <v>1029</v>
      </c>
      <c r="I2106" s="1" t="s">
        <v>2951</v>
      </c>
      <c r="J2106" s="1" t="s">
        <v>607</v>
      </c>
      <c r="M2106" s="15" t="s">
        <v>2133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06" s="1"/>
      <c r="U2106" s="1"/>
      <c r="V2106" s="32" t="s">
        <v>4231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06" s="15" t="str">
        <f>_xlfn.TEXTBEFORE(_xlfn.TEXTAFTER(CantoralDB[[#This Row],[index.html]],"&gt;"),"&gt;")&amp;"&gt;"</f>
        <v>&lt;a href="canciones/taize/alleluia_97.html"&gt;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385</v>
      </c>
      <c r="C2107" s="1" t="s">
        <v>1021</v>
      </c>
      <c r="D2107" s="1" t="s">
        <v>1132</v>
      </c>
      <c r="H2107" s="1" t="s">
        <v>1029</v>
      </c>
      <c r="J2107" s="1" t="s">
        <v>607</v>
      </c>
      <c r="M2107" s="15" t="s">
        <v>2133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07" s="1"/>
      <c r="U2107" s="1"/>
      <c r="V2107" s="32" t="s">
        <v>4232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07" s="15" t="str">
        <f>_xlfn.TEXTBEFORE(_xlfn.TEXTAFTER(CantoralDB[[#This Row],[index.html]],"&gt;"),"&gt;")&amp;"&gt;"</f>
        <v>&lt;a href="canciones/taize/kyrie_1.html"&gt;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389</v>
      </c>
      <c r="C2108" s="1" t="s">
        <v>1021</v>
      </c>
      <c r="D2108" s="1" t="s">
        <v>1135</v>
      </c>
      <c r="H2108" s="1" t="s">
        <v>530</v>
      </c>
      <c r="I2108" s="1" t="s">
        <v>2952</v>
      </c>
      <c r="J2108" s="1" t="s">
        <v>607</v>
      </c>
      <c r="M2108" s="15" t="s">
        <v>2133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08" s="1"/>
      <c r="U2108" s="1"/>
      <c r="V2108" s="32" t="s">
        <v>4233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08" s="15" t="str">
        <f>_xlfn.TEXTBEFORE(_xlfn.TEXTAFTER(CantoralDB[[#This Row],[index.html]],"&gt;"),"&gt;")&amp;"&gt;"</f>
        <v>&lt;a href="canciones/taize/kyrie_8.html"&gt;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424</v>
      </c>
      <c r="C2109" s="1" t="s">
        <v>1021</v>
      </c>
      <c r="D2109" s="1" t="s">
        <v>1143</v>
      </c>
      <c r="H2109" s="1" t="s">
        <v>530</v>
      </c>
      <c r="J2109" s="1" t="s">
        <v>607</v>
      </c>
      <c r="M2109" s="15" t="s">
        <v>2133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09" s="1"/>
      <c r="U2109" s="1"/>
      <c r="V2109" s="32" t="s">
        <v>4234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09" s="15" t="str">
        <f>_xlfn.TEXTBEFORE(_xlfn.TEXTAFTER(CantoralDB[[#This Row],[index.html]],"&gt;"),"&gt;")&amp;"&gt;"</f>
        <v>&lt;a href="canciones/taize/para_mim_ser_feliz.html"&gt;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452</v>
      </c>
      <c r="C2110" s="1" t="s">
        <v>1021</v>
      </c>
      <c r="D2110" s="1" t="s">
        <v>1149</v>
      </c>
      <c r="H2110" s="1" t="s">
        <v>1027</v>
      </c>
      <c r="J2110" s="1" t="s">
        <v>607</v>
      </c>
      <c r="M2110" s="15" t="s">
        <v>2133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10" s="1" t="s">
        <v>984</v>
      </c>
      <c r="U2110" s="1"/>
      <c r="V2110" s="32" t="s">
        <v>4235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10" s="15" t="str">
        <f>_xlfn.TEXTBEFORE(_xlfn.TEXTAFTER(CantoralDB[[#This Row],[index.html]],"&gt;"),"&gt;")&amp;"&gt;"</f>
        <v>&lt;a href="canciones/taize/tu_palabra_señor.html"&gt;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202</v>
      </c>
      <c r="C2111" s="1" t="s">
        <v>190</v>
      </c>
      <c r="D2111" s="1" t="s">
        <v>759</v>
      </c>
      <c r="G2111" s="1" t="s">
        <v>208</v>
      </c>
      <c r="H2111" s="1" t="s">
        <v>1028</v>
      </c>
      <c r="J2111" s="1" t="s">
        <v>607</v>
      </c>
      <c r="M2111" s="15" t="s">
        <v>481</v>
      </c>
      <c r="N2111" s="1" t="s">
        <v>1842</v>
      </c>
      <c r="O2111" s="15">
        <v>1</v>
      </c>
      <c r="P2111" s="15">
        <v>2003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11" s="1"/>
      <c r="U2111" s="1"/>
      <c r="V2111" s="32" t="s">
        <v>3669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11" s="15" t="str">
        <f>_xlfn.TEXTBEFORE(_xlfn.TEXTAFTER(CantoralDB[[#This Row],[index.html]],"&gt;"),"&gt;")&amp;"&gt;"</f>
        <v>&lt;a href="canciones/toño_casado/ven_a_la_fiesta.html"&gt;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1850</v>
      </c>
      <c r="C2112" s="1"/>
      <c r="H2112" s="1" t="s">
        <v>1026</v>
      </c>
      <c r="J2112" s="1" t="s">
        <v>607</v>
      </c>
      <c r="M2112" s="15" t="s">
        <v>481</v>
      </c>
      <c r="N2112" s="1" t="s">
        <v>1842</v>
      </c>
      <c r="O2112" s="15">
        <v>2</v>
      </c>
      <c r="P2112" s="15">
        <v>2003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12" s="1"/>
      <c r="U2112" s="1"/>
      <c r="V2112" s="32" t="s">
        <v>3671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12" s="15" t="str">
        <f>_xlfn.TEXTBEFORE(_xlfn.TEXTAFTER(CantoralDB[[#This Row],[index.html]],"&gt;"),"&gt;")&amp;"&gt;"</f>
        <v>&lt;a href="canciones/toño_casado/señor_ten_piedad_i.html"&gt;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238</v>
      </c>
      <c r="C2113" s="1" t="s">
        <v>192</v>
      </c>
      <c r="D2113" s="1" t="s">
        <v>1424</v>
      </c>
      <c r="G2113" s="1" t="s">
        <v>219</v>
      </c>
      <c r="H2113" s="1" t="s">
        <v>1026</v>
      </c>
      <c r="I2113" s="1" t="s">
        <v>2952</v>
      </c>
      <c r="J2113" s="1" t="s">
        <v>607</v>
      </c>
      <c r="M2113" s="15" t="s">
        <v>481</v>
      </c>
      <c r="N2113" s="1" t="s">
        <v>1842</v>
      </c>
      <c r="O2113" s="15">
        <v>3</v>
      </c>
      <c r="P2113" s="15">
        <v>2003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13" s="1"/>
      <c r="U2113" s="1"/>
      <c r="V2113" s="32" t="s">
        <v>3673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13" s="15" t="str">
        <f>_xlfn.TEXTBEFORE(_xlfn.TEXTAFTER(CantoralDB[[#This Row],[index.html]],"&gt;"),"&gt;")&amp;"&gt;"</f>
        <v>&lt;a href="canciones/toño_casado/gloria_gloria_a_dios.html"&gt;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239</v>
      </c>
      <c r="C2114" s="1" t="s">
        <v>992</v>
      </c>
      <c r="D2114" s="1" t="s">
        <v>996</v>
      </c>
      <c r="G2114" s="1" t="s">
        <v>219</v>
      </c>
      <c r="H2114" s="1" t="s">
        <v>1026</v>
      </c>
      <c r="J2114" s="1" t="s">
        <v>607</v>
      </c>
      <c r="M2114" s="15" t="s">
        <v>481</v>
      </c>
      <c r="N2114" s="1" t="s">
        <v>1842</v>
      </c>
      <c r="O2114" s="15">
        <v>4</v>
      </c>
      <c r="P2114" s="15">
        <v>2003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14" s="1"/>
      <c r="U2114" s="1"/>
      <c r="V2114" s="32" t="s">
        <v>3667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14" s="15" t="str">
        <f>_xlfn.TEXTBEFORE(_xlfn.TEXTAFTER(CantoralDB[[#This Row],[index.html]],"&gt;"),"&gt;")&amp;"&gt;"</f>
        <v>&lt;a href="canciones/toño_casado/que_tu_palabra_nos_cambie_el_corazon.html"&gt;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1852</v>
      </c>
      <c r="C2115" s="1"/>
      <c r="H2115" s="1" t="s">
        <v>1028</v>
      </c>
      <c r="J2115" s="1" t="s">
        <v>607</v>
      </c>
      <c r="M2115" s="15" t="s">
        <v>481</v>
      </c>
      <c r="N2115" s="1" t="s">
        <v>1842</v>
      </c>
      <c r="O2115" s="15">
        <v>5</v>
      </c>
      <c r="P2115" s="15">
        <v>2003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15" s="1"/>
      <c r="U2115" s="1"/>
      <c r="V2115" s="32" t="s">
        <v>3672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15" s="15" t="str">
        <f>_xlfn.TEXTBEFORE(_xlfn.TEXTAFTER(CantoralDB[[#This Row],[index.html]],"&gt;"),"&gt;")&amp;"&gt;"</f>
        <v>&lt;a href="canciones/toño_casado/aleluya_i.html"&gt;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1843</v>
      </c>
      <c r="C2116" s="1" t="s">
        <v>194</v>
      </c>
      <c r="D2116" s="1" t="s">
        <v>1433</v>
      </c>
      <c r="G2116" s="1" t="s">
        <v>208</v>
      </c>
      <c r="H2116" s="1" t="s">
        <v>1026</v>
      </c>
      <c r="J2116" s="1" t="s">
        <v>607</v>
      </c>
      <c r="M2116" s="15" t="s">
        <v>481</v>
      </c>
      <c r="N2116" s="1" t="s">
        <v>1842</v>
      </c>
      <c r="O2116" s="15">
        <v>6</v>
      </c>
      <c r="P2116" s="15">
        <v>2003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16" s="1"/>
      <c r="U2116" s="1"/>
      <c r="V2116" s="32" t="s">
        <v>3666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16" s="15" t="str">
        <f>_xlfn.TEXTBEFORE(_xlfn.TEXTAFTER(CantoralDB[[#This Row],[index.html]],"&gt;"),"&gt;")&amp;"&gt;"</f>
        <v>&lt;a href="canciones/toño_casado/junto_al_vino_y_al_pan.html"&gt;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527</v>
      </c>
      <c r="C2117" s="1" t="s">
        <v>195</v>
      </c>
      <c r="D2117" s="1" t="s">
        <v>1459</v>
      </c>
      <c r="G2117" s="1" t="s">
        <v>219</v>
      </c>
      <c r="H2117" s="1" t="s">
        <v>530</v>
      </c>
      <c r="I2117" s="1" t="s">
        <v>2952</v>
      </c>
      <c r="J2117" s="1" t="s">
        <v>607</v>
      </c>
      <c r="M2117" s="15" t="s">
        <v>481</v>
      </c>
      <c r="N2117" s="1" t="s">
        <v>1842</v>
      </c>
      <c r="O2117" s="15">
        <v>7</v>
      </c>
      <c r="P2117" s="15">
        <v>2003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17" s="1"/>
      <c r="U2117" s="1"/>
      <c r="V2117" s="32" t="s">
        <v>3677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17" s="15" t="str">
        <f>_xlfn.TEXTBEFORE(_xlfn.TEXTAFTER(CantoralDB[[#This Row],[index.html]],"&gt;"),"&gt;")&amp;"&gt;"</f>
        <v>&lt;a href="canciones/toño_casado/santo_(estan_llenos_de_tu_amor).html"&gt;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1844</v>
      </c>
      <c r="C2118" s="1"/>
      <c r="H2118" s="1" t="s">
        <v>1028</v>
      </c>
      <c r="J2118" s="1" t="s">
        <v>607</v>
      </c>
      <c r="M2118" s="15" t="s">
        <v>481</v>
      </c>
      <c r="N2118" s="1" t="s">
        <v>1842</v>
      </c>
      <c r="O2118" s="15">
        <v>8</v>
      </c>
      <c r="P2118" s="15">
        <v>2003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18" s="1"/>
      <c r="U2118" s="1"/>
      <c r="V2118" s="32" t="s">
        <v>3668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18" s="15" t="str">
        <f>_xlfn.TEXTBEFORE(_xlfn.TEXTAFTER(CantoralDB[[#This Row],[index.html]],"&gt;"),"&gt;")&amp;"&gt;"</f>
        <v>&lt;a href="canciones/toño_casado/traeras_la_paz.html"&gt;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240</v>
      </c>
      <c r="C2119" s="1" t="s">
        <v>197</v>
      </c>
      <c r="D2119" s="1" t="s">
        <v>1407</v>
      </c>
      <c r="G2119" s="1" t="s">
        <v>219</v>
      </c>
      <c r="H2119" s="1" t="s">
        <v>1028</v>
      </c>
      <c r="J2119" s="1" t="s">
        <v>607</v>
      </c>
      <c r="M2119" s="15" t="s">
        <v>481</v>
      </c>
      <c r="N2119" s="1" t="s">
        <v>1842</v>
      </c>
      <c r="O2119" s="15">
        <v>9</v>
      </c>
      <c r="P2119" s="15">
        <v>2003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19" s="1"/>
      <c r="U2119" s="1"/>
      <c r="V2119" s="32" t="s">
        <v>3676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19" s="15" t="str">
        <f>_xlfn.TEXTBEFORE(_xlfn.TEXTAFTER(CantoralDB[[#This Row],[index.html]],"&gt;"),"&gt;")&amp;"&gt;"</f>
        <v>&lt;a href="canciones/toño_casado/da_la_paz_al_mundo.html"&gt;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241</v>
      </c>
      <c r="C2120" s="1" t="s">
        <v>196</v>
      </c>
      <c r="D2120" s="1" t="s">
        <v>1446</v>
      </c>
      <c r="G2120" s="1" t="s">
        <v>219</v>
      </c>
      <c r="H2120" s="1" t="s">
        <v>530</v>
      </c>
      <c r="J2120" s="1" t="s">
        <v>607</v>
      </c>
      <c r="M2120" s="15" t="s">
        <v>481</v>
      </c>
      <c r="N2120" s="1" t="s">
        <v>1842</v>
      </c>
      <c r="O2120" s="15">
        <v>10</v>
      </c>
      <c r="P2120" s="15">
        <v>2003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20" s="1"/>
      <c r="U2120" s="1"/>
      <c r="V2120" s="32" t="s">
        <v>3674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20" s="15" t="str">
        <f>_xlfn.TEXTBEFORE(_xlfn.TEXTAFTER(CantoralDB[[#This Row],[index.html]],"&gt;"),"&gt;")&amp;"&gt;"</f>
        <v>&lt;a href="canciones/toño_casado/padre_nuestro_padre_nuestro.html"&gt;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242</v>
      </c>
      <c r="C2121" s="1" t="s">
        <v>992</v>
      </c>
      <c r="D2121" s="1" t="s">
        <v>716</v>
      </c>
      <c r="G2121" s="1" t="s">
        <v>219</v>
      </c>
      <c r="H2121" s="1" t="s">
        <v>1028</v>
      </c>
      <c r="J2121" s="1" t="s">
        <v>607</v>
      </c>
      <c r="M2121" s="15" t="s">
        <v>481</v>
      </c>
      <c r="N2121" s="1" t="s">
        <v>1842</v>
      </c>
      <c r="O2121" s="15">
        <v>11</v>
      </c>
      <c r="P2121" s="15">
        <v>2003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21" s="1"/>
      <c r="U2121" s="1"/>
      <c r="V2121" s="32" t="s">
        <v>3675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21" s="15" t="str">
        <f>_xlfn.TEXTBEFORE(_xlfn.TEXTAFTER(CantoralDB[[#This Row],[index.html]],"&gt;"),"&gt;")&amp;"&gt;"</f>
        <v>&lt;a href="canciones/toño_casado/jesus_ven_tu.html"&gt;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243</v>
      </c>
      <c r="C2122" s="1" t="s">
        <v>199</v>
      </c>
      <c r="D2122" s="1" t="s">
        <v>1046</v>
      </c>
      <c r="G2122" s="1" t="s">
        <v>219</v>
      </c>
      <c r="H2122" s="1" t="s">
        <v>1026</v>
      </c>
      <c r="J2122" s="1" t="s">
        <v>607</v>
      </c>
      <c r="M2122" s="15" t="s">
        <v>481</v>
      </c>
      <c r="N2122" s="1" t="s">
        <v>1842</v>
      </c>
      <c r="O2122" s="15">
        <v>12</v>
      </c>
      <c r="P2122" s="15">
        <v>2003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22" s="1"/>
      <c r="U2122" s="1"/>
      <c r="V2122" s="32" t="s">
        <v>3670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22" s="15" t="str">
        <f>_xlfn.TEXTBEFORE(_xlfn.TEXTAFTER(CantoralDB[[#This Row],[index.html]],"&gt;"),"&gt;")&amp;"&gt;"</f>
        <v>&lt;a href="canciones/toño_casado/maria_maria.html"&gt;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244</v>
      </c>
      <c r="C2123" s="1" t="s">
        <v>190</v>
      </c>
      <c r="D2123" s="1" t="s">
        <v>1390</v>
      </c>
      <c r="G2123" s="1" t="s">
        <v>219</v>
      </c>
      <c r="H2123" s="1" t="s">
        <v>472</v>
      </c>
      <c r="I2123" s="1" t="s">
        <v>2951</v>
      </c>
      <c r="J2123" s="1" t="s">
        <v>607</v>
      </c>
      <c r="M2123" s="15" t="s">
        <v>481</v>
      </c>
      <c r="N2123" s="1" t="s">
        <v>1848</v>
      </c>
      <c r="O2123" s="15">
        <v>1</v>
      </c>
      <c r="P2123" s="15">
        <v>2012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23" s="1"/>
      <c r="U2123" s="1"/>
      <c r="V2123" s="32" t="s">
        <v>3678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23" s="15" t="str">
        <f>_xlfn.TEXTBEFORE(_xlfn.TEXTAFTER(CantoralDB[[#This Row],[index.html]],"&gt;"),"&gt;")&amp;"&gt;"</f>
        <v>&lt;a href="canciones/toño_casado/bienvenidos.html"&gt;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1851</v>
      </c>
      <c r="C2124" s="1"/>
      <c r="H2124" s="1" t="s">
        <v>530</v>
      </c>
      <c r="J2124" s="1" t="s">
        <v>607</v>
      </c>
      <c r="M2124" s="15" t="s">
        <v>481</v>
      </c>
      <c r="N2124" s="1" t="s">
        <v>1848</v>
      </c>
      <c r="O2124" s="15">
        <v>2</v>
      </c>
      <c r="P2124" s="15">
        <v>2012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24" s="1"/>
      <c r="U2124" s="1"/>
      <c r="V2124" s="32" t="s">
        <v>3679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24" s="15" t="str">
        <f>_xlfn.TEXTBEFORE(_xlfn.TEXTAFTER(CantoralDB[[#This Row],[index.html]],"&gt;"),"&gt;")&amp;"&gt;"</f>
        <v>&lt;a href="canciones/toño_casado/señor_ten_piedad_ii.html"&gt;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2916</v>
      </c>
      <c r="C2125" s="1"/>
      <c r="H2125" s="1" t="s">
        <v>530</v>
      </c>
      <c r="J2125" s="1" t="s">
        <v>607</v>
      </c>
      <c r="M2125" s="15" t="s">
        <v>481</v>
      </c>
      <c r="N2125" s="1" t="s">
        <v>1848</v>
      </c>
      <c r="O2125" s="15">
        <v>3</v>
      </c>
      <c r="P2125" s="15">
        <v>2012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25" s="1"/>
      <c r="U2125" s="1"/>
      <c r="V2125" s="32" t="s">
        <v>3680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25" s="15" t="str">
        <f>_xlfn.TEXTBEFORE(_xlfn.TEXTAFTER(CantoralDB[[#This Row],[index.html]],"&gt;"),"&gt;")&amp;"&gt;"</f>
        <v>&lt;a href="canciones/toño_casado/gloria_(por_pintar_amaneceres).html"&gt;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1845</v>
      </c>
      <c r="C2126" s="1"/>
      <c r="H2126" s="1" t="s">
        <v>1027</v>
      </c>
      <c r="J2126" s="1" t="s">
        <v>607</v>
      </c>
      <c r="M2126" s="15" t="s">
        <v>481</v>
      </c>
      <c r="N2126" s="1" t="s">
        <v>1848</v>
      </c>
      <c r="O2126" s="15">
        <v>4</v>
      </c>
      <c r="P2126" s="15">
        <v>2012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26" s="1"/>
      <c r="U2126" s="1"/>
      <c r="V2126" s="32" t="s">
        <v>3681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26" s="15" t="str">
        <f>_xlfn.TEXTBEFORE(_xlfn.TEXTAFTER(CantoralDB[[#This Row],[index.html]],"&gt;"),"&gt;")&amp;"&gt;"</f>
        <v>&lt;a href="canciones/toño_casado/tu_palabra_se_hace_vida.html"&gt;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1853</v>
      </c>
      <c r="C2127" s="1"/>
      <c r="H2127" s="1" t="s">
        <v>1029</v>
      </c>
      <c r="J2127" s="1" t="s">
        <v>607</v>
      </c>
      <c r="M2127" s="15" t="s">
        <v>481</v>
      </c>
      <c r="N2127" s="1" t="s">
        <v>1848</v>
      </c>
      <c r="O2127" s="15">
        <v>5</v>
      </c>
      <c r="P2127" s="15">
        <v>2012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27" s="1"/>
      <c r="U2127" s="1"/>
      <c r="V2127" s="32" t="s">
        <v>3682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27" s="15" t="str">
        <f>_xlfn.TEXTBEFORE(_xlfn.TEXTAFTER(CantoralDB[[#This Row],[index.html]],"&gt;"),"&gt;")&amp;"&gt;"</f>
        <v>&lt;a href="canciones/toño_casado/aleluya_ii.html"&gt;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245</v>
      </c>
      <c r="C2128" s="1" t="s">
        <v>194</v>
      </c>
      <c r="D2128" s="1" t="s">
        <v>769</v>
      </c>
      <c r="G2128" s="1" t="s">
        <v>219</v>
      </c>
      <c r="H2128" s="1" t="s">
        <v>530</v>
      </c>
      <c r="J2128" s="1" t="s">
        <v>607</v>
      </c>
      <c r="M2128" s="15" t="s">
        <v>481</v>
      </c>
      <c r="N2128" s="1" t="s">
        <v>1848</v>
      </c>
      <c r="O2128" s="15">
        <v>6</v>
      </c>
      <c r="P2128" s="15">
        <v>2012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28" s="1"/>
      <c r="U2128" s="1"/>
      <c r="V2128" s="32" t="s">
        <v>3683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28" s="15" t="str">
        <f>_xlfn.TEXTBEFORE(_xlfn.TEXTAFTER(CantoralDB[[#This Row],[index.html]],"&gt;"),"&gt;")&amp;"&gt;"</f>
        <v>&lt;a href="canciones/toño_casado/te_ofrecemos.html"&gt;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528</v>
      </c>
      <c r="C2129" s="1" t="s">
        <v>195</v>
      </c>
      <c r="D2129" s="1" t="s">
        <v>1460</v>
      </c>
      <c r="G2129" s="1" t="s">
        <v>219</v>
      </c>
      <c r="H2129" s="1" t="s">
        <v>1026</v>
      </c>
      <c r="J2129" s="1" t="s">
        <v>607</v>
      </c>
      <c r="M2129" s="15" t="s">
        <v>481</v>
      </c>
      <c r="N2129" s="1" t="s">
        <v>1848</v>
      </c>
      <c r="O2129" s="15">
        <v>7</v>
      </c>
      <c r="P2129" s="15">
        <v>2012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29" s="1"/>
      <c r="U2129" s="1"/>
      <c r="V2129" s="32" t="s">
        <v>3684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29" s="15" t="str">
        <f>_xlfn.TEXTBEFORE(_xlfn.TEXTAFTER(CantoralDB[[#This Row],[index.html]],"&gt;"),"&gt;")&amp;"&gt;"</f>
        <v>&lt;a href="canciones/toño_casado/santo_(hosanna_en_el_cielo_al_señor).html"&gt;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2141</v>
      </c>
      <c r="C2130" s="1"/>
      <c r="H2130" s="1" t="s">
        <v>1026</v>
      </c>
      <c r="J2130" s="1" t="s">
        <v>607</v>
      </c>
      <c r="M2130" s="15" t="s">
        <v>481</v>
      </c>
      <c r="N2130" s="1" t="s">
        <v>1848</v>
      </c>
      <c r="O2130" s="15">
        <v>8</v>
      </c>
      <c r="P2130" s="15">
        <v>2012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30" s="1"/>
      <c r="U2130" s="1"/>
      <c r="V2130" s="32" t="s">
        <v>3685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30" s="15" t="str">
        <f>_xlfn.TEXTBEFORE(_xlfn.TEXTAFTER(CantoralDB[[#This Row],[index.html]],"&gt;"),"&gt;")&amp;"&gt;"</f>
        <v>&lt;a href="canciones/toño_casado/padre_nuestro_ii.html"&gt;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1197</v>
      </c>
      <c r="C2131" s="1"/>
      <c r="H2131" s="1" t="s">
        <v>530</v>
      </c>
      <c r="J2131" s="1" t="s">
        <v>607</v>
      </c>
      <c r="M2131" s="15" t="s">
        <v>481</v>
      </c>
      <c r="N2131" s="1" t="s">
        <v>1848</v>
      </c>
      <c r="O2131" s="15">
        <v>9</v>
      </c>
      <c r="P2131" s="15">
        <v>2012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31" s="1"/>
      <c r="U2131" s="1"/>
      <c r="V2131" s="32" t="s">
        <v>3686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31" s="15" t="str">
        <f>_xlfn.TEXTBEFORE(_xlfn.TEXTAFTER(CantoralDB[[#This Row],[index.html]],"&gt;"),"&gt;")&amp;"&gt;"</f>
        <v>&lt;a href="canciones/toño_casado/danos_paz.html"&gt;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1846</v>
      </c>
      <c r="C2132" s="1"/>
      <c r="H2132" s="1" t="s">
        <v>472</v>
      </c>
      <c r="J2132" s="1" t="s">
        <v>607</v>
      </c>
      <c r="M2132" s="15" t="s">
        <v>481</v>
      </c>
      <c r="N2132" s="1" t="s">
        <v>1848</v>
      </c>
      <c r="O2132" s="15">
        <v>10</v>
      </c>
      <c r="P2132" s="15">
        <v>2012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32" s="1"/>
      <c r="U2132" s="1"/>
      <c r="V2132" s="32" t="s">
        <v>3687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32" s="15" t="str">
        <f>_xlfn.TEXTBEFORE(_xlfn.TEXTAFTER(CantoralDB[[#This Row],[index.html]],"&gt;"),"&gt;")&amp;"&gt;"</f>
        <v>&lt;a href="canciones/toño_casado/hoy_jesus_vendras_a_mi.html"&gt;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1847</v>
      </c>
      <c r="C2133" s="1"/>
      <c r="H2133" s="1" t="s">
        <v>472</v>
      </c>
      <c r="J2133" s="1" t="s">
        <v>607</v>
      </c>
      <c r="M2133" s="15" t="s">
        <v>481</v>
      </c>
      <c r="N2133" s="1" t="s">
        <v>1848</v>
      </c>
      <c r="O2133" s="15">
        <v>11</v>
      </c>
      <c r="P2133" s="15">
        <v>2012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33" s="1"/>
      <c r="U2133" s="1"/>
      <c r="V2133" s="32" t="s">
        <v>3688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33" s="15" t="str">
        <f>_xlfn.TEXTBEFORE(_xlfn.TEXTAFTER(CantoralDB[[#This Row],[index.html]],"&gt;"),"&gt;")&amp;"&gt;"</f>
        <v>&lt;a href="canciones/toño_casado/familia_de_dios.html"&gt;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496</v>
      </c>
      <c r="C2134" s="1" t="s">
        <v>199</v>
      </c>
      <c r="D2134" s="1" t="s">
        <v>1386</v>
      </c>
      <c r="G2134" s="1" t="s">
        <v>219</v>
      </c>
      <c r="H2134" s="1" t="s">
        <v>1029</v>
      </c>
      <c r="I2134" s="1" t="s">
        <v>2952</v>
      </c>
      <c r="J2134" s="1" t="s">
        <v>607</v>
      </c>
      <c r="M2134" s="15" t="s">
        <v>481</v>
      </c>
      <c r="N2134" s="1" t="s">
        <v>1849</v>
      </c>
      <c r="O2134" s="15">
        <v>1</v>
      </c>
      <c r="P2134" s="15">
        <v>2022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34" s="1"/>
      <c r="U2134" s="1"/>
      <c r="V2134" s="32" t="s">
        <v>3689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34" s="15" t="str">
        <f>_xlfn.TEXTBEFORE(_xlfn.TEXTAFTER(CantoralDB[[#This Row],[index.html]],"&gt;"),"&gt;")&amp;"&gt;"</f>
        <v>&lt;a href="canciones/toño_casado/ave_maria.html"&gt;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173</v>
      </c>
      <c r="C2135" s="1" t="s">
        <v>992</v>
      </c>
      <c r="D2135" s="1" t="s">
        <v>683</v>
      </c>
      <c r="G2135" s="1" t="s">
        <v>208</v>
      </c>
      <c r="H2135" s="1" t="s">
        <v>1029</v>
      </c>
      <c r="J2135" s="1" t="s">
        <v>607</v>
      </c>
      <c r="M2135" s="15" t="s">
        <v>481</v>
      </c>
      <c r="N2135" s="1" t="s">
        <v>1849</v>
      </c>
      <c r="O2135" s="15">
        <v>2</v>
      </c>
      <c r="P2135" s="15">
        <v>2018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35" s="1" t="s">
        <v>808</v>
      </c>
      <c r="U2135" s="1"/>
      <c r="V2135" s="32" t="s">
        <v>3690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35" s="15" t="str">
        <f>_xlfn.TEXTBEFORE(_xlfn.TEXTAFTER(CantoralDB[[#This Row],[index.html]],"&gt;"),"&gt;")&amp;"&gt;"</f>
        <v>&lt;a href="canciones/toño_casado/bienaventuranzas_(33_el_musical).html"&gt;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178</v>
      </c>
      <c r="C2136" s="1" t="s">
        <v>218</v>
      </c>
      <c r="D2136" s="1" t="s">
        <v>1411</v>
      </c>
      <c r="G2136" s="1" t="s">
        <v>208</v>
      </c>
      <c r="H2136" s="1" t="s">
        <v>530</v>
      </c>
      <c r="J2136" s="1" t="s">
        <v>607</v>
      </c>
      <c r="M2136" s="15" t="s">
        <v>481</v>
      </c>
      <c r="N2136" s="1" t="s">
        <v>1849</v>
      </c>
      <c r="O2136" s="15">
        <v>3</v>
      </c>
      <c r="P2136" s="15">
        <v>2018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36" s="1" t="s">
        <v>822</v>
      </c>
      <c r="U2136" s="1"/>
      <c r="V2136" s="32" t="s">
        <v>3691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36" s="15" t="str">
        <f>_xlfn.TEXTBEFORE(_xlfn.TEXTAFTER(CantoralDB[[#This Row],[index.html]],"&gt;"),"&gt;")&amp;"&gt;"</f>
        <v>&lt;a href="canciones/toño_casado/el_espiritu_de_dios_(33_el_musical).html"&gt;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217</v>
      </c>
      <c r="C2137" s="1" t="s">
        <v>199</v>
      </c>
      <c r="D2137" s="1" t="s">
        <v>1055</v>
      </c>
      <c r="G2137" s="1" t="s">
        <v>219</v>
      </c>
      <c r="H2137" s="1" t="s">
        <v>1042</v>
      </c>
      <c r="J2137" s="1" t="s">
        <v>607</v>
      </c>
      <c r="M2137" s="15" t="s">
        <v>481</v>
      </c>
      <c r="N2137" s="1" t="s">
        <v>1849</v>
      </c>
      <c r="O2137" s="15">
        <v>4</v>
      </c>
      <c r="P2137" s="15">
        <v>2018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137" s="1"/>
      <c r="U2137" s="1"/>
      <c r="V2137" s="32" t="s">
        <v>3692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137" s="15" t="str">
        <f>_xlfn.TEXTBEFORE(_xlfn.TEXTAFTER(CantoralDB[[#This Row],[index.html]],"&gt;"),"&gt;")&amp;"&gt;"</f>
        <v>&lt;a href="canciones/toño_casado/siempre_estuviste_aqui_(almudena).html"&gt;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495</v>
      </c>
      <c r="C2138" s="1" t="s">
        <v>190</v>
      </c>
      <c r="D2138" s="1" t="s">
        <v>761</v>
      </c>
      <c r="G2138" s="1" t="s">
        <v>219</v>
      </c>
      <c r="H2138" s="1" t="s">
        <v>530</v>
      </c>
      <c r="I2138" s="1" t="s">
        <v>2952</v>
      </c>
      <c r="J2138" s="1" t="s">
        <v>607</v>
      </c>
      <c r="M2138" s="15" t="s">
        <v>481</v>
      </c>
      <c r="N2138" s="1" t="s">
        <v>1849</v>
      </c>
      <c r="O2138" s="15">
        <v>5</v>
      </c>
      <c r="P2138" s="15">
        <v>2011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138" s="1"/>
      <c r="U2138" s="1"/>
      <c r="V2138" s="32" t="s">
        <v>3693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138" s="15" t="str">
        <f>_xlfn.TEXTBEFORE(_xlfn.TEXTAFTER(CantoralDB[[#This Row],[index.html]],"&gt;"),"&gt;")&amp;"&gt;"</f>
        <v>&lt;a href="canciones/toño_casado/viviremos_firmes_en_la_fe.html"&gt;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2918</v>
      </c>
      <c r="C2139" s="1"/>
      <c r="H2139" s="1" t="s">
        <v>1026</v>
      </c>
      <c r="J2139" s="1" t="s">
        <v>607</v>
      </c>
      <c r="M2139" s="15" t="s">
        <v>481</v>
      </c>
      <c r="N2139" s="1" t="s">
        <v>2917</v>
      </c>
      <c r="O2139" s="15">
        <v>0</v>
      </c>
      <c r="P2139" s="15">
        <v>2022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139" s="1"/>
      <c r="U2139" s="1"/>
      <c r="V2139" s="32" t="s">
        <v>3694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139" s="15" t="str">
        <f>_xlfn.TEXTBEFORE(_xlfn.TEXTAFTER(CantoralDB[[#This Row],[index.html]],"&gt;"),"&gt;")&amp;"&gt;"</f>
        <v>&lt;a href="canciones/toño_casado/via_crucis_introduccion.html"&gt;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2919</v>
      </c>
      <c r="C2140" s="1"/>
      <c r="H2140" s="1" t="s">
        <v>1026</v>
      </c>
      <c r="J2140" s="1" t="s">
        <v>607</v>
      </c>
      <c r="M2140" s="15" t="s">
        <v>481</v>
      </c>
      <c r="N2140" s="1" t="s">
        <v>2917</v>
      </c>
      <c r="O2140" s="15">
        <v>1</v>
      </c>
      <c r="P2140" s="15">
        <v>2022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140" s="1"/>
      <c r="U2140" s="1"/>
      <c r="V2140" s="32" t="s">
        <v>3695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140" s="15" t="str">
        <f>_xlfn.TEXTBEFORE(_xlfn.TEXTAFTER(CantoralDB[[#This Row],[index.html]],"&gt;"),"&gt;")&amp;"&gt;"</f>
        <v>&lt;a href="canciones/toño_casado/via_crucis_i_jesus_cautivo.html"&gt;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2920</v>
      </c>
      <c r="C2141" s="1"/>
      <c r="H2141" s="1" t="s">
        <v>1026</v>
      </c>
      <c r="J2141" s="1" t="s">
        <v>607</v>
      </c>
      <c r="M2141" s="15" t="s">
        <v>481</v>
      </c>
      <c r="N2141" s="1" t="s">
        <v>2917</v>
      </c>
      <c r="O2141" s="15">
        <v>2</v>
      </c>
      <c r="P2141" s="15">
        <v>2022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141" s="1"/>
      <c r="U2141" s="1"/>
      <c r="V2141" s="32" t="s">
        <v>3696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141" s="15" t="str">
        <f>_xlfn.TEXTBEFORE(_xlfn.TEXTAFTER(CantoralDB[[#This Row],[index.html]],"&gt;"),"&gt;")&amp;"&gt;"</f>
        <v>&lt;a href="canciones/toño_casado/via_crucis_ii_jesus_carga_con_la_cruz.html"&gt;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2921</v>
      </c>
      <c r="C2142" s="1"/>
      <c r="H2142" s="1" t="s">
        <v>1029</v>
      </c>
      <c r="J2142" s="1" t="s">
        <v>607</v>
      </c>
      <c r="M2142" s="15" t="s">
        <v>481</v>
      </c>
      <c r="N2142" s="1" t="s">
        <v>2917</v>
      </c>
      <c r="O2142" s="15">
        <v>3</v>
      </c>
      <c r="P2142" s="15">
        <v>2022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142" s="1"/>
      <c r="U2142" s="1"/>
      <c r="V2142" s="32" t="s">
        <v>3697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142" s="15" t="str">
        <f>_xlfn.TEXTBEFORE(_xlfn.TEXTAFTER(CantoralDB[[#This Row],[index.html]],"&gt;"),"&gt;")&amp;"&gt;"</f>
        <v>&lt;a href="canciones/toño_casado/via_crucis_iii_jesus_cae_por_primera_vez.html"&gt;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2922</v>
      </c>
      <c r="C2143" s="1"/>
      <c r="H2143" s="1" t="s">
        <v>1027</v>
      </c>
      <c r="J2143" s="1" t="s">
        <v>607</v>
      </c>
      <c r="M2143" s="15" t="s">
        <v>481</v>
      </c>
      <c r="N2143" s="1" t="s">
        <v>2917</v>
      </c>
      <c r="O2143" s="15">
        <v>4</v>
      </c>
      <c r="P2143" s="15">
        <v>2022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143" s="1"/>
      <c r="U2143" s="1"/>
      <c r="V2143" s="32" t="s">
        <v>3698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143" s="15" t="str">
        <f>_xlfn.TEXTBEFORE(_xlfn.TEXTAFTER(CantoralDB[[#This Row],[index.html]],"&gt;"),"&gt;")&amp;"&gt;"</f>
        <v>&lt;a href="canciones/toño_casado/via_crucis_iv_jesus_se_encuentra_con_su_madre.html"&gt;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2923</v>
      </c>
      <c r="C2144" s="1"/>
      <c r="H2144" s="1" t="s">
        <v>2958</v>
      </c>
      <c r="J2144" s="1" t="s">
        <v>607</v>
      </c>
      <c r="M2144" s="15" t="s">
        <v>481</v>
      </c>
      <c r="N2144" s="1" t="s">
        <v>2917</v>
      </c>
      <c r="O2144" s="15">
        <v>5</v>
      </c>
      <c r="P2144" s="15">
        <v>2022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144" s="1"/>
      <c r="U2144" s="1"/>
      <c r="V2144" s="32" t="s">
        <v>3699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144" s="15" t="str">
        <f>_xlfn.TEXTBEFORE(_xlfn.TEXTAFTER(CantoralDB[[#This Row],[index.html]],"&gt;"),"&gt;")&amp;"&gt;"</f>
        <v>&lt;a href="canciones/toño_casado/via_crucis_v_el_cireneo.html"&gt;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2924</v>
      </c>
      <c r="C2145" s="1"/>
      <c r="H2145" s="1" t="s">
        <v>1026</v>
      </c>
      <c r="J2145" s="1" t="s">
        <v>607</v>
      </c>
      <c r="M2145" s="15" t="s">
        <v>481</v>
      </c>
      <c r="N2145" s="1" t="s">
        <v>2917</v>
      </c>
      <c r="O2145" s="15">
        <v>6</v>
      </c>
      <c r="P2145" s="15">
        <v>2022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145" s="1"/>
      <c r="U2145" s="1"/>
      <c r="V2145" s="32" t="s">
        <v>3700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145" s="15" t="str">
        <f>_xlfn.TEXTBEFORE(_xlfn.TEXTAFTER(CantoralDB[[#This Row],[index.html]],"&gt;"),"&gt;")&amp;"&gt;"</f>
        <v>&lt;a href="canciones/toño_casado/via_crucis_vi_la_veronica.html"&gt;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2925</v>
      </c>
      <c r="C2146" s="1"/>
      <c r="H2146" s="1" t="s">
        <v>1029</v>
      </c>
      <c r="J2146" s="1" t="s">
        <v>607</v>
      </c>
      <c r="M2146" s="15" t="s">
        <v>481</v>
      </c>
      <c r="N2146" s="1" t="s">
        <v>2917</v>
      </c>
      <c r="O2146" s="15">
        <v>7</v>
      </c>
      <c r="P2146" s="15">
        <v>2022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146" s="1"/>
      <c r="U2146" s="1"/>
      <c r="V2146" s="32" t="s">
        <v>3701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146" s="15" t="str">
        <f>_xlfn.TEXTBEFORE(_xlfn.TEXTAFTER(CantoralDB[[#This Row],[index.html]],"&gt;"),"&gt;")&amp;"&gt;"</f>
        <v>&lt;a href="canciones/toño_casado/via_crucis_vii_jesus_cae_por_segunda_vez.html"&gt;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2926</v>
      </c>
      <c r="C2147" s="1"/>
      <c r="H2147" s="1" t="s">
        <v>1027</v>
      </c>
      <c r="J2147" s="1" t="s">
        <v>607</v>
      </c>
      <c r="M2147" s="15" t="s">
        <v>481</v>
      </c>
      <c r="N2147" s="1" t="s">
        <v>2917</v>
      </c>
      <c r="O2147" s="15">
        <v>8</v>
      </c>
      <c r="P2147" s="15">
        <v>2022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147" s="1"/>
      <c r="U2147" s="1"/>
      <c r="V2147" s="32" t="s">
        <v>3702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147" s="15" t="str">
        <f>_xlfn.TEXTBEFORE(_xlfn.TEXTAFTER(CantoralDB[[#This Row],[index.html]],"&gt;"),"&gt;")&amp;"&gt;"</f>
        <v>&lt;a href="canciones/toño_casado/via_crucis_viii_jesus_consuela_a_las_mujeres.html"&gt;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2927</v>
      </c>
      <c r="C2148" s="1"/>
      <c r="H2148" s="1" t="s">
        <v>1029</v>
      </c>
      <c r="J2148" s="1" t="s">
        <v>607</v>
      </c>
      <c r="M2148" s="15" t="s">
        <v>481</v>
      </c>
      <c r="N2148" s="1" t="s">
        <v>2917</v>
      </c>
      <c r="O2148" s="15">
        <v>9</v>
      </c>
      <c r="P2148" s="15">
        <v>2022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148" s="1"/>
      <c r="U2148" s="1"/>
      <c r="V2148" s="32" t="s">
        <v>3703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148" s="15" t="str">
        <f>_xlfn.TEXTBEFORE(_xlfn.TEXTAFTER(CantoralDB[[#This Row],[index.html]],"&gt;"),"&gt;")&amp;"&gt;"</f>
        <v>&lt;a href="canciones/toño_casado/via_crucis_ix_jesus_cae_por_tercera_vez.html"&gt;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2928</v>
      </c>
      <c r="C2149" s="1"/>
      <c r="H2149" s="1" t="s">
        <v>1026</v>
      </c>
      <c r="J2149" s="1" t="s">
        <v>607</v>
      </c>
      <c r="M2149" s="15" t="s">
        <v>481</v>
      </c>
      <c r="N2149" s="1" t="s">
        <v>2917</v>
      </c>
      <c r="O2149" s="15">
        <v>10</v>
      </c>
      <c r="P2149" s="15">
        <v>2022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149" s="1"/>
      <c r="U2149" s="1"/>
      <c r="V2149" s="32" t="s">
        <v>3704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149" s="15" t="str">
        <f>_xlfn.TEXTBEFORE(_xlfn.TEXTAFTER(CantoralDB[[#This Row],[index.html]],"&gt;"),"&gt;")&amp;"&gt;"</f>
        <v>&lt;a href="canciones/toño_casado/via_crucis_x_jesus_es_despojado.html"&gt;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2929</v>
      </c>
      <c r="C2150" s="1"/>
      <c r="H2150" s="1" t="s">
        <v>1029</v>
      </c>
      <c r="J2150" s="1" t="s">
        <v>607</v>
      </c>
      <c r="M2150" s="15" t="s">
        <v>481</v>
      </c>
      <c r="N2150" s="1" t="s">
        <v>2917</v>
      </c>
      <c r="O2150" s="15">
        <v>11</v>
      </c>
      <c r="P2150" s="15">
        <v>2022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150" s="1"/>
      <c r="U2150" s="1"/>
      <c r="V2150" s="32" t="s">
        <v>3705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150" s="15" t="str">
        <f>_xlfn.TEXTBEFORE(_xlfn.TEXTAFTER(CantoralDB[[#This Row],[index.html]],"&gt;"),"&gt;")&amp;"&gt;"</f>
        <v>&lt;a href="canciones/toño_casado/via_crucis_xi_jesus_es_clavado_en_la_cruz.html"&gt;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2930</v>
      </c>
      <c r="C2151" s="1"/>
      <c r="H2151" s="1" t="s">
        <v>530</v>
      </c>
      <c r="J2151" s="1" t="s">
        <v>607</v>
      </c>
      <c r="M2151" s="15" t="s">
        <v>481</v>
      </c>
      <c r="N2151" s="1" t="s">
        <v>2917</v>
      </c>
      <c r="O2151" s="15">
        <v>12</v>
      </c>
      <c r="P2151" s="15">
        <v>2022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151" s="1"/>
      <c r="U2151" s="1"/>
      <c r="V2151" s="32" t="s">
        <v>3706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151" s="15" t="str">
        <f>_xlfn.TEXTBEFORE(_xlfn.TEXTAFTER(CantoralDB[[#This Row],[index.html]],"&gt;"),"&gt;")&amp;"&gt;"</f>
        <v>&lt;a href="canciones/toño_casado/via_crucis_xii_jesus_muere_en_la_cruz.html"&gt;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2931</v>
      </c>
      <c r="C2152" s="1"/>
      <c r="H2152" s="1" t="s">
        <v>1026</v>
      </c>
      <c r="J2152" s="1" t="s">
        <v>607</v>
      </c>
      <c r="M2152" s="15" t="s">
        <v>481</v>
      </c>
      <c r="N2152" s="1" t="s">
        <v>2917</v>
      </c>
      <c r="O2152" s="15">
        <v>13</v>
      </c>
      <c r="P2152" s="15">
        <v>2022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152" s="1"/>
      <c r="U2152" s="1"/>
      <c r="V2152" s="32" t="s">
        <v>3707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152" s="15" t="str">
        <f>_xlfn.TEXTBEFORE(_xlfn.TEXTAFTER(CantoralDB[[#This Row],[index.html]],"&gt;"),"&gt;")&amp;"&gt;"</f>
        <v>&lt;a href="canciones/toño_casado/via_crucis_xiii_jesus_bajado_de_la_cruz.html"&gt;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2932</v>
      </c>
      <c r="C2153" s="1"/>
      <c r="H2153" s="1" t="s">
        <v>1028</v>
      </c>
      <c r="J2153" s="1" t="s">
        <v>607</v>
      </c>
      <c r="M2153" s="15" t="s">
        <v>481</v>
      </c>
      <c r="N2153" s="1" t="s">
        <v>2917</v>
      </c>
      <c r="O2153" s="15">
        <v>14</v>
      </c>
      <c r="P2153" s="15">
        <v>2022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153" s="1"/>
      <c r="U2153" s="1"/>
      <c r="V2153" s="32" t="s">
        <v>3708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153" s="15" t="str">
        <f>_xlfn.TEXTBEFORE(_xlfn.TEXTAFTER(CantoralDB[[#This Row],[index.html]],"&gt;"),"&gt;")&amp;"&gt;"</f>
        <v>&lt;a href="canciones/toño_casado/via_crucis_xiv_el_cuerpo_de_jesus.html"&gt;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2933</v>
      </c>
      <c r="C2154" s="1"/>
      <c r="H2154" s="1" t="s">
        <v>472</v>
      </c>
      <c r="J2154" s="1" t="s">
        <v>607</v>
      </c>
      <c r="M2154" s="15" t="s">
        <v>481</v>
      </c>
      <c r="N2154" s="1" t="s">
        <v>2917</v>
      </c>
      <c r="O2154" s="15">
        <v>15</v>
      </c>
      <c r="P2154" s="15">
        <v>2022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154" s="1"/>
      <c r="U2154" s="1"/>
      <c r="V2154" s="32" t="s">
        <v>3709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154" s="15" t="str">
        <f>_xlfn.TEXTBEFORE(_xlfn.TEXTAFTER(CantoralDB[[#This Row],[index.html]],"&gt;"),"&gt;")&amp;"&gt;"</f>
        <v>&lt;a href="canciones/toño_casado/via_crucis_xv_la_fuerza_de_la_cruz.html"&gt;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544</v>
      </c>
      <c r="C2155" s="1" t="s">
        <v>475</v>
      </c>
      <c r="D2155" s="1" t="s">
        <v>1369</v>
      </c>
      <c r="H2155" s="1" t="s">
        <v>472</v>
      </c>
      <c r="J2155" s="1" t="s">
        <v>607</v>
      </c>
      <c r="M2155" s="15" t="s">
        <v>2132</v>
      </c>
      <c r="O2155" s="15"/>
      <c r="P2155" s="15"/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155" s="1"/>
      <c r="U2155" s="1"/>
      <c r="V2155" s="15"/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155" s="15" t="str">
        <f>_xlfn.TEXTBEFORE(_xlfn.TEXTAFTER(CantoralDB[[#This Row],[index.html]],"&gt;"),"&gt;")&amp;"&gt;"</f>
        <v>&lt;a href="canciones/villancicos/alegria_alegria_alegria.html"&gt;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2178</v>
      </c>
      <c r="C2156" s="1"/>
      <c r="H2156" s="1" t="s">
        <v>530</v>
      </c>
      <c r="J2156" s="1" t="s">
        <v>607</v>
      </c>
      <c r="M2156" s="15" t="s">
        <v>2132</v>
      </c>
      <c r="O2156" s="15"/>
      <c r="P2156" s="15"/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156" s="1"/>
      <c r="U2156" s="1"/>
      <c r="V2156" s="15"/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156" s="15" t="str">
        <f>_xlfn.TEXTBEFORE(_xlfn.TEXTAFTER(CantoralDB[[#This Row],[index.html]],"&gt;"),"&gt;")&amp;"&gt;"</f>
        <v>&lt;a href="canciones/villancicos/arre_borriquito.html"&gt;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546</v>
      </c>
      <c r="C2157" s="1" t="s">
        <v>475</v>
      </c>
      <c r="D2157" s="1" t="s">
        <v>1387</v>
      </c>
      <c r="H2157" s="1" t="s">
        <v>1028</v>
      </c>
      <c r="J2157" s="1" t="s">
        <v>607</v>
      </c>
      <c r="M2157" s="15" t="s">
        <v>2132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157" s="1"/>
      <c r="U2157" s="1"/>
      <c r="V2157" s="15"/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157" s="15" t="str">
        <f>_xlfn.TEXTBEFORE(_xlfn.TEXTAFTER(CantoralDB[[#This Row],[index.html]],"&gt;"),"&gt;")&amp;"&gt;"</f>
        <v>&lt;a href="canciones/villancicos/ay_del_chiquirritin.html"&gt;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545</v>
      </c>
      <c r="C2158" s="1" t="s">
        <v>475</v>
      </c>
      <c r="D2158" s="1" t="s">
        <v>1393</v>
      </c>
      <c r="E2158" s="1">
        <v>40</v>
      </c>
      <c r="H2158" s="1" t="s">
        <v>530</v>
      </c>
      <c r="J2158" s="1" t="s">
        <v>607</v>
      </c>
      <c r="M2158" s="15" t="s">
        <v>2132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158" s="1"/>
      <c r="U2158" s="1"/>
      <c r="V2158" s="15"/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158" s="15" t="str">
        <f>_xlfn.TEXTBEFORE(_xlfn.TEXTAFTER(CantoralDB[[#This Row],[index.html]],"&gt;"),"&gt;")&amp;"&gt;"</f>
        <v>&lt;a href="canciones/villancicos/campana_sobre_campana.html"&gt;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1197</v>
      </c>
      <c r="C2159" s="1"/>
      <c r="E2159" s="1">
        <v>72</v>
      </c>
      <c r="H2159" s="1" t="s">
        <v>1029</v>
      </c>
      <c r="J2159" s="1" t="s">
        <v>607</v>
      </c>
      <c r="M2159" s="15" t="s">
        <v>2132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159" s="1"/>
      <c r="U2159" s="1"/>
      <c r="V2159" s="15"/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159" s="15" t="str">
        <f>_xlfn.TEXTBEFORE(_xlfn.TEXTAFTER(CantoralDB[[#This Row],[index.html]],"&gt;"),"&gt;")&amp;"&gt;"</f>
        <v>&lt;a href="canciones/villancicos/danos_paz.html"&gt;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547</v>
      </c>
      <c r="C2160" s="1" t="s">
        <v>475</v>
      </c>
      <c r="D2160" s="1" t="s">
        <v>1408</v>
      </c>
      <c r="E2160" s="1">
        <v>86</v>
      </c>
      <c r="H2160" s="1" t="s">
        <v>1029</v>
      </c>
      <c r="J2160" s="1" t="s">
        <v>607</v>
      </c>
      <c r="M2160" s="15" t="s">
        <v>2132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160" s="1"/>
      <c r="U2160" s="1"/>
      <c r="V2160" s="15"/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160" s="15" t="str">
        <f>_xlfn.TEXTBEFORE(_xlfn.TEXTAFTER(CantoralDB[[#This Row],[index.html]],"&gt;"),"&gt;")&amp;"&gt;"</f>
        <v>&lt;a href="canciones/villancicos/dime_niño.html"&gt;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55</v>
      </c>
      <c r="C2161" s="1" t="s">
        <v>475</v>
      </c>
      <c r="D2161" s="1" t="s">
        <v>1415</v>
      </c>
      <c r="E2161" s="1">
        <v>104</v>
      </c>
      <c r="G2161" s="1" t="s">
        <v>208</v>
      </c>
      <c r="H2161" s="1" t="s">
        <v>530</v>
      </c>
      <c r="J2161" s="1" t="s">
        <v>607</v>
      </c>
      <c r="M2161" s="15" t="s">
        <v>2132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161" s="1"/>
      <c r="U2161" s="1"/>
      <c r="V2161" s="15"/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161" s="15" t="str">
        <f>_xlfn.TEXTBEFORE(_xlfn.TEXTAFTER(CantoralDB[[#This Row],[index.html]],"&gt;"),"&gt;")&amp;"&gt;"</f>
        <v>&lt;a href="canciones/villancicos/el_tamborilero.html"&gt;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2179</v>
      </c>
      <c r="C2162" s="1"/>
      <c r="H2162" s="1" t="s">
        <v>1029</v>
      </c>
      <c r="J2162" s="1" t="s">
        <v>607</v>
      </c>
      <c r="M2162" s="15" t="s">
        <v>2132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162" s="1"/>
      <c r="U2162" s="1"/>
      <c r="V2162" s="15"/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162" s="15" t="str">
        <f>_xlfn.TEXTBEFORE(_xlfn.TEXTAFTER(CantoralDB[[#This Row],[index.html]],"&gt;"),"&gt;")&amp;"&gt;"</f>
        <v>&lt;a href="canciones/villancicos/hacia_belen_va_una_burra.html"&gt;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788</v>
      </c>
      <c r="C2163" s="1" t="s">
        <v>475</v>
      </c>
      <c r="D2163" s="1" t="s">
        <v>1058</v>
      </c>
      <c r="H2163" s="1" t="s">
        <v>1029</v>
      </c>
      <c r="J2163" s="1" t="s">
        <v>607</v>
      </c>
      <c r="M2163" s="15" t="s">
        <v>2132</v>
      </c>
      <c r="O2163" s="15"/>
      <c r="P2163" s="15"/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163" s="1"/>
      <c r="U2163" s="1"/>
      <c r="V2163" s="15"/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163" s="15" t="str">
        <f>_xlfn.TEXTBEFORE(_xlfn.TEXTAFTER(CantoralDB[[#This Row],[index.html]],"&gt;"),"&gt;")&amp;"&gt;"</f>
        <v>&lt;a href="canciones/villancicos/hoy_en_la_tierra.html"&gt;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2180</v>
      </c>
      <c r="C2164" s="1"/>
      <c r="H2164" s="1" t="s">
        <v>530</v>
      </c>
      <c r="J2164" s="1" t="s">
        <v>607</v>
      </c>
      <c r="M2164" s="15" t="s">
        <v>2132</v>
      </c>
      <c r="O2164" s="15"/>
      <c r="P2164" s="15"/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164" s="1"/>
      <c r="U2164" s="1"/>
      <c r="V2164" s="15"/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164" s="15" t="str">
        <f>_xlfn.TEXTBEFORE(_xlfn.TEXTAFTER(CantoralDB[[#This Row],[index.html]],"&gt;"),"&gt;")&amp;"&gt;"</f>
        <v>&lt;a href="canciones/villancicos/la_marimorena.html"&gt;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1655</v>
      </c>
      <c r="C2165" s="15"/>
      <c r="H2165" s="1" t="s">
        <v>530</v>
      </c>
      <c r="J2165" s="1" t="s">
        <v>607</v>
      </c>
      <c r="M2165" s="15" t="s">
        <v>2132</v>
      </c>
      <c r="O2165" s="15"/>
      <c r="P2165" s="15"/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165" s="1"/>
      <c r="U2165" s="1"/>
      <c r="V2165" s="15"/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165" s="15" t="str">
        <f>_xlfn.TEXTBEFORE(_xlfn.TEXTAFTER(CantoralDB[[#This Row],[index.html]],"&gt;"),"&gt;")&amp;"&gt;"</f>
        <v>&lt;a href="canciones/villancicos/la_mula.html"&gt;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2181</v>
      </c>
      <c r="C2166" s="1"/>
      <c r="H2166" s="1" t="s">
        <v>530</v>
      </c>
      <c r="J2166" s="1" t="s">
        <v>607</v>
      </c>
      <c r="M2166" s="15" t="s">
        <v>2132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166" s="1"/>
      <c r="U2166" s="1"/>
      <c r="V2166" s="15"/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166" s="15" t="str">
        <f>_xlfn.TEXTBEFORE(_xlfn.TEXTAFTER(CantoralDB[[#This Row],[index.html]],"&gt;"),"&gt;")&amp;"&gt;"</f>
        <v>&lt;a href="canciones/villancicos/los_peces_en_el_rio.html"&gt;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251</v>
      </c>
      <c r="C2167" s="1" t="s">
        <v>475</v>
      </c>
      <c r="D2167" s="1" t="s">
        <v>1060</v>
      </c>
      <c r="G2167" s="1" t="s">
        <v>247</v>
      </c>
      <c r="H2167" s="1" t="s">
        <v>1026</v>
      </c>
      <c r="J2167" s="1" t="s">
        <v>607</v>
      </c>
      <c r="M2167" s="15" t="s">
        <v>2132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167" s="1"/>
      <c r="U2167" s="1"/>
      <c r="V2167" s="15"/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167" s="15" t="str">
        <f>_xlfn.TEXTBEFORE(_xlfn.TEXTAFTER(CantoralDB[[#This Row],[index.html]],"&gt;"),"&gt;")&amp;"&gt;"</f>
        <v>&lt;a href="canciones/villancicos/nace_el_niño_en_un_portal.html"&gt;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1281</v>
      </c>
      <c r="C2168" s="1"/>
      <c r="E2168" s="1">
        <v>170</v>
      </c>
      <c r="H2168" s="1" t="s">
        <v>472</v>
      </c>
      <c r="J2168" s="1" t="s">
        <v>607</v>
      </c>
      <c r="M2168" s="15" t="s">
        <v>2132</v>
      </c>
      <c r="O2168" s="15"/>
      <c r="P2168" s="15"/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168" s="1"/>
      <c r="U2168" s="1"/>
      <c r="V2168" s="15"/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168" s="15" t="str">
        <f>_xlfn.TEXTBEFORE(_xlfn.TEXTAFTER(CantoralDB[[#This Row],[index.html]],"&gt;"),"&gt;")&amp;"&gt;"</f>
        <v>&lt;a href="canciones/villancicos/noche_de_dios.html"&gt;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789</v>
      </c>
      <c r="C2169" s="1" t="s">
        <v>475</v>
      </c>
      <c r="D2169" s="1" t="s">
        <v>1063</v>
      </c>
      <c r="H2169" s="1" t="s">
        <v>472</v>
      </c>
      <c r="J2169" s="1" t="s">
        <v>607</v>
      </c>
      <c r="M2169" s="15" t="s">
        <v>2132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169" s="1"/>
      <c r="U2169" s="1"/>
      <c r="V2169" s="15"/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169" s="15" t="str">
        <f>_xlfn.TEXTBEFORE(_xlfn.TEXTAFTER(CantoralDB[[#This Row],[index.html]],"&gt;"),"&gt;")&amp;"&gt;"</f>
        <v>&lt;a href="canciones/villancicos/noche_de_paz.html"&gt;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252</v>
      </c>
      <c r="C2170" s="1" t="s">
        <v>475</v>
      </c>
      <c r="D2170" s="1" t="s">
        <v>1064</v>
      </c>
      <c r="G2170" s="1" t="s">
        <v>247</v>
      </c>
      <c r="H2170" s="1" t="s">
        <v>1026</v>
      </c>
      <c r="J2170" s="1" t="s">
        <v>607</v>
      </c>
      <c r="M2170" s="15" t="s">
        <v>2132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170" s="1"/>
      <c r="U2170" s="1"/>
      <c r="V2170" s="15"/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170" s="15" t="str">
        <f>_xlfn.TEXTBEFORE(_xlfn.TEXTAFTER(CantoralDB[[#This Row],[index.html]],"&gt;"),"&gt;")&amp;"&gt;"</f>
        <v>&lt;a href="canciones/villancicos/nunca_suenan_las_campanas.html"&gt;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184</v>
      </c>
      <c r="C2171" s="1" t="s">
        <v>475</v>
      </c>
      <c r="D2171" s="1" t="s">
        <v>1065</v>
      </c>
      <c r="G2171" s="1" t="s">
        <v>208</v>
      </c>
      <c r="H2171" s="1" t="s">
        <v>1027</v>
      </c>
      <c r="J2171" s="1" t="s">
        <v>607</v>
      </c>
      <c r="M2171" s="15" t="s">
        <v>2132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171" s="1"/>
      <c r="U2171" s="1"/>
      <c r="V2171" s="15"/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171" s="15" t="str">
        <f>_xlfn.TEXTBEFORE(_xlfn.TEXTAFTER(CantoralDB[[#This Row],[index.html]],"&gt;"),"&gt;")&amp;"&gt;"</f>
        <v>&lt;a href="canciones/villancicos/pastores_venid.html"&gt;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1345</v>
      </c>
      <c r="C2172" s="1" t="s">
        <v>475</v>
      </c>
      <c r="D2172" s="1" t="s">
        <v>1066</v>
      </c>
      <c r="E2172" s="1" t="s">
        <v>2944</v>
      </c>
      <c r="H2172" s="1" t="s">
        <v>530</v>
      </c>
      <c r="J2172" s="1" t="s">
        <v>607</v>
      </c>
      <c r="M2172" s="15" t="s">
        <v>2132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172" s="1"/>
      <c r="U2172" s="1"/>
      <c r="V2172" s="15"/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172" s="15" t="str">
        <f>_xlfn.TEXTBEFORE(_xlfn.TEXTAFTER(CantoralDB[[#This Row],[index.html]],"&gt;"),"&gt;")&amp;"&gt;"</f>
        <v>&lt;a href="canciones/villancicos/venid_fieles_todos_(adeste_fideles).html"&gt;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189</v>
      </c>
      <c r="C2173" s="1" t="s">
        <v>475</v>
      </c>
      <c r="D2173" s="1" t="s">
        <v>1068</v>
      </c>
      <c r="G2173" s="1" t="s">
        <v>208</v>
      </c>
      <c r="H2173" s="1" t="s">
        <v>1027</v>
      </c>
      <c r="J2173" s="1" t="s">
        <v>607</v>
      </c>
      <c r="M2173" s="15" t="s">
        <v>2132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173" s="1"/>
      <c r="U2173" s="1"/>
      <c r="V2173" s="15"/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173" s="15" t="str">
        <f>_xlfn.TEXTBEFORE(_xlfn.TEXTAFTER(CantoralDB[[#This Row],[index.html]],"&gt;"),"&gt;")&amp;"&gt;"</f>
        <v>&lt;a href="canciones/villancicos/ya_vienen_los_reyes_magos.html"&gt;</v>
      </c>
      <c r="Y2173"/>
      <c r="AC2173" s="1"/>
    </row>
  </sheetData>
  <phoneticPr fontId="2" type="noConversion"/>
  <conditionalFormatting sqref="B2075:B1048576 B1:B2072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085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174:X1048576 W1:W2173">
    <cfRule type="duplicateValues" dxfId="4" priority="6"/>
  </conditionalFormatting>
  <dataValidations disablePrompts="1" count="1">
    <dataValidation type="list" allowBlank="1" showInputMessage="1" showErrorMessage="1" sqref="C2:C97 C99:C952" xr:uid="{750FF66E-F374-4C3D-8FF6-E9D1568A2116}">
      <formula1>INDIRECT("Categorías[Categorías]")</formula1>
    </dataValidation>
  </dataValidations>
  <hyperlinks>
    <hyperlink ref="V1438" r:id="rId1" xr:uid="{DA6D7995-44D6-4045-83D4-3266E2A25FB4}"/>
    <hyperlink ref="V164" r:id="rId2" xr:uid="{21BF8848-126E-4C25-B417-5F1669A04D1C}"/>
    <hyperlink ref="V169" r:id="rId3" xr:uid="{280AE6E9-4FA8-4531-B556-D3D175297CA7}"/>
    <hyperlink ref="V265" r:id="rId4" xr:uid="{5A062E01-09FE-4AEF-B1C3-B4BDE77D4678}"/>
    <hyperlink ref="V276" r:id="rId5" xr:uid="{91A3A74D-7832-469D-AA27-F069878C6FEC}"/>
    <hyperlink ref="V279" r:id="rId6" xr:uid="{8D344D56-50D6-477E-8BF6-2CFD53A472DA}"/>
    <hyperlink ref="V282" r:id="rId7" xr:uid="{C5A83AB8-9E1A-4535-A199-8BE73C0B5471}"/>
    <hyperlink ref="V284" r:id="rId8" xr:uid="{E9F3201B-715F-4098-8E6D-D392B197A5B3}"/>
    <hyperlink ref="V411" r:id="rId9" xr:uid="{490C640F-E680-4634-BB3E-AF7C0DAD88A5}"/>
    <hyperlink ref="V418" r:id="rId10" xr:uid="{F42495B3-88C6-47C8-B657-1B2B61D548EF}"/>
    <hyperlink ref="V542" r:id="rId11" xr:uid="{94DB8158-D535-4E5F-88E7-271FEE5769F3}"/>
    <hyperlink ref="V476" r:id="rId12" xr:uid="{5DD15421-192B-4611-B4D3-4D136D73D060}"/>
    <hyperlink ref="V541" r:id="rId13" xr:uid="{9C1345B1-458E-4731-A3A0-AD108D913833}"/>
    <hyperlink ref="V876" r:id="rId14" xr:uid="{BDC4F0B6-5619-4F46-8846-DB0DDEB477A2}"/>
    <hyperlink ref="V886" r:id="rId15" xr:uid="{94994174-E097-4F94-8378-57D9FD090C86}"/>
    <hyperlink ref="V891" r:id="rId16" xr:uid="{25EA3260-8E29-47E7-A954-519E86C6C57B}"/>
    <hyperlink ref="V892" r:id="rId17" xr:uid="{2343CBB7-11A5-459D-B24F-324111A058CD}"/>
    <hyperlink ref="V896" r:id="rId18" xr:uid="{FAEE7DBE-6192-4530-B3B9-A884E45CF445}"/>
    <hyperlink ref="V904" r:id="rId19" xr:uid="{9EEB61C2-29A9-44C0-ACC3-42D563D5D598}"/>
    <hyperlink ref="V1182" r:id="rId20" xr:uid="{079B832F-F3E7-4E4F-B070-B593E400FF2F}"/>
    <hyperlink ref="V1329" r:id="rId21" xr:uid="{2D173748-96C6-4F6A-BEE9-C674CD6EE77E}"/>
    <hyperlink ref="V1379" r:id="rId22" xr:uid="{B2CD2234-7C6A-4EF5-95C5-BAD0D6E698D3}"/>
    <hyperlink ref="V1263" r:id="rId23" xr:uid="{04A1525B-1EE5-4333-85EA-3BBDDC370940}"/>
    <hyperlink ref="V1372" r:id="rId24" xr:uid="{45561249-FC48-4E19-99EC-5B395F439E7A}"/>
    <hyperlink ref="V1419" r:id="rId25" xr:uid="{D2635188-B379-4BB5-9F10-1275A6DEA96A}"/>
    <hyperlink ref="V1420" r:id="rId26" xr:uid="{D32DD765-16D3-4FA8-97B7-1D3FA23D3793}"/>
    <hyperlink ref="V1382" r:id="rId27" xr:uid="{16E058A8-C23B-459F-A694-79F7E3F8F9AF}"/>
    <hyperlink ref="V1383" r:id="rId28" xr:uid="{CAD6B09B-7346-4426-B993-39B5BF870443}"/>
    <hyperlink ref="V1593" r:id="rId29" xr:uid="{EBCBDDB5-8CC4-4C1C-8DB2-55EC10F926DE}"/>
    <hyperlink ref="V1619" r:id="rId30" xr:uid="{449ADC59-BF0D-437B-A353-5DA2E313DAF4}"/>
    <hyperlink ref="V1622" r:id="rId31" xr:uid="{14D86472-D553-429A-9116-265BFA79E76B}"/>
    <hyperlink ref="V1728" r:id="rId32" xr:uid="{C25DA0ED-6E20-4FF1-A893-57EF7DB34D94}"/>
    <hyperlink ref="V1655" r:id="rId33" xr:uid="{F5E74ADF-BBA8-4F62-9A7E-054B5A8D4BBE}"/>
    <hyperlink ref="V1455" r:id="rId34" xr:uid="{D3A96B3B-6FAB-41D0-A6D7-F0A2AE0DBE37}"/>
    <hyperlink ref="V1720" r:id="rId35" xr:uid="{C2363F0D-7145-42BA-9539-D32E29FFBDC2}"/>
    <hyperlink ref="V1650" r:id="rId36" xr:uid="{DFE6E2EA-52EB-4198-B263-04CEE8A47BF0}"/>
    <hyperlink ref="V1676" r:id="rId37" xr:uid="{DFA6AFDA-BC2C-462D-983F-EE2812E1B83A}"/>
    <hyperlink ref="V1486" r:id="rId38" xr:uid="{9544858F-3135-4C71-98FD-6C5E15050CAB}"/>
    <hyperlink ref="V1493" r:id="rId39" xr:uid="{1F1A106B-BA63-49E7-A5E2-C73A96132505}"/>
    <hyperlink ref="V1612" r:id="rId40" xr:uid="{06D4042E-5004-4D79-A315-EDCFE6040E75}"/>
    <hyperlink ref="V1596" r:id="rId41" xr:uid="{B2475CB1-A176-4304-AB1A-2B9C73BDF901}"/>
    <hyperlink ref="V1639" r:id="rId42" xr:uid="{6509825F-6E87-42D0-A8F7-8ECE07F8ADF6}"/>
    <hyperlink ref="V1594" r:id="rId43" xr:uid="{3A203355-B934-4573-A591-BC5E56C5AC0E}"/>
    <hyperlink ref="V1773" r:id="rId44" xr:uid="{F7CCAC66-65A6-4E2A-ADE0-76D9D85C9270}"/>
    <hyperlink ref="V1319" r:id="rId45" xr:uid="{BA9E23ED-6124-4584-A61F-30294789B61D}"/>
    <hyperlink ref="V280" r:id="rId46" xr:uid="{3E857284-88EA-4A1D-B90D-0D74CE458F24}"/>
    <hyperlink ref="V1257" r:id="rId47" xr:uid="{6D7D7613-7CA5-4548-9B11-21345A21FA85}"/>
    <hyperlink ref="V493" r:id="rId48" xr:uid="{F8AAFEA3-FE70-4F13-9AD2-ADCAA544E7E1}"/>
    <hyperlink ref="V492" r:id="rId49" xr:uid="{127EED9D-017B-4731-97C6-FBFDE3D64EBE}"/>
    <hyperlink ref="V1510" r:id="rId50" xr:uid="{7EE925C8-BF51-4642-9C9A-43569222C443}"/>
    <hyperlink ref="V1693" r:id="rId51" xr:uid="{06F19AAA-16CE-4AD1-9279-1A4012B04BE5}"/>
    <hyperlink ref="V1669" r:id="rId52" xr:uid="{F71B81CD-F255-4D0B-A3A5-E9AF34D7345A}"/>
    <hyperlink ref="V196" r:id="rId53" xr:uid="{34B857EB-4A72-49A7-A260-2226856934E4}"/>
    <hyperlink ref="V1206" r:id="rId54" xr:uid="{0F80E320-9263-4279-914F-86433DA8B6C6}"/>
    <hyperlink ref="V1698" r:id="rId55" xr:uid="{A01A0643-EDF8-437E-B5EC-E193CB0A2571}"/>
    <hyperlink ref="V388" r:id="rId56" xr:uid="{5C208C0D-6486-412F-9142-4124B23EEBD6}"/>
    <hyperlink ref="V389" r:id="rId57" xr:uid="{5F234FF5-9DD4-45CF-8F7F-38CE23D18398}"/>
    <hyperlink ref="V1371" r:id="rId58" xr:uid="{9D253E0B-31F5-472D-B007-C42B726660A5}"/>
    <hyperlink ref="V390" r:id="rId59" xr:uid="{89FADE87-83C4-4FAF-A3D5-466027642EA2}"/>
    <hyperlink ref="V494" r:id="rId60" xr:uid="{75509568-26F3-4919-873C-35DEB89C81DD}"/>
    <hyperlink ref="V495" r:id="rId61" xr:uid="{07F73227-86AE-4153-9FA4-9EAB1EF745FD}"/>
    <hyperlink ref="V496" r:id="rId62" xr:uid="{28B0DE62-C062-4DD3-815F-F21AA0914C81}"/>
    <hyperlink ref="V497" r:id="rId63" xr:uid="{820A1108-CB56-44DE-88C2-8FBDA9BDB356}"/>
    <hyperlink ref="V498" r:id="rId64" xr:uid="{2FC53817-6FEF-41CB-9C41-BCA568804A75}"/>
    <hyperlink ref="V499" r:id="rId65" xr:uid="{FFA78936-0212-4B30-B872-8A70607A597B}"/>
    <hyperlink ref="V1585" r:id="rId66" xr:uid="{464B5E3D-AFE7-4668-8F91-385748A9C9C5}"/>
    <hyperlink ref="V500" r:id="rId67" xr:uid="{FACF9609-CC95-4E88-9336-5A02D7B67D46}"/>
    <hyperlink ref="V501" r:id="rId68" xr:uid="{D3EDF185-F132-4C92-B2E9-FEA90FCF4EF5}"/>
    <hyperlink ref="V1233" r:id="rId69" xr:uid="{23063EB3-0F73-4F63-9B59-DFA945F041B2}"/>
    <hyperlink ref="V1380" r:id="rId70" xr:uid="{2667F921-65BB-4F8D-ABD1-55B6B72669CB}"/>
    <hyperlink ref="V869" r:id="rId71" xr:uid="{5FFD04EF-BD61-44B8-9623-D93526B4E015}"/>
    <hyperlink ref="V1302" r:id="rId72" xr:uid="{972FEDEB-F03B-4663-8587-DB1B18014DC6}"/>
    <hyperlink ref="V1222" r:id="rId73" xr:uid="{5ABFD726-9ADA-4CE0-844C-2CBD282084DA}"/>
    <hyperlink ref="V906" r:id="rId74" xr:uid="{363AC7A2-9A8B-4497-8669-20CFE34EC20B}"/>
    <hyperlink ref="V538" r:id="rId75" xr:uid="{A5DF8460-4394-4773-AA6B-6A78C3585599}"/>
    <hyperlink ref="V540" r:id="rId76" xr:uid="{900FA351-1353-4D27-899B-256B41FAE0A7}"/>
    <hyperlink ref="V539" r:id="rId77" xr:uid="{13F379FC-DD95-4F2A-9B50-DBF9EC514A6A}"/>
    <hyperlink ref="V533" r:id="rId78" xr:uid="{555A969F-AAFC-4D98-9F05-FF3EC031A868}"/>
    <hyperlink ref="V534" r:id="rId79" xr:uid="{9ABAF122-FE8A-4F71-B3F8-B6EB3D709497}"/>
    <hyperlink ref="V535" r:id="rId80" xr:uid="{7E8797EB-83AC-4F51-AC03-9CD719F2D2FF}"/>
    <hyperlink ref="V536" r:id="rId81" xr:uid="{8853B987-5865-47A6-AB6A-DC11CAB49131}"/>
    <hyperlink ref="V537" r:id="rId82" xr:uid="{32D30A0E-4A6A-4992-9BD6-B1053C511579}"/>
    <hyperlink ref="V1189" r:id="rId83" xr:uid="{33A7A773-825F-4687-9636-F8844D483EDF}"/>
    <hyperlink ref="V512" r:id="rId84" xr:uid="{492470EF-E38F-4857-A92F-4735A876AEE3}"/>
    <hyperlink ref="V513" r:id="rId85" xr:uid="{9DDE8B2D-DB45-4642-B6A0-7977FB993A52}"/>
    <hyperlink ref="V514" r:id="rId86" xr:uid="{62894734-B80A-4025-81C4-E8CDB7C15BC0}"/>
    <hyperlink ref="V515" r:id="rId87" xr:uid="{6C5F4B1E-5A3A-418C-862F-844088FDCBE8}"/>
    <hyperlink ref="V516" r:id="rId88" xr:uid="{596FC8DF-220E-41CF-AB0D-95BDD5717581}"/>
    <hyperlink ref="V517" r:id="rId89" xr:uid="{E950A1FE-2FD3-48AA-A36E-BB9C2BC62209}"/>
    <hyperlink ref="V518" r:id="rId90" xr:uid="{6C954183-99F4-4107-AC29-36014DC928AF}"/>
    <hyperlink ref="V519" r:id="rId91" xr:uid="{804B83C3-909D-47AC-8945-92A3B36314B1}"/>
    <hyperlink ref="V520" r:id="rId92" xr:uid="{58D27C17-7A5B-4862-A52C-EE439CB5394C}"/>
    <hyperlink ref="V521" r:id="rId93" xr:uid="{1DEBB616-003E-482F-833A-2589F33465D5}"/>
    <hyperlink ref="V502" r:id="rId94" xr:uid="{7B27F535-2CB2-4CD8-AFD6-BE2021B37CCE}"/>
    <hyperlink ref="V503" r:id="rId95" xr:uid="{A14571E1-37CE-4248-ACA0-9CE0C77C34AE}"/>
    <hyperlink ref="V504" r:id="rId96" xr:uid="{CA4FF4B8-78A6-4DC8-9552-8A6059D5B512}"/>
    <hyperlink ref="V505" r:id="rId97" xr:uid="{4EA4BE77-A493-47B9-A0DC-23DDA3738ED7}"/>
    <hyperlink ref="V506" r:id="rId98" xr:uid="{C72C4860-A9F4-448D-890E-6C4FFA71F243}"/>
    <hyperlink ref="V507" r:id="rId99" xr:uid="{8BCC2AE4-F9C4-44C5-986B-0A34C0C657F3}"/>
    <hyperlink ref="V508" r:id="rId100" xr:uid="{59A05759-F700-47D3-A43E-2B22309C3110}"/>
    <hyperlink ref="V509" r:id="rId101" xr:uid="{78B9912C-9F3A-4CF1-8071-A491D2616C11}"/>
    <hyperlink ref="V510" r:id="rId102" xr:uid="{4DD8E84A-C2F3-477A-9610-C823E572C8AC}"/>
    <hyperlink ref="V511" r:id="rId103" xr:uid="{3B20846D-EC01-493D-9DD3-138F24148AF4}"/>
    <hyperlink ref="V849" r:id="rId104" xr:uid="{DB1CA5E6-42F8-4851-8059-0AB662E92A51}"/>
    <hyperlink ref="V851" r:id="rId105" xr:uid="{220B3648-52A6-4AC3-9075-64905D7145E5}"/>
    <hyperlink ref="V854" r:id="rId106" xr:uid="{3570CD5B-EF12-4518-908D-444E1690775D}"/>
    <hyperlink ref="V852" r:id="rId107" xr:uid="{1942F552-3CD5-43F0-964C-4FB3B1396EC7}"/>
    <hyperlink ref="V853" r:id="rId108" xr:uid="{CBEB0998-DF78-45D7-91ED-20EDA7279CD1}"/>
    <hyperlink ref="V855" r:id="rId109" xr:uid="{059CE517-4420-4B62-8FE3-73BF149C8E78}"/>
    <hyperlink ref="V856" r:id="rId110" xr:uid="{DDD69CED-B445-4185-8873-EA928424E13C}"/>
    <hyperlink ref="V857" r:id="rId111" xr:uid="{A6250805-408E-4AD0-9848-9EFAAFE1EA31}"/>
    <hyperlink ref="V870" r:id="rId112" xr:uid="{92785729-AFA5-4F18-9EA0-28BEEF15BCFF}"/>
    <hyperlink ref="V871" r:id="rId113" xr:uid="{8A71B694-F49F-4E48-AE46-34F1F325311D}"/>
    <hyperlink ref="V872" r:id="rId114" xr:uid="{BDB2C689-47C3-49F5-9084-DE1C43735A9F}"/>
    <hyperlink ref="V873" r:id="rId115" xr:uid="{A1AAC8D4-8A0A-4409-9D63-3FA16A6626C8}"/>
    <hyperlink ref="V874" r:id="rId116" xr:uid="{C0FA217E-20CF-411B-BA06-B6982B17720C}"/>
    <hyperlink ref="V875" r:id="rId117" xr:uid="{44B58DD6-60BA-447F-96DF-0CCF3A8418C6}"/>
    <hyperlink ref="V877" r:id="rId118" xr:uid="{20604009-49A1-45B8-A628-BC9F6079D96D}"/>
    <hyperlink ref="V878" r:id="rId119" xr:uid="{8FB94D31-5392-4ED8-BEFE-A7FDCABE3960}"/>
    <hyperlink ref="V1361" r:id="rId120" xr:uid="{A736E746-C3E0-472C-A399-3C6F28CEABEF}"/>
    <hyperlink ref="V1362" r:id="rId121" xr:uid="{C2618B96-ECDC-4F2F-9E23-4AEBC7F3E8D1}"/>
    <hyperlink ref="V1363" r:id="rId122" xr:uid="{336048F5-061F-4CCA-B289-D9A0A681EAE6}"/>
    <hyperlink ref="V1352" r:id="rId123" xr:uid="{B657B32C-2439-4446-A260-E5089BC5D7B7}"/>
    <hyperlink ref="V1353" r:id="rId124" xr:uid="{97F12C0A-6CFD-421B-92D8-1412E823486E}"/>
    <hyperlink ref="V1359" r:id="rId125" xr:uid="{4C5750C4-E0BD-4B9F-AEAD-E0BC9214F8ED}"/>
    <hyperlink ref="V690" r:id="rId126" xr:uid="{8E9A6707-B93F-4CFF-B3B3-60F7A7C9930A}"/>
    <hyperlink ref="V768" r:id="rId127" xr:uid="{BDF044D2-FBC3-49E7-9E18-EA061A9E864B}"/>
    <hyperlink ref="V742" r:id="rId128" xr:uid="{23A15D14-AE46-4E34-B001-CC688637FB97}"/>
    <hyperlink ref="V734" r:id="rId129" xr:uid="{40AA1D70-A3B9-41FD-8A12-4BCC3435C117}"/>
    <hyperlink ref="V225" r:id="rId130" xr:uid="{D881F592-FB56-4C23-85A2-C953D31BE5BA}"/>
    <hyperlink ref="V227" r:id="rId131" xr:uid="{2F7673D0-50EE-4F0C-8497-E2D5239FA113}"/>
    <hyperlink ref="V772" r:id="rId132" xr:uid="{EE56FFD6-B22E-4C19-8D92-4686F18E683E}"/>
    <hyperlink ref="V771" r:id="rId133" xr:uid="{C2755666-85A3-4D6D-8616-761BC0B6CE9F}"/>
    <hyperlink ref="V775" r:id="rId134" xr:uid="{38A79056-83A2-4078-B5F9-2DD915561446}"/>
    <hyperlink ref="V776" r:id="rId135" xr:uid="{4254D9C8-8F66-4648-A4C6-906121A92762}"/>
    <hyperlink ref="V785" r:id="rId136" xr:uid="{45552199-50BC-49F2-8A7E-D344E2821AC6}"/>
    <hyperlink ref="V787" r:id="rId137" xr:uid="{85DA44E8-8FC7-4F25-8A1B-20712D1517B0}"/>
    <hyperlink ref="V788" r:id="rId138" xr:uid="{A4170A61-9662-454B-8BB2-FB4E4843FE32}"/>
    <hyperlink ref="V789" r:id="rId139" xr:uid="{F2153D84-9823-423F-8CC0-13D7E1443243}"/>
    <hyperlink ref="V804" r:id="rId140" xr:uid="{C31537E7-7FA3-462D-80C2-8ECAA1F45486}"/>
    <hyperlink ref="V893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19" r:id="rId250" xr:uid="{532491CD-8CDA-4BC7-AFBF-AF9FF446CF9C}"/>
    <hyperlink ref="V420" r:id="rId251" xr:uid="{EFCFD03F-D4A8-449D-A4D9-6D3DF1FC8421}"/>
    <hyperlink ref="V421" r:id="rId252" xr:uid="{C71EDF78-6E39-4990-A80F-B8469129C0C9}"/>
    <hyperlink ref="V422" r:id="rId253" xr:uid="{925E7B04-442F-4AB9-9365-CAB56DD3CB06}"/>
    <hyperlink ref="V423" r:id="rId254" xr:uid="{4851EBA7-3F17-4861-95FA-538F3F2A70B4}"/>
    <hyperlink ref="V424" r:id="rId255" xr:uid="{B9B3D8F4-2556-4325-AC68-2995560DC57E}"/>
    <hyperlink ref="V425" r:id="rId256" xr:uid="{C4C09FF8-12F0-414E-92D9-50A3882E5650}"/>
    <hyperlink ref="V426" r:id="rId257" xr:uid="{17556313-2C04-4761-A9F0-C49AE6834B94}"/>
    <hyperlink ref="V427" r:id="rId258" xr:uid="{C0282CBE-BA9F-4F95-B751-4EB51ED13E92}"/>
    <hyperlink ref="V428" r:id="rId259" xr:uid="{9A172986-A598-441A-B88A-F150CDE85A59}"/>
    <hyperlink ref="V429" r:id="rId260" xr:uid="{FA20B21F-F934-450C-B498-4EAEAD7A6C6A}"/>
    <hyperlink ref="V464" r:id="rId261" xr:uid="{A9B12AF0-A9E1-41E8-9F1E-B5E4B88B78FF}"/>
    <hyperlink ref="V465" r:id="rId262" xr:uid="{74D4EA9C-7F5E-4D08-ABA3-BC4C8EDC4D39}"/>
    <hyperlink ref="V466" r:id="rId263" xr:uid="{6F25A3E7-C193-4AED-AA28-1E3D690A6824}"/>
    <hyperlink ref="V467" r:id="rId264" xr:uid="{F8857F0A-7818-4F4E-8BF9-52B50DD4D875}"/>
    <hyperlink ref="V468" r:id="rId265" xr:uid="{1A1EBCED-5D4A-4AF7-A4C0-F9A41EC23945}"/>
    <hyperlink ref="V469" r:id="rId266" xr:uid="{92FF67A1-BC98-4D57-9F11-6C43CD367BED}"/>
    <hyperlink ref="V470" r:id="rId267" xr:uid="{B319D587-D1E6-4B99-BE52-849C6F8B61F6}"/>
    <hyperlink ref="V471" r:id="rId268" xr:uid="{74DE9FF8-ABEF-48E4-8726-B9C749A8617D}"/>
    <hyperlink ref="V472" r:id="rId269" xr:uid="{6A09CE80-23BF-43C8-993C-DBB4F0722019}"/>
    <hyperlink ref="V473" r:id="rId270" xr:uid="{74FFBA3F-555C-4FE4-A743-D475608AD9FB}"/>
    <hyperlink ref="V474" r:id="rId271" xr:uid="{4E9C583C-D73B-45CE-A7D3-37B61C31687A}"/>
    <hyperlink ref="V475" r:id="rId272" xr:uid="{8DA1E54E-9E7D-4CB1-B583-70F511F2D150}"/>
    <hyperlink ref="V477" r:id="rId273" xr:uid="{341BC719-5236-4644-A21B-1713C0226FD6}"/>
    <hyperlink ref="V478" r:id="rId274" xr:uid="{2CC2C5AA-321A-41FE-9C55-BFA6B157D19E}"/>
    <hyperlink ref="V479" r:id="rId275" xr:uid="{2F72D0D1-B76A-4D01-B63F-EA6516E9FCCA}"/>
    <hyperlink ref="V480" r:id="rId276" xr:uid="{9D7C87FA-8E44-4660-99C2-BC4C6047683F}"/>
    <hyperlink ref="V481" r:id="rId277" xr:uid="{AFD537B7-A780-48FA-A54A-AA78BF8DBA2B}"/>
    <hyperlink ref="V482" r:id="rId278" xr:uid="{FEA7791A-4827-4DCB-8336-1656C09E36FD}"/>
    <hyperlink ref="V483" r:id="rId279" xr:uid="{18CF8C94-9020-42A7-B98E-993BEFCDBF46}"/>
    <hyperlink ref="V484" r:id="rId280" xr:uid="{90A0A106-AC1C-42BF-8FE1-6B6C306AAE9E}"/>
    <hyperlink ref="V485" r:id="rId281" xr:uid="{BDEDBB9C-2311-4BB9-BB1D-6E8AF6B54D15}"/>
    <hyperlink ref="V486" r:id="rId282" xr:uid="{0E7DCE23-82A3-4B5E-8802-D014A41F0C09}"/>
    <hyperlink ref="V487" r:id="rId283" xr:uid="{153EC89A-31D0-4551-9A61-6F0056B97006}"/>
    <hyperlink ref="V488" r:id="rId284" xr:uid="{4082489D-8792-49DC-B78B-F124C2F7450C}"/>
    <hyperlink ref="V489" r:id="rId285" xr:uid="{5A082664-BAB8-410E-8889-FC614B35742D}"/>
    <hyperlink ref="V490" r:id="rId286" xr:uid="{941FCDBC-2A05-4A7D-9644-5A1AB5C2B153}"/>
    <hyperlink ref="V491" r:id="rId287" xr:uid="{092D262F-8989-42DD-931E-B07841C297FD}"/>
    <hyperlink ref="V452" r:id="rId288" xr:uid="{C4B4FF6E-1BCE-4079-8513-0AACE43E2D64}"/>
    <hyperlink ref="V453" r:id="rId289" xr:uid="{8D282092-70DE-4D28-B0DD-6137E6EDDFC7}"/>
    <hyperlink ref="V454" r:id="rId290" xr:uid="{0B476515-ED4C-4CF9-8445-90C110C426BE}"/>
    <hyperlink ref="V455" r:id="rId291" xr:uid="{434E2E9A-7B1E-4611-BF3E-E4CEF2A14445}"/>
    <hyperlink ref="V456" r:id="rId292" xr:uid="{B3EB4EB6-C67C-4C9F-99F6-B24DA0AAD6C7}"/>
    <hyperlink ref="V457" r:id="rId293" xr:uid="{685428D2-D2A9-4F0B-BF2A-8EE406EE0290}"/>
    <hyperlink ref="V458" r:id="rId294" xr:uid="{12CCA1B7-0DE4-4967-8BAD-65F609B66021}"/>
    <hyperlink ref="V459" r:id="rId295" xr:uid="{DEEF4D09-2951-489C-9DF9-A1C182E53902}"/>
    <hyperlink ref="V460" r:id="rId296" xr:uid="{10004282-ED21-438E-B8C9-01BFF3222ED8}"/>
    <hyperlink ref="V461" r:id="rId297" xr:uid="{C8418340-D8CF-4011-9E1B-15D7978AB33F}"/>
    <hyperlink ref="V462" r:id="rId298" xr:uid="{C43FD684-C620-4D86-B4C9-54C7AB4E6610}"/>
    <hyperlink ref="V523" r:id="rId299" xr:uid="{8B8BDE55-442E-4BC8-BEE6-332684588B50}"/>
    <hyperlink ref="V524" r:id="rId300" xr:uid="{E172C5E1-51F7-4B6A-9A43-26B5958631A0}"/>
    <hyperlink ref="V525" r:id="rId301" xr:uid="{16E2A13C-C019-4FA9-9AFA-CA215971F3CC}"/>
    <hyperlink ref="V526" r:id="rId302" xr:uid="{50949CA0-892B-45B0-931E-4B30A18CBC50}"/>
    <hyperlink ref="V527" r:id="rId303" xr:uid="{A79628F2-0A29-4958-BA61-CADA3A1E2DF9}"/>
    <hyperlink ref="V528" r:id="rId304" xr:uid="{7D8FDB1F-AAAC-4EE5-AF07-F27E14ED6F5A}"/>
    <hyperlink ref="V529" r:id="rId305" xr:uid="{C08449B8-7D5A-4250-B066-79B61C128294}"/>
    <hyperlink ref="V530" r:id="rId306" xr:uid="{2B114AFE-DF39-4438-8C3E-A17BD3BF1677}"/>
    <hyperlink ref="V531" r:id="rId307" xr:uid="{F00EF2E9-8D39-40C9-A05A-C198FCD5E8A1}"/>
    <hyperlink ref="V532" r:id="rId308" xr:uid="{E700845D-DE43-47B4-90F2-AA900168D8C9}"/>
    <hyperlink ref="V850" r:id="rId309" xr:uid="{699ADF11-3091-45D1-A5B6-DDED0E2BF930}"/>
    <hyperlink ref="V2116" r:id="rId310" xr:uid="{B78EF065-E9E6-41AC-BC24-E36C2C8037AD}"/>
    <hyperlink ref="V2114" r:id="rId311" xr:uid="{56D0A7E3-3A38-4FB3-93E0-5E9E9E9DC375}"/>
    <hyperlink ref="V2118" r:id="rId312" xr:uid="{F38F28D8-519E-434F-8BAD-252AD3A0F6AF}"/>
    <hyperlink ref="V2111" r:id="rId313" xr:uid="{5DFA8692-3A9F-4FD5-B76B-23A4EACC7DCC}"/>
    <hyperlink ref="V2122" r:id="rId314" xr:uid="{89C2710E-7A1B-4F5C-9499-B2C8C2D826EE}"/>
    <hyperlink ref="V2112" r:id="rId315" xr:uid="{6988E2E4-4BAB-4817-9D7B-D946209B0A18}"/>
    <hyperlink ref="V2115" r:id="rId316" xr:uid="{C8EED193-2205-4058-AFC7-FE0F1DA869A6}"/>
    <hyperlink ref="V2113" r:id="rId317" xr:uid="{2A3656B8-25BF-4886-A8E2-7F94A6518E76}"/>
    <hyperlink ref="V2120" r:id="rId318" xr:uid="{50B637E6-88E5-4D74-9D1C-F47826E44714}"/>
    <hyperlink ref="V2121" r:id="rId319" xr:uid="{C7F5E234-6E3D-4A8F-9356-FF545F7C9296}"/>
    <hyperlink ref="V2119" r:id="rId320" xr:uid="{F95B9E81-8744-4951-AE3D-797BD0F5C308}"/>
    <hyperlink ref="V2117" r:id="rId321" xr:uid="{5794C5BB-5F48-4CB1-AACE-ECCF6B7C6CA9}"/>
    <hyperlink ref="V2123" r:id="rId322" xr:uid="{4795BAD8-9EF3-4C50-8979-1802F99FBF9D}"/>
    <hyperlink ref="V2124" r:id="rId323" xr:uid="{B4707A4F-ECA8-4E12-8B83-15831C9729CF}"/>
    <hyperlink ref="V2125" r:id="rId324" xr:uid="{564BDDF2-510F-4446-AB4C-C81FCFB6A843}"/>
    <hyperlink ref="V2126" r:id="rId325" xr:uid="{EF8D1853-7A44-4E2C-9F6A-F91620CA84D1}"/>
    <hyperlink ref="V2127" r:id="rId326" xr:uid="{3DD87F33-6F73-4F2C-A21D-C93036264886}"/>
    <hyperlink ref="V2128" r:id="rId327" xr:uid="{B7278CF2-AAAE-431B-86CF-A6692341BDA3}"/>
    <hyperlink ref="V2129" r:id="rId328" xr:uid="{106E0A52-C70E-4608-BD51-2E8D58BD9009}"/>
    <hyperlink ref="V2130" r:id="rId329" xr:uid="{F6D8F07B-04EA-4B5B-88E7-2C14D3929636}"/>
    <hyperlink ref="V2131" r:id="rId330" xr:uid="{8F024F5D-1476-4FDE-95EC-8893E99463CE}"/>
    <hyperlink ref="V2132" r:id="rId331" xr:uid="{B316361A-9F63-408A-9272-0281BE5A0F66}"/>
    <hyperlink ref="V2133" r:id="rId332" xr:uid="{CEF45F0F-0169-4288-ABEE-D212B1462B2D}"/>
    <hyperlink ref="V2134" r:id="rId333" xr:uid="{C04F1670-2CC1-4957-BA60-39291D7C3549}"/>
    <hyperlink ref="V2135" r:id="rId334" xr:uid="{1FFDC1A9-300A-4E5D-A44A-3C0F2A2FF942}"/>
    <hyperlink ref="V2136" r:id="rId335" xr:uid="{A016A3E5-FE52-49E7-AEE5-E7206C4F4EBD}"/>
    <hyperlink ref="V2137" r:id="rId336" xr:uid="{F498906E-ADDA-4287-B593-BC11BB524BBA}"/>
    <hyperlink ref="V2138" r:id="rId337" xr:uid="{B7A99649-9402-4B22-8788-FF33651EEEE3}"/>
    <hyperlink ref="V2139" r:id="rId338" xr:uid="{6DA963E5-889E-42EB-8FAC-8FBF06158BC7}"/>
    <hyperlink ref="V2140" r:id="rId339" xr:uid="{9BF844B8-DE32-430A-9778-720F457531E1}"/>
    <hyperlink ref="V2141" r:id="rId340" xr:uid="{DAF4879A-D19E-475F-B8E7-D1563503C683}"/>
    <hyperlink ref="V2142" r:id="rId341" xr:uid="{53055D8B-C87E-4390-9FBB-8B686F575E45}"/>
    <hyperlink ref="V2143" r:id="rId342" xr:uid="{0DBE78A8-F1F9-47DE-AE97-06C2AA5D24AF}"/>
    <hyperlink ref="V2144" r:id="rId343" xr:uid="{3444DA95-525A-428A-8839-F9A9747156C8}"/>
    <hyperlink ref="V2145" r:id="rId344" xr:uid="{149A751D-BEF2-4E67-9C49-04B812714AE0}"/>
    <hyperlink ref="V2146" r:id="rId345" xr:uid="{9525E3DC-D16B-4C2A-90F8-4436FB3AD62C}"/>
    <hyperlink ref="V2147" r:id="rId346" xr:uid="{136E7EA7-F25A-4F04-9C6B-DFE0E68D6456}"/>
    <hyperlink ref="V2148" r:id="rId347" xr:uid="{6AA5BABC-1138-4673-A9AB-B6488C487CE0}"/>
    <hyperlink ref="V2149" r:id="rId348" xr:uid="{3908EDA5-58D8-43D5-BFD3-ED5BDB50C290}"/>
    <hyperlink ref="V2150" r:id="rId349" xr:uid="{B822AAB8-086C-409C-B610-A057832030CC}"/>
    <hyperlink ref="V2151" r:id="rId350" xr:uid="{47DCC9FA-ED9D-4F12-AAE5-8781B43CE3D7}"/>
    <hyperlink ref="V2152" r:id="rId351" xr:uid="{3FCEE7FF-8616-4891-AC7B-9AF06C7387E8}"/>
    <hyperlink ref="V2153" r:id="rId352" xr:uid="{BBA76DD6-06CB-4AF1-8AF1-07CB0F3B66BB}"/>
    <hyperlink ref="V2154" r:id="rId353" xr:uid="{ADC53A1C-764C-4B4E-A23E-2DC569F91236}"/>
    <hyperlink ref="V910" r:id="rId354" xr:uid="{7C52547B-BBC0-4090-ABE9-D7A7C26660A8}"/>
    <hyperlink ref="V911" r:id="rId355" xr:uid="{EFEBA5EB-B6E0-482D-8AC5-6A3E15DC0816}"/>
    <hyperlink ref="V912" r:id="rId356" xr:uid="{1BE99056-D927-46F0-AE66-66B8C474DD0C}"/>
    <hyperlink ref="V913" r:id="rId357" xr:uid="{ECC14692-2300-49CE-B400-7A3C3533B9D1}"/>
    <hyperlink ref="V914" r:id="rId358" xr:uid="{5B1AA1E6-5710-43D2-8DB9-5F1BB5B54463}"/>
    <hyperlink ref="V915" r:id="rId359" xr:uid="{754FEA50-D9B1-4815-8EED-C052145E084E}"/>
    <hyperlink ref="V916" r:id="rId360" xr:uid="{49F7239D-D6EB-4EC8-A902-1F453F41A4B1}"/>
    <hyperlink ref="V917" r:id="rId361" xr:uid="{BD3D62F3-8B4E-4F43-AF78-6A94DE95ADFD}"/>
    <hyperlink ref="V918" r:id="rId362" xr:uid="{3F6BE81C-132A-4144-AA3E-E0014EE1C922}"/>
    <hyperlink ref="V919" r:id="rId363" xr:uid="{F8BA96B5-FE09-4E94-A963-B8A7F3559AAC}"/>
    <hyperlink ref="V920" r:id="rId364" xr:uid="{036A1521-E972-4B4F-994B-8DDC6F8C10A3}"/>
    <hyperlink ref="V921" r:id="rId365" xr:uid="{2E3D524E-F816-4B36-BE5B-1E42CDBBD076}"/>
    <hyperlink ref="V922" r:id="rId366" xr:uid="{7424C1AC-830B-40E6-A6F3-93CF2ADF67C8}"/>
    <hyperlink ref="V923" r:id="rId367" xr:uid="{255B5A58-D9DB-4FE7-A862-39422F3B8310}"/>
    <hyperlink ref="V924" r:id="rId368" xr:uid="{74AE49DB-C0EE-4808-A0A4-744993D7DB00}"/>
    <hyperlink ref="V925" r:id="rId369" xr:uid="{B2D615E8-C8B5-4949-88E9-DF265FF61132}"/>
    <hyperlink ref="V926" r:id="rId370" xr:uid="{9BE312CE-C1BB-44B5-AF62-1B353F57B980}"/>
    <hyperlink ref="V927" r:id="rId371" xr:uid="{14338634-57CE-4504-AE69-3BA3561BC55F}"/>
    <hyperlink ref="V928" r:id="rId372" xr:uid="{E681ADB2-109A-43E8-8A8A-27FF51821759}"/>
    <hyperlink ref="V929" r:id="rId373" xr:uid="{CF549389-F6FF-4332-A47A-AA904F4200C1}"/>
    <hyperlink ref="V930" r:id="rId374" xr:uid="{F85E2EBC-4F00-4181-AA35-79BB29D59A42}"/>
    <hyperlink ref="V931" r:id="rId375" xr:uid="{A91B0CB5-82D4-4DF2-AAA9-B689FC2000B2}"/>
    <hyperlink ref="V932" r:id="rId376" xr:uid="{D82F6F15-CA5C-4921-AB6E-503872CCA49F}"/>
    <hyperlink ref="V933" r:id="rId377" xr:uid="{60D27208-3E0D-49B2-8556-CD91456101B6}"/>
    <hyperlink ref="V934" r:id="rId378" xr:uid="{17BCDCA6-6C6B-4174-862A-1D95EC15EEC0}"/>
    <hyperlink ref="V935" r:id="rId379" xr:uid="{5FAE41E2-9F15-46E1-9099-C1A200AA2941}"/>
    <hyperlink ref="V936" r:id="rId380" xr:uid="{BA13D785-36AF-4498-B0C0-2B35C342E7E3}"/>
    <hyperlink ref="V937" r:id="rId381" xr:uid="{810EA0E8-C8EA-4D75-A0B8-C1EDC4F496FF}"/>
    <hyperlink ref="V938" r:id="rId382" xr:uid="{05EB10BC-CF65-475D-9F5F-F0D16785B8AE}"/>
    <hyperlink ref="V939" r:id="rId383" xr:uid="{4084A877-7BF4-4440-A0F5-217B8FE5EF92}"/>
    <hyperlink ref="V940" r:id="rId384" xr:uid="{8DF7E8D8-BFBE-4F1B-AA97-97EB63734AE2}"/>
    <hyperlink ref="V941" r:id="rId385" xr:uid="{8BA5A9C9-BE9A-4FE8-89A6-1BEF68CDC89D}"/>
    <hyperlink ref="V942" r:id="rId386" xr:uid="{028DEBFE-C8B4-4965-9D35-418365B81ECD}"/>
    <hyperlink ref="V943" r:id="rId387" xr:uid="{34B9E5D6-88F8-4FD6-8F83-33774F3CA9B0}"/>
    <hyperlink ref="V944" r:id="rId388" xr:uid="{C77A0FA8-7A8E-4E5C-8312-B3FA73952537}"/>
    <hyperlink ref="V945" r:id="rId389" xr:uid="{BD1F7EDF-ADD5-4DD6-BECE-2016F2E51E2F}"/>
    <hyperlink ref="V946" r:id="rId390" xr:uid="{2C89BFA0-6257-4D4D-B47D-0B31AD501133}"/>
    <hyperlink ref="V947" r:id="rId391" xr:uid="{FEE41889-4195-4C9C-A23F-4C1728AA7DB2}"/>
    <hyperlink ref="V948" r:id="rId392" xr:uid="{46C60578-E513-47AC-B1E9-5366BF698397}"/>
    <hyperlink ref="V949" r:id="rId393" xr:uid="{EBC3C626-CD4E-4551-ABE9-1D2CB16AFC7A}"/>
    <hyperlink ref="V950" r:id="rId394" xr:uid="{40E4B5B1-4289-4183-970F-713FE3ABE097}"/>
    <hyperlink ref="V951" r:id="rId395" xr:uid="{9CE83437-1B61-469D-A8A3-D7E6E65250F5}"/>
    <hyperlink ref="V952" r:id="rId396" xr:uid="{4F72FF36-DD5D-46D3-975C-EA5F54E65F4D}"/>
    <hyperlink ref="V953" r:id="rId397" xr:uid="{AC538E1D-D13F-43E5-B93D-C88B59077C3E}"/>
    <hyperlink ref="V954" r:id="rId398" xr:uid="{92E5599C-BE50-4948-8F25-938622647F9B}"/>
    <hyperlink ref="V955" r:id="rId399" xr:uid="{C05B1E87-1681-4C2F-BE7C-C8C0EDFFD3EF}"/>
    <hyperlink ref="V956" r:id="rId400" xr:uid="{C1CED728-CFCB-4470-B2E8-9EC9645634CF}"/>
    <hyperlink ref="V957" r:id="rId401" xr:uid="{73F28728-6095-48CC-B817-0E3FBB9E4B4C}"/>
    <hyperlink ref="V958" r:id="rId402" xr:uid="{E044B753-D5A1-4775-A197-9DE04251AF93}"/>
    <hyperlink ref="V959" r:id="rId403" xr:uid="{1C6A89E6-76D1-4196-B73A-59CEBEA4EB99}"/>
    <hyperlink ref="V960" r:id="rId404" xr:uid="{252A2089-6DD0-44E5-828E-DAF7A43A0B9A}"/>
    <hyperlink ref="V961" r:id="rId405" xr:uid="{5CB8CAC6-EFDE-4F64-9F47-9B513C9CDEC8}"/>
    <hyperlink ref="V962" r:id="rId406" xr:uid="{0328BB40-A7A0-498E-8505-F15E7A920F61}"/>
    <hyperlink ref="V963" r:id="rId407" xr:uid="{0C6B5DEE-DC45-4A97-AEA5-032D5079DC50}"/>
    <hyperlink ref="V964" r:id="rId408" xr:uid="{A5511225-CC32-4A43-AC3B-BAFD4A3E723C}"/>
    <hyperlink ref="V965" r:id="rId409" xr:uid="{8B96BBFE-D498-4E95-931C-865E94E55A75}"/>
    <hyperlink ref="V966" r:id="rId410" xr:uid="{7A1CFB71-41CA-4DBC-B7AC-BEB9FE50552C}"/>
    <hyperlink ref="V967" r:id="rId411" xr:uid="{687C10D5-6AB8-4BD7-BE5A-6E850BBCAB9E}"/>
    <hyperlink ref="V968" r:id="rId412" xr:uid="{41FF52AF-F983-478E-A2AC-B1EFDBC5FE22}"/>
    <hyperlink ref="V969" r:id="rId413" xr:uid="{C8DFC26A-E786-4D54-8BED-D0F2D9C4BD6B}"/>
    <hyperlink ref="V970" r:id="rId414" xr:uid="{717D1D9C-39CE-4945-B324-CC9CB0DDCDD5}"/>
    <hyperlink ref="V971" r:id="rId415" xr:uid="{E3244B5F-315F-411B-9D47-632FB7FCD5D2}"/>
    <hyperlink ref="V972" r:id="rId416" xr:uid="{9F11FB3B-9AA6-448A-8251-A2224A6845DE}"/>
    <hyperlink ref="V973" r:id="rId417" xr:uid="{298FDBF9-17D0-49F5-BFA7-87A15EA8AFAA}"/>
    <hyperlink ref="V974" r:id="rId418" xr:uid="{302A0DDE-6CF8-456C-917E-CB52666B2171}"/>
    <hyperlink ref="V975" r:id="rId419" xr:uid="{26254BBD-7D83-47DE-B270-265356363F63}"/>
    <hyperlink ref="V976" r:id="rId420" xr:uid="{CE9D971B-C4DE-4EC9-BC68-15D514F6E3C3}"/>
    <hyperlink ref="V977" r:id="rId421" xr:uid="{4E9DDAC8-FF27-4322-BA2B-5B1F6FC63061}"/>
    <hyperlink ref="V978" r:id="rId422" xr:uid="{F4084CF2-0474-41C0-A250-5952A08ABA5D}"/>
    <hyperlink ref="V979" r:id="rId423" xr:uid="{D94A2878-3F6C-417F-80EF-27242A8D1CA5}"/>
    <hyperlink ref="V980" r:id="rId424" xr:uid="{778057C0-2367-478C-A52A-418BFDA1FA74}"/>
    <hyperlink ref="V981" r:id="rId425" xr:uid="{2727EDD2-7A61-41F9-BAB7-88127C6874E0}"/>
    <hyperlink ref="V982" r:id="rId426" xr:uid="{D8D67392-A495-4D78-B114-D9B0EBEE920C}"/>
    <hyperlink ref="V983" r:id="rId427" xr:uid="{16690583-6F4A-4A72-BBE3-2B561C2C20A2}"/>
    <hyperlink ref="V984" r:id="rId428" xr:uid="{1095CA23-3F50-4D47-8128-F17B988B0229}"/>
    <hyperlink ref="V985" r:id="rId429" xr:uid="{EA09DDAA-9C5C-4042-89BF-C08A0116FF5D}"/>
    <hyperlink ref="V986" r:id="rId430" xr:uid="{64958BC5-7DAF-4900-969F-0F19EA7EBB6C}"/>
    <hyperlink ref="V988" r:id="rId431" xr:uid="{0FE222DB-0FA0-433B-9406-FC7D49AE31E1}"/>
    <hyperlink ref="V987" r:id="rId432" xr:uid="{11B64467-3E7C-484D-9D3E-F2B3D4717D7B}"/>
    <hyperlink ref="V990" r:id="rId433" xr:uid="{5120D001-C0DA-434E-911A-FC4A964D0D7C}"/>
    <hyperlink ref="V989" r:id="rId434" xr:uid="{BDB1D0CE-BEB0-43C0-8EC6-69B8EEF91096}"/>
    <hyperlink ref="V991" r:id="rId435" xr:uid="{B2176BD1-3E20-483C-B326-44DB3EDB285F}"/>
    <hyperlink ref="V992" r:id="rId436" xr:uid="{58902A7E-4F6D-4F19-8A1C-7937CD4DEF7C}"/>
    <hyperlink ref="V993" r:id="rId437" xr:uid="{70F7E2F0-0D3C-4C7F-A457-E6928564B0C7}"/>
    <hyperlink ref="V994" r:id="rId438" xr:uid="{2FDC8F9A-43BD-4BB7-A93B-0E82F0F554DA}"/>
    <hyperlink ref="V995" r:id="rId439" xr:uid="{F94FF0F7-DAEF-40F4-9341-600676925336}"/>
    <hyperlink ref="V996" r:id="rId440" xr:uid="{C39FF832-DA1F-4A71-B03E-A3D67B2544B4}"/>
    <hyperlink ref="V997" r:id="rId441" xr:uid="{1406ADE6-AAFC-4650-A8D4-B99B3FE38878}"/>
    <hyperlink ref="V998" r:id="rId442" xr:uid="{E70068ED-1BAA-4CCC-9933-DDD947BC7473}"/>
    <hyperlink ref="V999" r:id="rId443" xr:uid="{C79B817F-A160-4D48-8BC5-4E23FF1E9D30}"/>
    <hyperlink ref="V1000" r:id="rId444" xr:uid="{8403BE8B-8D4F-4D04-BDB2-489A2D5EAB3C}"/>
    <hyperlink ref="V1001" r:id="rId445" xr:uid="{1B360F89-FF5C-408B-8A46-1EB0C86B7155}"/>
    <hyperlink ref="V1002" r:id="rId446" xr:uid="{F4495CF7-714E-4025-82E8-5F82C16A82B5}"/>
    <hyperlink ref="V1003" r:id="rId447" xr:uid="{B0B607DC-DE89-4308-B925-8FF33A2B06C1}"/>
    <hyperlink ref="V1004" r:id="rId448" xr:uid="{D02590BA-DEAB-47DB-8561-05BD460B3E25}"/>
    <hyperlink ref="V1005" r:id="rId449" xr:uid="{3C40B812-F4FD-4BFA-A248-503B0563543E}"/>
    <hyperlink ref="V1006" r:id="rId450" xr:uid="{92738BD2-8D5F-4B82-8CC8-24AEED2CB662}"/>
    <hyperlink ref="V1007" r:id="rId451" xr:uid="{33D106DD-9CC9-4EAB-AE00-8C99FBC2E027}"/>
    <hyperlink ref="V1008" r:id="rId452" xr:uid="{5020676A-5BF1-4579-9E38-7EB94D70AFA9}"/>
    <hyperlink ref="V1009" r:id="rId453" xr:uid="{AAC01882-E770-4F23-935C-62A177BE4655}"/>
    <hyperlink ref="V1010" r:id="rId454" xr:uid="{52F5C55C-D999-4B6E-B4F3-9737DEA326B6}"/>
    <hyperlink ref="V1011" r:id="rId455" xr:uid="{EED98927-4110-488C-AA82-BF75005FF1AE}"/>
    <hyperlink ref="V1012" r:id="rId456" xr:uid="{C743CCDF-A940-4BB5-9F2D-B321030B57BB}"/>
    <hyperlink ref="V1013" r:id="rId457" xr:uid="{F785FA7A-9784-40FD-9C67-FB762E33C6AF}"/>
    <hyperlink ref="V1014" r:id="rId458" xr:uid="{1354D961-E2E8-4EC2-A3FD-B60B1F1D1AA4}"/>
    <hyperlink ref="V1015" r:id="rId459" xr:uid="{2BB78D31-F985-4F57-A789-B0C72CAFA82C}"/>
    <hyperlink ref="V1016" r:id="rId460" xr:uid="{7114014D-BCA3-47A6-A5EA-A697494D01E0}"/>
    <hyperlink ref="V1017" r:id="rId461" xr:uid="{91D6568C-98D7-43FE-A994-7C2B1FE5D2B5}"/>
    <hyperlink ref="V1018" r:id="rId462" xr:uid="{3821F2D5-74EF-461C-A6C8-5F2975E8637E}"/>
    <hyperlink ref="V1019" r:id="rId463" xr:uid="{5398A603-4562-434E-B98A-330637BB6910}"/>
    <hyperlink ref="V1020" r:id="rId464" xr:uid="{BEA6DB65-6C20-4ED2-9C6E-A0972936B1E4}"/>
    <hyperlink ref="V1021" r:id="rId465" xr:uid="{CD58B173-45CF-4150-BF0B-3D80EAF232F7}"/>
    <hyperlink ref="V1022" r:id="rId466" xr:uid="{5B8BDFE5-29B5-487E-96DA-6711C97BB057}"/>
    <hyperlink ref="V1023" r:id="rId467" xr:uid="{C56B0547-0724-4598-8343-0C4088D502E7}"/>
    <hyperlink ref="V1024" r:id="rId468" xr:uid="{41466065-AB06-4C33-8367-D9C6FDEEC990}"/>
    <hyperlink ref="V1025" r:id="rId469" xr:uid="{E7ECF72D-B8A6-41E8-88C9-DBA95BD442A0}"/>
    <hyperlink ref="V1026" r:id="rId470" xr:uid="{75A024D7-7BBB-4055-AEE1-23A039D55B34}"/>
    <hyperlink ref="V1027" r:id="rId471" xr:uid="{8DBB5AEB-347F-4D48-A493-2A9BF41C6141}"/>
    <hyperlink ref="V1028" r:id="rId472" xr:uid="{FC1193EE-92BA-41A6-B43B-BF9BC5C98A7B}"/>
    <hyperlink ref="V1029" r:id="rId473" xr:uid="{9A483674-6055-4C41-BDEA-CBFEDF0FD860}"/>
    <hyperlink ref="V1030" r:id="rId474" xr:uid="{97CD2DDA-AE82-4058-9A52-6FBC2BF3E1DA}"/>
    <hyperlink ref="V1031" r:id="rId475" xr:uid="{20F4BD17-0651-408C-BD21-94123E6C3AC5}"/>
    <hyperlink ref="V1032" r:id="rId476" xr:uid="{3980DB79-1E85-43B1-A283-DF14EBB8085F}"/>
    <hyperlink ref="V1033" r:id="rId477" xr:uid="{300688B2-DD4E-48BD-B119-E565D6464989}"/>
    <hyperlink ref="V1034" r:id="rId478" xr:uid="{3B6DBA2E-00C1-4358-BD34-0D4F693D34F0}"/>
    <hyperlink ref="V1035" r:id="rId479" xr:uid="{EC974772-7D45-4BFB-9103-CDC9B9C5F0A8}"/>
    <hyperlink ref="V1036" r:id="rId480" xr:uid="{79A45E0E-F64E-4B33-A7DE-FDC0F31FC019}"/>
    <hyperlink ref="V1037" r:id="rId481" xr:uid="{BAC36382-85BC-4FFE-87DF-67BF1B88E2E6}"/>
    <hyperlink ref="V1038" r:id="rId482" xr:uid="{1D81934E-7D63-4E07-8C85-0D00C4E04C43}"/>
    <hyperlink ref="V1039" r:id="rId483" xr:uid="{AC3452EC-3FC8-4742-A875-1613C82EFDBA}"/>
    <hyperlink ref="V1040" r:id="rId484" xr:uid="{4ED9A609-3874-4997-B55E-41214A18D22F}"/>
    <hyperlink ref="V1041" r:id="rId485" xr:uid="{76E3F9E5-A4BD-4D1D-BA91-611C863851FD}"/>
    <hyperlink ref="V1042" r:id="rId486" xr:uid="{656658FB-11E7-48EE-BE72-FA62DA772127}"/>
    <hyperlink ref="V1043" r:id="rId487" xr:uid="{20758C52-5935-4C02-A018-E5BD4681D2BC}"/>
    <hyperlink ref="V1044" r:id="rId488" xr:uid="{9F9D50AE-CD58-47CB-81A4-985A058BDB3B}"/>
    <hyperlink ref="V1045" r:id="rId489" xr:uid="{3AD9E735-9968-4A53-869C-BD72C1CD6A22}"/>
    <hyperlink ref="V1046" r:id="rId490" xr:uid="{78B5AA52-0DF3-4AED-839E-790C5F8456FE}"/>
    <hyperlink ref="V1047" r:id="rId491" xr:uid="{5D8A5F8C-FE7C-4AB8-A699-3285806647B8}"/>
    <hyperlink ref="V1048" r:id="rId492" xr:uid="{9DEA6789-6FEA-4002-8A0A-439BF3FD872F}"/>
    <hyperlink ref="V1049" r:id="rId493" xr:uid="{91C3482F-20E0-4E3F-BEBE-0910903A82A4}"/>
    <hyperlink ref="V1050" r:id="rId494" xr:uid="{D1AE1D6E-10B6-4EB4-9E3E-0E87D419445F}"/>
    <hyperlink ref="V1051" r:id="rId495" xr:uid="{056E4C18-63A1-46B9-B7DA-37883D7C89DD}"/>
    <hyperlink ref="V1052" r:id="rId496" xr:uid="{366572F1-649C-4FEC-928D-BE8A613D3713}"/>
    <hyperlink ref="V1053" r:id="rId497" xr:uid="{50B194A0-8775-46F8-87F3-17F0752AE106}"/>
    <hyperlink ref="V1054" r:id="rId498" xr:uid="{91F98E0B-2E55-4BDA-B210-13F66E891BF9}"/>
    <hyperlink ref="V1055" r:id="rId499" xr:uid="{73EEDF3D-A871-48C5-A7F5-556625C2DFB2}"/>
    <hyperlink ref="V1056" r:id="rId500" xr:uid="{4BD890F4-44D5-4377-B597-F2ED1F5AD5E8}"/>
    <hyperlink ref="V1057" r:id="rId501" xr:uid="{01839C34-9623-49A7-A9A8-DB7F78D34A88}"/>
    <hyperlink ref="V1058" r:id="rId502" xr:uid="{B2CED520-A5AD-4B3A-ABA0-527B4B181C0B}"/>
    <hyperlink ref="V1059" r:id="rId503" xr:uid="{657BCD72-2768-4D19-AAD1-BE873C91DC68}"/>
    <hyperlink ref="V1060" r:id="rId504" xr:uid="{A3F404DC-DA0F-48D4-A5AF-45A6974A5A87}"/>
    <hyperlink ref="V1061" r:id="rId505" xr:uid="{0E7E9C63-D933-48AC-BAC1-F313471F8470}"/>
    <hyperlink ref="V1062" r:id="rId506" xr:uid="{4B16972E-7069-40F7-B977-5D8864CE3C32}"/>
    <hyperlink ref="V1063" r:id="rId507" xr:uid="{993C5EBA-8065-45F0-AA30-9F3A9183265F}"/>
    <hyperlink ref="V1064" r:id="rId508" xr:uid="{080127A5-B573-48D6-BD76-576FAC7BCFAA}"/>
    <hyperlink ref="V1065" r:id="rId509" xr:uid="{C721313C-9A02-4534-9D94-8805C26F89E9}"/>
    <hyperlink ref="V1066" r:id="rId510" xr:uid="{0BC1DA81-5D01-4370-8A81-654F8ADFD1FE}"/>
    <hyperlink ref="V1067" r:id="rId511" xr:uid="{BD5731B8-8766-44AD-9B5E-5BE6172DA448}"/>
    <hyperlink ref="V1068" r:id="rId512" xr:uid="{9097CCB6-7410-49C5-B4F6-9DA8641697D5}"/>
    <hyperlink ref="V1069" r:id="rId513" xr:uid="{54F39A8D-CE0E-45B7-8094-EBD2C878E477}"/>
    <hyperlink ref="V1070" r:id="rId514" xr:uid="{599F0F60-D507-4F34-8810-F0A5CEBADDDC}"/>
    <hyperlink ref="V1071" r:id="rId515" xr:uid="{7028F181-BB4C-4BA3-86A3-9FBA0C074A08}"/>
    <hyperlink ref="V1072" r:id="rId516" xr:uid="{18B082CB-DB14-46B6-A37F-225A73E56944}"/>
    <hyperlink ref="V1073" r:id="rId517" xr:uid="{69AB4D5D-838C-4F0F-A6CB-CDB545285F07}"/>
    <hyperlink ref="V1074" r:id="rId518" xr:uid="{16052FE4-C95D-4FBB-B9BC-DB55CB231485}"/>
    <hyperlink ref="V1075" r:id="rId519" xr:uid="{67594140-B3CE-4B42-9EA1-25FB5C2A02E8}"/>
    <hyperlink ref="V1076" r:id="rId520" xr:uid="{94BBA238-C0B4-4E6D-9004-3AA61554510A}"/>
    <hyperlink ref="V1077" r:id="rId521" xr:uid="{D074507A-08AF-44F3-81A3-DDFD5CB92A8E}"/>
    <hyperlink ref="V1078" r:id="rId522" xr:uid="{7604260F-0436-4DD7-9EB8-9D9F54CDBDA9}"/>
    <hyperlink ref="V1079" r:id="rId523" xr:uid="{C94E50C3-89E1-4BA7-BA64-31EAF8C1DB65}"/>
    <hyperlink ref="V1080" r:id="rId524" xr:uid="{19F2A8E7-385A-4369-9A4E-871243AA4E32}"/>
    <hyperlink ref="V1081" r:id="rId525" xr:uid="{CADB745A-E6A0-44E1-9BF6-B3234414EBD4}"/>
    <hyperlink ref="V1082" r:id="rId526" xr:uid="{532ED6A1-EB25-4287-B017-E2F8A4729885}"/>
    <hyperlink ref="V1083" r:id="rId527" xr:uid="{6774ABA3-066D-4B91-AD84-55F2DD573595}"/>
    <hyperlink ref="V1084" r:id="rId528" xr:uid="{B25B6871-750D-4A6A-B729-8A88118D4513}"/>
    <hyperlink ref="V1085" r:id="rId529" xr:uid="{A890C554-1D9D-4284-92D4-299D037D098A}"/>
    <hyperlink ref="V1086" r:id="rId530" xr:uid="{3D478258-C10F-4F19-9846-7B86C123AF37}"/>
    <hyperlink ref="V1087" r:id="rId531" xr:uid="{674F1043-4A29-42E1-8634-B536F4B651CB}"/>
    <hyperlink ref="V1088" r:id="rId532" xr:uid="{84958DD2-8CAD-40F1-98A4-1B84CF581B01}"/>
    <hyperlink ref="V1089" r:id="rId533" xr:uid="{AE4F7440-62ED-4F93-AE22-A341C4EA55CD}"/>
    <hyperlink ref="V1090" r:id="rId534" xr:uid="{B844D84B-AED5-48CC-A7AA-BFEBBCC67417}"/>
    <hyperlink ref="V1091" r:id="rId535" xr:uid="{CEF9C635-D058-44EB-B12F-5E6D58B64792}"/>
    <hyperlink ref="V1092" r:id="rId536" xr:uid="{8BACCF20-40FD-47AA-8721-65B07BA0EF2C}"/>
    <hyperlink ref="V1093" r:id="rId537" xr:uid="{B483FC6A-5604-4594-A5E6-C61DCDD843A3}"/>
    <hyperlink ref="V1094" r:id="rId538" xr:uid="{8E1C975A-1ED4-4AA9-BD2D-428FCAD85B04}"/>
    <hyperlink ref="V1095" r:id="rId539" xr:uid="{682AF5EA-0875-4FA1-8E3C-A8AC075B2EFE}"/>
    <hyperlink ref="V1096" r:id="rId540" xr:uid="{F9FBEFAC-6F2E-40FC-B6A4-EB51947A2D79}"/>
    <hyperlink ref="V1097" r:id="rId541" xr:uid="{FFD70AAB-150A-4C69-935E-18ACCF1EC42D}"/>
    <hyperlink ref="V1098" r:id="rId542" xr:uid="{C92FF625-711F-4AED-9A36-84BB4A96A55A}"/>
    <hyperlink ref="V1099" r:id="rId543" xr:uid="{AEA54722-6EA9-4F76-870B-7CD409748A72}"/>
    <hyperlink ref="V1100" r:id="rId544" xr:uid="{201BB3E6-F820-44B6-93E0-3CFC56ECB320}"/>
    <hyperlink ref="V1101" r:id="rId545" xr:uid="{1CE66835-D59B-4EA0-BEDD-1F76D09EB09A}"/>
    <hyperlink ref="V1102" r:id="rId546" xr:uid="{6A2F72D6-4E1D-4931-953A-A9F8CD03AFDE}"/>
    <hyperlink ref="V1103" r:id="rId547" xr:uid="{7C2C6B13-CAD7-43D7-B3AD-285C9BF68A0C}"/>
    <hyperlink ref="V1104" r:id="rId548" xr:uid="{3B0C4A16-B8E7-4F7A-9FF2-59BA5FBCB71C}"/>
    <hyperlink ref="V1105" r:id="rId549" xr:uid="{6D5F8663-7E7A-4F1B-A445-A0FA4C077AF3}"/>
    <hyperlink ref="V1106" r:id="rId550" xr:uid="{463BF7BB-FCCD-4387-B8D7-9C250C89DE8B}"/>
    <hyperlink ref="V1107" r:id="rId551" xr:uid="{C15480B7-154C-4911-97EE-3002F15B777A}"/>
    <hyperlink ref="V1108" r:id="rId552" xr:uid="{29B24352-CE26-43F9-B22C-E2B6A7B5AED1}"/>
    <hyperlink ref="V1109" r:id="rId553" xr:uid="{2C7FBE1B-74F0-4D94-80FE-5AEFE6825041}"/>
    <hyperlink ref="V1110" r:id="rId554" xr:uid="{98DA212C-287E-4477-BEE5-67251D6E9E4F}"/>
    <hyperlink ref="V1111" r:id="rId555" xr:uid="{D850E1F9-8FBC-4CB2-8882-FBA05EFA3132}"/>
    <hyperlink ref="V1112" r:id="rId556" xr:uid="{0A5E3139-384E-4B95-85A1-2101FAEAE1A3}"/>
    <hyperlink ref="V1113" r:id="rId557" xr:uid="{DD3C0761-8203-4740-A53A-F49379827E43}"/>
    <hyperlink ref="V1114" r:id="rId558" xr:uid="{FF0E046D-9A82-4B38-BE91-274977890C7D}"/>
    <hyperlink ref="V1115" r:id="rId559" xr:uid="{D4A2D750-F88B-4B11-9831-A895FAB9D28C}"/>
    <hyperlink ref="V1116" r:id="rId560" xr:uid="{CE42DF49-0950-49FD-A07F-CCFD266E4C3C}"/>
    <hyperlink ref="V1117" r:id="rId561" xr:uid="{98DEF977-195A-45D2-8B04-6B45FCCB1971}"/>
    <hyperlink ref="V1118" r:id="rId562" xr:uid="{70ADA009-1B19-4260-A15B-0CA736BA145C}"/>
    <hyperlink ref="V1119" r:id="rId563" xr:uid="{9FA4AD60-A0D4-40ED-99FB-61EF193C1989}"/>
    <hyperlink ref="V1120" r:id="rId564" xr:uid="{2FB0EB5A-E767-41B5-87A8-8DE264A5EBE7}"/>
    <hyperlink ref="V1121" r:id="rId565" xr:uid="{C14D87A3-5B9F-44D1-8158-28E61ECC3F89}"/>
    <hyperlink ref="V1122" r:id="rId566" xr:uid="{80DB5738-2E3B-4DF8-ABB1-2277187A3D44}"/>
    <hyperlink ref="V1123" r:id="rId567" xr:uid="{DB13FA15-EDD6-4D70-B8E2-ED5DDF7F5EC4}"/>
    <hyperlink ref="V1124" r:id="rId568" xr:uid="{A0348381-8277-441E-9260-AF3DE2787934}"/>
    <hyperlink ref="V1125" r:id="rId569" xr:uid="{9B32BAE5-7D20-485C-9101-6D0C13EEEEB0}"/>
    <hyperlink ref="V1126" r:id="rId570" xr:uid="{5891CB40-35D8-45DE-969A-EE864F1BE33E}"/>
    <hyperlink ref="V1127" r:id="rId571" xr:uid="{FD5BFCE3-0915-4385-A86D-3FD59A82CF1C}"/>
    <hyperlink ref="V1128" r:id="rId572" xr:uid="{A7B1C97F-27F5-4149-A732-BFFAB8EA8C74}"/>
    <hyperlink ref="V1129" r:id="rId573" xr:uid="{653E96FA-6DE4-46B8-8B0E-D0735CBEA4B6}"/>
    <hyperlink ref="V1130" r:id="rId574" xr:uid="{8CE6F52D-1C71-4E21-984B-3911E1AAB9DD}"/>
    <hyperlink ref="V1131" r:id="rId575" xr:uid="{9354329E-FC74-423D-BFEF-C38A475C7160}"/>
    <hyperlink ref="V1132" r:id="rId576" xr:uid="{8250600B-5DCC-42B1-8845-B638AD89E017}"/>
    <hyperlink ref="V1133" r:id="rId577" xr:uid="{5F383C6E-9D3F-4473-A3ED-10EEB77F0721}"/>
    <hyperlink ref="V1134" r:id="rId578" xr:uid="{5DD1289D-C7D3-4C66-A8EF-712432C79A4D}"/>
    <hyperlink ref="V1135" r:id="rId579" xr:uid="{A22DA24A-FF1A-4FA2-AB12-F6FBFAE48004}"/>
    <hyperlink ref="V1136" r:id="rId580" xr:uid="{F501B52F-4730-4E5A-87C5-E5281CE8E992}"/>
    <hyperlink ref="V1137" r:id="rId581" xr:uid="{3359FCCF-A474-48D6-AF2E-82676EAF8C31}"/>
    <hyperlink ref="V1138" r:id="rId582" xr:uid="{D022C8CB-792E-45E2-A701-E576F4994ADC}"/>
    <hyperlink ref="V1139" r:id="rId583" xr:uid="{E922E072-7013-44BF-85B8-393899160BF7}"/>
    <hyperlink ref="V1140" r:id="rId584" xr:uid="{F25220D8-EBBC-4F13-80A6-89B52A239648}"/>
    <hyperlink ref="V1141" r:id="rId585" xr:uid="{3CA88A4A-72DD-4705-A82A-391208FAFFA4}"/>
    <hyperlink ref="V1142" r:id="rId586" xr:uid="{8A55B9FF-AA8F-4EDD-9FE3-0F2E09DA91C2}"/>
    <hyperlink ref="V1143" r:id="rId587" xr:uid="{6FD32EB7-24F9-469E-97F7-FF656F28E160}"/>
    <hyperlink ref="V1144" r:id="rId588" xr:uid="{3CEA5108-3C2A-4209-AD5B-5FFC71E3FEB2}"/>
    <hyperlink ref="V1145" r:id="rId589" xr:uid="{721DBFE2-B7BD-433B-9434-2C1A517E747D}"/>
    <hyperlink ref="V1150" r:id="rId590" xr:uid="{CE6241C6-EFC8-4BD5-984C-72721A570069}"/>
    <hyperlink ref="V1151" r:id="rId591" xr:uid="{E8FE5CB4-9EE3-44E6-9C95-7973803DF9C3}"/>
    <hyperlink ref="V1147:V1150" r:id="rId592" display="https://www.maristes.cat/sites/default/files/content/nodes/recurs/file/8806/4sientotullamadaelsenoreslaesperanzaelsenorestaaquicaminadacogemedios.mp3" xr:uid="{E85CC10B-6E66-4F50-9A7E-A25A7CF1D1FD}"/>
    <hyperlink ref="V1152" r:id="rId593" xr:uid="{245799D6-A14F-47E2-87A0-F6E5DDA3EE25}"/>
    <hyperlink ref="V1153" r:id="rId594" xr:uid="{4322BE48-EC69-4DDB-B446-1936473CE0D9}"/>
    <hyperlink ref="V1154" r:id="rId595" xr:uid="{79E3483E-2D9F-4437-99D4-2034D7D9D0DA}"/>
    <hyperlink ref="V1155" r:id="rId596" xr:uid="{171F8679-4843-45A2-AF7B-470780808566}"/>
    <hyperlink ref="V1156" r:id="rId597" xr:uid="{FD6995EE-3503-4CF2-AD90-5DEA685585A7}"/>
    <hyperlink ref="V1157" r:id="rId598" xr:uid="{ADC63184-2A1A-4841-A502-C24C847B8FED}"/>
    <hyperlink ref="V1158" r:id="rId599" xr:uid="{4A0EEFCC-19FE-4098-A458-37B305C317A5}"/>
    <hyperlink ref="V1159" r:id="rId600" xr:uid="{14326AD0-E360-4624-9830-06F85D87AA00}"/>
    <hyperlink ref="V1160" r:id="rId601" xr:uid="{A1D07FCF-03F9-4A09-AA0A-E451D730ED0A}"/>
    <hyperlink ref="V1161" r:id="rId602" xr:uid="{025018D7-CDD9-4C1C-BB8B-229F53CB260D}"/>
    <hyperlink ref="V1162" r:id="rId603" xr:uid="{1DF0BE99-A4D4-4FBB-98D5-5EE250DBD2D3}"/>
    <hyperlink ref="V1163" r:id="rId604" xr:uid="{C6D453A7-5CB4-413E-9F4E-DBF5417071EB}"/>
    <hyperlink ref="V1164" r:id="rId605" xr:uid="{58923B7F-B004-4C29-B704-FB293A733A2E}"/>
    <hyperlink ref="V1165" r:id="rId606" xr:uid="{41736C35-839D-4223-B992-6F3BBD1E60C5}"/>
    <hyperlink ref="V1166" r:id="rId607" xr:uid="{DD404352-54D9-4981-A5FB-5A8F92F6F044}"/>
    <hyperlink ref="V1167" r:id="rId608" xr:uid="{CFD6164B-1B28-4D72-AF7E-9FB90341A93F}"/>
    <hyperlink ref="V1168" r:id="rId609" xr:uid="{83A555F6-81B5-4960-AFD7-9BA9822D4ED6}"/>
    <hyperlink ref="V1169" r:id="rId610" xr:uid="{2E0A7496-B5A0-4BDA-BD66-0D564E1A76D9}"/>
    <hyperlink ref="V1170" r:id="rId611" xr:uid="{9F669E67-59A7-4022-BD6D-F1EB10B31BCE}"/>
    <hyperlink ref="V1171" r:id="rId612" xr:uid="{2AF0EB5F-B336-41BF-82C5-4A20AFE6EBD8}"/>
    <hyperlink ref="V1172" r:id="rId613" xr:uid="{BD2ECE37-B23F-4857-A677-91C9508CC53C}"/>
    <hyperlink ref="V1173" r:id="rId614" xr:uid="{4B077ED8-DF32-479F-A5E4-C716D3B84567}"/>
    <hyperlink ref="V1174" r:id="rId615" xr:uid="{56618B76-D045-4856-BED0-BB648840C82D}"/>
    <hyperlink ref="V1175" r:id="rId616" xr:uid="{A5F818BF-1C97-4E35-B05F-89705BF2D8C2}"/>
    <hyperlink ref="V1176" r:id="rId617" xr:uid="{EE254A78-47E6-42A6-8753-86E08076DD98}"/>
    <hyperlink ref="V1177" r:id="rId618" xr:uid="{45BBD2E8-D3B0-4604-A5B6-060848B8D63F}"/>
    <hyperlink ref="V1178" r:id="rId619" xr:uid="{AF8AD013-D70A-4A12-BAD4-03FFBB4FFEF3}"/>
    <hyperlink ref="V1179" r:id="rId620" xr:uid="{B8F8569E-6E6C-4A0B-A53B-D758BF9507AC}"/>
    <hyperlink ref="V1796" r:id="rId621" xr:uid="{30DB36A5-ADE1-41B7-80C1-18EA50302574}"/>
    <hyperlink ref="V1803" r:id="rId622" xr:uid="{B307E342-17DD-4341-8689-E69A456D5258}"/>
    <hyperlink ref="V1791" r:id="rId623" xr:uid="{444C0A52-B266-41F5-ACE2-6D42FFF81DF5}"/>
    <hyperlink ref="V1790" r:id="rId624" xr:uid="{5DD2F6D5-6D81-4F0A-9CC8-25199D2477F0}"/>
    <hyperlink ref="V1789" r:id="rId625" xr:uid="{6ECEC4E2-3EDA-43CA-B783-26B014C960F4}"/>
    <hyperlink ref="V1856" r:id="rId626" xr:uid="{C80B01DC-C622-4CDA-B10F-198CD32232F8}"/>
    <hyperlink ref="V1842" r:id="rId627" xr:uid="{36219483-9AE3-4D1A-9065-0D5D89487E35}"/>
    <hyperlink ref="V1841" r:id="rId628" xr:uid="{D3053E53-9D44-4724-89C8-B31353709020}"/>
    <hyperlink ref="V1854" r:id="rId629" xr:uid="{8239DD82-946E-4CAF-92A9-39259B02D753}"/>
    <hyperlink ref="V1848" r:id="rId630" xr:uid="{FB532555-9DB4-4D25-BD92-CEB113C85CAA}"/>
    <hyperlink ref="V1844" r:id="rId631" xr:uid="{A800D4CB-FFB0-429D-8DCA-72DFBC595B16}"/>
    <hyperlink ref="V1843" r:id="rId632" xr:uid="{678BCD47-0A40-41EF-B25C-67B36966FE9C}"/>
    <hyperlink ref="V1855" r:id="rId633" xr:uid="{4549DD52-4C66-461A-8533-A9C54FA84B06}"/>
    <hyperlink ref="V1851" r:id="rId634" xr:uid="{05E71E6A-7C8B-48B2-9F5D-D7921CDC886E}"/>
    <hyperlink ref="V1852" r:id="rId635" xr:uid="{A709683D-4963-4DD7-B174-F4AFE1124D33}"/>
    <hyperlink ref="V1849" r:id="rId636" xr:uid="{5904DE67-E61F-4AA8-A1CC-14E26E2A9FB2}"/>
    <hyperlink ref="V1814" r:id="rId637" xr:uid="{CA3D2D81-1D0E-4750-87AB-221DDCAA94E7}"/>
    <hyperlink ref="V1813" r:id="rId638" xr:uid="{3203DE61-A0A5-4FE3-9D82-86CF4AF8631D}"/>
    <hyperlink ref="V1812" r:id="rId639" xr:uid="{006ADFD0-3036-4769-AC74-18D14DACDB11}"/>
    <hyperlink ref="V1937" r:id="rId640" xr:uid="{E5821499-DB17-4BE5-AF35-B9B7C7B19AD1}"/>
    <hyperlink ref="V1938" r:id="rId641" xr:uid="{20FFFEEC-5CDE-41B3-A78A-1FC08419B7E9}"/>
    <hyperlink ref="V1939" r:id="rId642" xr:uid="{70B6EB89-CEA2-4AA2-85B9-E0EFA69BEB5F}"/>
    <hyperlink ref="V1940" r:id="rId643" xr:uid="{92EA2C1B-3F11-410B-B84B-567048422BF9}"/>
    <hyperlink ref="V1941" r:id="rId644" xr:uid="{3870E981-1CC6-474D-9969-E30BD99BF7B3}"/>
    <hyperlink ref="V1942" r:id="rId645" xr:uid="{33302667-53ED-40AD-B6A7-4004D63C9282}"/>
    <hyperlink ref="V1943" r:id="rId646" xr:uid="{71F16430-3EB7-496D-B978-2161C4C4DE30}"/>
    <hyperlink ref="V1944" r:id="rId647" xr:uid="{763B4310-D2BE-4607-BA54-3E5723471740}"/>
    <hyperlink ref="V1945" r:id="rId648" xr:uid="{1DFA5D02-B54C-49B8-8A7D-C16644A16210}"/>
    <hyperlink ref="V1946" r:id="rId649" xr:uid="{6B1B6C00-7BB3-4FCE-8C7A-429CC72F62DC}"/>
    <hyperlink ref="V1947" r:id="rId650" xr:uid="{396725C1-6BE0-4F42-837F-B7E04FD1FBB9}"/>
    <hyperlink ref="V1948" r:id="rId651" xr:uid="{F0CB54D9-10C2-4DCB-84CB-5D4B911D51EE}"/>
    <hyperlink ref="V1949" r:id="rId652" xr:uid="{84567282-4784-411C-ABC1-236C1633C2C5}"/>
    <hyperlink ref="V1950" r:id="rId653" xr:uid="{6E711F66-B55C-43FD-AB39-77B2D7E82B67}"/>
    <hyperlink ref="V1951" r:id="rId654" xr:uid="{D2259F19-02EF-45AD-A745-41319FED2805}"/>
    <hyperlink ref="V1952" r:id="rId655" xr:uid="{D561C5D1-39F5-4DAC-8603-2ACE55411361}"/>
    <hyperlink ref="V1953" r:id="rId656" xr:uid="{916DF2FD-9C6B-4A0E-B87F-18FD4E0C5382}"/>
    <hyperlink ref="V1954" r:id="rId657" xr:uid="{57764D3F-AA32-44F5-B2BF-E77C444881C3}"/>
    <hyperlink ref="V1955" r:id="rId658" xr:uid="{F78D0B09-0B07-4832-A46A-3498FC543D4B}"/>
    <hyperlink ref="V1956" r:id="rId659" xr:uid="{E924536F-BF05-4341-984B-3EEF548DA507}"/>
    <hyperlink ref="V1957" r:id="rId660" xr:uid="{2FA4857B-0A33-4478-92A4-4B540EC42A27}"/>
    <hyperlink ref="V1958" r:id="rId661" xr:uid="{3380F35F-5C80-4215-8AF4-D2B4337B4AEC}"/>
    <hyperlink ref="V1959" r:id="rId662" xr:uid="{80C8AA08-3527-4243-A6BC-C48577C36E98}"/>
    <hyperlink ref="V1960" r:id="rId663" xr:uid="{9D0C1E8E-6716-4675-B519-2D29B535CF9B}"/>
    <hyperlink ref="V1961" r:id="rId664" xr:uid="{F4A02E00-97FD-4B54-92E2-E5B5B6B9BABD}"/>
    <hyperlink ref="V1962" r:id="rId665" xr:uid="{139C43B7-5779-4536-B39A-B85F1A63866E}"/>
    <hyperlink ref="V1963" r:id="rId666" xr:uid="{876248F2-7783-4B43-A64C-BF865C8BCD27}"/>
    <hyperlink ref="V1964" r:id="rId667" xr:uid="{122A9B2D-ACC2-48BA-92C7-4F9B04DCF909}"/>
    <hyperlink ref="V1965" r:id="rId668" xr:uid="{608B9CA1-1462-4AFE-B537-3BFB912660D4}"/>
    <hyperlink ref="V1966" r:id="rId669" xr:uid="{E95AF84D-13D8-4416-9138-87A3B6B2EB68}"/>
    <hyperlink ref="V1967" r:id="rId670" xr:uid="{D0BCF13A-170F-46B1-BBC8-5C75F1ECFEBA}"/>
    <hyperlink ref="V1968" r:id="rId671" xr:uid="{5C1F336C-5612-4C42-AFF2-4748AFC7ECC3}"/>
    <hyperlink ref="V1969" r:id="rId672" xr:uid="{1315F84D-9AD5-4366-8075-2C304F9DFCE0}"/>
    <hyperlink ref="V1970" r:id="rId673" xr:uid="{507416E7-17FC-42AC-B308-280319F7740A}"/>
    <hyperlink ref="V1971" r:id="rId674" xr:uid="{F15A20FD-B82F-49B9-8F29-08F8972EB461}"/>
    <hyperlink ref="V1972" r:id="rId675" xr:uid="{A7C37783-5729-4B22-B881-4A2468217C2F}"/>
    <hyperlink ref="V1973" r:id="rId676" xr:uid="{223966AE-5576-4971-B043-6107CEF77480}"/>
    <hyperlink ref="V1974" r:id="rId677" xr:uid="{8A34862B-00EA-4BE5-9FAB-18E07A84063E}"/>
    <hyperlink ref="V1975" r:id="rId678" xr:uid="{4EA76472-0965-4C3F-8B28-EFC21ACE4DEA}"/>
    <hyperlink ref="V1976" r:id="rId679" xr:uid="{5B3F403D-52C1-4DA4-BA3E-C7F442C5E0F5}"/>
    <hyperlink ref="V1977" r:id="rId680" xr:uid="{8FD9D7AE-FF39-4DF5-AC8E-7AAA3EF466F4}"/>
    <hyperlink ref="V1978" r:id="rId681" xr:uid="{73432C41-4011-4CC1-9B8E-2E98D51B5343}"/>
    <hyperlink ref="V1979" r:id="rId682" xr:uid="{4A8CB8C3-9661-4C98-8B77-BF0D906A7A7A}"/>
    <hyperlink ref="V1980" r:id="rId683" xr:uid="{C314EB9C-1B48-4133-9864-7C5CA94C5C6F}"/>
    <hyperlink ref="V1981" r:id="rId684" xr:uid="{354D6655-E937-4829-A230-BF8AFFCB9EC2}"/>
    <hyperlink ref="V1982" r:id="rId685" xr:uid="{21732F54-6681-45AA-8E2E-4A9FF1D1C0A5}"/>
    <hyperlink ref="V1983" r:id="rId686" xr:uid="{23E34555-B4C1-41B8-9E86-95E4B4BA4373}"/>
    <hyperlink ref="V1984" r:id="rId687" xr:uid="{0E225523-4EBE-4074-983D-42866C89646A}"/>
    <hyperlink ref="V1985" r:id="rId688" xr:uid="{143FDCC2-B962-4322-81D9-12EDECD89E9A}"/>
    <hyperlink ref="V1986" r:id="rId689" xr:uid="{26ED39C7-7815-4B09-96F1-CCC4BFA27EC8}"/>
    <hyperlink ref="V1987" r:id="rId690" xr:uid="{BAB10FA8-EFB5-4A21-B74E-913BEC0DE219}"/>
    <hyperlink ref="V1988" r:id="rId691" xr:uid="{5722D9CD-2B34-4C07-A7BB-20CFB309F523}"/>
    <hyperlink ref="V1989" r:id="rId692" xr:uid="{D3148B0F-31E9-4794-B6D8-D566BCC9295A}"/>
    <hyperlink ref="V1990" r:id="rId693" xr:uid="{EC7E7DD5-5BB0-4767-A98A-F3A1BED14EA4}"/>
    <hyperlink ref="V1991" r:id="rId694" xr:uid="{5471F980-923F-4DE6-8B20-D63715D968E8}"/>
    <hyperlink ref="V1992" r:id="rId695" xr:uid="{132FD023-B080-4423-A733-E743ECC65A78}"/>
    <hyperlink ref="V1993" r:id="rId696" xr:uid="{C59D077C-F28E-4730-B968-886D7E5264E0}"/>
    <hyperlink ref="V1994" r:id="rId697" xr:uid="{446DC2AD-4601-40D9-A8CF-1E6ADA346F86}"/>
    <hyperlink ref="V1995" r:id="rId698" xr:uid="{4EAC2161-D6F7-44DE-92E0-61E4E4A7E34A}"/>
    <hyperlink ref="V1996" r:id="rId699" xr:uid="{0EA3A307-BC41-4A53-968E-115C0B3164CF}"/>
    <hyperlink ref="V1997" r:id="rId700" xr:uid="{7536B240-57F1-42F1-8E2F-9D547BACD8C5}"/>
    <hyperlink ref="V1998" r:id="rId701" xr:uid="{0BABF9B3-40F8-4C40-BB9F-491C2AB9663B}"/>
    <hyperlink ref="V1999" r:id="rId702" xr:uid="{440F8B1C-AF4F-460C-AD7E-2FE1AD9CB159}"/>
    <hyperlink ref="V2000" r:id="rId703" xr:uid="{71418A6A-D3A0-4F10-8771-C9F14651F6FA}"/>
    <hyperlink ref="V2001" r:id="rId704" xr:uid="{3B08BDB6-46BA-4D52-9AD9-8F224A34EC85}"/>
    <hyperlink ref="V2002" r:id="rId705" xr:uid="{BB069A32-0244-47A7-ACE5-B7C7983F73BD}"/>
    <hyperlink ref="V2003" r:id="rId706" xr:uid="{58CE543D-45F9-4B6A-ADA2-ED327CFB78C5}"/>
    <hyperlink ref="V2004" r:id="rId707" xr:uid="{A8D6F1B4-72A8-4B74-B579-128C93CB106F}"/>
    <hyperlink ref="V2005" r:id="rId708" xr:uid="{37F9D667-0628-4F98-99C7-DEB0D37ACEC4}"/>
    <hyperlink ref="V2006" r:id="rId709" xr:uid="{B3A60BD1-AD84-4A17-B490-1E6EA833518C}"/>
    <hyperlink ref="V2007" r:id="rId710" xr:uid="{CACC1BDC-5854-4BE4-98C7-4BEEF9CFE1C0}"/>
    <hyperlink ref="V2008" r:id="rId711" xr:uid="{D97B63E5-F781-48F6-AB33-40874C89AEA8}"/>
    <hyperlink ref="V2009" r:id="rId712" xr:uid="{E8746BF4-324B-4FE0-8EC2-21C846469579}"/>
    <hyperlink ref="V2010" r:id="rId713" xr:uid="{FB2C16A5-DB32-4B88-A924-C143C697D179}"/>
    <hyperlink ref="V2011" r:id="rId714" xr:uid="{D9E48503-3A69-4998-A49A-FE437F1AA1E5}"/>
    <hyperlink ref="V2012" r:id="rId715" xr:uid="{04F030EF-E3ED-492F-A999-C7D4F5CF1113}"/>
    <hyperlink ref="V2013" r:id="rId716" xr:uid="{567843DD-02A3-4A01-995A-4873BA767294}"/>
    <hyperlink ref="V2014" r:id="rId717" xr:uid="{F25DDAAC-7754-4D78-8EBA-9184F4BFF3E7}"/>
    <hyperlink ref="V2015" r:id="rId718" xr:uid="{325225CB-1CEF-461B-82DB-F6DCA1210952}"/>
    <hyperlink ref="V2016" r:id="rId719" xr:uid="{9032C7F1-E6B4-476B-9603-E33C88092411}"/>
    <hyperlink ref="V2017" r:id="rId720" xr:uid="{685D0B7B-B830-4189-839A-5CD5372DFCB4}"/>
    <hyperlink ref="V2018" r:id="rId721" xr:uid="{FD2649D5-DE22-41DE-B5FB-AFD4A95F4D4E}"/>
    <hyperlink ref="V2019" r:id="rId722" xr:uid="{98232EB4-5F6D-495F-A14E-65E2724869BD}"/>
    <hyperlink ref="V2020" r:id="rId723" xr:uid="{FD0AF2F0-382A-40AF-BDEC-E25D58B60D21}"/>
    <hyperlink ref="V2021" r:id="rId724" xr:uid="{B97A1CCD-0583-4980-A502-135802BFFCED}"/>
    <hyperlink ref="V2022" r:id="rId725" xr:uid="{EC383024-E90C-49A2-A003-4A4A8F1A3CAA}"/>
    <hyperlink ref="V2023" r:id="rId726" xr:uid="{D9DC95EA-E291-4D67-866A-5147B456E5D3}"/>
    <hyperlink ref="V2024" r:id="rId727" xr:uid="{10650BCB-3F8B-4A44-8BC9-C0FA33DB7E60}"/>
    <hyperlink ref="V2025" r:id="rId728" xr:uid="{94EF0E46-1F49-45DC-BAA6-9EABDFFE0101}"/>
    <hyperlink ref="V2026" r:id="rId729" xr:uid="{BB1520D1-882E-4073-B436-215BBAAEBD8C}"/>
    <hyperlink ref="V2027" r:id="rId730" xr:uid="{A168BC73-7ADD-47AD-9C9C-5CA7A0B7C1E6}"/>
    <hyperlink ref="V2028" r:id="rId731" xr:uid="{CAA78420-2F53-41D2-A8AB-365F60BFEAA7}"/>
    <hyperlink ref="V2029" r:id="rId732" xr:uid="{A5290396-C0AA-46F0-B197-40431E5042EC}"/>
    <hyperlink ref="V2030" r:id="rId733" xr:uid="{27C5465D-F4E6-41BD-8AC9-815F7B8BB0B7}"/>
    <hyperlink ref="V2031" r:id="rId734" xr:uid="{96557932-FAEC-4239-B14E-2627A5B5EF82}"/>
    <hyperlink ref="V2032" r:id="rId735" xr:uid="{83D2F954-20A3-4E87-A9B7-07FF23EACE59}"/>
    <hyperlink ref="V2033" r:id="rId736" xr:uid="{E02A1B31-DDA0-4924-ACBE-2946CE0324C6}"/>
    <hyperlink ref="V2034" r:id="rId737" xr:uid="{A40753B0-EB89-4693-B7D8-52CC743BBC9D}"/>
    <hyperlink ref="V2035" r:id="rId738" xr:uid="{F43B1679-E38A-4498-AA98-CB0E68BACCCA}"/>
    <hyperlink ref="V2036" r:id="rId739" xr:uid="{BFF6A4EE-8407-467A-8FF1-7F49EFFF8CC9}"/>
    <hyperlink ref="V2037" r:id="rId740" xr:uid="{FD706E8C-A195-438E-8584-D843B416EDB8}"/>
    <hyperlink ref="V2038" r:id="rId741" xr:uid="{6D9F2480-976D-4B17-B5FE-967F1008EEA8}"/>
    <hyperlink ref="V2039" r:id="rId742" xr:uid="{5C4370FD-A50E-4EA7-A415-75B7AD6B5323}"/>
    <hyperlink ref="V2040" r:id="rId743" xr:uid="{E7376C61-8297-4B24-9803-4CAEDCCC15C0}"/>
    <hyperlink ref="V2041" r:id="rId744" xr:uid="{5B9442A7-01C8-4316-8138-8F536DD709F7}"/>
    <hyperlink ref="V2042" r:id="rId745" xr:uid="{B7AEF782-0BCC-4D08-97DA-7A7F4F9647E6}"/>
    <hyperlink ref="V2043" r:id="rId746" xr:uid="{700703D0-CE5B-48C1-914E-060DAA970429}"/>
    <hyperlink ref="V2044" r:id="rId747" xr:uid="{99D07750-54FB-42EE-8C18-432A8D4C3F32}"/>
    <hyperlink ref="V2045" r:id="rId748" xr:uid="{495E8C50-8B8B-4686-A3C8-51CD5CF64B50}"/>
    <hyperlink ref="V2046" r:id="rId749" xr:uid="{AF921894-8614-413F-9903-B15B9BF26C38}"/>
    <hyperlink ref="V2047" r:id="rId750" xr:uid="{79D256B0-0ABD-4E72-BB54-595C8ED2C842}"/>
    <hyperlink ref="V2048" r:id="rId751" xr:uid="{2FF3C0B7-73D6-4CD8-A127-E37B80B0D435}"/>
    <hyperlink ref="V2049" r:id="rId752" xr:uid="{88A812F0-8863-4D9A-A1CB-F8FB8D0BCE72}"/>
    <hyperlink ref="V2050" r:id="rId753" xr:uid="{D2F06BFE-3B6F-41E6-8A4C-9755C2D45BA6}"/>
    <hyperlink ref="V2051" r:id="rId754" xr:uid="{BC3832C4-7C7B-44A4-9BC3-E17DE3BE5830}"/>
    <hyperlink ref="V2052" r:id="rId755" xr:uid="{7E09CCDB-7942-40EF-9FE4-8E8C62103C32}"/>
    <hyperlink ref="V2053" r:id="rId756" xr:uid="{8E2FAB1C-C42A-4453-AB1E-9053E46B888F}"/>
    <hyperlink ref="V2054" r:id="rId757" xr:uid="{79EF42D3-8722-4CC7-BBB9-546001A71294}"/>
    <hyperlink ref="V2055" r:id="rId758" xr:uid="{5F2A622D-5C9B-47E7-B178-45B64881BEB0}"/>
    <hyperlink ref="V2056" r:id="rId759" xr:uid="{DA4533E4-9764-4766-8202-B29CD46E800B}"/>
    <hyperlink ref="V2057" r:id="rId760" xr:uid="{76B7A4A0-703A-4967-8CD8-96CFF6CD324E}"/>
    <hyperlink ref="V2058" r:id="rId761" xr:uid="{B77A629E-1CB6-404B-8BAB-49B6EF6F0EAC}"/>
    <hyperlink ref="V2059" r:id="rId762" xr:uid="{3E6ED38A-48FB-4FAA-A0EB-9CA419FC1EEF}"/>
    <hyperlink ref="V2060" r:id="rId763" xr:uid="{886A494B-A3E9-4960-88D6-54EB7902BBA4}"/>
    <hyperlink ref="V2061" r:id="rId764" xr:uid="{9F77F6B4-099A-451F-920B-29E0950D29C9}"/>
    <hyperlink ref="V2062" r:id="rId765" xr:uid="{27B872F3-35D2-4D93-BC59-0EECBE7D44E3}"/>
    <hyperlink ref="V2063" r:id="rId766" xr:uid="{5B6AD654-D8B3-4634-9657-451EEBA3B4C4}"/>
    <hyperlink ref="V2064" r:id="rId767" xr:uid="{7864FF5A-688B-4313-9130-B5E0E77F61D4}"/>
    <hyperlink ref="V2065" r:id="rId768" xr:uid="{22F7E1B4-046A-4247-8774-777BB7F1D5BF}"/>
    <hyperlink ref="V2066" r:id="rId769" xr:uid="{EDBE6B55-F7FF-4BF4-B1E2-6BFC63542686}"/>
    <hyperlink ref="V2067" r:id="rId770" xr:uid="{B9CF0D73-59F4-4878-9003-70706981DC2E}"/>
    <hyperlink ref="V2068" r:id="rId771" xr:uid="{2ADC9DFF-FAA4-46DF-A49D-8482295868F0}"/>
    <hyperlink ref="V2069" r:id="rId772" xr:uid="{0F1B60AE-2963-4705-9650-CD00F2514F59}"/>
    <hyperlink ref="V2070" r:id="rId773" xr:uid="{776C681D-E7DF-4BB0-80CE-A3EADCC7B139}"/>
    <hyperlink ref="V2071" r:id="rId774" xr:uid="{6AC3545B-866D-4C5E-90D7-E9F61F45E653}"/>
    <hyperlink ref="V2072" r:id="rId775" xr:uid="{5CA517C7-012B-48C0-80CB-C61F254CC5C5}"/>
    <hyperlink ref="V2073" r:id="rId776" xr:uid="{DB7AD119-C15A-462A-B10D-ED2AD5086453}"/>
    <hyperlink ref="V2074" r:id="rId777" xr:uid="{E9E5098E-C29D-43CC-A8C4-C802647DA31B}"/>
    <hyperlink ref="V2075" r:id="rId778" xr:uid="{4A0EDD80-10B7-429D-BE9F-4897CE4AC972}"/>
    <hyperlink ref="V2076" r:id="rId779" xr:uid="{2C65525E-3616-4B08-9A66-7386546AA188}"/>
    <hyperlink ref="V2077" r:id="rId780" xr:uid="{CB1D029B-F109-44D9-9271-B1133C92D946}"/>
    <hyperlink ref="V2078" r:id="rId781" xr:uid="{3272A8EF-84A7-4D55-B89B-A984FD30E243}"/>
    <hyperlink ref="V2079" r:id="rId782" xr:uid="{6C5F7518-63BA-4006-957B-D501D7825CDB}"/>
    <hyperlink ref="V2080" r:id="rId783" xr:uid="{49E9F684-012D-4559-827B-D0B44F87C676}"/>
    <hyperlink ref="V2081" r:id="rId784" xr:uid="{850C5FE4-71BE-4502-8C50-AD983D08D39D}"/>
    <hyperlink ref="V2082" r:id="rId785" xr:uid="{386A331F-3322-400E-8FCA-0F82E00517D6}"/>
    <hyperlink ref="V2083" r:id="rId786" xr:uid="{6393C2C1-16D0-4565-B5DA-6A6151BBEA1B}"/>
    <hyperlink ref="V2084" r:id="rId787" xr:uid="{A2EF6D69-1009-4188-A2AB-A1A550652D2E}"/>
    <hyperlink ref="V2085" r:id="rId788" xr:uid="{CD2EA02E-127E-4CA9-8314-6576DC37A074}"/>
    <hyperlink ref="V2086" r:id="rId789" xr:uid="{15BC6B79-BABD-4F1D-ABE1-6F73840C5FC2}"/>
    <hyperlink ref="V2087" r:id="rId790" xr:uid="{7B5574DF-B79F-49A5-848D-1034D6C6A76A}"/>
    <hyperlink ref="V2088" r:id="rId791" xr:uid="{888670BF-4769-4C5B-BFB7-B02C3B64D20A}"/>
    <hyperlink ref="V2089" r:id="rId792" xr:uid="{CF39516A-E16B-4325-A556-F3A157F9819C}"/>
    <hyperlink ref="V2090" r:id="rId793" xr:uid="{CA7F3187-315C-441F-9A88-00F3BD6AB1E3}"/>
    <hyperlink ref="V2091" r:id="rId794" xr:uid="{B951C62F-B4D5-4883-A449-105C40C669CA}"/>
    <hyperlink ref="V2092" r:id="rId795" xr:uid="{AD3ABC71-6157-4FA1-874D-06F2DF57FF17}"/>
    <hyperlink ref="V2093" r:id="rId796" xr:uid="{552479C3-70B8-4A2D-8E34-127B737FAC0A}"/>
    <hyperlink ref="V2094" r:id="rId797" xr:uid="{78986405-589E-413E-A21F-90DAA1028BFC}"/>
    <hyperlink ref="V2095" r:id="rId798" xr:uid="{3F6589BA-7CCC-4300-8914-9EB4234C76F1}"/>
    <hyperlink ref="V2096" r:id="rId799" xr:uid="{7ABE003F-62BC-44FE-9E33-36BC5D26D09D}"/>
    <hyperlink ref="V2097" r:id="rId800" xr:uid="{8481821A-9AA9-4836-A907-1CE13BC59526}"/>
    <hyperlink ref="V2098" r:id="rId801" xr:uid="{ADD89ADF-AB8A-4CC8-8441-0EF16FC17A8C}"/>
    <hyperlink ref="V2099" r:id="rId802" xr:uid="{0149AAF0-C327-4739-8DB8-D544B4D56C62}"/>
    <hyperlink ref="V2100" r:id="rId803" xr:uid="{B35B55A0-6FE0-4E06-B53F-C811B8142C03}"/>
    <hyperlink ref="V2101" r:id="rId804" xr:uid="{93513300-B2A6-4E76-8172-EDC203D53E13}"/>
    <hyperlink ref="V2102" r:id="rId805" xr:uid="{C25FEAB1-DC59-4AEB-B7E2-90BDC7624F71}"/>
    <hyperlink ref="V2103" r:id="rId806" xr:uid="{F0034CF3-8E17-4A26-A65C-53BF607ED7EA}"/>
    <hyperlink ref="V2104" r:id="rId807" xr:uid="{277C0C9D-19CB-41F6-9C7C-4AE70F0AD6E8}"/>
    <hyperlink ref="V2105" r:id="rId808" xr:uid="{8CB3D681-9EC3-47F4-8608-BF1A3111E4DA}"/>
    <hyperlink ref="V2106" r:id="rId809" xr:uid="{298D827D-50F8-411B-89D5-96B8D3A740B3}"/>
    <hyperlink ref="V2107" r:id="rId810" xr:uid="{02D847C3-8274-489E-B42C-FC9EF73EE7B6}"/>
    <hyperlink ref="V2108" r:id="rId811" xr:uid="{46C91C24-9CA0-4EEB-BE30-FFD4BD6F6FF8}"/>
    <hyperlink ref="V2109" r:id="rId812" xr:uid="{BE489BE0-581E-457E-88C1-9455B3793E4F}"/>
    <hyperlink ref="V2110" r:id="rId813" xr:uid="{B3E7D97E-4349-4DE5-B36E-BD6B1490CAC1}"/>
    <hyperlink ref="V1863" r:id="rId814" xr:uid="{0B6E3658-B905-4D7D-AFF8-D4ED80B423C1}"/>
    <hyperlink ref="V430" r:id="rId815" xr:uid="{6641FBF0-DE48-417F-BD89-ADA754975109}"/>
    <hyperlink ref="V431" r:id="rId816" xr:uid="{12243F9A-C2C6-4BEC-B87A-523C09FCCBEE}"/>
    <hyperlink ref="V432" r:id="rId817" xr:uid="{C133D276-191B-4334-B1DA-6AEC0C9758AC}"/>
    <hyperlink ref="V433" r:id="rId818" xr:uid="{5758C7A3-6562-4B01-996F-1926BB836B8E}"/>
    <hyperlink ref="V434" r:id="rId819" xr:uid="{745081E0-F47D-4BE2-B2A7-50B490248345}"/>
    <hyperlink ref="V435" r:id="rId820" xr:uid="{429F64F7-AA78-492C-B514-E3E1B0A559E1}"/>
    <hyperlink ref="V436" r:id="rId821" xr:uid="{2EBA88EE-D98E-48BA-8A42-E66BE5E6E4AD}"/>
    <hyperlink ref="V437" r:id="rId822" xr:uid="{F60A3081-A30A-4A46-B4AC-845C6D9C68A6}"/>
    <hyperlink ref="V438" r:id="rId823" xr:uid="{121E117D-AF0B-4173-BC96-95A236B7CF3E}"/>
    <hyperlink ref="V439" r:id="rId824" xr:uid="{8BF023F3-DE70-4E8F-8403-4814817CAB5F}"/>
    <hyperlink ref="V440" r:id="rId825" xr:uid="{86802FDB-F913-4107-903F-FB1F84D1D9C7}"/>
    <hyperlink ref="V441" r:id="rId826" xr:uid="{19A5EE07-47D2-448D-8D5C-938543C25149}"/>
    <hyperlink ref="V548" r:id="rId827" xr:uid="{011308BA-0E1F-48CE-B515-90F6032E0446}"/>
    <hyperlink ref="V549" r:id="rId828" xr:uid="{6250A098-F91A-4D07-990B-B569AC161F67}"/>
    <hyperlink ref="V550" r:id="rId829" xr:uid="{6424553E-19A9-4ADA-956E-0112FE6B6745}"/>
    <hyperlink ref="V551" r:id="rId830" xr:uid="{6167B7F5-5087-45A3-88C4-56678434518A}"/>
    <hyperlink ref="V552" r:id="rId831" xr:uid="{F4616DF7-4A60-4572-A0C5-CD9209585660}"/>
    <hyperlink ref="V553" r:id="rId832" xr:uid="{3F2A8902-935F-494A-A13A-5BF19D37A86B}"/>
    <hyperlink ref="V554" r:id="rId833" xr:uid="{70C6C1E2-DBD8-401C-80D1-25EB33D6759C}"/>
    <hyperlink ref="V555" r:id="rId834" xr:uid="{2C64AAFB-3AA0-4BBD-8C4F-D9C71F3FE7E1}"/>
    <hyperlink ref="V556" r:id="rId835" xr:uid="{7A7E7326-343E-4377-A851-C9BCA13AABEC}"/>
    <hyperlink ref="V557" r:id="rId836" xr:uid="{F4AD215A-16E2-49FD-B330-8655789A0590}"/>
    <hyperlink ref="V558" r:id="rId837" xr:uid="{CB133F5E-AC7A-451E-95FD-B95173979483}"/>
    <hyperlink ref="V559" r:id="rId838" xr:uid="{144358AB-1319-4123-A17B-77A89066710F}"/>
    <hyperlink ref="V560" r:id="rId839" xr:uid="{EB37B87C-7A8E-4DC9-A0C1-77DCBA339D93}"/>
    <hyperlink ref="V561" r:id="rId840" xr:uid="{4B13DA3B-172B-4D1A-9EB2-9F99F05BE667}"/>
    <hyperlink ref="V562" r:id="rId841" xr:uid="{EE2595F4-921E-4336-AE0E-6FA3AD40A81D}"/>
    <hyperlink ref="V563" r:id="rId842" xr:uid="{4000A1BE-632D-45EF-9556-492CDEB640C5}"/>
    <hyperlink ref="V564" r:id="rId843" xr:uid="{048F6C0C-E7F8-476C-AB34-70189DC51C2E}"/>
    <hyperlink ref="V565" r:id="rId844" xr:uid="{FF40B6E1-E426-4DFF-A646-EDAFA9BE512F}"/>
    <hyperlink ref="V566" r:id="rId845" xr:uid="{5C9067CE-A94C-4105-9D6C-2341E5A3113A}"/>
    <hyperlink ref="V567" r:id="rId846" xr:uid="{C09F1D4F-830C-41BF-8711-61DB55226146}"/>
    <hyperlink ref="V575" r:id="rId847" xr:uid="{F3316D42-05B5-4140-883E-45607EFFE5F6}"/>
    <hyperlink ref="V570" r:id="rId848" xr:uid="{1BAAECF9-B62C-440A-9B97-7985C9509882}"/>
    <hyperlink ref="V576" r:id="rId849" xr:uid="{D0751C1C-A39E-4769-9003-FBEFBACAA1BE}"/>
    <hyperlink ref="V568" r:id="rId850" xr:uid="{BFAF52A6-4881-4C42-A39D-EEBDF41AD68D}"/>
    <hyperlink ref="V573" r:id="rId851" xr:uid="{1E1BDCBE-5EB2-4197-ABF4-3E732FDD1664}"/>
    <hyperlink ref="V574" r:id="rId852" xr:uid="{60BBFAD3-8FB4-48B7-9D4E-8E27A1680621}"/>
    <hyperlink ref="V569" r:id="rId853" xr:uid="{440E0BC3-3E17-49DC-9633-DD1A31F6A4FA}"/>
    <hyperlink ref="V577" r:id="rId854" xr:uid="{22DB5213-69E9-48FE-B617-B7CA664078D5}"/>
    <hyperlink ref="V578" r:id="rId855" xr:uid="{7E72E25C-D7FA-4EA6-9A44-AAFA4012E82A}"/>
    <hyperlink ref="V572" r:id="rId856" xr:uid="{3BEEAAA7-0B2B-4C95-83C9-01B97444B324}"/>
    <hyperlink ref="V571" r:id="rId857" xr:uid="{5803E638-912D-4F98-9290-841153996840}"/>
    <hyperlink ref="V585" r:id="rId858" xr:uid="{4940DB29-4C7F-4DD8-9B28-04F9774CFED1}"/>
    <hyperlink ref="V588" r:id="rId859" xr:uid="{253025CE-5B7C-45BA-8D8C-9B0D38FDB4D0}"/>
    <hyperlink ref="V584" r:id="rId860" xr:uid="{4395983A-1BB9-4648-BFD2-9783BECBE48E}"/>
    <hyperlink ref="V580" r:id="rId861" xr:uid="{82DC9A7D-451E-4E39-86F9-DDE9CB8C6BAB}"/>
    <hyperlink ref="V583" r:id="rId862" xr:uid="{8E35539D-E28B-44BB-B942-299B4F2FF4C4}"/>
    <hyperlink ref="V581" r:id="rId863" xr:uid="{70A9A085-869F-4BE1-A847-A44027399F6D}"/>
    <hyperlink ref="V579" r:id="rId864" xr:uid="{1C309152-770E-4A3E-BA0D-2DA5D0A6DC27}"/>
    <hyperlink ref="V589" r:id="rId865" xr:uid="{3AF782A5-8F2E-46DD-9BB0-89D686CA53D1}"/>
    <hyperlink ref="V586" r:id="rId866" xr:uid="{13886018-5151-4583-969B-26AFA2B0E9CB}"/>
    <hyperlink ref="V587" r:id="rId867" xr:uid="{2A24D7D8-AA69-4CB2-A516-EB4F58FFA240}"/>
    <hyperlink ref="V582" r:id="rId868" xr:uid="{034287A2-F473-42FC-BFF9-839CF18A322F}"/>
    <hyperlink ref="V590" r:id="rId869" xr:uid="{3FFF6F91-B89A-45CD-8957-441B98BFB405}"/>
    <hyperlink ref="V591" r:id="rId870" xr:uid="{32DE1E30-DDC4-4549-99D7-921445089C72}"/>
    <hyperlink ref="V592" r:id="rId871" xr:uid="{2C10394A-636B-43A0-B14B-6B34DCFB7A57}"/>
    <hyperlink ref="V593" r:id="rId872" xr:uid="{66DC9AEA-DB90-415C-8B34-8735071087E3}"/>
    <hyperlink ref="V594" r:id="rId873" xr:uid="{DE07C4A8-0D4C-47C9-9581-A98D81985F05}"/>
    <hyperlink ref="V595" r:id="rId874" xr:uid="{CB3E8A0D-21CB-472C-B573-B3A8616B3E42}"/>
    <hyperlink ref="V596" r:id="rId875" xr:uid="{1C40DA77-6D15-4108-8447-B4FB9A932FF9}"/>
    <hyperlink ref="V597" r:id="rId876" xr:uid="{82F14CDA-1749-4D86-B89D-34DD990D5FC1}"/>
    <hyperlink ref="V598" r:id="rId877" xr:uid="{1C197F23-2E8B-491C-ABC9-CA94F239CDFD}"/>
    <hyperlink ref="V599" r:id="rId878" xr:uid="{7F348158-5A66-462A-9534-6EE32D797D66}"/>
    <hyperlink ref="V600" r:id="rId879" xr:uid="{AA39844A-6C15-490D-BDCF-AF6EA82C9CEB}"/>
    <hyperlink ref="V601" r:id="rId880" xr:uid="{CFC4ADB4-7273-4648-B5C0-E5E295B3A61D}"/>
    <hyperlink ref="V602" r:id="rId881" xr:uid="{E4AC8DD5-85CA-4216-AC18-29B2CB7C2735}"/>
    <hyperlink ref="V603" r:id="rId882" xr:uid="{6DF845A9-1624-4F00-BD3A-0DC4DE0E81D2}"/>
    <hyperlink ref="V604" r:id="rId883" xr:uid="{9E2843B8-BDDB-4901-8CCE-5DBF1DD67CF3}"/>
    <hyperlink ref="V605" r:id="rId884" xr:uid="{E9C0D330-A99C-44EF-84B9-154D9B7F1019}"/>
    <hyperlink ref="V606" r:id="rId885" xr:uid="{310F278F-E39E-4A33-97EB-7E68B5F303D7}"/>
    <hyperlink ref="V607" r:id="rId886" xr:uid="{DAF8FD54-49E8-44AB-96CD-9D0FE0DD468B}"/>
    <hyperlink ref="V608" r:id="rId887" xr:uid="{38824320-52F7-45D8-81B8-D42CE1BAFEE3}"/>
    <hyperlink ref="V609" r:id="rId888" xr:uid="{5C8FC5B9-FD4C-41E1-A485-B0B4C72CBA4A}"/>
    <hyperlink ref="V610" r:id="rId889" xr:uid="{8DC9282D-5B68-4959-A2BD-52D3368F17F8}"/>
    <hyperlink ref="V611" r:id="rId890" xr:uid="{EA4370BD-8881-49A4-8E50-BCFDE7B4E291}"/>
    <hyperlink ref="V612" r:id="rId891" xr:uid="{EAF63BA7-3741-4532-BC1D-653474076573}"/>
    <hyperlink ref="V613" r:id="rId892" xr:uid="{4CD8231E-7B0A-4F98-8AD4-9D6190697BD5}"/>
    <hyperlink ref="V614" r:id="rId893" xr:uid="{383FE596-950B-43CE-92A4-B2E173C1C713}"/>
    <hyperlink ref="V615" r:id="rId894" xr:uid="{8FEA21C3-45B0-4E5A-BF55-4BC6D33E2C72}"/>
    <hyperlink ref="V616" r:id="rId895" xr:uid="{DD4B4131-3831-475B-B8FC-069B9025F947}"/>
    <hyperlink ref="V617" r:id="rId896" xr:uid="{D23CFE23-65CF-4DEB-80C8-06A2DB0A4660}"/>
    <hyperlink ref="V618" r:id="rId897" xr:uid="{0A2E556E-FE11-4B86-93AD-5C064910F14A}"/>
    <hyperlink ref="V619" r:id="rId898" xr:uid="{887FEB75-B50A-40EB-9590-864567A86FB4}"/>
    <hyperlink ref="V620" r:id="rId899" xr:uid="{9E8BFDF6-A577-4D37-A230-E5AE3275875A}"/>
    <hyperlink ref="V621" r:id="rId900" xr:uid="{63CF5F1F-0282-4292-9356-511161849951}"/>
    <hyperlink ref="V622" r:id="rId901" xr:uid="{DFE2090E-A52C-47DA-B58E-C98ED59E3901}"/>
    <hyperlink ref="V623" r:id="rId902" xr:uid="{7E9B4126-92B7-44F9-A856-9CDE782F4069}"/>
    <hyperlink ref="V624" r:id="rId903" xr:uid="{DC9BCB5D-FD95-46DC-AF41-CBA1FAB3F3B7}"/>
    <hyperlink ref="V625" r:id="rId904" xr:uid="{61CFDD98-00EA-4ED1-B5EE-EF50DE2ECE72}"/>
    <hyperlink ref="V626" r:id="rId905" xr:uid="{F627E6EB-8C1F-4045-AD58-BB9EA75AEB8A}"/>
    <hyperlink ref="V627" r:id="rId906" xr:uid="{9BCACF86-4119-483F-AE0E-94175C63EC90}"/>
    <hyperlink ref="V628" r:id="rId907" xr:uid="{63504AA0-D5B9-4999-A12A-A609B622BC6C}"/>
    <hyperlink ref="V629" r:id="rId908" xr:uid="{80251F18-3399-4F36-8EAC-1427C25DFE47}"/>
    <hyperlink ref="V630" r:id="rId909" xr:uid="{594E836E-54B3-424C-BC8B-6AE8BD111A9E}"/>
    <hyperlink ref="V631" r:id="rId910" xr:uid="{D34A8B74-7807-4F64-9870-F2A51592C21E}"/>
    <hyperlink ref="V632" r:id="rId911" xr:uid="{B638E483-8EA0-463A-B49E-B7F0E6FE2768}"/>
    <hyperlink ref="V633" r:id="rId912" xr:uid="{DBC5C138-7975-46E2-8E18-324BD21C6AAC}"/>
    <hyperlink ref="V634" r:id="rId913" xr:uid="{01F3639E-EBE7-4206-9B4B-16BDC980B316}"/>
    <hyperlink ref="V635" r:id="rId914" xr:uid="{4F62A486-73A0-4AC1-88F4-1DC01818E917}"/>
    <hyperlink ref="V636" r:id="rId915" xr:uid="{BC1D8425-99AC-4823-852B-9DF42D0AC7E2}"/>
    <hyperlink ref="V637" r:id="rId916" xr:uid="{F287C399-BF70-464A-AD4A-8C665604D713}"/>
    <hyperlink ref="V638" r:id="rId917" xr:uid="{14839C1D-9FDA-4551-9AEC-5B875F956AB4}"/>
    <hyperlink ref="V639" r:id="rId918" xr:uid="{0261D0B9-4351-49AB-BC46-50DF3962ACEA}"/>
    <hyperlink ref="V640" r:id="rId919" xr:uid="{8C714AE3-068E-4844-B76D-0D7BA59B8BE1}"/>
    <hyperlink ref="V641" r:id="rId920" xr:uid="{410D0D9A-AB1F-4FCA-9290-5D536CBBE806}"/>
    <hyperlink ref="V642" r:id="rId921" xr:uid="{6432FB5D-C9DA-4041-AAEA-DEEB8432056A}"/>
    <hyperlink ref="V197" r:id="rId922" xr:uid="{C6A67FAD-E0C1-4CBF-A925-E95FED0C675D}"/>
    <hyperlink ref="V198" r:id="rId923" xr:uid="{0C5F4250-1784-446F-98D7-5ACDB89CA3AC}"/>
    <hyperlink ref="V199" r:id="rId924" xr:uid="{323C0BB1-A550-4A12-B6A3-90AF8E2588C1}"/>
    <hyperlink ref="V200" r:id="rId925" xr:uid="{BDDCD808-7866-4777-848B-F359A6C9702B}"/>
    <hyperlink ref="V201" r:id="rId926" xr:uid="{69152727-D4F4-4DC3-94E5-D8B9B37894EE}"/>
    <hyperlink ref="V202" r:id="rId927" xr:uid="{CA7C01F5-A5AB-4C9E-A813-4B759CAE1840}"/>
    <hyperlink ref="V203" r:id="rId928" xr:uid="{F74046E4-1753-4593-9AEB-8F7A12FB6AAD}"/>
    <hyperlink ref="V204" r:id="rId929" xr:uid="{2AF3958C-5053-4BAB-86A5-37785C6E7162}"/>
    <hyperlink ref="V205" r:id="rId930" xr:uid="{9A8211CD-C7C0-4E9D-8639-9A931BD9CAB1}"/>
    <hyperlink ref="V206" r:id="rId931" xr:uid="{708C6ED8-20D2-44C9-B8F2-5F8E6B457E0B}"/>
    <hyperlink ref="V207" r:id="rId932" xr:uid="{1618D22F-33E3-47E9-BFB8-B5EAF44B8F3E}"/>
    <hyperlink ref="V208" r:id="rId933" xr:uid="{17B70DD7-31C0-4B61-9B52-4C9E8F5A1A84}"/>
    <hyperlink ref="V209" r:id="rId934" xr:uid="{A02C7C4E-8583-4537-9434-3C0C4CF5B6F1}"/>
    <hyperlink ref="V210" r:id="rId935" xr:uid="{79BD81AC-FA51-4373-A209-A3FD12137447}"/>
    <hyperlink ref="V211" r:id="rId936" xr:uid="{2FCF2A5C-D539-401A-85BC-7D335C8BA38F}"/>
    <hyperlink ref="V212" r:id="rId937" xr:uid="{3DA06E99-8B7A-4994-A445-D6ABD9015099}"/>
    <hyperlink ref="V213" r:id="rId938" xr:uid="{E1E18EBD-B380-4952-9195-725CF7B4EE29}"/>
    <hyperlink ref="V214" r:id="rId939" xr:uid="{619CABF8-B967-4204-9F48-2E9FD2CD52E5}"/>
    <hyperlink ref="V215" r:id="rId940" xr:uid="{5BAE7FDA-7A16-4D60-BE7A-BA3D027FD042}"/>
    <hyperlink ref="V216" r:id="rId941" xr:uid="{D3DD0923-471D-49BF-A827-AC896889A2AF}"/>
    <hyperlink ref="V217" r:id="rId942" xr:uid="{989FE31F-E285-4CF3-AFF8-A71337C28E58}"/>
    <hyperlink ref="V218" r:id="rId943" xr:uid="{4F5928AD-2DE8-4495-9D63-1C884370DF7C}"/>
    <hyperlink ref="V219" r:id="rId944" xr:uid="{91B40822-BC3D-4FF0-9842-971B5E77BEAD}"/>
    <hyperlink ref="V220" r:id="rId945" xr:uid="{3D5F57CE-1AE3-46A4-A2A9-303265D403A8}"/>
    <hyperlink ref="V221" r:id="rId946" xr:uid="{C903E0DB-C5B6-48EE-9F5E-8674DC73E674}"/>
    <hyperlink ref="V222" r:id="rId947" xr:uid="{E1B2E341-1F1D-44F0-B537-66A0ECEC02DE}"/>
    <hyperlink ref="V223" r:id="rId948" xr:uid="{968AFB46-6475-48D8-837B-2F300947E966}"/>
    <hyperlink ref="V224" r:id="rId949" xr:uid="{F4E192F2-5BAF-429E-BE1C-0CE37AB4B1F1}"/>
    <hyperlink ref="V226" r:id="rId950" xr:uid="{363F0C2D-FE4F-46CE-AACF-B1BB281040A3}"/>
    <hyperlink ref="V228" r:id="rId951" xr:uid="{B2F82778-7265-46DD-A10F-E090486F23C2}"/>
    <hyperlink ref="V229" r:id="rId952" xr:uid="{B907A71A-15FF-49D5-8BBE-D7AD429E72DA}"/>
    <hyperlink ref="V230" r:id="rId953" xr:uid="{D9274257-6596-4CF4-9041-E550FFBDA634}"/>
    <hyperlink ref="V231" r:id="rId954" xr:uid="{9A9D4664-AE75-4BEB-BD5C-A433874B4FE6}"/>
    <hyperlink ref="V232" r:id="rId955" xr:uid="{898D4079-B6F5-44F5-9481-4A2218191F21}"/>
    <hyperlink ref="V233" r:id="rId956" xr:uid="{4DE3490C-8467-446B-A25F-A99E5A3D3E29}"/>
    <hyperlink ref="V234" r:id="rId957" xr:uid="{4DC97940-87CB-41E5-8E4F-C95997FADE1E}"/>
    <hyperlink ref="V235" r:id="rId958" xr:uid="{8EDFFF0A-B1E9-4187-AADD-0C5A37DD07C0}"/>
    <hyperlink ref="V236" r:id="rId959" xr:uid="{781FE1AB-4E27-4C8C-BB2B-F6FD701462DE}"/>
    <hyperlink ref="V237" r:id="rId960" xr:uid="{F004317E-29A8-41DF-A35F-52DE522B8D52}"/>
    <hyperlink ref="V195" r:id="rId961" xr:uid="{459850ED-3534-4222-A286-43A0B815EC3F}"/>
    <hyperlink ref="V238" r:id="rId962" xr:uid="{F343E84B-989A-49C6-B3B0-FADF20C51903}"/>
    <hyperlink ref="V239" r:id="rId963" xr:uid="{5609C672-1D35-4669-A7EE-596CE7D5F34A}"/>
    <hyperlink ref="V240" r:id="rId964" xr:uid="{4E0E962C-AE62-4CE3-A448-EA51A5C97551}"/>
    <hyperlink ref="V241" r:id="rId965" xr:uid="{66BF1686-CB28-452F-B74E-D7A4AB49F4B7}"/>
    <hyperlink ref="V177" r:id="rId966" xr:uid="{7F5E2BA2-8E18-49ED-96D9-4BDB2BB77E34}"/>
    <hyperlink ref="V193" r:id="rId967" xr:uid="{451E63F0-D850-4FBC-BE33-AB73C19654FB}"/>
    <hyperlink ref="V242" r:id="rId968" xr:uid="{F3739A56-F9D3-48D9-A7DB-626EEFD6E705}"/>
    <hyperlink ref="V243" r:id="rId969" xr:uid="{A69F4E81-A2E7-4813-8CCE-026E3891FF6E}"/>
    <hyperlink ref="V174" r:id="rId970" xr:uid="{F79BCAA7-16AF-416B-9D35-DF95162D54A9}"/>
    <hyperlink ref="V244" r:id="rId971" xr:uid="{5CC50F9F-D271-4423-AC1D-D39EAB2F23D7}"/>
    <hyperlink ref="V245" r:id="rId972" xr:uid="{D2FBEE92-84D8-49A8-A27F-BAA872B3F5F8}"/>
    <hyperlink ref="V246" r:id="rId973" xr:uid="{46A92031-C76D-4DCE-A05F-6371C3186B98}"/>
    <hyperlink ref="V546" r:id="rId974" xr:uid="{7F37928A-5EFC-4C53-97FC-365A3C7F0066}"/>
    <hyperlink ref="V547" r:id="rId975" xr:uid="{684E253A-4C17-4108-A323-E7923EE1B8CB}"/>
    <hyperlink ref="V545" r:id="rId976" xr:uid="{01E7E675-5DAB-4BC0-BB44-C1EA76062334}"/>
    <hyperlink ref="V522" r:id="rId977" xr:uid="{9E49B2C4-CED1-4D37-8848-76C99B4C41E8}"/>
    <hyperlink ref="V2" r:id="rId978" xr:uid="{EA0FF0B8-DD8D-47C3-AD7F-468EA60FE0B9}"/>
    <hyperlink ref="V3" r:id="rId979" xr:uid="{F2BA9561-0C68-4E2A-A452-AE4E724A4967}"/>
    <hyperlink ref="V4" r:id="rId980" xr:uid="{2C1C705E-0C77-4224-9A2B-E0510777A3B7}"/>
    <hyperlink ref="V5" r:id="rId981" xr:uid="{69A93DC3-7905-4A2B-8149-CC92883CB3A0}"/>
    <hyperlink ref="V6" r:id="rId982" xr:uid="{ACE9A5D5-E4C1-4415-A11C-96BC494796F2}"/>
    <hyperlink ref="V7" r:id="rId983" xr:uid="{C548EE2A-6C1D-4F5D-B9A9-B5F28665BB93}"/>
    <hyperlink ref="V8" r:id="rId984" xr:uid="{30C61721-D48A-4D2E-AB1A-307AE690BEC0}"/>
    <hyperlink ref="V9" r:id="rId985" xr:uid="{B335FA5D-5358-4651-9F94-D8A255E43A62}"/>
    <hyperlink ref="V10" r:id="rId986" xr:uid="{CF2A7F79-BA98-43D6-BE80-64D99AFB0DD2}"/>
    <hyperlink ref="V11" r:id="rId987" xr:uid="{54B02615-2D88-421C-B7A0-EB5F17866F12}"/>
    <hyperlink ref="V12" r:id="rId988" xr:uid="{CB9E1D9B-B383-434B-AA21-B0FCA8B8F262}"/>
    <hyperlink ref="V13" r:id="rId989" xr:uid="{EDF00CE9-BC88-4BA2-AF24-369E57671CC1}"/>
    <hyperlink ref="V14" r:id="rId990" xr:uid="{E2C0ECFB-5259-4641-973A-0E1E1E35C96C}"/>
    <hyperlink ref="V15" r:id="rId991" xr:uid="{DEF3D2B2-118E-4747-AE5C-9E6434D99762}"/>
    <hyperlink ref="V16" r:id="rId992" xr:uid="{CB1E1813-0DFF-4F49-AFE9-722F124DB901}"/>
    <hyperlink ref="V109" r:id="rId993" xr:uid="{B8A0D2F7-7D45-4DAC-A32E-5BDAF48FE7E7}"/>
    <hyperlink ref="V110" r:id="rId994" xr:uid="{94232F0B-1470-4738-9A98-0296D802A672}"/>
    <hyperlink ref="V111" r:id="rId995" xr:uid="{19A26C4D-F9A8-4F15-8F74-4D2CFADBB6DB}"/>
    <hyperlink ref="V112" r:id="rId996" xr:uid="{CC7ACCBA-B753-4C08-9859-80D24318AEF4}"/>
    <hyperlink ref="V113" r:id="rId997" xr:uid="{BA1B4870-91D0-45D4-985F-00BBB2BBBDE9}"/>
    <hyperlink ref="V114" r:id="rId998" xr:uid="{C17A45A4-3016-4C0A-9AD9-A45126BA07B7}"/>
    <hyperlink ref="V115" r:id="rId999" xr:uid="{A1A5092B-5B89-4100-8E09-8A785449B016}"/>
    <hyperlink ref="V116" r:id="rId1000" xr:uid="{2CE94F7E-6B22-4A95-85AA-F8AF7F057AC7}"/>
    <hyperlink ref="V117" r:id="rId1001" xr:uid="{B1DD925B-DB5D-4FE8-94A8-5CC9AFFADEB8}"/>
    <hyperlink ref="V118" r:id="rId1002" xr:uid="{F24D6A37-2414-4DBA-B2B5-94CAC1537BA2}"/>
    <hyperlink ref="V119" r:id="rId1003" xr:uid="{C58B3CE6-267E-4CD4-B877-9B5A3A5BFDA6}"/>
    <hyperlink ref="V120" r:id="rId1004" xr:uid="{1EFB7BD4-4C9E-4039-9F14-6F172D2EFE02}"/>
    <hyperlink ref="V121" r:id="rId1005" xr:uid="{4794572C-75C3-4AA9-AFFD-4CF3F48182AF}"/>
    <hyperlink ref="V138" r:id="rId1006" xr:uid="{00103CC6-A479-4167-9080-96864AD9D09A}"/>
    <hyperlink ref="V1187" r:id="rId1007" xr:uid="{9FECFC07-2F85-47A9-AEC5-6C17B1942971}"/>
    <hyperlink ref="V1181" r:id="rId1008" xr:uid="{728576CF-8136-4EA0-8295-D4722045F1FA}"/>
    <hyperlink ref="V1624" r:id="rId1009" xr:uid="{7CB430B2-7F9F-42A6-970C-842B4CF5A0FC}"/>
    <hyperlink ref="V1604" r:id="rId1010" xr:uid="{DB8CE47B-AE39-4C19-9B08-DB2FDE08C604}"/>
    <hyperlink ref="V1589" r:id="rId1011" xr:uid="{910D823A-0421-4034-A53A-B8AA1E33C856}"/>
    <hyperlink ref="V1460" r:id="rId1012" xr:uid="{72135BA7-C3AD-4D59-8BA6-CB2B6B1600D9}"/>
    <hyperlink ref="V1357" r:id="rId1013" xr:uid="{1A011214-BC95-4F77-9F66-9CF072486674}"/>
    <hyperlink ref="V1466" r:id="rId1014" xr:uid="{74CA1D29-C6CD-4995-9039-B871CA6A49F2}"/>
    <hyperlink ref="V1543" r:id="rId1015" xr:uid="{5EA9A12E-EFFF-459D-86EB-FF03B703E8BF}"/>
    <hyperlink ref="V1717" r:id="rId1016" xr:uid="{3915929D-BD95-42CB-86C1-B4CB9BE41849}"/>
    <hyperlink ref="V1427" r:id="rId1017" xr:uid="{8187FE64-A231-40D6-8C96-9DB0A41F9E3F}"/>
    <hyperlink ref="V1750" r:id="rId1018" xr:uid="{D326F2D3-FAD3-44D6-9F80-6AF0378A7969}"/>
    <hyperlink ref="V1614" r:id="rId1019" xr:uid="{63C60C1A-64A7-4730-8E3B-38CEA017AC47}"/>
    <hyperlink ref="V1185" r:id="rId1020" xr:uid="{848767DC-8C48-44A2-9D49-B00A1356447D}"/>
    <hyperlink ref="V1786" r:id="rId1021" xr:uid="{12AA1976-591F-49DB-91F7-42C5A6AB3529}"/>
    <hyperlink ref="V1447" r:id="rId1022" xr:uid="{84EE44FC-04F4-409F-B079-81356016F73C}"/>
    <hyperlink ref="V1525" r:id="rId1023" xr:uid="{462D1122-AED8-423F-B7ED-FF892D35D152}"/>
    <hyperlink ref="V1611" r:id="rId1024" xr:uid="{0A44D34F-8BEE-4F86-BE40-0E0602970365}"/>
    <hyperlink ref="V152" r:id="rId1025" xr:uid="{5C446341-2045-4B17-A313-A8E67B174FF5}"/>
    <hyperlink ref="V1496" r:id="rId1026" xr:uid="{554564B3-0260-4B57-A6E0-4287AF3D3D74}"/>
    <hyperlink ref="V1431" r:id="rId1027" xr:uid="{4B501970-6439-498D-992D-2EE560AF9ADB}"/>
    <hyperlink ref="V1666" r:id="rId1028" xr:uid="{66D373FF-D8C2-475D-9AEC-9FD0AD7168D7}"/>
    <hyperlink ref="V1758" r:id="rId1029" xr:uid="{88725E63-5F9A-4C14-9E39-087B4A282653}"/>
    <hyperlink ref="V1201" r:id="rId1030" xr:uid="{F145EFAE-38F5-44DC-AD62-9FDA25A1FFFD}"/>
    <hyperlink ref="V1628" r:id="rId1031" xr:uid="{F992D74D-3DFA-464C-B49F-4838304CFA7D}"/>
    <hyperlink ref="V1469" r:id="rId1032" xr:uid="{A2B325C9-0BF4-4B29-BA7B-C537EFCE0969}"/>
    <hyperlink ref="V149" r:id="rId1033" xr:uid="{109A0CC6-55FF-4A5B-BCE2-B8F20E23FC2A}"/>
    <hyperlink ref="V1710" r:id="rId1034" xr:uid="{8FA35E08-0303-4136-A5B3-11D09821A1A8}"/>
    <hyperlink ref="V1667" r:id="rId1035" xr:uid="{408B75DC-8853-4307-88D7-6F3E90B0FF51}"/>
    <hyperlink ref="V1743" r:id="rId1036" xr:uid="{E0023A25-BE63-44F7-8508-2FEAD98C6933}"/>
    <hyperlink ref="V1685" r:id="rId1037" xr:uid="{D37B4DED-DAFF-49CE-98C7-735B8DCEF3EF}"/>
    <hyperlink ref="V141" r:id="rId1038" xr:uid="{97AF494D-12A1-4881-A35C-71EFC95BB2F0}"/>
    <hyperlink ref="V1605" r:id="rId1039" xr:uid="{B5167267-E095-419B-862F-D090C5B34262}"/>
    <hyperlink ref="V1777" r:id="rId1040" xr:uid="{3F8124C0-4F0B-4F47-9B2E-D753C63BE0F2}"/>
    <hyperlink ref="V363" r:id="rId1041" xr:uid="{BDA86D32-1DBC-41DE-905A-2EDDA6C526E7}"/>
    <hyperlink ref="V1520" r:id="rId1042" xr:uid="{62B09C5C-D8F7-4850-8D23-A22254DB92ED}"/>
    <hyperlink ref="V1546" r:id="rId1043" xr:uid="{19DCED60-CBF9-4185-93A8-C7F3CD1CD6C0}"/>
    <hyperlink ref="V1778" r:id="rId1044" xr:uid="{A6091FEA-7BE7-4FD9-9D60-D7F145D48EA8}"/>
    <hyperlink ref="V1544" r:id="rId1045" xr:uid="{EF777794-6E5E-4FF8-A00F-CBF0D37EB6C5}"/>
    <hyperlink ref="V1595" r:id="rId1046" xr:uid="{11C729E8-FCDD-403A-97A1-9447D8E61A8E}"/>
    <hyperlink ref="V1219" r:id="rId1047" xr:uid="{70887437-895A-4F39-9524-E6DB29A1A937}"/>
    <hyperlink ref="V1494" r:id="rId1048" xr:uid="{9B016608-16CD-4174-B3CE-BC2A8AD35E97}"/>
    <hyperlink ref="V147" r:id="rId1049" xr:uid="{390FD63F-77C0-41DC-81FA-1713CED0E59C}"/>
    <hyperlink ref="V1713" r:id="rId1050" xr:uid="{961DE93A-C3B1-4BC6-95CA-7144C2DED6B9}"/>
    <hyperlink ref="V1488" r:id="rId1051" xr:uid="{4347E476-8A9B-4357-844E-54F8B487AA58}"/>
    <hyperlink ref="V1609" r:id="rId1052" xr:uid="{D9550CF7-0E56-494F-B619-EADD852869BD}"/>
    <hyperlink ref="V1462" r:id="rId1053" xr:uid="{1060A1F8-E796-458B-B2B7-578500672EBD}"/>
    <hyperlink ref="V1205" r:id="rId1054" xr:uid="{2654EED9-87FC-4FF6-B177-13307F150CF4}"/>
    <hyperlink ref="V1195" r:id="rId1055" xr:uid="{CEF1951E-5976-4C55-AEBF-FF6692BA8163}"/>
    <hyperlink ref="V1220" r:id="rId1056" xr:uid="{2E633E58-0308-418E-B189-2BB9188DBF59}"/>
    <hyperlink ref="V1643" r:id="rId1057" xr:uid="{F3419334-2370-40AF-B14C-1E5A2351DCA0}"/>
    <hyperlink ref="V1668" r:id="rId1058" xr:uid="{EB9F31A3-E270-4150-9E0C-D03A339C0B8C}"/>
    <hyperlink ref="V1591" r:id="rId1059" xr:uid="{A6257259-D2C0-4A9D-9F53-350AC7A518B5}"/>
    <hyperlink ref="V1641" r:id="rId1060" xr:uid="{8CA8F9F5-E86E-4495-8A4E-D5C37BAD080E}"/>
    <hyperlink ref="V1715" r:id="rId1061" xr:uid="{A2C44949-B835-401A-842A-5B9BA5B82A51}"/>
    <hyperlink ref="V1180" r:id="rId1062" xr:uid="{F88EB262-E836-4BD9-9722-E7A65F17304A}"/>
    <hyperlink ref="V1634" r:id="rId1063" xr:uid="{BD99ABED-DB66-4775-8C6A-77D93DF20D4D}"/>
    <hyperlink ref="V146" r:id="rId1064" xr:uid="{A639A52F-CD4B-48E4-9FB3-912157FA8A67}"/>
    <hyperlink ref="V142" r:id="rId1065" xr:uid="{B474E42B-163A-4E21-8E57-F191ED6A0A36}"/>
    <hyperlink ref="V1672" r:id="rId1066" xr:uid="{01B2AB72-3D4D-45B2-90A4-1B35B0F01E3B}"/>
    <hyperlink ref="V1194" r:id="rId1067" xr:uid="{CF508FEE-2DD2-4CA1-8EC5-1A50436FF861}"/>
    <hyperlink ref="V1532" r:id="rId1068" xr:uid="{71F043F1-403B-416D-A782-193117DEAFB7}"/>
    <hyperlink ref="V1463" r:id="rId1069" xr:uid="{53F67C1C-8EB0-4C64-8C0A-5D80D24D3A98}"/>
    <hyperlink ref="V1647" r:id="rId1070" xr:uid="{648DF8DF-0000-4997-8952-AF96D71FB4EE}"/>
    <hyperlink ref="V1503" r:id="rId1071" xr:uid="{139023ED-512E-434A-A5B1-4020B3FFFD2C}"/>
    <hyperlink ref="V1567" r:id="rId1072" xr:uid="{6227BD09-D77E-4CA6-AD0C-7852B5D6F6D0}"/>
    <hyperlink ref="V1691" r:id="rId1073" xr:uid="{68E722AA-BDDF-4793-B7AC-A319AC36EA37}"/>
    <hyperlink ref="V1549" r:id="rId1074" xr:uid="{08FF2CCC-7C06-490B-BB81-A98021BE9765}"/>
    <hyperlink ref="V1214" r:id="rId1075" xr:uid="{26277C10-30DE-48E7-9767-16458AA21A0B}"/>
    <hyperlink ref="V1690" r:id="rId1076" xr:uid="{B2E019CA-69D2-414C-9A41-EFE60A05BF82}"/>
    <hyperlink ref="V1216" r:id="rId1077" xr:uid="{1BE04B98-4275-4139-90BE-608C3669AEB1}"/>
    <hyperlink ref="V1652" r:id="rId1078" xr:uid="{13DBE713-75FD-4E9B-9CBE-6D06A342D0C5}"/>
    <hyperlink ref="V1226" r:id="rId1079" xr:uid="{D2225FD6-9A11-43E4-A809-3AED42653F61}"/>
    <hyperlink ref="V1199" r:id="rId1080" xr:uid="{1E512260-4F96-4012-8DCB-44B692340DAC}"/>
    <hyperlink ref="V1683" r:id="rId1081" xr:uid="{6985B8CC-E03F-4DA9-A8DD-1E435C2213CF}"/>
    <hyperlink ref="V1661" r:id="rId1082" xr:uid="{10E2DFEF-D0B5-4E02-8C01-CFA8D95FBF93}"/>
    <hyperlink ref="V1724" r:id="rId1083" xr:uid="{5C8B8C20-2714-4B2F-AF4F-28CCBB271B40}"/>
    <hyperlink ref="V1200" r:id="rId1084" xr:uid="{F40E63FB-B4B4-4B63-8162-4D708E7C681C}"/>
    <hyperlink ref="V1229" r:id="rId1085" xr:uid="{ADCC9E06-BAFF-40FA-828E-2262944F7720}"/>
    <hyperlink ref="V1708" r:id="rId1086" xr:uid="{F7AB22F0-2CEE-41A0-9EBD-540598DA31AF}"/>
    <hyperlink ref="V1577" r:id="rId1087" xr:uid="{9C90CA2D-F9ED-4BB1-89CA-5B4CECFFECB3}"/>
    <hyperlink ref="V1490" r:id="rId1088" xr:uid="{861B14D9-EF15-42C9-B794-BFB42AB21294}"/>
    <hyperlink ref="V1445" r:id="rId1089" xr:uid="{F382F9C4-8C89-4072-B4B4-07CB8948885A}"/>
    <hyperlink ref="V1548" r:id="rId1090" xr:uid="{30B966F4-D457-45AF-9AC6-A9D042F47766}"/>
    <hyperlink ref="V1748" r:id="rId1091" xr:uid="{B2736B21-38BF-47F9-92E7-047DF3766BF2}"/>
    <hyperlink ref="V1648" r:id="rId1092" xr:uid="{9E2E1020-9491-48FA-8515-F1F9BD94E668}"/>
    <hyperlink ref="V1186" r:id="rId1093" xr:uid="{647F20D6-7739-4E21-92CC-27A43C293486}"/>
    <hyperlink ref="V1722" r:id="rId1094" xr:uid="{F362BD57-F4C4-46FA-85E3-AA058B36A4A7}"/>
    <hyperlink ref="V1232" r:id="rId1095" xr:uid="{F9A0A346-2CE6-471C-9AA5-973CE3526810}"/>
    <hyperlink ref="V1599" r:id="rId1096" xr:uid="{DC39D57A-0D41-4D41-B551-1BFEFE162A7C}"/>
    <hyperlink ref="V1217" r:id="rId1097" xr:uid="{0D32EF45-C0AE-4337-85F5-82215FBB1365}"/>
    <hyperlink ref="V1554" r:id="rId1098" xr:uid="{4A88A1A2-E4CA-4AA4-A4D0-24BAC8F64C76}"/>
    <hyperlink ref="V1335" r:id="rId1099" xr:uid="{354B3F23-AF85-441D-B09C-7E419D845C27}"/>
    <hyperlink ref="V1684" r:id="rId1100" xr:uid="{4B10636A-288F-4337-B6C1-AC126ACB762A}"/>
    <hyperlink ref="V1663" r:id="rId1101" xr:uid="{4E5E8610-5809-4F62-BBCB-00204DEDDAFB}"/>
    <hyperlink ref="V1203" r:id="rId1102" xr:uid="{D38B29D7-097C-4200-9BEB-9536F5CCBEE9}"/>
    <hyperlink ref="V1539" r:id="rId1103" xr:uid="{0FE0A9E8-C3BE-4847-8CDE-E3AA8114817D}"/>
    <hyperlink ref="V1472" r:id="rId1104" xr:uid="{1D0EF051-D063-42B0-B7DA-13475E2C93AD}"/>
    <hyperlink ref="V1452" r:id="rId1105" xr:uid="{9E7C6376-92FD-42B4-812E-2514DCA5C1EA}"/>
    <hyperlink ref="V1632" r:id="rId1106" xr:uid="{1E610EF1-AA5A-446F-8255-ECD91AA8711D}"/>
    <hyperlink ref="V1225" r:id="rId1107" xr:uid="{A43028C2-9FAB-48A5-806F-561986DB9BCD}"/>
    <hyperlink ref="V1213" r:id="rId1108" xr:uid="{574A8085-EA2D-4593-B7F4-B4A50C1715B5}"/>
    <hyperlink ref="V1742" r:id="rId1109" xr:uid="{A8FE9E78-E29F-4EE8-B088-AC3B562949EB}"/>
    <hyperlink ref="V1779" r:id="rId1110" xr:uid="{8281D2F7-33C3-4623-B502-F9F0324760AC}"/>
    <hyperlink ref="V1584" r:id="rId1111" xr:uid="{0147BD12-9495-4677-915B-2DB868066C50}"/>
    <hyperlink ref="V1780" r:id="rId1112" xr:uid="{6A99CC27-0E3B-4B4C-B441-70E2526987A6}"/>
    <hyperlink ref="V1640" r:id="rId1113" xr:uid="{F44DA20B-CC7D-43C8-B8CE-E9A0C0AA333C}"/>
    <hyperlink ref="V1638" r:id="rId1114" xr:uid="{71A74163-C01C-4BDF-99D2-5F5580164B15}"/>
    <hyperlink ref="V1754" r:id="rId1115" xr:uid="{7DB7674B-310E-4F18-98A2-68E5B502890B}"/>
    <hyperlink ref="V1446" r:id="rId1116" xr:uid="{ABF4AEFC-7808-4E9D-AF71-313598661699}"/>
    <hyperlink ref="V1191" r:id="rId1117" xr:uid="{99498378-31F7-46EB-9E30-E016F8B1C087}"/>
    <hyperlink ref="V1492" r:id="rId1118" xr:uid="{B16675D4-2E68-4A95-8550-B4560A595622}"/>
    <hyperlink ref="V1453" r:id="rId1119" xr:uid="{36ECE9CA-2269-4059-A155-A61DC3E1FB32}"/>
    <hyperlink ref="V1757" r:id="rId1120" xr:uid="{AF7B0654-40F1-4D28-83CD-B53B04FA9155}"/>
    <hyperlink ref="V1512" r:id="rId1121" xr:uid="{DFC7A83D-4E8F-4BEA-B2C9-7ABB32789656}"/>
    <hyperlink ref="V1751" r:id="rId1122" xr:uid="{2EEE3C0B-8E36-4BB8-90C3-1E588713CEF9}"/>
    <hyperlink ref="V1209" r:id="rId1123" xr:uid="{376D78F4-CA85-42A9-A419-130880259168}"/>
    <hyperlink ref="V1513" r:id="rId1124" xr:uid="{EAE036B1-8CA4-43C5-A90B-20726B2763BE}"/>
    <hyperlink ref="V1523" r:id="rId1125" xr:uid="{30E34B37-E9A8-48D7-BFE3-3A7C4F233E16}"/>
    <hyperlink ref="V1317" r:id="rId1126" xr:uid="{658A5C6E-E99F-4CEA-BE46-671C128E8A46}"/>
    <hyperlink ref="V1762" r:id="rId1127" xr:uid="{E150FFC6-8AC9-40EF-BD3A-744E9AD5B110}"/>
    <hyperlink ref="V1202" r:id="rId1128" xr:uid="{E9E4C998-D6B0-4F86-AD6D-E7BD301A31D2}"/>
    <hyperlink ref="V143" r:id="rId1129" xr:uid="{8EEC0770-582A-4697-A3EF-6A80CB37D778}"/>
    <hyperlink ref="V1391" r:id="rId1130" xr:uid="{12A5EE69-F3B9-4C66-A042-45B08626B0C0}"/>
    <hyperlink ref="V1681" r:id="rId1131" xr:uid="{6AFAFA51-9588-4B8B-BF27-A5484FFAC224}"/>
    <hyperlink ref="V1448" r:id="rId1132" xr:uid="{7DAD100F-16AE-4915-B43B-EEF656EEB80E}"/>
    <hyperlink ref="V1479" r:id="rId1133" xr:uid="{1A623AE6-64F5-44FC-89F9-208320CECDA1}"/>
    <hyperlink ref="V1654" r:id="rId1134" xr:uid="{C72C7E38-F284-4855-96F0-9AADC313FEB4}"/>
    <hyperlink ref="V1378" r:id="rId1135" xr:uid="{4A4C286D-5DEE-49E4-9FE0-EC7FE01E2C87}"/>
    <hyperlink ref="V1511" r:id="rId1136" xr:uid="{5B3520B7-F1E6-4FF2-A810-4AF2236B4EB4}"/>
    <hyperlink ref="V1499" r:id="rId1137" xr:uid="{E225B610-0AA2-42CE-B3C1-FF81FDE10F2C}"/>
    <hyperlink ref="V1552" r:id="rId1138" xr:uid="{D611A15A-C644-4335-9825-A847D4F61FC5}"/>
    <hyperlink ref="V1586" r:id="rId1139" xr:uid="{B5F30DF4-9175-4512-AF39-0F10A7EA8775}"/>
    <hyperlink ref="V1198" r:id="rId1140" xr:uid="{6478074F-7B60-49E4-AD23-B729B718F7F0}"/>
    <hyperlink ref="V1621" r:id="rId1141" xr:uid="{DFE812B6-83F3-470D-9463-4248833E7671}"/>
    <hyperlink ref="V1570" r:id="rId1142" xr:uid="{525A8D13-5D1E-4880-9567-8F88CB013CB0}"/>
    <hyperlink ref="V1600" r:id="rId1143" xr:uid="{AB5DDF3D-1AFA-49D0-85C6-D529E0164CF3}"/>
    <hyperlink ref="V1228" r:id="rId1144" xr:uid="{A62F6C16-97AD-46EF-B9DA-9716E3F9C495}"/>
    <hyperlink ref="V1377" r:id="rId1145" xr:uid="{7C70B945-539A-406C-9A60-9EE14BBD6CD4}"/>
    <hyperlink ref="V1741" r:id="rId1146" xr:uid="{52754352-D06D-4B99-B682-6C0D90BDF933}"/>
    <hyperlink ref="V1718" r:id="rId1147" xr:uid="{14D7BD17-14AD-4B64-A42F-F3B83F3E00DA}"/>
    <hyperlink ref="V649" r:id="rId1148" xr:uid="{7415124E-203C-4B1B-A08A-4825D3499FD2}"/>
    <hyperlink ref="V1701" r:id="rId1149" xr:uid="{20928CAF-68CE-4359-8A34-650C6D15D3E3}"/>
    <hyperlink ref="V1692" r:id="rId1150" xr:uid="{51AFB13C-1626-4B17-937B-91ADC5C5FFB1}"/>
    <hyperlink ref="V1212" r:id="rId1151" xr:uid="{7C0B23F2-4D2A-4F36-8BAE-B4FC8CE1AA08}"/>
    <hyperlink ref="V1645" r:id="rId1152" xr:uid="{54CAD043-8B7C-40E9-B9FD-11C9596B690D}"/>
    <hyperlink ref="V1660" r:id="rId1153" xr:uid="{5DF2E705-92A0-4983-871C-7BEE80DEDB0A}"/>
    <hyperlink ref="V1470" r:id="rId1154" xr:uid="{7D780A57-14D9-4FE2-91B8-CB8D09AB243B}"/>
    <hyperlink ref="V1284" r:id="rId1155" xr:uid="{38A11373-F094-4348-951C-ABB172A752E8}"/>
    <hyperlink ref="V1193" r:id="rId1156" xr:uid="{EBAD23DE-12D9-430B-AE11-CB38CF26D9BB}"/>
    <hyperlink ref="V1467" r:id="rId1157" xr:uid="{23ADC2DD-D230-4D5D-8B69-27BE8943B8CA}"/>
    <hyperlink ref="V1682" r:id="rId1158" xr:uid="{833132DB-2D01-4340-94E1-32D4ABFCF0E4}"/>
    <hyperlink ref="V1788" r:id="rId1159" xr:uid="{C2493C0E-6747-41D2-A1B0-A38D2436937D}"/>
    <hyperlink ref="V654" r:id="rId1160" xr:uid="{107CDB4A-8A79-472C-AC6C-1EE191A04935}"/>
    <hyperlink ref="V1686" r:id="rId1161" xr:uid="{7C8A305F-305E-4A90-8DCE-32D27352F7D9}"/>
    <hyperlink ref="V1529" r:id="rId1162" xr:uid="{45951BE7-08A0-4DF4-B2ED-B69C3C0C8C02}"/>
    <hyperlink ref="V866" r:id="rId1163" xr:uid="{BB952B83-97F2-451B-AA04-C375BFD679AB}"/>
    <hyperlink ref="V1485" r:id="rId1164" xr:uid="{2FA680E9-0BBC-49AB-AE57-9A6686A023C8}"/>
    <hyperlink ref="V1508" r:id="rId1165" xr:uid="{3E3DCB96-B464-4AD8-A699-57E7D3625D52}"/>
    <hyperlink ref="V652" r:id="rId1166" xr:uid="{19045BE3-EA5A-443D-9708-4FD1D5CF6721}"/>
    <hyperlink ref="V1746" r:id="rId1167" xr:uid="{3284B3F9-84E6-4BAC-9142-EF902CA0F75C}"/>
    <hyperlink ref="V862" r:id="rId1168" xr:uid="{28CA7A5C-05D1-4AB8-BCD3-D3009CA557DB}"/>
    <hyperlink ref="V1755" r:id="rId1169" xr:uid="{AA9CA32A-8370-4F74-B44C-0DD3495A6FBC}"/>
    <hyperlink ref="V148" r:id="rId1170" xr:uid="{AB64C20E-6A33-4DF6-864C-FFC59012813C}"/>
    <hyperlink ref="V1620" r:id="rId1171" xr:uid="{84C19D6F-234F-43A1-A72A-1B360A4CB8A1}"/>
    <hyperlink ref="V1635" r:id="rId1172" xr:uid="{DBCA648A-9902-4A89-BE76-A1CC876CA756}"/>
    <hyperlink ref="V1633" r:id="rId1173" xr:uid="{56D4F81F-55A8-4BC2-8D73-0FBC87754AF6}"/>
    <hyperlink ref="V1656" r:id="rId1174" xr:uid="{E779924A-FA7D-4009-8569-FC92705182E2}"/>
    <hyperlink ref="V1336" r:id="rId1175" xr:uid="{BE1C4D43-25CB-410E-A132-A69BB7E97426}"/>
    <hyperlink ref="V1678" r:id="rId1176" xr:uid="{47F09463-FC9E-4612-920E-E474BE4F896E}"/>
    <hyperlink ref="V145" r:id="rId1177" xr:uid="{989F9CE9-75F0-4420-B392-2F77CCA4DD0C}"/>
    <hyperlink ref="V1507" r:id="rId1178" xr:uid="{0E34DC9A-DFFC-49D4-965B-7180EEC8397A}"/>
    <hyperlink ref="V1459" r:id="rId1179" xr:uid="{6454EAEA-C6F4-4A0A-A915-0CF73D8B4C8A}"/>
    <hyperlink ref="V1495" r:id="rId1180" xr:uid="{EFD62F7C-0CDF-4E0B-B360-4560E119D670}"/>
    <hyperlink ref="V1601" r:id="rId1181" xr:uid="{3F34E295-598B-4075-8C48-95604BF91AF6}"/>
    <hyperlink ref="V384" r:id="rId1182" xr:uid="{C7CB6962-FE62-4612-81EA-5A901859EDCD}"/>
    <hyperlink ref="V306" r:id="rId1183" xr:uid="{8BF72E16-B251-419F-B37B-FF6337F3A2FD}"/>
    <hyperlink ref="V362" r:id="rId1184" xr:uid="{EE2410E9-6F54-4570-983F-7433E7777BB3}"/>
    <hyperlink ref="V381" r:id="rId1185" xr:uid="{2E32F706-9C9B-4365-938C-ADF8C72B8D8C}"/>
    <hyperlink ref="V379" r:id="rId1186" xr:uid="{65C28658-D8B2-4019-9C5C-5FB807B5F706}"/>
    <hyperlink ref="V385" r:id="rId1187" xr:uid="{78FF60A1-3DFD-48A0-B75B-83F0DE7A6169}"/>
    <hyperlink ref="V395" r:id="rId1188" xr:uid="{431E917C-C131-4D88-8B8C-29E685A0232B}"/>
    <hyperlink ref="V399" r:id="rId1189" xr:uid="{4A7A94F3-3B1B-4250-A617-B775C9636E5D}"/>
    <hyperlink ref="V377" r:id="rId1190" xr:uid="{0364C385-5F70-45AD-842F-F66D0ED0B796}"/>
    <hyperlink ref="V382" r:id="rId1191" xr:uid="{B7891CDF-2024-4107-929F-74D4E1AC95B9}"/>
    <hyperlink ref="V396" r:id="rId1192" xr:uid="{42349F2C-859E-454A-836A-A053F432D283}"/>
    <hyperlink ref="V383" r:id="rId1193" xr:uid="{5C6E5E91-4A90-4EF0-813D-6BD750760356}"/>
    <hyperlink ref="V400" r:id="rId1194" xr:uid="{C67C0DDC-B7E1-4302-883A-75FA79F19C2D}"/>
    <hyperlink ref="V386" r:id="rId1195" xr:uid="{5FA76909-1A8D-49A0-B3AA-63521C02DFA1}"/>
    <hyperlink ref="V392" r:id="rId1196" xr:uid="{9419B0B8-EC3C-4942-A4B8-94F6CA22BCB8}"/>
    <hyperlink ref="V394" r:id="rId1197" xr:uid="{989CD02E-477F-447A-A19A-476C59626741}"/>
    <hyperlink ref="V356" r:id="rId1198" xr:uid="{4C78BAA5-C64C-4002-A889-59C037ADC0EF}"/>
    <hyperlink ref="V366" r:id="rId1199" xr:uid="{41FDDC68-8317-4362-A36A-8405BFF9BE8A}"/>
    <hyperlink ref="V319" r:id="rId1200" xr:uid="{80AFD278-D642-4EDE-83A4-0E5054DFE30C}"/>
    <hyperlink ref="V320" r:id="rId1201" xr:uid="{63498E28-C120-48A8-B619-CB41AD2D8063}"/>
    <hyperlink ref="V364" r:id="rId1202" xr:uid="{0991198F-A435-4E1A-8A02-C14D17D35407}"/>
    <hyperlink ref="V387" r:id="rId1203" xr:uid="{AA492096-D232-4BD5-9C8F-37BC406AEF1A}"/>
    <hyperlink ref="V391" r:id="rId1204" xr:uid="{E4376B0B-7DE7-4442-8A00-92B61967AAC2}"/>
    <hyperlink ref="V398" r:id="rId1205" xr:uid="{B5F8EA37-B3C4-431D-9F92-A191C3AFB910}"/>
    <hyperlink ref="V397" r:id="rId1206" xr:uid="{D8E6CC3A-89E2-4F56-A767-407437455FEF}"/>
    <hyperlink ref="V378" r:id="rId1207" xr:uid="{1459359C-BB3E-4A09-9ABB-739F39DC6D83}"/>
    <hyperlink ref="V393" r:id="rId1208" xr:uid="{4E83917F-2722-4BB3-B2F5-C4E4819A82EA}"/>
    <hyperlink ref="V373" r:id="rId1209" xr:uid="{9D55C664-4C7B-4F93-80C8-C9F5E17DBF1C}"/>
    <hyperlink ref="V380" r:id="rId1210" xr:uid="{E3CFC0CB-0F45-4D1C-AD2D-D68EA9008B94}"/>
    <hyperlink ref="V285" r:id="rId1211" xr:uid="{BB67BB73-6A53-4420-B747-F287687F7CD0}"/>
    <hyperlink ref="V286" r:id="rId1212" xr:uid="{B18C3832-8266-467B-90D5-14A04E3731DA}"/>
    <hyperlink ref="V287" r:id="rId1213" xr:uid="{D45ABC75-EDA7-427B-B279-78A3EA045FCE}"/>
    <hyperlink ref="V288" r:id="rId1214" xr:uid="{0ED80E6E-AF26-4C1E-ACBC-ADEB66D21D75}"/>
    <hyperlink ref="V289" r:id="rId1215" xr:uid="{C159A3DD-0A55-4F1B-8E7D-D347EBD5EFB3}"/>
    <hyperlink ref="V290" r:id="rId1216" xr:uid="{A56C535F-1F10-44B0-B613-84119275DB83}"/>
    <hyperlink ref="V291" r:id="rId1217" xr:uid="{E284E318-5BB4-48DE-A109-8FCF86F7B814}"/>
    <hyperlink ref="V292" r:id="rId1218" xr:uid="{AC1BA351-E424-4EE9-A08C-4A911E069FBE}"/>
    <hyperlink ref="V293" r:id="rId1219" xr:uid="{89337BB6-EB3A-4177-B2B2-0035325219AA}"/>
    <hyperlink ref="V294" r:id="rId1220" xr:uid="{8BB7ACBF-E603-41BE-94C3-DB3E69C43F25}"/>
    <hyperlink ref="V295" r:id="rId1221" xr:uid="{B41C6C85-3271-4C4B-8028-A19DA628CFF5}"/>
    <hyperlink ref="V296" r:id="rId1222" xr:uid="{8FF89388-1F1A-4617-8D16-286C154B69BF}"/>
    <hyperlink ref="V297" r:id="rId1223" xr:uid="{18337B67-8C07-4B94-8EBB-A5584611DEB0}"/>
    <hyperlink ref="V298" r:id="rId1224" xr:uid="{9CA7FB41-2841-48D3-A80A-6DB9E89432AC}"/>
    <hyperlink ref="V299" r:id="rId1225" xr:uid="{D93654E0-5AC4-40BF-92F8-76250C23F7AA}"/>
    <hyperlink ref="V300" r:id="rId1226" xr:uid="{4899BCFB-E865-41C9-BB10-7F696D9807F4}"/>
    <hyperlink ref="V301" r:id="rId1227" xr:uid="{EE3B562C-1BCA-4593-AEEC-E2D1FB4B248E}"/>
    <hyperlink ref="V302" r:id="rId1228" xr:uid="{E239AE8F-D70F-4193-AFF2-2FB86E4FFEAF}"/>
    <hyperlink ref="V303" r:id="rId1229" xr:uid="{23C0A779-5AC9-4956-B411-DBABD9BC9740}"/>
    <hyperlink ref="V304" r:id="rId1230" xr:uid="{257D464F-ACDE-423F-AA37-CF67F0094DEA}"/>
    <hyperlink ref="V305" r:id="rId1231" xr:uid="{BF2FBF1A-46B7-46D9-8930-40F2BD6353FA}"/>
    <hyperlink ref="V1670" r:id="rId1232" xr:uid="{3F836FA5-648F-4ADB-8345-0EE7D992692B}"/>
    <hyperlink ref="V307" r:id="rId1233" xr:uid="{E96B2FD3-A1EF-4A92-82F9-DAECD032BD20}"/>
    <hyperlink ref="V308" r:id="rId1234" xr:uid="{26464DAD-FCD8-47AC-BE52-F776F23EDB0E}"/>
    <hyperlink ref="V309" r:id="rId1235" xr:uid="{DC730BD0-4E68-4201-B0F5-3BD3F81B5F53}"/>
    <hyperlink ref="V310" r:id="rId1236" xr:uid="{CF76E529-D646-4019-922B-D79DE801D475}"/>
    <hyperlink ref="V311" r:id="rId1237" xr:uid="{5302B3CE-5616-4B06-9C17-C9391805A8B2}"/>
    <hyperlink ref="V312" r:id="rId1238" xr:uid="{365DA841-94DA-40E5-97A5-8DF5658F121B}"/>
    <hyperlink ref="V313" r:id="rId1239" xr:uid="{DB751E31-AE14-45B6-8B80-533BDBFE2BC8}"/>
    <hyperlink ref="V314" r:id="rId1240" xr:uid="{99FE573B-82D3-46C5-8430-7916A73446D5}"/>
    <hyperlink ref="V315" r:id="rId1241" xr:uid="{613B4D2A-1B7B-4BA6-A246-1E4FA876E08A}"/>
    <hyperlink ref="V316" r:id="rId1242" xr:uid="{D0E2B0F3-9BEF-47CB-A422-FB8AFAAE84EB}"/>
    <hyperlink ref="V317" r:id="rId1243" xr:uid="{877D54A3-30BA-4168-964A-BC73230D12D9}"/>
    <hyperlink ref="V318" r:id="rId1244" xr:uid="{F17C9F7C-7A11-4A81-8C0E-679985E10508}"/>
    <hyperlink ref="V321" r:id="rId1245" xr:uid="{5F85E8FF-CC0B-4ACA-8D0D-C9A992929DCA}"/>
    <hyperlink ref="V322" r:id="rId1246" xr:uid="{ACC155D4-6E2B-4186-96F8-899AE2D7EBA2}"/>
    <hyperlink ref="V323" r:id="rId1247" xr:uid="{7BF0DE98-4E45-402B-857A-36AB663F6424}"/>
    <hyperlink ref="V324" r:id="rId1248" xr:uid="{4A02397B-C62E-483A-9066-892BB3D1075C}"/>
    <hyperlink ref="V325" r:id="rId1249" xr:uid="{C75F8344-C983-4ABC-AD5B-8FB7D5C093B5}"/>
    <hyperlink ref="V326" r:id="rId1250" xr:uid="{43FF52E4-C5AD-478C-840A-6D253241AEB6}"/>
    <hyperlink ref="V327" r:id="rId1251" xr:uid="{64D4D6A6-EFB2-4FD3-92B8-C4E89962BA73}"/>
    <hyperlink ref="V328" r:id="rId1252" xr:uid="{8053A140-B361-474C-9DDC-72487385B9D2}"/>
    <hyperlink ref="V329" r:id="rId1253" xr:uid="{D8A2E2B6-D26E-4E22-AF4A-0CCFEE1741CF}"/>
    <hyperlink ref="V330" r:id="rId1254" xr:uid="{1BD5B068-BF47-4F19-962A-FE882472F57B}"/>
    <hyperlink ref="V331" r:id="rId1255" xr:uid="{3E4F0886-B57A-4E8B-9A6D-9483320284C1}"/>
    <hyperlink ref="V332" r:id="rId1256" xr:uid="{5211E0A6-033D-444F-A92B-4D9A3E528E5A}"/>
    <hyperlink ref="V333" r:id="rId1257" xr:uid="{656AF594-20EF-47AF-83C8-5A276181D279}"/>
    <hyperlink ref="V334" r:id="rId1258" xr:uid="{F07CA0BD-37A7-4397-BC4C-3B0CBC808F84}"/>
    <hyperlink ref="V335" r:id="rId1259" xr:uid="{51BB2A12-E616-4722-BE9C-16AC3D938608}"/>
    <hyperlink ref="V336" r:id="rId1260" xr:uid="{40336F19-925C-4353-B8A5-6A4F063472E4}"/>
    <hyperlink ref="V337" r:id="rId1261" xr:uid="{685767EE-72D4-4266-BBAA-7F480CC1BA26}"/>
    <hyperlink ref="V338" r:id="rId1262" xr:uid="{35F65BFF-1D64-471B-BF33-BE90FDC113DC}"/>
    <hyperlink ref="V339" r:id="rId1263" xr:uid="{983E2295-A7EE-4E85-946F-192D2D58DEE3}"/>
    <hyperlink ref="V341" r:id="rId1264" xr:uid="{D50BB509-967A-44AB-B66B-C0DA4005AEFE}"/>
    <hyperlink ref="V342" r:id="rId1265" xr:uid="{95069698-A5C2-4F3D-9277-88700CE0D297}"/>
    <hyperlink ref="V343" r:id="rId1266" xr:uid="{95042A3B-1640-4505-B3B1-4C948A589BE2}"/>
    <hyperlink ref="V344" r:id="rId1267" xr:uid="{8C1821DE-09A0-4104-852E-BBCAB208B323}"/>
    <hyperlink ref="V345" r:id="rId1268" xr:uid="{4E6D2D8B-D2E9-46E8-B84E-2ADF35793060}"/>
    <hyperlink ref="V346" r:id="rId1269" xr:uid="{0D25029B-376B-48F3-87ED-ED6A33C0D58F}"/>
    <hyperlink ref="V347" r:id="rId1270" xr:uid="{F899EDCD-9595-4596-87F9-14AA9972185B}"/>
    <hyperlink ref="V348" r:id="rId1271" xr:uid="{AA8445A8-1380-4C12-98C2-61AE812C5809}"/>
    <hyperlink ref="V349" r:id="rId1272" xr:uid="{92F3C5C3-3AF7-4250-A5DD-42E2D78CB1EA}"/>
    <hyperlink ref="V350" r:id="rId1273" xr:uid="{3904714C-7EF6-4213-BB2E-FB39E1860EBD}"/>
    <hyperlink ref="V351" r:id="rId1274" xr:uid="{1D060A50-A9C1-4FBB-A1CA-951867C31A6D}"/>
    <hyperlink ref="V352" r:id="rId1275" xr:uid="{BCA8B0CC-F27C-435C-B83D-C9AC716D63FC}"/>
    <hyperlink ref="V353" r:id="rId1276" xr:uid="{50BD6B7F-1277-402E-8223-076E9A26C4A0}"/>
    <hyperlink ref="V354" r:id="rId1277" xr:uid="{E05E324F-D0BB-4F23-9BA7-7AFD355E5F4A}"/>
    <hyperlink ref="V355" r:id="rId1278" xr:uid="{1CE0C2DD-8739-43B7-92C0-0286903B19B6}"/>
    <hyperlink ref="V357" r:id="rId1279" xr:uid="{40B4F068-366B-4DCE-BD1B-3807E2459812}"/>
    <hyperlink ref="V358" r:id="rId1280" xr:uid="{CB0D828F-FBAA-416A-9E2B-B8670079FAF7}"/>
    <hyperlink ref="V359" r:id="rId1281" xr:uid="{010A3470-D5E9-47AA-831A-93AE57778FA2}"/>
    <hyperlink ref="V360" r:id="rId1282" xr:uid="{23244EE1-2F0B-4220-B458-DED265E3D9A8}"/>
    <hyperlink ref="V361" r:id="rId1283" xr:uid="{A8313D9E-3304-4230-942C-A96AD0B13C60}"/>
    <hyperlink ref="V365" r:id="rId1284" xr:uid="{59E09519-DC97-49D7-8E10-4A0D7279A63C}"/>
    <hyperlink ref="V367" r:id="rId1285" xr:uid="{E83228BB-6276-4064-A88B-DBD06F1D0EF2}"/>
    <hyperlink ref="V368" r:id="rId1286" xr:uid="{5C8A65D6-C112-40A3-AD79-E7D61ACFC6CE}"/>
    <hyperlink ref="V369" r:id="rId1287" xr:uid="{DF611A3F-AB00-4C43-9CF5-31C8C6D41B0D}"/>
    <hyperlink ref="V370" r:id="rId1288" xr:uid="{4A023D35-FF12-40EC-8AC3-64DA7FC9A6E8}"/>
    <hyperlink ref="V371" r:id="rId1289" xr:uid="{6E1AA846-7820-4F08-A0C7-0BB9940A39E0}"/>
    <hyperlink ref="V372" r:id="rId1290" xr:uid="{43D45864-7402-4FF0-893D-6F9DA804F3F1}"/>
    <hyperlink ref="V374" r:id="rId1291" xr:uid="{2986FFF5-F42F-4AC5-AD57-1F7BB4F44BE8}"/>
    <hyperlink ref="V376" r:id="rId1292" xr:uid="{9941178C-2454-424F-8201-E003CED9628F}"/>
    <hyperlink ref="V375" r:id="rId1293" xr:uid="{093ADA25-D467-4C21-8577-0DCBD1DD154B}"/>
    <hyperlink ref="V1252" r:id="rId1294" xr:uid="{8D2C7684-A218-45CF-8649-81737AF809D2}"/>
    <hyperlink ref="V170" r:id="rId1295" xr:uid="{336350AD-57A9-4424-9CE7-19F7DB87C478}"/>
    <hyperlink ref="V171" r:id="rId1296" xr:uid="{BB522A45-B36D-4B52-9AD2-1596873E8E2F}"/>
    <hyperlink ref="V172" r:id="rId1297" xr:uid="{1A8F3D54-C4F4-47E7-9F1B-DB606445C33E}"/>
    <hyperlink ref="V173" r:id="rId1298" xr:uid="{49076892-8869-4948-A55B-E9BF43FDB374}"/>
    <hyperlink ref="V175" r:id="rId1299" xr:uid="{8B4DB837-7AA1-4C16-9F0F-EC3C3671ECF6}"/>
    <hyperlink ref="V176" r:id="rId1300" xr:uid="{5BD3BEC7-40B8-4BF9-918C-1BC7CCB4F54D}"/>
    <hyperlink ref="V178" r:id="rId1301" xr:uid="{576FB712-C798-4CD8-BE65-2A7EF6BC0E27}"/>
    <hyperlink ref="V179" r:id="rId1302" xr:uid="{47386DA9-DB65-4C85-9A9E-057C88E719D0}"/>
    <hyperlink ref="V180" r:id="rId1303" xr:uid="{3A748456-10B5-45BA-979B-7EF4FA1A49DD}"/>
    <hyperlink ref="V181" r:id="rId1304" xr:uid="{F4472390-ABB3-43F0-818E-FEDA87A131E0}"/>
    <hyperlink ref="V182" r:id="rId1305" xr:uid="{044234EA-F618-4710-B217-A22DEF2FA6DD}"/>
    <hyperlink ref="V183" r:id="rId1306" xr:uid="{F83CA5E0-ACC9-4E8E-B504-810F314B8660}"/>
    <hyperlink ref="V184" r:id="rId1307" xr:uid="{8D6ABC06-7649-4AD8-8DA8-AC9C40DA1AA2}"/>
    <hyperlink ref="V185" r:id="rId1308" xr:uid="{1AD8910E-739D-4E5C-9F08-6CCDFC08B355}"/>
    <hyperlink ref="V186" r:id="rId1309" xr:uid="{F5E9764E-310C-4DF5-ADB3-DC32FCF02C22}"/>
    <hyperlink ref="V187" r:id="rId1310" xr:uid="{A39EC9D0-8752-4DAF-9756-6CF69BD56BA6}"/>
    <hyperlink ref="V188" r:id="rId1311" xr:uid="{C730E262-85B1-4A4D-9CD3-31FE88A0BF56}"/>
    <hyperlink ref="V189" r:id="rId1312" xr:uid="{C6217503-9FDC-429F-81F2-E0FF8FDDFE02}"/>
    <hyperlink ref="V190" r:id="rId1313" xr:uid="{0AE8BEC4-00CD-4CAE-B705-7713C1D52A72}"/>
    <hyperlink ref="V191" r:id="rId1314" xr:uid="{7FC2D0DD-C145-4E00-9D77-66659A0AAF73}"/>
    <hyperlink ref="V192" r:id="rId1315" xr:uid="{1440A5C3-6054-4307-9377-853D38D20CA7}"/>
    <hyperlink ref="V194" r:id="rId1316" xr:uid="{8CEB2EB3-C90E-4449-AC3B-AA08FAB15E94}"/>
  </hyperlinks>
  <pageMargins left="0.7" right="0.7" top="0.75" bottom="0.75" header="0.3" footer="0.3"/>
  <pageSetup paperSize="9" orientation="portrait" r:id="rId1317"/>
  <tableParts count="1">
    <tablePart r:id="rId131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W7" sqref="W7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2158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1676</v>
      </c>
      <c r="C4" s="2">
        <f t="shared" ref="C4:C20" si="0">B4/$B$1</f>
        <v>0.7766450417052827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0.62989493791786055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5.0973123262279887E-3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2.0389249304911955E-2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136</v>
      </c>
      <c r="M6" s="16">
        <v>115</v>
      </c>
      <c r="N6" s="22">
        <v>0.84558823529411764</v>
      </c>
      <c r="O6" s="20" cm="1">
        <f t="array" ref="O6">L4+SUM(_xlfn.ANCHORARRAY(L5))-_xlfn.XLOOKUP("Taizé en Español",_xlfn.ANCHORARRAY(J5),_xlfn.ANCHORARRAY(L5))</f>
        <v>2094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3.8461538461538464E-2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1319</v>
      </c>
      <c r="P7" t="s">
        <v>2867</v>
      </c>
      <c r="Q7">
        <f>O6+Q6</f>
        <v>2172</v>
      </c>
      <c r="R7" t="s">
        <v>2889</v>
      </c>
      <c r="T7" t="s">
        <v>4427</v>
      </c>
      <c r="U7">
        <f>COUNTIFS(CantoralDB[html],"OK",CantoralDB[link],"&lt;&gt;")</f>
        <v>1070</v>
      </c>
      <c r="W7" s="25">
        <f>U7/Q8</f>
        <v>0.76592698639942736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2.7803521779425394E-3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1397</v>
      </c>
      <c r="R8" t="s">
        <v>2941</v>
      </c>
      <c r="T8" t="s">
        <v>4428</v>
      </c>
      <c r="U8">
        <f>Q8-U7</f>
        <v>327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4.1705282669138094E-3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2.0389249304911955E-2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2.7803521779425394E-3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2.3169601482854493E-3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3.7071362372567192E-3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1.1121408711770158E-2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9.2678405931417972E-3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9.2678405931417972E-3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2.7803521779425394E-3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4.6339202965708986E-3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4.1705282669138094E-3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6.4874884151992582E-3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3.614457831325301E-2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3.9388322520852642E-2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77</v>
      </c>
      <c r="M36" s="16">
        <v>51</v>
      </c>
      <c r="N36" s="22">
        <v>0.66233766233766234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116</v>
      </c>
      <c r="M43" s="16">
        <v>42</v>
      </c>
      <c r="N43" s="22">
        <v>0.36206896551724138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6</v>
      </c>
      <c r="N165" s="22">
        <v>0.3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0</v>
      </c>
      <c r="N193" s="22">
        <v>0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4</v>
      </c>
      <c r="N219" s="22">
        <v>0.8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topLeftCell="I1" workbookViewId="0">
      <selection activeCell="P2" sqref="P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1319</v>
      </c>
      <c r="I1" s="17">
        <f>COUNTA(_xlfn.ANCHORARRAY(I3))</f>
        <v>113</v>
      </c>
      <c r="J1" s="17">
        <f t="shared" ref="J1:Y1" si="0">COUNTA(_xlfn.ANCHORARRAY(J3))</f>
        <v>39</v>
      </c>
      <c r="K1" s="17">
        <f t="shared" si="0"/>
        <v>1</v>
      </c>
      <c r="L1" s="17">
        <f t="shared" si="0"/>
        <v>10</v>
      </c>
      <c r="M1" s="17">
        <f t="shared" si="0"/>
        <v>78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446</v>
      </c>
      <c r="S1" s="17">
        <f t="shared" si="0"/>
        <v>21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85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136</v>
      </c>
      <c r="D3" s="16">
        <v>115</v>
      </c>
      <c r="F3" s="31" t="s">
        <v>2940</v>
      </c>
      <c r="G3" s="30">
        <v>1</v>
      </c>
      <c r="I3" s="17" t="str" cm="1">
        <f t="array" ref="I3:I115">IF($G$2=1,
_xlfn.CHOOSECOLS(_xlfn._xlws.FILTER(CantoralDB[],CantoralDB[Sección]=secciones!I2),IF($G$3=1,22,2)),
_xlfn.CHOOSECOLS(_xlfn._xlws.FILTER(CantoralDB[],(CantoralDB[Sección]=secciones!I2)*(CantoralDB[html]="OK")),IF($G$3=1,22,2)))</f>
        <v>https://open.spotify.com/intl-es/track/45hdRERkPk24IlujX4dlXq?si=4544995abc384cf4</v>
      </c>
      <c r="J3" s="17" t="str" cm="1">
        <f t="array" ref="J3:J41">IF($G$2=1,
_xlfn.CHOOSECOLS(_xlfn._xlws.FILTER(CantoralDB[],CantoralDB[Sección]=secciones!J2),IF($G$3=1,22,2)),
_xlfn.CHOOSECOLS(_xlfn._xlws.FILTER(CantoralDB[],(CantoralDB[Sección]=secciones!J2)*(CantoralDB[html]="OK")),IF($G$3=1,22,2)))</f>
        <v>https://www.youtube.com/watch?v=uP3F9yJdWO8</v>
      </c>
      <c r="K3" s="17" t="str" cm="1">
        <f t="array" ref="K3">IF($G$2=1,
_xlfn.CHOOSECOLS(_xlfn._xlws.FILTER(CantoralDB[],CantoralDB[Sección]=secciones!K2),IF($G$3=1,22,2)),
_xlfn.CHOOSECOLS(_xlfn._xlws.FILTER(CantoralDB[],(CantoralDB[Sección]=secciones!K2)*(CantoralDB[html]="OK")),IF($G$3=1,22,2)))</f>
        <v>https://www.youtube.com/watch?v=9M7iJL9dGr4</v>
      </c>
      <c r="L3" s="17" t="str" cm="1">
        <f t="array" ref="L3:L12">IF($G$2=1,
_xlfn.CHOOSECOLS(_xlfn._xlws.FILTER(CantoralDB[],CantoralDB[Sección]=secciones!L2),IF($G$3=1,22,2)),
_xlfn.CHOOSECOLS(_xlfn._xlws.FILTER(CantoralDB[],(CantoralDB[Sección]=secciones!L2)*(CantoralDB[html]="OK")),IF($G$3=1,22,2)))</f>
        <v>https://www.mercaba.org/Musica/Cesareo%20Gabarain/aclamaciones%20para%20la%20celebracion,%20gabarain%20(m)/01%20porque%20nos%20invitas.mp3</v>
      </c>
      <c r="M3" s="17" t="str" cm="1">
        <f t="array" ref="M3:M80">IF($G$2=1,
_xlfn.CHOOSECOLS(_xlfn._xlws.FILTER(CantoralDB[],CantoralDB[Sección]=secciones!M2),IF($G$3=1,22,2)),
_xlfn.CHOOSECOLS(_xlfn._xlws.FILTER(CantoralDB[],(CantoralDB[Sección]=secciones!M2)*(CantoralDB[html]="OK")),IF($G$3=1,22,2)))</f>
        <v>https://www.youtube.com/watch?v=lBrWCEHK4Bw</v>
      </c>
      <c r="N3" s="17" t="str" cm="1">
        <f t="array" ref="N3:N93">IF($G$2=1,
_xlfn.CHOOSECOLS(_xlfn._xlws.FILTER(CantoralDB[],CantoralDB[Sección]=secciones!N2),IF($G$3=1,22,2)),
_xlfn.CHOOSECOLS(_xlfn._xlws.FILTER(CantoralDB[],(CantoralDB[Sección]=secciones!N2)*(CantoralDB[html]="OK")),IF($G$3=1,22,2)))</f>
        <v>https://www.youtube.com/watch?v=kYFXO4924cU</v>
      </c>
      <c r="O3" s="17" cm="1">
        <f t="array" ref="O3:O4">IF($G$2=1,
_xlfn.CHOOSECOLS(_xlfn._xlws.FILTER(CantoralDB[],CantoralDB[Sección]=secciones!O2),IF($G$3=1,22,2)),
_xlfn.CHOOSECOLS(_xlfn._xlws.FILTER(CantoralDB[],(CantoralDB[Sección]=secciones!O2)*(CantoralDB[html]="OK")),IF($G$3=1,22,2)))</f>
        <v>0</v>
      </c>
      <c r="P3" s="17" t="str" cm="1">
        <f t="array" ref="P3:P192">IF($G$2=1,
_xlfn.CHOOSECOLS(_xlfn._xlws.FILTER(CantoralDB[],CantoralDB[Sección]=secciones!P2),IF($G$3=1,22,2)),
_xlfn.CHOOSECOLS(_xlfn._xlws.FILTER(CantoralDB[],(CantoralDB[Sección]=secciones!P2)*(CantoralDB[html]="OK")),IF($G$3=1,22,2)))</f>
        <v>https://www.youtube.com/watch?v=MiN4BwXl_JQ</v>
      </c>
      <c r="Q3" s="17" t="str" cm="1">
        <f t="array" ref="Q3:Q115">IF($G$2=1,
_xlfn.CHOOSECOLS(_xlfn._xlws.FILTER(CantoralDB[],CantoralDB[Sección]=secciones!Q2),IF($G$3=1,22,2)),
_xlfn.CHOOSECOLS(_xlfn._xlws.FILTER(CantoralDB[],(CantoralDB[Sección]=secciones!Q2)*(CantoralDB[html]="OK")),IF($G$3=1,22,2)))</f>
        <v>https://www.maristes.cat/sites/default/files/content/nodes/recurs/file/8674/2gloriaadios.mp3</v>
      </c>
      <c r="R3" s="17" t="str" cm="1">
        <f t="array" ref="R3:R448">IF($G$2=1,
_xlfn.CHOOSECOLS(_xlfn._xlws.FILTER(CantoralDB[],CantoralDB[Sección]=secciones!R2),IF($G$3=1,22,2)),
_xlfn.CHOOSECOLS(_xlfn._xlws.FILTER(CantoralDB[],(CantoralDB[Sección]=secciones!R2)*(CantoralDB[html]="OK")),IF($G$3=1,22,2)))</f>
        <v>https://open.spotify.com/intl-es/track/1F0uLNlzSh6sN3COwrprqD?si=c753a1de92464054</v>
      </c>
      <c r="S3" s="17" t="str" cm="1">
        <f t="array" ref="S3:S23">IF($G$2=1,
_xlfn.CHOOSECOLS(_xlfn._xlws.FILTER(CantoralDB[],CantoralDB[Sección]=secciones!S2),IF($G$3=1,22,2)),
_xlfn.CHOOSECOLS(_xlfn._xlws.FILTER(CantoralDB[],(CantoralDB[Sección]=secciones!S2)*(CantoralDB[html]="OK")),IF($G$3=1,22,2)))</f>
        <v>https://www.youtube.com/watch?v=k8ibpJ4NKTU</v>
      </c>
      <c r="T3" s="17" cm="1">
        <f t="array" ref="T3:T36">IF($G$2=1,
_xlfn.CHOOSECOLS(_xlfn._xlws.FILTER(CantoralDB[],CantoralDB[Sección]=secciones!T2),IF($G$3=1,22,2)),
_xlfn.CHOOSECOLS(_xlfn._xlws.FILTER(CantoralDB[],(CantoralDB[Sección]=secciones!T2)*(CantoralDB[html]="OK")),IF($G$3=1,22,2)))</f>
        <v>0</v>
      </c>
      <c r="U3" s="17" t="str" cm="1">
        <f t="array" ref="U3:U52">IF($G$2=1,
_xlfn.CHOOSECOLS(_xlfn._xlws.FILTER(CantoralDB[],CantoralDB[Sección]=secciones!U2),IF($G$3=1,22,2)),
_xlfn.CHOOSECOLS(_xlfn._xlws.FILTER(CantoralDB[],(CantoralDB[Sección]=secciones!U2)*(CantoralDB[html]="OK")),IF($G$3=1,22,2)))</f>
        <v>https://www.youtube.com/watch?v=aWqgzEHIBvs</v>
      </c>
      <c r="V3" s="17" t="str" cm="1">
        <f t="array" ref="V3:V80">IF($G$2=1,
_xlfn.CHOOSECOLS(_xlfn._xlws.FILTER(CantoralDB[],CantoralDB[Sección]=secciones!V2),IF($G$3=1,22,2)),
_xlfn.CHOOSECOLS(_xlfn._xlws.FILTER(CantoralDB[],(CantoralDB[Sección]=secciones!V2)*(CantoralDB[html]="OK")),IF($G$3=1,22,2)))</f>
        <v>https://www.youtube.com/watch?v=s3ah9LVIprk</v>
      </c>
      <c r="W3" s="17" t="str" cm="1">
        <f t="array" ref="W3:W87">IF($G$2=1,
_xlfn.CHOOSECOLS(_xlfn._xlws.FILTER(CantoralDB[],CantoralDB[Sección]=secciones!W2),IF($G$3=1,22,2)),
_xlfn.CHOOSECOLS(_xlfn._xlws.FILTER(CantoralDB[],(CantoralDB[Sección]=secciones!W2)*(CantoralDB[html]="OK")),IF($G$3=1,22,2)))</f>
        <v>https://www.youtube.com/watch?v=s3ah9LVIprk</v>
      </c>
      <c r="X3" s="17" t="str" cm="1">
        <f t="array" ref="X3:X29">IF($G$2=1,
_xlfn.CHOOSECOLS(_xlfn._xlws.FILTER(CantoralDB[],CantoralDB[Sección]=secciones!X2),IF($G$3=1,22,2)),
_xlfn.CHOOSECOLS(_xlfn._xlws.FILTER(CantoralDB[],(CantoralDB[Sección]=secciones!X2)*(CantoralDB[html]="OK")),IF($G$3=1,22,2)))</f>
        <v>https://www.youtube.com/watch?v=iM-4A_PZkRI</v>
      </c>
      <c r="Y3" s="17" cm="1">
        <f t="array" ref="Y3:Y21">IF($G$2=1,
_xlfn.CHOOSECOLS(_xlfn._xlws.FILTER(CantoralDB[],CantoralDB[Sección]=secciones!Y2),IF($G$3=1,22,2)),
_xlfn.CHOOSECOLS(_xlfn._xlws.FILTER(CantoralDB[],(CantoralDB[Sección]=secciones!Y2)*(CantoralDB[html]="OK")),IF($G$3=1,22,2)))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https://open.spotify.com/intl-es/track/5Fcz0xhDUSg7nUsrjFylAD?si=0d98458416ed4dbd</v>
      </c>
      <c r="J4" s="17" t="str">
        <v>https://www.youtube.com/watch?v=PH2HbPv8xkY</v>
      </c>
      <c r="L4" s="17" t="str">
        <v>https://www.mercaba.org/Musica/Cesareo%20Gabarain/aclamaciones%20para%20la%20celebracion,%20gabarain%20(m)/02%20se%C3%B1or%20ten%20piedad.mp3</v>
      </c>
      <c r="M4" s="17" t="str">
        <v>https://www.youtube.com/watch?v=axL5j6K2ZYM</v>
      </c>
      <c r="N4" s="17" t="str">
        <v>https://www.youtube.com/watch?v=mZBPREwsQpw</v>
      </c>
      <c r="O4" s="17">
        <v>0</v>
      </c>
      <c r="P4" s="17" t="str">
        <v>https://www.youtube.com/watch?v=mgluzSN5hf0</v>
      </c>
      <c r="Q4" s="17" t="str">
        <v>https://www.maristes.cat/sites/default/files/content/nodes/recurs/file/8675/3quedateaquisenor.mp3</v>
      </c>
      <c r="R4" s="17" t="str">
        <v>https://open.spotify.com/intl-es/track/3Rbt9FAwOSM7zT8gEvXDQF?si=dbac8866a77b4fe9</v>
      </c>
      <c r="S4" s="17">
        <v>0</v>
      </c>
      <c r="T4" s="17" t="str">
        <v>https://www.youtube.com/watch?v=4UrsQiB2h-8</v>
      </c>
      <c r="U4" s="17" t="str">
        <v>https://www.youtube.com/watch?v=BG0dJBl5euk</v>
      </c>
      <c r="V4" s="17" t="str">
        <v>https://www.youtube.com/watch?v=zu0Jh4W-SRI</v>
      </c>
      <c r="W4" s="17" t="str">
        <v>https://www.youtube.com/watch?v=zu0Jh4W-SRI</v>
      </c>
      <c r="X4" s="17" t="str">
        <v>https://www.youtube.com/watch?v=gQCN6ZPCACA</v>
      </c>
      <c r="Y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https://open.spotify.com/intl-es/track/6IbstxKB9xS9RuQqDYTMks?si=823f8686723b438c</v>
      </c>
      <c r="J5" s="17" t="str">
        <v>https://www.youtube.com/watch?v=JQ0DxtLXOek</v>
      </c>
      <c r="L5" s="17" t="str">
        <v>https://www.mercaba.org/Musica/Cesareo%20Gabarain/aclamaciones%20para%20la%20celebracion,%20gabarain%20(m)/03%20gloria.mp3</v>
      </c>
      <c r="M5" s="17" t="str">
        <v>https://www.youtube.com/watch?v=lQQEXqby16w</v>
      </c>
      <c r="N5" s="17" t="str">
        <v>https://www.youtube.com/watch?v=rW9EmUWG3oc</v>
      </c>
      <c r="P5" s="17" t="str">
        <v>https://www.youtube.com/watch?v=VD55isor86A</v>
      </c>
      <c r="Q5" s="17" t="str">
        <v>https://www.maristes.cat/sites/default/files/content/nodes/recurs/file/8681/9atuladosenor.mp3</v>
      </c>
      <c r="R5" s="17" t="str">
        <v>https://www.youtube.com/watch?v=jzE9G65V3uM</v>
      </c>
      <c r="S5" s="17" t="str">
        <v>https://www.youtube.com/watch?v=DcnvRmnrm0s</v>
      </c>
      <c r="T5" s="17" t="str">
        <v>https://www.youtube.com/watch?v=0cJgahJq6_c</v>
      </c>
      <c r="U5" s="17" t="str">
        <v>https://www.youtube.com/watch?v=6A3AS5oavA0</v>
      </c>
      <c r="V5" s="17" t="str">
        <v>https://www.youtube.com/watch?v=Y6HucpyMSyA</v>
      </c>
      <c r="W5" s="17" t="str">
        <v>https://www.youtube.com/watch?v=Y6HucpyMSyA</v>
      </c>
      <c r="X5" s="17" t="str">
        <v>https://www.youtube.com/watch?v=jv8uQXzbpzg</v>
      </c>
      <c r="Y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https://open.spotify.com/intl-es/track/61c2KYQwdLDXO8i1jquizI?si=d911c8eb8adc4bb3</v>
      </c>
      <c r="J6" s="17" t="str">
        <v>https://www.youtube.com/watch?v=IkffnCL0BOU</v>
      </c>
      <c r="L6" s="17" t="str">
        <v>https://www.mercaba.org/Musica/Cesareo%20Gabarain/aclamaciones%20para%20la%20celebracion,%20gabarain%20(m)/04%20salmo%20responsorial%20adviento.mp3</v>
      </c>
      <c r="M6" s="17" t="str">
        <v>https://www.youtube.com/watch?v=IQeABrlhh4I</v>
      </c>
      <c r="N6" s="17" t="str">
        <v>https://www.youtube.com/watch?v=7b1v7i4KRPs</v>
      </c>
      <c r="P6" s="17" t="str">
        <v>https://www.youtube.com/watch?v=9bK1Qiovvuc</v>
      </c>
      <c r="Q6" s="17" t="str">
        <v>https://www.maristes.cat/sites/default/files/content/nodes/recurs/file/8682/10cantodemaria.mp3</v>
      </c>
      <c r="R6" s="17">
        <v>0</v>
      </c>
      <c r="S6" s="17" t="str">
        <v>https://www.youtube.com/watch?v=rpwi0PjxShU</v>
      </c>
      <c r="T6" s="17" t="str">
        <v>https://www.youtube.com/watch?v=iLeFoW2Z4j8</v>
      </c>
      <c r="U6" s="17">
        <v>0</v>
      </c>
      <c r="V6" s="17" t="str">
        <v>https://www.youtube.com/watch?v=N_SouvyZ5v8</v>
      </c>
      <c r="W6" s="17" t="str">
        <v>https://www.youtube.com/watch?v=N_SouvyZ5v8</v>
      </c>
      <c r="X6" s="17" t="str">
        <v>https://www.youtube.com/watch?v=R9tKPYBWdhg</v>
      </c>
      <c r="Y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77</v>
      </c>
      <c r="D7" s="16">
        <v>51</v>
      </c>
      <c r="I7" s="17" t="str">
        <v>https://open.spotify.com/intl-es/track/1kITt1STB7aHSkauwzNJCs?si=fb887986370844d7</v>
      </c>
      <c r="J7" s="17" t="str">
        <v>https://www.youtube.com/watch?v=0bXFCYOhLRw</v>
      </c>
      <c r="L7" s="17" t="str">
        <v>https://www.mercaba.org/Musica/Cesareo%20Gabarain/aclamaciones%20para%20la%20celebracion,%20gabarain%20(m)/05%20salmo%20responsorial%20cuaresma.mp3</v>
      </c>
      <c r="M7" s="17" t="str">
        <v>https://www.youtube.com/watch?v=RElUzQhbeJ8</v>
      </c>
      <c r="N7" s="17" t="str">
        <v>https://www.youtube.com/watch?v=jiOvAIKYcSI</v>
      </c>
      <c r="P7" s="17" t="str">
        <v>https://www.youtube.com/watch?v=kANr5fPH8jY</v>
      </c>
      <c r="Q7" s="17" t="str">
        <v>https://www.maristes.cat/sites/default/files/content/nodes/recurs/file/8683/11tujesus.mp3</v>
      </c>
      <c r="R7" s="17">
        <v>0</v>
      </c>
      <c r="S7" s="17">
        <v>0</v>
      </c>
      <c r="T7" s="17" t="str">
        <v>https://www.maristes.cat/sites/default/files/content/nodes/recurs/file/8719/6himnoadios.mp3</v>
      </c>
      <c r="U7" s="17">
        <v>0</v>
      </c>
      <c r="V7" s="17" t="str">
        <v>https://www.youtube.com/watch?v=-SxCIMC0IqM</v>
      </c>
      <c r="W7" s="17" t="str">
        <v>https://www.youtube.com/watch?v=-SxCIMC0IqM</v>
      </c>
      <c r="X7" s="17" t="str">
        <v>https://www.youtube.com/watch?v=GLYi3ca7t9k</v>
      </c>
      <c r="Y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https://open.spotify.com/intl-es/track/5qspUpcBqHzdozbLPrCSFZ?si=7849e67df0ac418f</v>
      </c>
      <c r="J8" s="17" t="str">
        <v>https://www.youtube.com/watch?v=KVPpDw9q_EY</v>
      </c>
      <c r="L8" s="17" t="str">
        <v>https://www.mercaba.org/Musica/Cesareo%20Gabarain/aclamaciones%20para%20la%20celebracion,%20gabarain%20(m)/06%20salmo%20responsorial%20pascua.mp3</v>
      </c>
      <c r="M8" s="17" t="str">
        <v>https://www.youtube.com/watch?v=pt7xwqSOeD8</v>
      </c>
      <c r="N8" s="17" t="str">
        <v>https://www.youtube.com/watch?v=Jl1pNiAzL3I</v>
      </c>
      <c r="P8" s="17" t="str">
        <v>https://www.youtube.com/watch?v=3fgeg3tV5Vc</v>
      </c>
      <c r="Q8" s="17" t="str">
        <v>https://www.maristes.cat/sites/default/files/content/nodes/recurs/file/8915/2confianzaendios.mp3</v>
      </c>
      <c r="R8" s="17">
        <v>0</v>
      </c>
      <c r="S8" s="17" t="str">
        <v>https://www.youtube.com/watch?v=w7lGynBausw</v>
      </c>
      <c r="T8" s="17" t="str">
        <v>https://www.maristes.cat/sites/default/files/content/nodes/recurs/file/8721/8padremepongoentusmanos.mp3</v>
      </c>
      <c r="U8" s="17">
        <v>0</v>
      </c>
      <c r="V8" s="17" t="str">
        <v>https://www.youtube.com/watch?v=f3uHOfRKv0s</v>
      </c>
      <c r="W8" s="17" t="str">
        <v>https://www.youtube.com/watch?v=rUsxwIHWjk0</v>
      </c>
      <c r="X8" s="17" t="str">
        <v>https://www.youtube.com/watch?v=KUVZLX-0iCs</v>
      </c>
      <c r="Y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116</v>
      </c>
      <c r="D9" s="16">
        <v>42</v>
      </c>
      <c r="I9" s="17" t="str">
        <v>https://open.spotify.com/intl-es/track/0e4gJvX84bIefNwMWLoCAX?si=80b816c7eb584408</v>
      </c>
      <c r="J9" s="17" t="str">
        <v>https://www.youtube.com/watch?v=8y4mHMa_GaM</v>
      </c>
      <c r="L9" s="17" t="str">
        <v>https://www.mercaba.org/Musica/Cesareo%20Gabarain/aclamaciones%20para%20la%20celebracion,%20gabarain%20(m)/07%20salmo%20responsorial%20pentecostes.mp3</v>
      </c>
      <c r="M9" s="17" t="str">
        <v>https://www.youtube.com/watch?v=lLth0-Fxkhw</v>
      </c>
      <c r="N9" s="17" t="str">
        <v>https://www.youtube.com/watch?v=u9AN17vglfE</v>
      </c>
      <c r="P9" s="17" t="str">
        <v>https://www.youtube.com/watch?v=MBBobi2XvOc</v>
      </c>
      <c r="Q9" s="17" t="str">
        <v>https://www.maristes.cat/sites/default/files/content/nodes/recurs/file/8916/3enlaesperanzamadre.mp3</v>
      </c>
      <c r="R9" s="17">
        <v>0</v>
      </c>
      <c r="S9" s="17">
        <v>0</v>
      </c>
      <c r="T9" s="17" t="str">
        <v>https://www.maristes.cat/sites/default/files/content/nodes/recurs/file/8723/10tumesondeas.mp3</v>
      </c>
      <c r="U9" s="17">
        <v>0</v>
      </c>
      <c r="V9" s="17" t="str">
        <v>https://www.youtube.com/watch?v=HP0E62Vb1tI</v>
      </c>
      <c r="W9" s="17" t="str">
        <v>https://www.youtube.com/watch?v=f3uHOfRKv0s</v>
      </c>
      <c r="X9" s="17" t="str">
        <v>https://www.youtube.com/watch?v=0wsDHRh7brA</v>
      </c>
      <c r="Y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https://open.spotify.com/intl-es/track/4uJP6RGSfzBkoXfm8CACfz?si=73a58ca5c1414e95</v>
      </c>
      <c r="J10" s="17" t="str">
        <v>https://www.youtube.com/watch?v=lMD9lqxEOdY</v>
      </c>
      <c r="L10" s="17" t="str">
        <v>https://www.mercaba.org/Musica/Cesareo%20Gabarain/aclamaciones%20para%20la%20celebracion,%20gabarain%20(m)/08%20antes%20del%20evangelio%2001.mp3</v>
      </c>
      <c r="M10" s="17" t="str">
        <v>https://www.youtube.com/watch?v=wVgFMm2OtTU</v>
      </c>
      <c r="N10" s="17" t="str">
        <v>https://www.youtube.com/watch?v=kVb4E74Ihcg</v>
      </c>
      <c r="P10" s="17" t="str">
        <v>https://www.youtube.com/watch?v=dh0huELe4DU</v>
      </c>
      <c r="Q10" s="17" t="str">
        <v>https://www.maristes.cat/sites/default/files/content/nodes/recurs/file/8917/4consencillocorazon.mp3</v>
      </c>
      <c r="R10" s="17">
        <v>0</v>
      </c>
      <c r="S10" s="17" t="str">
        <v>https://www.youtube.com/watch?v=yiRuZloI6d0</v>
      </c>
      <c r="T10" s="17" t="str">
        <v>https://www.maristes.cat/sites/default/files/content/nodes/recurs/file/8724/11elaguadelsenor.mp3</v>
      </c>
      <c r="U10" s="17" t="str">
        <v>https://www.youtube.com/watch?v=CE5cp6VPFA4</v>
      </c>
      <c r="V10" s="17" t="str">
        <v>https://www.youtube.com/watch?v=4yNJyu7Tazs</v>
      </c>
      <c r="W10" s="17" t="str">
        <v>https://www.youtube.com/watch?v=HP0E62Vb1tI</v>
      </c>
      <c r="X10" s="17" t="str">
        <v>https://www.youtube.com/watch?v=2eN1wiAitXQ</v>
      </c>
      <c r="Y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https://open.spotify.com/intl-es/track/52o5a93tqtQVT8H1mVa3rs?si=237aaccb37f94b68</v>
      </c>
      <c r="J11" s="17" t="str">
        <v>https://www.youtube.com/watch?v=uE5e-HqpIXs</v>
      </c>
      <c r="L11" s="17" t="str">
        <v>https://www.mercaba.org/Musica/Cesareo%20Gabarain/aclamaciones%20para%20la%20celebracion,%20gabarain%20(m)/09%20antes%20del%20evangelio%2002.mp3</v>
      </c>
      <c r="M11" s="17" t="str">
        <v>https://www.youtube.com/watch?v=gXdX0VFYsdE</v>
      </c>
      <c r="N11" s="17" t="str">
        <v>https://www.youtube.com/watch?v=L42TNcU4KU8</v>
      </c>
      <c r="P11" s="17" t="str">
        <v>https://www.youtube.com/watch?v=RgPVSsDoFmc</v>
      </c>
      <c r="Q11" s="17" t="str">
        <v>https://www.maristes.cat/sites/default/files/content/nodes/recurs/file/8918/5fraternidad.mp3</v>
      </c>
      <c r="R11" s="17">
        <v>0</v>
      </c>
      <c r="S11" s="17" t="str">
        <v>https://www.youtube.com/watch?v=XuoPNqY5n9A</v>
      </c>
      <c r="T11" s="17" t="str">
        <v>https://www.maristes.cat/sites/default/files/content/nodes/recurs/file/8772/10padrenuestro.mp3</v>
      </c>
      <c r="U11" s="17">
        <v>0</v>
      </c>
      <c r="V11" s="17" t="str">
        <v>https://www.youtube.com/watch?v=gUbwARp-L5o</v>
      </c>
      <c r="W11" s="17" t="str">
        <v>https://www.youtube.com/watch?v=4yNJyu7Tazs</v>
      </c>
      <c r="X11" s="17" t="str">
        <v>https://www.youtube.com/watch?v=cv2C78mBKAw</v>
      </c>
      <c r="Y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https://open.spotify.com/intl-es/track/1AiP0ESlQhVMuzxXpsmcyp?si=291920fa66fa4318</v>
      </c>
      <c r="J12" s="17" t="str">
        <v>https://www.youtube.com/watch?v=rrN6Wf1xFZs</v>
      </c>
      <c r="L12" s="17" t="str">
        <v>https://www.mercaba.org/Musica/Cesareo%20Gabarain/Dios%20con%20Nosotros/07%20-%20Si%20vienes%20conmigo.mp3</v>
      </c>
      <c r="M12" s="17" t="str">
        <v>https://www.youtube.com/watch?v=P2JsZgXXWNI</v>
      </c>
      <c r="N12" s="17" t="str">
        <v>https://www.youtube.com/watch?v=b_POvLgDP1o</v>
      </c>
      <c r="P12" s="17" t="str">
        <v>https://www.youtube.com/watch?v=Svqmvk--yIk</v>
      </c>
      <c r="Q12" s="17" t="str">
        <v>https://www.maristes.cat/sites/default/files/content/nodes/recurs/file/8921/8mantasdecarton.mp3</v>
      </c>
      <c r="R12" s="17">
        <v>0</v>
      </c>
      <c r="S12" s="17" t="str">
        <v>https://www.youtube.com/watch?v=1axSWF5kWVc</v>
      </c>
      <c r="T12" s="17" t="str">
        <v>https://www.youtube.com/watch?v=tKSM_vijkgE</v>
      </c>
      <c r="U12" s="17">
        <v>0</v>
      </c>
      <c r="V12" s="17" t="str">
        <v>https://www.youtube.com/watch?v=HBQkgtySUQM</v>
      </c>
      <c r="W12" s="17" t="str">
        <v>https://www.youtube.com/watch?v=gUbwARp-L5o</v>
      </c>
      <c r="X12" s="17" t="str">
        <v>https://www.youtube.com/watch?v=pQLd28okoSM</v>
      </c>
      <c r="Y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https://open.spotify.com/intl-es/track/4804HkPmQkwCH2kF3kwhg6?si=eb80aaa66dfa442b</v>
      </c>
      <c r="J13" s="17" t="str">
        <v>https://www.youtube.com/watch?v=8XP8KdBvGQQ</v>
      </c>
      <c r="M13" s="17" t="str">
        <v>https://www.youtube.com/watch?v=beFI9hzhQxg</v>
      </c>
      <c r="N13" s="17" t="str">
        <v>https://www.youtube.com/watch?v=ZEGAQNARgbc</v>
      </c>
      <c r="P13" s="17" t="str">
        <v>https://www.youtube.com/watch?v=GjDvzzArJ0Y</v>
      </c>
      <c r="Q13" s="17" t="str">
        <v>https://www.maristes.cat/sites/default/files/content/nodes/recurs/file/8922/9sonarunmundomasfeliz.mp3</v>
      </c>
      <c r="R13" s="17">
        <v>0</v>
      </c>
      <c r="S13" s="17" t="str">
        <v>https://www.youtube.com/watch?v=slxWCex0heQ</v>
      </c>
      <c r="T13" s="17" t="str">
        <v>https://www.youtube.com/watch?v=_TROLLdmeT4</v>
      </c>
      <c r="U13" s="17">
        <v>0</v>
      </c>
      <c r="V13" s="17" t="str">
        <v>https://www.youtube.com/watch?v=hEweJKc1xgs</v>
      </c>
      <c r="W13" s="17" t="str">
        <v>https://www.youtube.com/watch?v=HBQkgtySUQM</v>
      </c>
      <c r="X13" s="17" t="str">
        <v>https://www.youtube.com/watch?v=3AqnrfBVJ_g</v>
      </c>
      <c r="Y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https://open.spotify.com/intl-es/track/5Bbi2OqBscgsb9GLPPvIeY?si=e179971c09254637</v>
      </c>
      <c r="J14" s="17" t="str">
        <v>https://www.youtube.com/watch?v=2wwfVdN_R3g</v>
      </c>
      <c r="M14" s="17" t="str">
        <v>https://www.youtube.com/watch?v=Z-LOiyKAKvQ</v>
      </c>
      <c r="N14" s="17" t="str">
        <v>https://www.youtube.com/watch?v=2JyC93ZnfWg</v>
      </c>
      <c r="P14" s="17" t="str">
        <v>https://www.youtube.com/watch?v=KE4tkQRO6V0</v>
      </c>
      <c r="Q14" s="17" t="str">
        <v>https://www.maristes.cat/sites/default/files/content/nodes/recurs/file/8925/trackno01.mp3</v>
      </c>
      <c r="R14" s="17" t="str">
        <v>https://www.youtube.com/watch?v=QOoULjmeZ_0</v>
      </c>
      <c r="S14" s="17" t="str">
        <v>https://www.youtube.com/watch?v=VqCekCOZdcc</v>
      </c>
      <c r="T14" s="17" t="str">
        <v>https://www.youtube.com/watch?v=XIpdZwkbdnY</v>
      </c>
      <c r="U14" s="17">
        <v>0</v>
      </c>
      <c r="V14" s="17" t="str">
        <v>https://www.youtube.com/watch?v=pPeiwHhNOGo</v>
      </c>
      <c r="W14" s="17" t="str">
        <v>https://www.youtube.com/watch?v=hEweJKc1xgs</v>
      </c>
      <c r="X14" s="17" t="str">
        <v>https://www.youtube.com/watch?v=DuaCVtri6QU</v>
      </c>
      <c r="Y14" s="17">
        <v>0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https://open.spotify.com/intl-es/track/2bC2Iiuh9dsOg1VG9bOGVk?si=af7c8eea8e734cf9</v>
      </c>
      <c r="J15" s="17" t="str">
        <v>https://www.youtube.com/watch?v=C9dNLZ8XhTw</v>
      </c>
      <c r="M15" s="17" t="str">
        <v>https://www.youtube.com/watch?v=K4YaOuSipq0</v>
      </c>
      <c r="N15" s="17" t="str">
        <v>https://www.youtube.com/watch?v=unA8KsLyp2Y</v>
      </c>
      <c r="P15" s="17" t="str">
        <v>https://www.youtube.com/watch?v=lNVbMFhGCNo</v>
      </c>
      <c r="Q15" s="17" t="str">
        <v>https://www.maristes.cat/sites/default/files/content/nodes/recurs/file/8926/trackno02.mp3</v>
      </c>
      <c r="R15" s="17">
        <v>0</v>
      </c>
      <c r="S15" s="17">
        <v>0</v>
      </c>
      <c r="T15" s="17" t="str">
        <v>https://www.youtube.com/watch?v=essw1fppwDY</v>
      </c>
      <c r="U15" s="17">
        <v>0</v>
      </c>
      <c r="V15" s="17" t="str">
        <v>https://www.youtube.com/watch?v=A6PxqOLW_nU</v>
      </c>
      <c r="W15" s="17" t="str">
        <v>https://www.youtube.com/watch?v=pPeiwHhNOGo</v>
      </c>
      <c r="X15" s="17" t="str">
        <v>https://www.youtube.com/watch?v=55gD-KwdjSs</v>
      </c>
      <c r="Y15" s="17">
        <v>0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https://www.youtube.com/watch?v=ViaYUQp5RHk</v>
      </c>
      <c r="J16" s="17" t="str">
        <v>https://www.youtube.com/watch?v=bdipK6NtEWs</v>
      </c>
      <c r="M16" s="17" t="str">
        <v>https://www.youtube.com/watch?v=3fsEZMXcW9U</v>
      </c>
      <c r="N16" s="17" t="str">
        <v>https://www.youtube.com/watch?v=J3uXT8NqbFg</v>
      </c>
      <c r="P16" s="17" t="str">
        <v>https://www.youtube.com/watch?v=ADLr5iKsqBs</v>
      </c>
      <c r="Q16" s="17" t="str">
        <v>https://www.maristes.cat/sites/default/files/content/nodes/recurs/file/8927/trackno03.mp3</v>
      </c>
      <c r="R16" s="17">
        <v>0</v>
      </c>
      <c r="S16" s="17" t="str">
        <v>https://www.youtube.com/watch?v=bpvx3uFc48I</v>
      </c>
      <c r="T16" s="17" t="str">
        <v>https://www.youtube.com/watch?v=UruH6CJIS6M</v>
      </c>
      <c r="U16" s="17">
        <v>0</v>
      </c>
      <c r="V16" s="17" t="str">
        <v>https://www.youtube.com/watch?v=uoEmNvmW6ec</v>
      </c>
      <c r="W16" s="17" t="str">
        <v>https://www.youtube.com/watch?v=A6PxqOLW_nU</v>
      </c>
      <c r="X16" s="17" t="str">
        <v>https://www.youtube.com/watch?v=jP7zsYKbaKw</v>
      </c>
      <c r="Y16" s="17">
        <v>0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https://www.youtube.com/watch?v=-VdcljDSRgU</v>
      </c>
      <c r="J17" s="17" t="str">
        <v>https://www.youtube.com/watch?v=Ecv7pTkrWSY</v>
      </c>
      <c r="M17" s="17" t="str">
        <v>https://www.youtube.com/watch?v=vkBzkZ9B5yM</v>
      </c>
      <c r="N17" s="17" t="str">
        <v>https://www.youtube.com/watch?v=NWJ5cOEhBcs</v>
      </c>
      <c r="P17" s="17" t="str">
        <v>https://www.youtube.com/watch?v=QJhQt1sj1hg</v>
      </c>
      <c r="Q17" s="17" t="str">
        <v>https://www.maristes.cat/sites/default/files/content/nodes/recurs/file/8929/trackno05.mp3</v>
      </c>
      <c r="R17" s="17" t="str">
        <v>https://www.youtube.com/watch?v=_Ro7UwTGu-s</v>
      </c>
      <c r="S17" s="17">
        <v>0</v>
      </c>
      <c r="T17" s="17" t="str">
        <v>https://www.youtube.com/watch?v=XtUWmCv3dNs</v>
      </c>
      <c r="U17" s="17" t="str">
        <v>https://www.youtube.com/watch?v=BKouxXuTeME</v>
      </c>
      <c r="V17" s="17" t="str">
        <v>https://www.youtube.com/watch?v=V2DwSllqWZw</v>
      </c>
      <c r="W17" s="17" t="str">
        <v>https://www.youtube.com/watch?v=uoEmNvmW6ec</v>
      </c>
      <c r="X17" s="17" t="str">
        <v>https://www.youtube.com/watch?v=BUk4HldkYHQ</v>
      </c>
      <c r="Y17" s="17">
        <v>0</v>
      </c>
    </row>
    <row r="18" spans="1:25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https://www.youtube.com/watch?v=oSPCNIvKDsk</v>
      </c>
      <c r="J18" s="17" t="str">
        <v>https://www.youtube.com/watch?v=2JHrwn8Zegs</v>
      </c>
      <c r="M18" s="17" t="str">
        <v>https://www.youtube.com/watch?v=oMS0EjCl_Ek</v>
      </c>
      <c r="N18" s="17" t="str">
        <v>https://www.youtube.com/watch?v=2DhAlA34aMs</v>
      </c>
      <c r="P18" s="17" t="str">
        <v>https://www.youtube.com/watch?v=eV6E1BJS1qM</v>
      </c>
      <c r="Q18" s="17" t="str">
        <v>https://www.maristes.cat/sites/default/files/content/nodes/recurs/file/8930/trackno06.mp3</v>
      </c>
      <c r="R18" s="17" t="str">
        <v>https://www.youtube.com/watch?v=frPiM5SPG9c</v>
      </c>
      <c r="S18" s="17">
        <v>0</v>
      </c>
      <c r="T18" s="17" t="str">
        <v>https://www.youtube.com/watch?v=LHYuOBf5ReM</v>
      </c>
      <c r="U18" s="17">
        <v>0</v>
      </c>
      <c r="V18" s="17" t="str">
        <v>https://www.youtube.com/watch?v=3g8Ju0IqFII</v>
      </c>
      <c r="W18" s="17" t="str">
        <v>https://www.youtube.com/watch?v=V2DwSllqWZw</v>
      </c>
      <c r="X18" s="17" t="str">
        <v>https://www.youtube.com/watch?v=Dmxva9tDmpg</v>
      </c>
      <c r="Y18" s="17">
        <v>0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https://www.youtube.com/watch?v=olJfjn3LP7g</v>
      </c>
      <c r="J19" s="17" t="str">
        <v>https://www.youtube.com/watch?v=sDh87ZVsOzA</v>
      </c>
      <c r="M19" s="17" t="str">
        <v>https://www.youtube.com/watch?v=sSiMvxoqYZE</v>
      </c>
      <c r="N19" s="17" t="str">
        <v>https://www.youtube.com/watch?v=usvRwJjwrlE</v>
      </c>
      <c r="P19" s="17" t="str">
        <v>https://www.youtube.com/watch?v=utzU-lz6OoQ</v>
      </c>
      <c r="Q19" s="17" t="str">
        <v>https://www.maristes.cat/sites/default/files/content/nodes/recurs/file/8931/trackno07.mp3</v>
      </c>
      <c r="R19" s="17" t="str">
        <v>https://www.youtube.com/watch?v=9rqToBR9OL0</v>
      </c>
      <c r="S19" s="17">
        <v>0</v>
      </c>
      <c r="T19" s="17" t="str">
        <v>https://www.youtube.com/watch?v=Kpyl0DDOr1M</v>
      </c>
      <c r="U19" s="17">
        <v>0</v>
      </c>
      <c r="V19" s="17" t="str">
        <v>https://www.youtube.com/watch?v=TxrkTH4keL4</v>
      </c>
      <c r="W19" s="17" t="str">
        <v>https://www.youtube.com/watch?v=3g8Ju0IqFII</v>
      </c>
      <c r="X19" s="17" t="str">
        <v>https://www.youtube.com/watch?v=9-3PBwLcCQo</v>
      </c>
      <c r="Y19" s="17">
        <v>0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https://www.youtube.com/watch?v=Ci6dfFOm4_k</v>
      </c>
      <c r="J20" s="17" t="str">
        <v>https://www.youtube.com/watch?v=ecuHob18VYY</v>
      </c>
      <c r="M20" s="17">
        <v>0</v>
      </c>
      <c r="N20" s="17" t="str">
        <v>https://www.youtube.com/watch?v=TcVPy1H66A8</v>
      </c>
      <c r="P20" s="17" t="str">
        <v>https://www.youtube.com/watch?v=D0Eg158og7M</v>
      </c>
      <c r="Q20" s="17" t="str">
        <v>https://www.maristes.cat/sites/default/files/content/nodes/recurs/file/8933/trackno09.mp3</v>
      </c>
      <c r="R20" s="17" t="str">
        <v>https://www.youtube.com/watch?v=m02931E7zn4</v>
      </c>
      <c r="S20" s="17" t="str">
        <v>https://www.youtube.com/watch?v=Jj8X5vv5LNY</v>
      </c>
      <c r="T20" s="17" t="str">
        <v>https://www.youtube.com/watch?v=88t9_VW5z6o</v>
      </c>
      <c r="U20" s="17">
        <v>0</v>
      </c>
      <c r="V20" s="17" t="str">
        <v>https://www.youtube.com/watch?v=UHGO6GMUHuY</v>
      </c>
      <c r="W20" s="17" t="str">
        <v>https://www.youtube.com/watch?v=TxrkTH4keL4</v>
      </c>
      <c r="X20" s="17" t="str">
        <v>https://www.youtube.com/watch?v=E_ZKsPdIe9E</v>
      </c>
      <c r="Y20" s="17">
        <v>0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https://www.youtube.com/watch?v=tmLigitmH8c</v>
      </c>
      <c r="J21" s="17" t="str">
        <v>https://www.youtube.com/watch?v=ez5pIGVEcSs</v>
      </c>
      <c r="M21" s="17">
        <v>0</v>
      </c>
      <c r="N21" s="17" t="str">
        <v>https://www.youtube.com/watch?v=G65qK43jixw</v>
      </c>
      <c r="P21" s="17" t="str">
        <v>https://www.youtube.com/watch?v=uABqSwsaRMk</v>
      </c>
      <c r="Q21" s="17" t="str">
        <v>https://www.maristes.cat/sites/default/files/content/nodes/recurs/file/8935/trackno11.mp3</v>
      </c>
      <c r="R21" s="17" t="str">
        <v>https://www.youtube.com/watch?v=BvRe5YpoFHA</v>
      </c>
      <c r="S21" s="17">
        <v>0</v>
      </c>
      <c r="T21" s="17" t="str">
        <v>https://www.youtube.com/watch?v=oJ8DIOKwxhU</v>
      </c>
      <c r="U21" s="17">
        <v>0</v>
      </c>
      <c r="V21" s="17" t="str">
        <v>https://www.youtube.com/watch?v=DSzvbHUxI9g</v>
      </c>
      <c r="W21" s="17" t="str">
        <v>https://www.youtube.com/watch?v=UHGO6GMUHuY</v>
      </c>
      <c r="X21" s="17" t="str">
        <v>https://www.youtube.com/watch?v=WxD4t8MvLr4</v>
      </c>
      <c r="Y21" s="17">
        <v>0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https://www.youtube.com/watch?v=r35z2wxWeRg</v>
      </c>
      <c r="J22" s="17" t="str">
        <v>https://www.youtube.com/watch?v=lBptuQOHTlU</v>
      </c>
      <c r="M22" s="17">
        <v>0</v>
      </c>
      <c r="N22" s="17" t="str">
        <v>https://www.youtube.com/watch?v=8ETdEBpBplo</v>
      </c>
      <c r="P22" s="17" t="str">
        <v>https://www.youtube.com/watch?v=ix6zYzCFjwc</v>
      </c>
      <c r="Q22" s="17" t="str">
        <v>https://www.maristes.cat/sites/default/files/content/nodes/recurs/file/8924/escuchamaria.mp3</v>
      </c>
      <c r="R22" s="17" t="str">
        <v>https://www.youtube.com/watch?v=dbdoPhG1LKw</v>
      </c>
      <c r="S22" s="17">
        <v>0</v>
      </c>
      <c r="T22" s="17" t="str">
        <v>https://www.youtube.com/watch?v=KwQwKNU8Q1I</v>
      </c>
      <c r="U22" s="17">
        <v>0</v>
      </c>
      <c r="V22" s="17" t="str">
        <v>https://www.youtube.com/watch?v=A53YevNFWVo</v>
      </c>
      <c r="W22" s="17" t="str">
        <v>https://www.youtube.com/watch?v=DSzvbHUxI9g</v>
      </c>
      <c r="X22" s="17" t="str">
        <v>https://www.youtube.com/watch?v=cCc4XYUHxpE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https://www.youtube.com/watch?v=RDeL9aZBMlk</v>
      </c>
      <c r="J23" s="17" t="str">
        <v>https://www.youtube.com/watch?v=GzwGjB13QyQ</v>
      </c>
      <c r="M23" s="17">
        <v>0</v>
      </c>
      <c r="N23" s="17" t="str">
        <v>https://www.youtube.com/watch?v=vltzGzkiyXs</v>
      </c>
      <c r="P23" s="17" t="str">
        <v>https://www.youtube.com/watch?v=RTl6lFJsBpY</v>
      </c>
      <c r="Q23" s="17" t="str">
        <v>https://www.maristes.cat/sites/default/files/content/nodes/recurs/file/8869/4jesusteama.mp3</v>
      </c>
      <c r="R23" s="17" t="str">
        <v>https://www.youtube.com/watch?v=Fr8u-vCj9JY</v>
      </c>
      <c r="S23" s="17">
        <v>0</v>
      </c>
      <c r="T23" s="17" t="str">
        <v>https://www.youtube.com/watch?v=pogsTHrqkxU</v>
      </c>
      <c r="U23" s="17">
        <v>0</v>
      </c>
      <c r="V23" s="17" t="str">
        <v>https://www.youtube.com/watch?v=Zkwri57b4gY</v>
      </c>
      <c r="W23" s="17" t="str">
        <v>https://www.youtube.com/watch?v=A53YevNFWVo</v>
      </c>
      <c r="X23" s="17" t="str">
        <v>https://www.youtube.com/watch?v=4t3qx24ub9Y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https://www.youtube.com/watch?v=HCtwvIyrFSk</v>
      </c>
      <c r="J24" s="17" t="str">
        <v>https://www.youtube.com/watch?v=JDduda_l7QM</v>
      </c>
      <c r="M24" s="17">
        <v>0</v>
      </c>
      <c r="N24" s="17" t="str">
        <v>https://www.youtube.com/watch?v=8-WurxcHaSE</v>
      </c>
      <c r="P24" s="17" t="str">
        <v>https://www.youtube.com/watch?v=IUtWyyNI5KE</v>
      </c>
      <c r="Q24" s="17" t="str">
        <v>https://www.maristes.cat/sites/default/files/content/nodes/recurs/file/8870/5canticodelascriaturas.mp3</v>
      </c>
      <c r="R24" s="17" t="str">
        <v>https://www.youtube.com/watch?v=Rsz6KruYK7Q</v>
      </c>
      <c r="T24" s="17" t="str">
        <v>https://www.youtube.com/watch?v=XMW4yOvm3Kk</v>
      </c>
      <c r="U24" s="17" t="str">
        <v>https://www.youtube.com/watch?v=WNHK4BkEMis</v>
      </c>
      <c r="V24" s="17" t="str">
        <v>https://www.youtube.com/watch?v=8ke4CsNDfN0</v>
      </c>
      <c r="W24" s="17" t="str">
        <v>https://www.youtube.com/watch?v=2B9x8InUa5w</v>
      </c>
      <c r="X24" s="17" t="str">
        <v>https://www.youtube.com/watch?v=YJYPcdOhCJo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https://www.youtube.com/watch?v=RoDc0b7n_eQ</v>
      </c>
      <c r="J25" s="17" t="str">
        <v>https://www.youtube.com/watch?v=wQoRNoFS_-k</v>
      </c>
      <c r="M25" s="17">
        <v>0</v>
      </c>
      <c r="N25" s="17" t="str">
        <v>https://www.youtube.com/watch?v=LsSmcUoZs2s</v>
      </c>
      <c r="P25" s="17" t="str">
        <v>https://www.youtube.com/watch?v=RJvimDF7jlw</v>
      </c>
      <c r="Q25" s="17" t="str">
        <v>https://www.maristes.cat/sites/default/files/content/nodes/recurs/file/8871/6yanoquedatiempo.mp3</v>
      </c>
      <c r="R25" s="17" t="str">
        <v>https://www.youtube.com/watch?v=rb24HDWkCnA</v>
      </c>
      <c r="T25" s="17" t="str">
        <v>https://www.youtube.com/watch?v=RBbbPNeLt9c</v>
      </c>
      <c r="U25" s="17" t="str">
        <v>https://www.youtube.com/watch?v=x-gJK52EB4c</v>
      </c>
      <c r="V25" s="17" t="str">
        <v>https://www.youtube.com/watch?v=mwRMT2_pi9c</v>
      </c>
      <c r="W25" s="17" t="str">
        <v>https://www.youtube.com/watch?v=Zkwri57b4gY</v>
      </c>
      <c r="X25" s="17" t="str">
        <v>https://www.youtube.com/watch?v=5s9NbfvVKAA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https://www.youtube.com/watch?v=SZExwPSdQco</v>
      </c>
      <c r="J26" s="17" t="str">
        <v>https://www.youtube.com/watch?v=JmV7CgVv69U</v>
      </c>
      <c r="M26" s="17">
        <v>0</v>
      </c>
      <c r="N26" s="17" t="str">
        <v>https://www.youtube.com/watch?v=TEt70DEsH_Y</v>
      </c>
      <c r="P26" s="17" t="str">
        <v>https://www.youtube.com/watch?v=OyQp6X2ICV8</v>
      </c>
      <c r="Q26" s="17" t="str">
        <v>https://www.maristes.cat/sites/default/files/content/nodes/recurs/file/8876/11eldondelafraternidad.mp3</v>
      </c>
      <c r="R26" s="17" t="str">
        <v>https://www.youtube.com/watch?v=os6wOS6G52w</v>
      </c>
      <c r="T26" s="17" t="str">
        <v>https://www.youtube.com/watch?v=q6mlU-y8VMc</v>
      </c>
      <c r="U26" s="17" t="str">
        <v>https://www.youtube.com/watch?v=06KdbYF8Q6Y</v>
      </c>
      <c r="V26" s="17" t="str">
        <v>https://www.youtube.com/watch?v=sJyIpYxlvqs</v>
      </c>
      <c r="W26" s="17" t="str">
        <v>https://www.youtube.com/watch?v=8ke4CsNDfN0</v>
      </c>
      <c r="X26" s="17" t="str">
        <v>https://www.youtube.com/watch?v=GXgDkfu0eCM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https://www.youtube.com/watch?v=7KVXWdRV7TY</v>
      </c>
      <c r="J27" s="17" t="str">
        <v>https://www.youtube.com/watch?v=tYfR4WjESh4</v>
      </c>
      <c r="M27" s="17">
        <v>0</v>
      </c>
      <c r="N27" s="17" t="str">
        <v>https://www.youtube.com/watch?v=94AmBap4yqc</v>
      </c>
      <c r="P27" s="17" t="str">
        <v>https://www.youtube.com/watch?v=uRoaT4TPMJQ</v>
      </c>
      <c r="Q27" s="17" t="str">
        <v>https://www.maristes.cat/sites/default/files/content/nodes/recurs/file/8788/1jesusesverdad.mp3</v>
      </c>
      <c r="R27" s="17" t="str">
        <v>https://www.youtube.com/watch?v=gLUqpxttp_M</v>
      </c>
      <c r="T27" s="17" t="str">
        <v>https://www.youtube.com/watch?v=l5szV3_nYq4</v>
      </c>
      <c r="U27" s="17">
        <v>0</v>
      </c>
      <c r="V27" s="17" t="str">
        <v>https://www.youtube.com/watch?v=JepPDaMU6EE</v>
      </c>
      <c r="W27" s="17" t="str">
        <v>https://www.youtube.com/watch?v=mwRMT2_pi9c</v>
      </c>
      <c r="X27" s="17" t="str">
        <v>https://www.youtube.com/watch?v=7gb1Tq33ndk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https://www.youtube.com/watch?v=1uwHUrkgnFE</v>
      </c>
      <c r="J28" s="17" t="str">
        <v>https://www.youtube.com/watch?v=SaFivgV85OU</v>
      </c>
      <c r="M28" s="17">
        <v>0</v>
      </c>
      <c r="N28" s="17" t="str">
        <v>https://www.youtube.com/watch?v=Etb_twj8Goo</v>
      </c>
      <c r="P28" s="17" t="str">
        <v>https://www.youtube.com/watch?v=pqKn0rI0Vdo</v>
      </c>
      <c r="Q28" s="17" t="str">
        <v>https://www.maristes.cat/sites/default/files/content/nodes/recurs/file/8791/4nino.mp3</v>
      </c>
      <c r="R28" s="17" t="str">
        <v>https://www.youtube.com/watch?v=vlZ3Nc9Ubf0</v>
      </c>
      <c r="T28" s="17" t="str">
        <v>https://www.youtube.com/watch?v=3mX_KXHG654</v>
      </c>
      <c r="U28" s="17">
        <v>0</v>
      </c>
      <c r="V28" s="17" t="str">
        <v>https://www.youtube.com/watch?v=vfIdWDJbPuY</v>
      </c>
      <c r="W28" s="17" t="str">
        <v>https://www.youtube.com/watch?v=sJyIpYxlvqs</v>
      </c>
      <c r="X28" s="17" t="str">
        <v>https://www.youtube.com/watch?v=Dgljc0WVuuc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https://www.youtube.com/watch?v=tmW2MgnLV1w</v>
      </c>
      <c r="J29" s="17" t="str">
        <v>https://www.youtube.com/watch?v=B4yUBi6qlPE</v>
      </c>
      <c r="M29" s="17">
        <v>0</v>
      </c>
      <c r="N29" s="17" t="str">
        <v>https://www.youtube.com/watch?v=2bal7MXuQs4</v>
      </c>
      <c r="P29" s="17" t="str">
        <v>https://www.youtube.com/watch?v=gHPIYHFetHs</v>
      </c>
      <c r="Q29" s="17" t="str">
        <v>https://www.maristes.cat/sites/default/files/content/nodes/recurs/file/8793/6unavida.mp3</v>
      </c>
      <c r="R29" s="17">
        <v>0</v>
      </c>
      <c r="T29" s="17" t="str">
        <v>https://www.youtube.com/watch?v=wHyl-83H9Ro</v>
      </c>
      <c r="U29" s="17">
        <v>0</v>
      </c>
      <c r="V29" s="17" t="str">
        <v>https://www.youtube.com/watch?v=TpsyCkKu26c</v>
      </c>
      <c r="W29" s="17" t="str">
        <v>https://www.youtube.com/watch?v=JepPDaMU6EE</v>
      </c>
      <c r="X29" s="17" t="str">
        <v>https://www.youtube.com/watch?v=4A1EN1KgTfE</v>
      </c>
    </row>
    <row r="30" spans="1:25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https://www.youtube.com/watch?v=7_OFDsvHNVE</v>
      </c>
      <c r="J30" s="17" t="str">
        <v>https://www.youtube.com/watch?v=J50fiBcxihg</v>
      </c>
      <c r="M30" s="17" t="str">
        <v>https://www.youtube.com/watch?v=fHLr3WXywWY</v>
      </c>
      <c r="N30" s="17" t="str">
        <v>https://www.youtube.com/watch?v=vlYClW8-1Bk</v>
      </c>
      <c r="P30" s="17" t="str">
        <v>https://www.youtube.com/watch?v=3RgkkQDhEZc</v>
      </c>
      <c r="Q30" s="17" t="str">
        <v>https://www.maristes.cat/sites/default/files/content/nodes/recurs/file/8799/9diosenlaciudad.mp3</v>
      </c>
      <c r="R30" s="17">
        <v>0</v>
      </c>
      <c r="T30" s="17" t="str">
        <v>https://www.youtube.com/watch?v=v3KER0rmj3s</v>
      </c>
      <c r="U30" s="17">
        <v>0</v>
      </c>
      <c r="V30" s="17" t="str">
        <v>https://www.youtube.com/watch?v=RvZpVRLfAbc</v>
      </c>
      <c r="W30" s="17" t="str">
        <v>https://www.youtube.com/watch?v=vfIdWDJbPuY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https://www.youtube.com/watch?v=hSQ17dDCQIw</v>
      </c>
      <c r="J31" s="17" t="str">
        <v>https://www.youtube.com/watch?v=hYJ1eV0pxzM</v>
      </c>
      <c r="M31" s="17" t="str">
        <v>https://www.youtube.com/watch?v=fu2tmhW7A1w</v>
      </c>
      <c r="N31" s="17" t="str">
        <v>https://www.youtube.com/watch?v=TzEunLam4xo</v>
      </c>
      <c r="P31" s="17" t="str">
        <v>https://www.youtube.com/watch?v=CpxoNC28QpQ</v>
      </c>
      <c r="Q31" s="17" t="str">
        <v>https://www.maristes.cat/sites/default/files/content/nodes/recurs/file/8801/11somosunafamilia.mp3</v>
      </c>
      <c r="R31" s="17">
        <v>0</v>
      </c>
      <c r="T31" s="17" t="str">
        <v>https://www.youtube.com/watch?v=nMpaTTNWk_M</v>
      </c>
      <c r="U31" s="17">
        <v>0</v>
      </c>
      <c r="V31" s="17" t="str">
        <v>https://www.youtube.com/watch?v=SrTLu4IjdSk</v>
      </c>
      <c r="W31" s="17" t="str">
        <v>https://www.youtube.com/watch?v=TpsyCkKu26c</v>
      </c>
    </row>
    <row r="32" spans="1:25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https://www.youtube.com/watch?v=v9YZeJ4Defo</v>
      </c>
      <c r="J32" s="17" t="str">
        <v>https://www.youtube.com/watch?v=EVlne-7YycA</v>
      </c>
      <c r="M32" s="17" t="str">
        <v>https://www.youtube.com/watch?v=dzZd_u-StZI</v>
      </c>
      <c r="N32" s="17" t="str">
        <v>https://www.youtube.com/watch?v=kLnc_0SRQ-I</v>
      </c>
      <c r="P32" s="17" t="str">
        <v>https://www.youtube.com/watch?v=gw1y6Qd7nmo</v>
      </c>
      <c r="Q32" s="17" t="str">
        <v>https://www.maristes.cat/sites/default/files/content/nodes/recurs/file/8851/2mehasseducidosenor.mp3</v>
      </c>
      <c r="R32" s="17">
        <v>0</v>
      </c>
      <c r="T32" s="17" t="str">
        <v>https://www.youtube.com/watch?v=HsegwQSLVi4</v>
      </c>
      <c r="U32" s="17">
        <v>0</v>
      </c>
      <c r="V32" s="17" t="str">
        <v>https://www.youtube.com/watch?v=exDZF93_lww</v>
      </c>
      <c r="W32" s="17" t="str">
        <v>https://www.youtube.com/watch?v=RvZpVRLfAbc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https://www.youtube.com/watch?v=K0s1qQbn-vA</v>
      </c>
      <c r="J33" s="17" t="str">
        <v>https://www.youtube.com/watch?v=YVY4vSPc1C0</v>
      </c>
      <c r="M33" s="17" t="str">
        <v>https://www.youtube.com/watch?v=R8uF_EBeaQk</v>
      </c>
      <c r="N33" s="17" t="str">
        <v>https://www.youtube.com/watch?v=bif1x_Xcv24</v>
      </c>
      <c r="P33" s="17" t="str">
        <v>https://www.youtube.com/watch?v=vBNMKTE7Wmo</v>
      </c>
      <c r="Q33" s="17" t="str">
        <v>https://www.maristes.cat/sites/default/files/content/nodes/recurs/file/8853/4unavidaquebuscalibertad.mp3</v>
      </c>
      <c r="R33" s="17">
        <v>0</v>
      </c>
      <c r="T33" s="17">
        <v>0</v>
      </c>
      <c r="U33" s="17">
        <v>0</v>
      </c>
      <c r="V33" s="17" t="str">
        <v>https://www.youtube.com/watch?v=mCkrIz-CXgQ</v>
      </c>
      <c r="W33" s="17" t="str">
        <v>https://www.youtube.com/watch?v=kxO47mE_tJ4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https://www.youtube.com/watch?v=-2WX_yU1n8c</v>
      </c>
      <c r="J34" s="17" t="str">
        <v>https://www.youtube.com/watch?v=reGIyPPVyyM</v>
      </c>
      <c r="M34" s="17" t="str">
        <v>https://www.youtube.com/watch?v=qk78HdSDSXI</v>
      </c>
      <c r="N34" s="17" t="str">
        <v>https://www.youtube.com/watch?v=0FaI-o1DQrY</v>
      </c>
      <c r="P34" s="17" t="str">
        <v>https://www.youtube.com/watch?v=qePnDphz148</v>
      </c>
      <c r="Q34" s="17" t="str">
        <v>https://www.maristes.cat/sites/default/files/content/nodes/recurs/file/8854/5nuestrabuenamadre.mp3</v>
      </c>
      <c r="R34" s="17">
        <v>0</v>
      </c>
      <c r="T34" s="17">
        <v>0</v>
      </c>
      <c r="U34" s="17">
        <v>0</v>
      </c>
      <c r="V34" s="17" t="str">
        <v>https://www.youtube.com/watch?v=MYfyoRi3t8I</v>
      </c>
      <c r="W34" s="17" t="str">
        <v>https://www.youtube.com/watch?v=SrTLu4IjdSk</v>
      </c>
    </row>
    <row r="35" spans="1:23" x14ac:dyDescent="0.3">
      <c r="I35" s="17" t="str">
        <v>https://www.youtube.com/watch?v=BcAfMxMzCQg</v>
      </c>
      <c r="J35" s="17" t="str">
        <v>https://www.youtube.com/watch?v=6lv8LnOMFgI</v>
      </c>
      <c r="M35" s="17" t="str">
        <v>https://www.youtube.com/watch?v=COWNBhI4qnA</v>
      </c>
      <c r="N35" s="17" t="str">
        <v>https://www.youtube.com/watch?v=ONwax9iCO0U</v>
      </c>
      <c r="P35" s="17" t="str">
        <v>https://www.youtube.com/watch?v=yu8TJaVcKok</v>
      </c>
      <c r="Q35" s="17" t="str">
        <v>https://www.maristes.cat/sites/default/files/content/nodes/recurs/file/8855/6senoryonosoydigno.mp3</v>
      </c>
      <c r="R35" s="17">
        <v>0</v>
      </c>
      <c r="T35" s="17" t="str">
        <v>https://www.youtube.com/watch?v=nXhvAn69x4A</v>
      </c>
      <c r="U35" s="17">
        <v>0</v>
      </c>
      <c r="V35" s="17" t="str">
        <v>https://www.youtube.com/watch?v=YhJY2Yk3dp0</v>
      </c>
      <c r="W35" s="17" t="str">
        <v>https://www.youtube.com/watch?v=exDZF93_lww</v>
      </c>
    </row>
    <row r="36" spans="1:23" x14ac:dyDescent="0.3">
      <c r="I36" s="17" t="str">
        <v>https://www.youtube.com/watch?v=cPv999ecqJg</v>
      </c>
      <c r="J36" s="17" t="str">
        <v>https://www.youtube.com/watch?v=WAPNK80PuOM</v>
      </c>
      <c r="M36" s="17" t="str">
        <v>https://www.youtube.com/watch?v=fJJnaTKysEk</v>
      </c>
      <c r="N36" s="17" t="str">
        <v>https://www.youtube.com/watch?v=PM7fWcQsnUw</v>
      </c>
      <c r="P36" s="17" t="str">
        <v>https://www.youtube.com/watch?v=1JGdQgRTyNg</v>
      </c>
      <c r="Q36" s="17" t="str">
        <v>https://www.maristes.cat/sites/default/files/content/nodes/recurs/file/8856/7nodurmais.mp3</v>
      </c>
      <c r="R36" s="17">
        <v>0</v>
      </c>
      <c r="T36" s="17">
        <v>0</v>
      </c>
      <c r="U36" s="17">
        <v>0</v>
      </c>
      <c r="V36" s="17" t="str">
        <v>https://www.youtube.com/watch?v=7ig4AfuKpXY</v>
      </c>
      <c r="W36" s="17" t="str">
        <v>https://www.youtube.com/watch?v=mCkrIz-CXgQ</v>
      </c>
    </row>
    <row r="37" spans="1:23" x14ac:dyDescent="0.3">
      <c r="I37" s="17" t="str">
        <v>https://www.youtube.com/watch?v=OL3mwDeezXg</v>
      </c>
      <c r="J37" s="17" t="str">
        <v>https://www.youtube.com/watch?v=cYVMWpDDlqY</v>
      </c>
      <c r="M37" s="17" t="str">
        <v>https://www.youtube.com/watch?v=1w-gdh41WHM</v>
      </c>
      <c r="N37" s="17" t="str">
        <v>https://www.youtube.com/watch?v=e0Wy6ybLtjY</v>
      </c>
      <c r="P37" s="17" t="str">
        <v>https://www.youtube.com/watch?v=0ZZjCpcZyh4</v>
      </c>
      <c r="Q37" s="17" t="str">
        <v>https://www.maristes.cat/sites/default/files/content/nodes/recurs/file/8861/8senormetienesanteti.mp3</v>
      </c>
      <c r="R37" s="17">
        <v>0</v>
      </c>
      <c r="U37" s="17">
        <v>0</v>
      </c>
      <c r="V37" s="17" t="str">
        <v>https://www.youtube.com/watch?v=hpmGy83z4nc</v>
      </c>
      <c r="W37" s="17" t="str">
        <v>https://www.youtube.com/watch?v=MYfyoRi3t8I</v>
      </c>
    </row>
    <row r="38" spans="1:23" x14ac:dyDescent="0.3">
      <c r="I38" s="17" t="str">
        <v>https://www.youtube.com/watch?v=PIDKlltZwHs</v>
      </c>
      <c r="J38" s="17" t="str">
        <v>https://www.youtube.com/watch?v=-y5MDGjleA4</v>
      </c>
      <c r="M38" s="17" t="str">
        <v>https://www.youtube.com/watch?v=gUOmUJxIPUE</v>
      </c>
      <c r="N38" s="17" t="str">
        <v>https://www.youtube.com/watch?v=ZySnjUi2pFI</v>
      </c>
      <c r="P38" s="17" t="str">
        <v>https://www.youtube.com/watch?v=zgwOG-uLQOk</v>
      </c>
      <c r="Q38" s="17" t="str">
        <v>https://www.maristes.cat/sites/default/files/content/nodes/recurs/file/8863/10tullamada.mp3</v>
      </c>
      <c r="R38" s="17">
        <v>0</v>
      </c>
      <c r="U38" s="17" t="str">
        <v>https://www.youtube.com/watch?v=dTv5uI_DRFo</v>
      </c>
      <c r="V38" s="17" t="str">
        <v>https://www.youtube.com/watch?v=pi-j7Ume4KU</v>
      </c>
      <c r="W38" s="17" t="str">
        <v>https://www.youtube.com/watch?v=YhJY2Yk3dp0</v>
      </c>
    </row>
    <row r="39" spans="1:23" x14ac:dyDescent="0.3">
      <c r="I39" s="17" t="str">
        <v>https://www.youtube.com/watch?v=Lj1cU_i2o8s</v>
      </c>
      <c r="J39" s="17" t="str">
        <v>https://www.youtube.com/watch?v=pDD2leGBXLo</v>
      </c>
      <c r="M39" s="17" t="str">
        <v>https://www.youtube.com/watch?v=3SRMDxeSDGg</v>
      </c>
      <c r="N39" s="17" t="str">
        <v>https://www.youtube.com/watch?v=3kh9igqJvIQ</v>
      </c>
      <c r="P39" s="17" t="str">
        <v>https://www.youtube.com/watch?v=mrw-ZHQnkhA</v>
      </c>
      <c r="Q39" s="17" t="str">
        <v>https://www.maristes.cat/sites/default/files/content/nodes/recurs/file/8864/11noesfacil.mp3</v>
      </c>
      <c r="R39" s="17">
        <v>0</v>
      </c>
      <c r="U39" s="17" t="str">
        <v>https://www.youtube.com/watch?v=Utg7wtSDJOU</v>
      </c>
      <c r="V39" s="17" t="str">
        <v>https://www.youtube.com/watch?v=Q1Ze4NaD9Ew</v>
      </c>
      <c r="W39" s="17" t="str">
        <v>https://www.youtube.com/watch?v=7ig4AfuKpXY</v>
      </c>
    </row>
    <row r="40" spans="1:23" x14ac:dyDescent="0.3">
      <c r="I40" s="17" t="str">
        <v>https://www.youtube.com/watch?v=7jrPsZ2oZ8A</v>
      </c>
      <c r="J40" s="17" t="str">
        <v>https://www.youtube.com/watch?v=PZe14eFmXLs</v>
      </c>
      <c r="M40" s="17" t="str">
        <v>https://www.youtube.com/watch?v=r7RX48keBJ0</v>
      </c>
      <c r="N40" s="17" t="str">
        <v>https://www.youtube.com/watch?v=k9niro6bf1U</v>
      </c>
      <c r="P40" s="17" t="str">
        <v>https://www.youtube.com/watch?v=azZVCIlLFjc</v>
      </c>
      <c r="Q40" s="17" t="str">
        <v>https://www.maristes.cat/sites/default/files/content/nodes/recurs/file/8865/12nacidosdelacruz.mp3</v>
      </c>
      <c r="R40" s="17">
        <v>0</v>
      </c>
      <c r="U40" s="17" t="str">
        <v>https://www.youtube.com/watch?v=gQTkSndgz-E</v>
      </c>
      <c r="V40" s="17" t="str">
        <v>https://www.youtube.com/watch?v=PEW4y8pprpk</v>
      </c>
      <c r="W40" s="17" t="str">
        <v>https://www.youtube.com/watch?v=hpmGy83z4nc</v>
      </c>
    </row>
    <row r="41" spans="1:23" x14ac:dyDescent="0.3">
      <c r="I41" s="17" t="str">
        <v>https://www.youtube.com/watch?v=A_0k2261UAM</v>
      </c>
      <c r="J41" s="17" t="str">
        <v>https://www.youtube.com/watch?v=75pS65XwjAU</v>
      </c>
      <c r="M41" s="17" t="str">
        <v>https://www.youtube.com/watch?v=EsOVYuZGAP0</v>
      </c>
      <c r="N41" s="17" t="str">
        <v>https://www.youtube.com/watch?v=CiFC6AIKPjA</v>
      </c>
      <c r="P41" s="17" t="str">
        <v>https://www.youtube.com/watch?v=s2cXLUg1o0g</v>
      </c>
      <c r="Q41" s="17" t="str">
        <v>https://www.maristes.cat/sites/default/files/content/nodes/recurs/file/8720/7vensenorjesus.mp3</v>
      </c>
      <c r="R41" s="17">
        <v>0</v>
      </c>
      <c r="U41" s="17">
        <v>0</v>
      </c>
      <c r="V41" s="17" t="str">
        <v>https://www.youtube.com/watch?v=5G3BZYLyg6c</v>
      </c>
      <c r="W41" s="17" t="str">
        <v>https://www.youtube.com/watch?v=pi-j7Ume4KU</v>
      </c>
    </row>
    <row r="42" spans="1:23" x14ac:dyDescent="0.3">
      <c r="I42" s="17" t="str">
        <v>https://www.youtube.com/watch?v=ViFGpblE-20</v>
      </c>
      <c r="M42" s="17" t="str">
        <v>https://www.youtube.com/watch?v=G9CiQqXwiXs</v>
      </c>
      <c r="N42" s="17" t="str">
        <v>https://www.youtube.com/watch?v=oRmnNpXBFdw</v>
      </c>
      <c r="P42" s="17" t="str">
        <v>https://www.youtube.com/watch?v=ElTed6PGDeA</v>
      </c>
      <c r="Q42" s="17" t="str">
        <v>https://www.maristes.cat/sites/default/files/content/nodes/recurs/file/8725/12cantajerusalen.mp3</v>
      </c>
      <c r="R42" s="17">
        <v>0</v>
      </c>
      <c r="U42" s="17">
        <v>0</v>
      </c>
      <c r="V42" s="17" t="str">
        <v>https://www.youtube.com/watch?v=_tMst8n-W_4</v>
      </c>
      <c r="W42" s="17" t="str">
        <v>https://www.youtube.com/watch?v=Q1Ze4NaD9Ew</v>
      </c>
    </row>
    <row r="43" spans="1:23" x14ac:dyDescent="0.3">
      <c r="I43" s="17" t="str">
        <v>https://www.youtube.com/watch?v=1xj8R5jOSbw</v>
      </c>
      <c r="M43" s="17" t="str">
        <v>https://www.youtube.com/watch?v=OyLq7J3--AI</v>
      </c>
      <c r="N43" s="17" t="str">
        <v>https://www.youtube.com/watch?v=Cwjg6eBBZMo</v>
      </c>
      <c r="P43" s="17" t="str">
        <v>https://www.youtube.com/watch?v=Pn7YiNkfRaM</v>
      </c>
      <c r="Q43" s="17" t="str">
        <v>https://www.maristes.cat/sites/default/files/content/nodes/recurs/file/9155/05diremosquesi.wav</v>
      </c>
      <c r="R43" s="17">
        <v>0</v>
      </c>
      <c r="U43" s="17">
        <v>0</v>
      </c>
      <c r="V43" s="17" t="str">
        <v>https://www.youtube.com/watch?v=V-pZp2OQm_0</v>
      </c>
      <c r="W43" s="17" t="str">
        <v>https://www.youtube.com/watch?v=PEW4y8pprpk</v>
      </c>
    </row>
    <row r="44" spans="1:23" x14ac:dyDescent="0.3">
      <c r="I44" s="17" t="str">
        <v>https://www.youtube.com/watch?v=EOdBhPwOKvs</v>
      </c>
      <c r="M44" s="17" t="str">
        <v>https://www.youtube.com/watch?v=bB9XvVIANp8</v>
      </c>
      <c r="N44" s="17" t="str">
        <v>https://www.youtube.com/watch?v=Fjzhe0suUgM</v>
      </c>
      <c r="P44" s="17" t="str">
        <v>https://www.youtube.com/watch?v=o7canH6vPyw</v>
      </c>
      <c r="Q44" s="17" t="str">
        <v>https://www.maristes.cat/sites/default/files/content/nodes/recurs/file/9157/07graciasportudon.wav</v>
      </c>
      <c r="R44" s="17">
        <v>0</v>
      </c>
      <c r="U44" s="17" t="str">
        <v>https://www.youtube.com/watch?v=GwuVLMz99vY</v>
      </c>
      <c r="V44" s="17" t="str">
        <v>https://www.youtube.com/watch?v=m6N_QxNTGOc</v>
      </c>
      <c r="W44" s="17" t="str">
        <v>https://www.youtube.com/watch?v=5G3BZYLyg6c</v>
      </c>
    </row>
    <row r="45" spans="1:23" x14ac:dyDescent="0.3">
      <c r="I45" s="17" t="str">
        <v>https://www.youtube.com/watch?v=OIGlQ3VsgwU</v>
      </c>
      <c r="M45" s="17" t="str">
        <v>https://www.youtube.com/watch?v=v-bg5xK1fck</v>
      </c>
      <c r="N45" s="17" t="str">
        <v>https://www.youtube.com/watch?v=cR12p7MeUlA</v>
      </c>
      <c r="P45" s="17" t="str">
        <v>https://www.youtube.com/watch?v=tDLgn6c2KK0</v>
      </c>
      <c r="Q45" s="17" t="str">
        <v>https://www.maristes.cat/sites/default/files/content/nodes/recurs/file/9454/10cortolaroca.mp3</v>
      </c>
      <c r="R45" s="17">
        <v>0</v>
      </c>
      <c r="U45" s="17" t="str">
        <v>https://www.youtube.com/watch?v=E1dvSpZwsvI</v>
      </c>
      <c r="V45" s="17" t="str">
        <v>https://www.youtube.com/watch?v=hQk705tQH6U</v>
      </c>
      <c r="W45" s="17" t="str">
        <v>https://www.youtube.com/watch?v=_tMst8n-W_4</v>
      </c>
    </row>
    <row r="46" spans="1:23" x14ac:dyDescent="0.3">
      <c r="I46" s="17" t="str">
        <v>https://www.youtube.com/watch?v=tfVOkXfSv6U</v>
      </c>
      <c r="M46" s="17" t="str">
        <v>https://www.youtube.com/watch?v=MhwXqKZmy3Y</v>
      </c>
      <c r="N46" s="17" t="str">
        <v>https://www.youtube.com/watch?v=Z5mSr5RAlyc</v>
      </c>
      <c r="P46" s="17" t="str">
        <v>https://www.youtube.com/watch?v=WWwJyCXD-Ds</v>
      </c>
      <c r="Q46" s="17" t="str">
        <v>https://www.maristes.cat/sites/default/files/content/nodes/recurs/file/8739/1avemaria.mp3</v>
      </c>
      <c r="R46" s="17">
        <v>0</v>
      </c>
      <c r="U46" s="17">
        <v>0</v>
      </c>
      <c r="V46" s="17" t="str">
        <v>https://www.youtube.com/watch?v=1ElpNZVhSnQ</v>
      </c>
      <c r="W46" s="17" t="str">
        <v>https://www.youtube.com/watch?v=V-pZp2OQm_0</v>
      </c>
    </row>
    <row r="47" spans="1:23" x14ac:dyDescent="0.3">
      <c r="I47" s="17" t="str">
        <v>https://www.youtube.com/watch?v=l5KM7IsSTKo</v>
      </c>
      <c r="M47" s="17" t="str">
        <v>https://www.youtube.com/watch?v=Qz-wm_PxJwQ</v>
      </c>
      <c r="N47" s="17" t="str">
        <v>https://www.youtube.com/watch?v=qIXB0br_ctc</v>
      </c>
      <c r="P47" s="17" t="str">
        <v>https://ixcis.org/images/discografia/al-otro-lado-del-mar/25-Creadores.mp3</v>
      </c>
      <c r="Q47" s="17" t="str">
        <v>https://www.maristes.cat/sites/default/files/content/nodes/recurs/file/8740/2tuestascerca.mp3</v>
      </c>
      <c r="R47" s="17">
        <v>0</v>
      </c>
      <c r="U47" s="17" t="str">
        <v>https://www.youtube.com/watch?v=ViQlE2MpKes</v>
      </c>
      <c r="V47" s="17" t="str">
        <v>https://www.youtube.com/watch?v=G7gS0D6Dsk8</v>
      </c>
      <c r="W47" s="17" t="str">
        <v>https://www.youtube.com/watch?v=m6N_QxNTGOc</v>
      </c>
    </row>
    <row r="48" spans="1:23" x14ac:dyDescent="0.3">
      <c r="I48" s="17" t="str">
        <v>https://www.youtube.com/watch?v=dfTY2mvKbVI</v>
      </c>
      <c r="M48" s="17" t="str">
        <v>https://www.youtube.com/watch?v=c23MnojHuak</v>
      </c>
      <c r="N48" s="17" t="str">
        <v>https://www.youtube.com/watch?v=hpyfVcKI26U</v>
      </c>
      <c r="P48" s="17" t="str">
        <v>https://www.youtube.com/watch?v=IuTxCt7xyuQ</v>
      </c>
      <c r="Q48" s="17" t="str">
        <v>https://www.maristes.cat/sites/default/files/content/nodes/recurs/file/8741/3madredeloshijospobres.mp3</v>
      </c>
      <c r="R48" s="17">
        <v>0</v>
      </c>
      <c r="U48" s="17" t="str">
        <v>https://www.youtube.com/watch?v=NX8Qj5zB_b4</v>
      </c>
      <c r="V48" s="17" t="str">
        <v>https://www.youtube.com/watch?v=z_34X0UEVQo</v>
      </c>
      <c r="W48" s="17" t="str">
        <v>https://www.youtube.com/watch?v=m6N_QxNTGOc</v>
      </c>
    </row>
    <row r="49" spans="9:23" x14ac:dyDescent="0.3">
      <c r="I49" s="17" t="str">
        <v>https://www.youtube.com/watch?v=pdskwFwT3Mg</v>
      </c>
      <c r="M49" s="17" t="str">
        <v>https://www.youtube.com/watch?v=pxDsn6De9WM</v>
      </c>
      <c r="N49" s="17" t="str">
        <v>https://www.youtube.com/watch?v=BWALkbiwBTw</v>
      </c>
      <c r="P49" s="17" t="str">
        <v>https://www.youtube.com/watch?v=bO_GL-URqzM</v>
      </c>
      <c r="Q49" s="17" t="str">
        <v>https://www.maristes.cat/sites/default/files/content/nodes/recurs/file/8742/4magnificat.mp3</v>
      </c>
      <c r="R49" s="17">
        <v>0</v>
      </c>
      <c r="U49" s="17">
        <v>0</v>
      </c>
      <c r="V49" s="17" t="str">
        <v>https://www.youtube.com/watch?v=d24kzOMC0fA</v>
      </c>
      <c r="W49" s="17" t="str">
        <v>https://www.youtube.com/watch?v=hQk705tQH6U</v>
      </c>
    </row>
    <row r="50" spans="9:23" x14ac:dyDescent="0.3">
      <c r="I50" s="17" t="str">
        <v>https://www.youtube.com/watch?v=uQ77we5P0_M</v>
      </c>
      <c r="M50" s="17" t="str">
        <v>https://www.youtube.com/watch?v=XEL7TtXsEpc</v>
      </c>
      <c r="N50" s="17" t="str">
        <v>https://www.youtube.com/watch?v=ABHgC4sh2uY</v>
      </c>
      <c r="P50" s="17" t="str">
        <v>https://www.youtube.com/watch?v=Pe_CS_zq4Is</v>
      </c>
      <c r="Q50" s="17" t="str">
        <v>https://www.maristes.cat/sites/default/files/content/nodes/recurs/file/8743/5angelus.mp3</v>
      </c>
      <c r="R50" s="17">
        <v>0</v>
      </c>
      <c r="U50" s="17" t="str">
        <v>https://www.youtube.com/watch?v=Lcu-M5vwOi8</v>
      </c>
      <c r="V50" s="17" t="str">
        <v>https://www.youtube.com/watch?v=0LG_MYoiQhs</v>
      </c>
      <c r="W50" s="17" t="str">
        <v>https://www.youtube.com/watch?v=1ElpNZVhSnQ</v>
      </c>
    </row>
    <row r="51" spans="9:23" x14ac:dyDescent="0.3">
      <c r="I51" s="17" t="str">
        <v>https://www.youtube.com/watch?v=ys9P9JlWpAI</v>
      </c>
      <c r="M51" s="17" t="str">
        <v>https://www.youtube.com/watch?v=GMGRgvLtwj8</v>
      </c>
      <c r="N51" s="17" t="str">
        <v>https://www.youtube.com/watch?v=h02A4Rcp3RM</v>
      </c>
      <c r="P51" s="17" t="str">
        <v>https://www.youtube.com/watch?v=PbWop8P6YSg</v>
      </c>
      <c r="Q51" s="17" t="str">
        <v>https://www.maristes.cat/sites/default/files/content/nodes/recurs/file/8744/6graciasmadre.mp3</v>
      </c>
      <c r="R51" s="17">
        <v>0</v>
      </c>
      <c r="U51" s="17" t="str">
        <v>https://www.youtube.com/watch?v=HXz2iuN3pDE</v>
      </c>
      <c r="V51" s="17" t="str">
        <v>https://www.youtube.com/watch?v=hWzXJz98vII</v>
      </c>
      <c r="W51" s="17" t="str">
        <v>https://www.youtube.com/watch?v=G7gS0D6Dsk8</v>
      </c>
    </row>
    <row r="52" spans="9:23" x14ac:dyDescent="0.3">
      <c r="I52" s="17" t="str">
        <v>https://www.youtube.com/watch?v=QWTEC0j2zlc</v>
      </c>
      <c r="M52" s="17" t="str">
        <v>https://www.youtube.com/watch?v=hqiJ3iVRTAI</v>
      </c>
      <c r="N52" s="17" t="str">
        <v>https://www.youtube.com/watch?v=RgVSWsDBee8</v>
      </c>
      <c r="P52" s="17" t="str">
        <v>https://www.youtube.com/watch?v=Y7UfBnJv13w</v>
      </c>
      <c r="Q52" s="17" t="str">
        <v>https://www.maristes.cat/sites/default/files/content/nodes/recurs/file/8747/9arcillaentresusmanos.mp3</v>
      </c>
      <c r="R52" s="17">
        <v>0</v>
      </c>
      <c r="U52" s="17" t="str">
        <v>https://www.youtube.com/watch?v=ZYLTEIGMYjw</v>
      </c>
      <c r="V52" s="17" t="str">
        <v>https://www.youtube.com/watch?v=UbCl2vh-VyU</v>
      </c>
      <c r="W52" s="17" t="str">
        <v>https://www.youtube.com/watch?v=z_34X0UEVQo</v>
      </c>
    </row>
    <row r="53" spans="9:23" x14ac:dyDescent="0.3">
      <c r="I53" s="17" t="str">
        <v>https://www.youtube.com/watch?v=EPtnds2jpnA</v>
      </c>
      <c r="M53" s="17" t="str">
        <v>https://www.youtube.com/watch?v=RZHzMY27QHE</v>
      </c>
      <c r="N53" s="17" t="str">
        <v>https://www.youtube.com/watch?v=e0tLbdOmtm4</v>
      </c>
      <c r="P53" s="17" t="str">
        <v>https://ixcis.org/images/discografia/beber-los-vientos/04-Mi_Dios_en_una_cruz.mp3</v>
      </c>
      <c r="Q53" s="17" t="str">
        <v>https://www.maristes.cat/sites/default/files/content/nodes/recurs/file/8748/10tueresdelsenor.mp3</v>
      </c>
      <c r="R53" s="17">
        <v>0</v>
      </c>
      <c r="V53" s="17" t="str">
        <v>https://www.youtube.com/watch?v=iDByYdT4ItU</v>
      </c>
      <c r="W53" s="17" t="str">
        <v>https://www.youtube.com/watch?v=d24kzOMC0fA</v>
      </c>
    </row>
    <row r="54" spans="9:23" x14ac:dyDescent="0.3">
      <c r="I54" s="17" t="str">
        <v>https://www.youtube.com/watch?v=M4XFEIgvIkc</v>
      </c>
      <c r="M54" s="17" t="str">
        <v>https://www.youtube.com/watch?v=frguu9_KWfQ</v>
      </c>
      <c r="N54" s="17" t="str">
        <v>https://www.youtube.com/watch?v=nktGI5wIkx8</v>
      </c>
      <c r="P54" s="17" t="str">
        <v>https://www.youtube.com/watch?v=ys_YUsDw7NQ</v>
      </c>
      <c r="Q54" s="17" t="str">
        <v>https://www.maristes.cat/sites/default/files/content/nodes/recurs/file/8750/12tueresmaria.mp3</v>
      </c>
      <c r="R54" s="17">
        <v>0</v>
      </c>
      <c r="V54" s="17" t="str">
        <v>https://www.youtube.com/watch?v=OIB8U3bgicc</v>
      </c>
      <c r="W54" s="17" t="str">
        <v>https://www.youtube.com/watch?v=m1-TkJA8K7c</v>
      </c>
    </row>
    <row r="55" spans="9:23" x14ac:dyDescent="0.3">
      <c r="I55" s="17" t="str">
        <v>https://www.youtube.com/watch?v=WD16YktIWxw</v>
      </c>
      <c r="M55" s="17" t="str">
        <v>https://www.youtube.com/watch?v=GvfT0gPkWdM</v>
      </c>
      <c r="N55" s="17" t="str">
        <v>https://www.youtube.com/watch?v=9APEZKs_gdw</v>
      </c>
      <c r="P55" s="17" t="str">
        <v>https://www.youtube.com/watch?v=272YxP_HK3w</v>
      </c>
      <c r="Q55" s="17" t="str">
        <v>https://www.maristes.cat/sites/default/files/content/nodes/recurs/file/8901/1pregonpascual.mp3</v>
      </c>
      <c r="R55" s="17">
        <v>0</v>
      </c>
      <c r="V55" s="17" t="str">
        <v>https://www.youtube.com/watch?v=qzqdu9SzdUA</v>
      </c>
      <c r="W55" s="17" t="str">
        <v>https://www.youtube.com/watch?v=0LG_MYoiQhs</v>
      </c>
    </row>
    <row r="56" spans="9:23" x14ac:dyDescent="0.3">
      <c r="I56" s="17" t="str">
        <v>https://www.youtube.com/watch?v=wdMoEm9LETQ</v>
      </c>
      <c r="M56" s="17" t="str">
        <v>https://www.youtube.com/watch?v=VupYNeJ2s_c</v>
      </c>
      <c r="N56" s="17" t="str">
        <v>https://www.youtube.com/watch?v=JBgAx8LFAVU</v>
      </c>
      <c r="P56" s="17" t="str">
        <v>https://www.youtube.com/watch?v=ZD_cVvRBK_M</v>
      </c>
      <c r="Q56" s="17" t="str">
        <v>https://www.maristes.cat/sites/default/files/content/nodes/recurs/file/8969/1nacidosdemujer.mp3</v>
      </c>
      <c r="R56" s="17" t="str">
        <v>https://www.youtube.com/watch?v=xIjwlEoqkTc</v>
      </c>
      <c r="V56" s="17" t="str">
        <v>https://www.youtube.com/watch?v=qHxe8u2cwfM</v>
      </c>
      <c r="W56" s="17" t="str">
        <v>https://www.youtube.com/watch?v=hWzXJz98vII</v>
      </c>
    </row>
    <row r="57" spans="9:23" x14ac:dyDescent="0.3">
      <c r="I57" s="17" t="str">
        <v>https://www.youtube.com/watch?v=SuhUIQHbI3s</v>
      </c>
      <c r="M57" s="17" t="str">
        <v>https://www.youtube.com/watch?v=yUDCiU7cpJs</v>
      </c>
      <c r="N57" s="17" t="str">
        <v>https://www.youtube.com/watch?v=vtSjNBXs1h8</v>
      </c>
      <c r="P57" s="17" t="str">
        <v>https://www.youtube.com/watch?v=-ZE5Juln7YI</v>
      </c>
      <c r="Q57" s="17" t="str">
        <v>https://www.maristes.cat/sites/default/files/content/nodes/recurs/file/8971/2hacedloqueelosdiga.mp3</v>
      </c>
      <c r="R57" s="17">
        <v>0</v>
      </c>
      <c r="V57" s="17" t="str">
        <v>https://www.youtube.com/watch?v=rHozyLHW_QI</v>
      </c>
      <c r="W57" s="17" t="str">
        <v>https://www.youtube.com/watch?v=UbCl2vh-VyU</v>
      </c>
    </row>
    <row r="58" spans="9:23" x14ac:dyDescent="0.3">
      <c r="I58" s="17" t="str">
        <v>https://www.youtube.com/watch?v=tBiFnURhKtg</v>
      </c>
      <c r="M58" s="17" t="str">
        <v>https://www.youtube.com/watch?v=DAJJQqX3wgQ</v>
      </c>
      <c r="N58" s="17" t="str">
        <v>https://www.youtube.com/watch?v=4LfFg_kLHq4</v>
      </c>
      <c r="P58" s="17" t="str">
        <v>https://www.youtube.com/watch?v=tgl4eWEmfTE</v>
      </c>
      <c r="Q58" s="17" t="str">
        <v>https://www.maristes.cat/sites/default/files/content/nodes/recurs/file/8973/3encomunidad.mp3</v>
      </c>
      <c r="R58" s="17">
        <v>0</v>
      </c>
      <c r="V58" s="17" t="str">
        <v>https://www.youtube.com/watch?v=YOSAx_gBTXc</v>
      </c>
      <c r="W58" s="17" t="str">
        <v>https://www.youtube.com/watch?v=iDByYdT4ItU</v>
      </c>
    </row>
    <row r="59" spans="9:23" x14ac:dyDescent="0.3">
      <c r="I59" s="17" t="str">
        <v>https://www.youtube.com/watch?v=9MdsXtTJ_zk</v>
      </c>
      <c r="M59" s="17" t="str">
        <v>https://www.youtube.com/watch?v=HUt_S2UOKUc</v>
      </c>
      <c r="N59" s="17" t="str">
        <v>https://www.youtube.com/watch?v=bO_KS85NMyE</v>
      </c>
      <c r="P59" s="17" t="str">
        <v>https://www.youtube.com/watch?v=8cOrYJ4FXhE</v>
      </c>
      <c r="Q59" s="17" t="str">
        <v>https://www.maristes.cat/sites/default/files/content/nodes/recurs/file/8975/4danostuespiritu.mp3</v>
      </c>
      <c r="R59" s="17" t="str">
        <v>https://www.youtube.com/watch?v=Ay0Bpr5S6ck</v>
      </c>
      <c r="V59" s="17" t="str">
        <v>https://www.youtube.com/watch?v=pI7PZ0Wvr5M</v>
      </c>
      <c r="W59" s="17" t="str">
        <v>https://www.youtube.com/watch?v=OIB8U3bgicc</v>
      </c>
    </row>
    <row r="60" spans="9:23" x14ac:dyDescent="0.3">
      <c r="I60" s="17" t="str">
        <v>https://www.youtube.com/watch?v=nNYwcUQSJcY</v>
      </c>
      <c r="M60" s="17" t="str">
        <v>https://www.youtube.com/watch?v=Y1NtbTjDslI</v>
      </c>
      <c r="N60" s="17" t="str">
        <v>https://www.youtube.com/watch?v=4tPYE84toRw</v>
      </c>
      <c r="P60" s="17" t="str">
        <v>https://www.youtube.com/watch?v=xxyK0q6UDEk</v>
      </c>
      <c r="Q60" s="17" t="str">
        <v>https://www.maristes.cat/sites/default/files/content/nodes/recurs/file/8977/6gloria.mp3</v>
      </c>
      <c r="R60" s="17" t="str">
        <v>https://www.youtube.com/watch?v=TkI6CtxnIIQ</v>
      </c>
      <c r="V60" s="17" t="str">
        <v>https://www.youtube.com/watch?v=Sq7WgjUc4Z8</v>
      </c>
      <c r="W60" s="17" t="str">
        <v>https://www.youtube.com/watch?v=qzqdu9SzdUA</v>
      </c>
    </row>
    <row r="61" spans="9:23" x14ac:dyDescent="0.3">
      <c r="I61" s="17" t="str">
        <v>https://www.youtube.com/watch?v=uMTi9Cd8n0o</v>
      </c>
      <c r="M61" s="17" t="str">
        <v>https://www.youtube.com/watch?v=FFzeyL8gSpE</v>
      </c>
      <c r="N61" s="17" t="str">
        <v>https://www.youtube.com/watch?v=-yQfvcWxtBA</v>
      </c>
      <c r="P61" s="17" t="str">
        <v>https://www.youtube.com/watch?v=i4vFy-8xpb4</v>
      </c>
      <c r="Q61" s="17" t="str">
        <v>https://www.maristes.cat/sites/default/files/content/nodes/recurs/file/8978/7pequenocorazon.mp3</v>
      </c>
      <c r="R61" s="17">
        <v>0</v>
      </c>
      <c r="V61" s="17" t="str">
        <v>https://www.youtube.com/watch?v=tXCrm0ObU9s</v>
      </c>
      <c r="W61" s="17" t="str">
        <v>https://www.youtube.com/watch?v=qHxe8u2cwfM</v>
      </c>
    </row>
    <row r="62" spans="9:23" x14ac:dyDescent="0.3">
      <c r="I62" s="17" t="str">
        <v>https://www.youtube.com/watch?v=_YzyoKmsedU</v>
      </c>
      <c r="M62" s="17" t="str">
        <v>https://www.youtube.com/watch?v=Nq78Btyn-s8</v>
      </c>
      <c r="N62" s="17" t="str">
        <v>https://www.youtube.com/watch?v=44YVarFD5A8</v>
      </c>
      <c r="P62" s="17" t="str">
        <v>https://www.youtube.com/watch?v=t4L3EjWruZs</v>
      </c>
      <c r="Q62" s="17" t="str">
        <v>https://www.maristes.cat/sites/default/files/content/nodes/recurs/file/8980/9credo.mp3</v>
      </c>
      <c r="R62" s="17" t="str">
        <v>https://www.youtube.com/watch?v=1ZIDUpjkYkg</v>
      </c>
      <c r="V62" s="17" t="str">
        <v>https://www.youtube.com/watch?v=UwEar1JhMYI</v>
      </c>
      <c r="W62" s="17" t="str">
        <v>https://www.youtube.com/watch?v=rHozyLHW_QI</v>
      </c>
    </row>
    <row r="63" spans="9:23" x14ac:dyDescent="0.3">
      <c r="I63" s="17" t="str">
        <v>https://www.youtube.com/watch?v=9uwJOZgkAS0</v>
      </c>
      <c r="M63" s="17" t="str">
        <v>https://www.youtube.com/watch?v=huv1QCkTcBs</v>
      </c>
      <c r="N63" s="17" t="str">
        <v>https://www.youtube.com/watch?v=n8Lxe3tdS88</v>
      </c>
      <c r="P63" s="17" t="str">
        <v>https://ixcis.org/images/discografia/como-uno-de-tantos/01-Ven_y_sigueme.mp3</v>
      </c>
      <c r="Q63" s="17" t="str">
        <v>https://www.maristes.cat/sites/default/files/content/nodes/recurs/file/8981/10creoenti.mp3</v>
      </c>
      <c r="R63" s="17">
        <v>0</v>
      </c>
      <c r="V63" s="17" t="str">
        <v>https://www.youtube.com/watch?v=jGCkrC9R6sc</v>
      </c>
      <c r="W63" s="17" t="str">
        <v>https://www.youtube.com/watch?v=YOSAx_gBTXc</v>
      </c>
    </row>
    <row r="64" spans="9:23" x14ac:dyDescent="0.3">
      <c r="I64" s="17" t="str">
        <v>https://www.youtube.com/watch?v=FiXNnUOjUdY</v>
      </c>
      <c r="M64" s="17" t="str">
        <v>https://www.youtube.com/watch?v=YF7YlGv4sQc</v>
      </c>
      <c r="N64" s="17" t="str">
        <v>https://www.youtube.com/watch?v=mtMx1XR_eVA</v>
      </c>
      <c r="P64" s="17" t="str">
        <v>https://ixcis.org/images/discografia/como-uno-de-tantos/02-Dios_provee.mp3</v>
      </c>
      <c r="Q64" s="17" t="str">
        <v>https://www.maristes.cat/sites/default/files/content/nodes/recurs/file/8982/11alastresdelatarde.mp3</v>
      </c>
      <c r="R64" s="17" t="str">
        <v>https://www.youtube.com/watch?v=amcNuPkMSdY</v>
      </c>
      <c r="V64" s="17" t="str">
        <v>https://www.youtube.com/watch?v=UIUY93HA3aI</v>
      </c>
      <c r="W64" s="17" t="str">
        <v>https://www.youtube.com/watch?v=Sq7WgjUc4Z8</v>
      </c>
    </row>
    <row r="65" spans="9:23" x14ac:dyDescent="0.3">
      <c r="I65" s="17" t="str">
        <v>https://www.youtube.com/watch?v=Y-WdtYun81k</v>
      </c>
      <c r="M65" s="17" t="str">
        <v>https://www.youtube.com/watch?v=fklGOlPLTys</v>
      </c>
      <c r="N65" s="17" t="str">
        <v>https://www.youtube.com/watch?v=1FYGlKuQPaE</v>
      </c>
      <c r="P65" s="17" t="str">
        <v>https://ixcis.org/images/discografia/como-uno-de-tantos/03-Me_desbordas.mp3</v>
      </c>
      <c r="Q65" s="17" t="str">
        <v>https://www.maristes.cat/sites/default/files/content/nodes/recurs/file/8983/12vinonuevo.mp3</v>
      </c>
      <c r="R65" s="17" t="str">
        <v>https://www.mercaba.org/Musica/Cesareo%20Gabarain/Al%20Atardecer%20de%20la%20Vida/01%20-%20Al%20atardecer%20de%20la%20vida.mp3</v>
      </c>
      <c r="V65" s="17" t="str">
        <v>https://www.youtube.com/watch?v=FK20qvW679Y</v>
      </c>
      <c r="W65" s="17" t="str">
        <v>https://www.youtube.com/watch?v=tXCrm0ObU9s</v>
      </c>
    </row>
    <row r="66" spans="9:23" x14ac:dyDescent="0.3">
      <c r="I66" s="17" t="str">
        <v>https://www.youtube.com/watch?v=1vOOKFk4OpI</v>
      </c>
      <c r="M66" s="17" t="str">
        <v>https://www.youtube.com/watch?v=4bUVc5RVIKY</v>
      </c>
      <c r="N66" s="17" t="str">
        <v>https://www.youtube.com/watch?v=G-kG0aZxFpA</v>
      </c>
      <c r="P66" s="17" t="str">
        <v>https://ixcis.org/images/discografia/como-uno-de-tantos/04-El_que_se_ensalza.mp3</v>
      </c>
      <c r="Q66" s="17" t="str">
        <v>https://www.maristes.cat/sites/default/files/content/nodes/recurs/file/8984/13teseguire.mp3</v>
      </c>
      <c r="R66" s="17" t="str">
        <v>https://www.youtube.com/watch?v=KZ6ZjyyZNLE</v>
      </c>
      <c r="V66" s="17" t="str">
        <v>https://www.youtube.com/watch?v=u5JDSOKxxnQ</v>
      </c>
      <c r="W66" s="17" t="str">
        <v>https://www.youtube.com/watch?v=UwEar1JhMYI</v>
      </c>
    </row>
    <row r="67" spans="9:23" x14ac:dyDescent="0.3">
      <c r="I67" s="17" t="str">
        <v>https://www.youtube.com/watch?v=s0bRyeGJwDc</v>
      </c>
      <c r="M67" s="17" t="str">
        <v>https://www.youtube.com/watch?v=LtDM7PhDCGc</v>
      </c>
      <c r="N67" s="17" t="str">
        <v>https://www.youtube.com/watch?v=eV6hkAwXonA</v>
      </c>
      <c r="P67" s="17" t="str">
        <v>https://ixcis.org/images/discografia/como-uno-de-tantos/05-Mis_se%C3%B1ores_y_mis_amos.mp3</v>
      </c>
      <c r="Q67" s="17" t="str">
        <v>https://www.maristes.cat/sites/default/files/content/nodes/recurs/file/8985/14unsolocorazon.mp3</v>
      </c>
      <c r="R67" s="17" t="str">
        <v>https://www.mercaba.org/Musica/Cesareo%20Gabarain/Dios%20con%20Nosotros/01%20-%20%C3%89xodo%20y%20liberaci%C3%B3n.mp3</v>
      </c>
      <c r="V67" s="17" t="str">
        <v>https://www.youtube.com/watch?v=tg3b_a_TlHo</v>
      </c>
      <c r="W67" s="17" t="str">
        <v>https://www.youtube.com/watch?v=jGCkrC9R6sc</v>
      </c>
    </row>
    <row r="68" spans="9:23" x14ac:dyDescent="0.3">
      <c r="I68" s="17" t="str">
        <v>https://www.youtube.com/watch?v=4BUZeMEt5LY</v>
      </c>
      <c r="M68" s="17" t="str">
        <v>https://www.youtube.com/watch?v=ADhdS8a5DZ4</v>
      </c>
      <c r="N68" s="17" t="str">
        <v>https://www.youtube.com/watch?v=dWbjPRB7O1w</v>
      </c>
      <c r="P68" s="17" t="str">
        <v>https://ixcis.org/images/discografia/como-uno-de-tantos/06-Ense%C3%B1ame_el_camino.mp3</v>
      </c>
      <c r="Q68" s="17" t="str">
        <v>https://www.maristes.cat/sites/default/files/content/nodes/recurs/file/8834/1cristosenor.mp3</v>
      </c>
      <c r="R68" s="17" t="str">
        <v>https://www.mercaba.org/Musica/Cesareo%20Gabarain/Dios%20con%20Nosotros/08%20-%20Pescador%20de%20hombres.mp3</v>
      </c>
      <c r="V68" s="17" t="str">
        <v>https://www.youtube.com/watch?v=fIHNsAvNBt4</v>
      </c>
      <c r="W68" s="17" t="str">
        <v>https://www.youtube.com/watch?v=UIUY93HA3aI</v>
      </c>
    </row>
    <row r="69" spans="9:23" x14ac:dyDescent="0.3">
      <c r="I69" s="17" t="str">
        <v>https://www.youtube.com/watch?v=3MOtSAJWRCQ</v>
      </c>
      <c r="M69" s="17" t="str">
        <v>https://www.youtube.com/watch?v=KMkavUMfU_w</v>
      </c>
      <c r="N69" s="17" t="str">
        <v>https://www.youtube.com/watch?v=c03aq5W2RIo</v>
      </c>
      <c r="P69" s="17" t="str">
        <v>https://ixcis.org/images/discografia/como-uno-de-tantos/08-Padre_nuestro.mp3</v>
      </c>
      <c r="Q69" s="17" t="str">
        <v>https://www.maristes.cat/sites/default/files/content/nodes/recurs/file/8835/2tuserasmihermano.mp3</v>
      </c>
      <c r="R69" s="17" t="str">
        <v>https://www.mercaba.org/Musica/Cesareo%20Gabarain/Dios%20con%20Nosotros/09%20-%20Iglesia%20peregrina.mp3</v>
      </c>
      <c r="V69" s="17" t="str">
        <v>https://www.youtube.com/watch?v=xfmynEaYmU8</v>
      </c>
      <c r="W69" s="17" t="str">
        <v>https://www.youtube.com/watch?v=FK20qvW679Y</v>
      </c>
    </row>
    <row r="70" spans="9:23" x14ac:dyDescent="0.3">
      <c r="I70" s="17" t="str">
        <v>https://www.youtube.com/watch?v=vMDjZ5LLo24</v>
      </c>
      <c r="M70" s="17" t="str">
        <v>https://www.youtube.com/watch?v=jrrbKXQPvog</v>
      </c>
      <c r="N70" s="17" t="str">
        <v>https://www.youtube.com/watch?v=QK6In6mIcFs</v>
      </c>
      <c r="P70" s="17" t="str">
        <v>https://ixcis.org/images/discografia/como-uno-de-tantos/09-Adorare.mp3</v>
      </c>
      <c r="Q70" s="17" t="str">
        <v>https://www.maristes.cat/sites/default/files/content/nodes/recurs/file/8836/3cristo.mp3</v>
      </c>
      <c r="R70" s="17" t="str">
        <v>https://www.youtube.com/watch?v=IqsichcD4c0</v>
      </c>
      <c r="V70" s="17" t="str">
        <v>https://www.youtube.com/watch?v=kZtCs6pBF9I</v>
      </c>
      <c r="W70" s="17" t="str">
        <v>https://www.youtube.com/watch?v=zUed26NaIz0</v>
      </c>
    </row>
    <row r="71" spans="9:23" x14ac:dyDescent="0.3">
      <c r="I71" s="17" t="str">
        <v>https://www.youtube.com/watch?v=y0WWImWW0u0</v>
      </c>
      <c r="M71" s="17" t="str">
        <v>https://www.youtube.com/watch?v=j4LvbRmaQio</v>
      </c>
      <c r="N71" s="17" t="str">
        <v>https://www.youtube.com/watch?v=F2A3FYBB67o</v>
      </c>
      <c r="P71" s="17" t="str">
        <v>https://ixcis.org/images/discografia/como-uno-de-tantos/10-Me_llamais.mp3</v>
      </c>
      <c r="Q71" s="17" t="str">
        <v>https://www.maristes.cat/sites/default/files/content/nodes/recurs/file/8840/4alliestastu.mp3</v>
      </c>
      <c r="R71" s="17" t="str">
        <v>https://www.mercaba.org/Musica/Cesareo%20Gabarain/Dios%20Hombre%20Mundo/08%20-%20Canci%C3%B3n%20del%20astronauta.mp3</v>
      </c>
      <c r="V71" s="17" t="str">
        <v>https://www.youtube.com/watch?v=ba9NpRJCfiQ</v>
      </c>
      <c r="W71" s="17" t="str">
        <v>https://www.youtube.com/watch?v=u5JDSOKxxnQ</v>
      </c>
    </row>
    <row r="72" spans="9:23" x14ac:dyDescent="0.3">
      <c r="I72" s="17" t="str">
        <v>https://www.youtube.com/watch?v=7gnfg3bk6J4</v>
      </c>
      <c r="M72" s="17" t="str">
        <v>https://www.youtube.com/watch?v=lDFdbMtE-Kc</v>
      </c>
      <c r="N72" s="17" t="str">
        <v>https://www.youtube.com/watch?v=yJdvAzVPNJQ</v>
      </c>
      <c r="P72" s="17" t="str">
        <v>https://ixcis.org/images/discografia/como-uno-de-tantos/11-Como_uno_de_tantos.mp3</v>
      </c>
      <c r="Q72" s="17" t="str">
        <v>https://www.maristes.cat/sites/default/files/content/nodes/recurs/file/8842/6dejaqueentuvidacanteel.mp3</v>
      </c>
      <c r="R72" s="17" t="str">
        <v>https://www.mercaba.org/Musica/Cesareo%20Gabarain/Dios%20Hombre%20Mundo/11%20-%20Hoy%20Se%C3%B1or%20te%20damos%20gracias.mp3</v>
      </c>
      <c r="V72" s="17" t="str">
        <v>https://www.youtube.com/watch?v=jCCUQqkocdY</v>
      </c>
      <c r="W72" s="17" t="str">
        <v>https://www.youtube.com/watch?v=tg3b_a_TlHo</v>
      </c>
    </row>
    <row r="73" spans="9:23" x14ac:dyDescent="0.3">
      <c r="I73" s="17" t="str">
        <v>https://www.youtube.com/watch?v=RnWapq6keNQ</v>
      </c>
      <c r="M73" s="17" t="str">
        <v>https://www.youtube.com/watch?v=dBfTYMaagdc</v>
      </c>
      <c r="N73" s="17" t="str">
        <v>https://www.youtube.com/watch?v=cpsPNa8mB14</v>
      </c>
      <c r="P73" s="17" t="str">
        <v>https://ixcis.org/images/discografia/como-uno-de-tantos/12-En_medio_de_vosotros.mp3</v>
      </c>
      <c r="Q73" s="17" t="str">
        <v>https://www.maristes.cat/sites/default/files/content/nodes/recurs/file/8844/8gritolibertad.mp3</v>
      </c>
      <c r="R73" s="17" t="str">
        <v>https://www.mercaba.org/Musica/Cesareo%20Gabarain/Eres%20Tu%20Maria/02%20-%20En%20el%20trabajo.mp3</v>
      </c>
      <c r="V73" s="17" t="str">
        <v>https://www.youtube.com/watch?v=2Es8vuYZvhg</v>
      </c>
      <c r="W73" s="17" t="str">
        <v>https://www.youtube.com/watch?v=fIHNsAvNBt4</v>
      </c>
    </row>
    <row r="74" spans="9:23" x14ac:dyDescent="0.3">
      <c r="I74" s="17" t="str">
        <v>https://www.youtube.com/watch?v=fIyvDz4mqR4</v>
      </c>
      <c r="M74" s="17" t="str">
        <v>https://www.youtube.com/watch?v=rbEMCHRIF08</v>
      </c>
      <c r="N74" s="17" t="str">
        <v>https://www.youtube.com/watch?v=Wa8wl7xodjU</v>
      </c>
      <c r="P74" s="17" t="str">
        <v>https://ixcis.org/images/discografia/como-uno-de-tantos/13-Mi_Dios_y_mi_Todo.mp3</v>
      </c>
      <c r="Q74" s="17" t="str">
        <v>https://www.maristes.cat/sites/default/files/content/nodes/recurs/file/8878/1sijesus.mp3</v>
      </c>
      <c r="R74" s="17" t="str">
        <v>https://www.mercaba.org/Musica/Cesareo%20Gabarain/Jesus%20Nuestro%20Amigo/02%20-%20Vienen%20con%20alegr%C3%ADa.mp3</v>
      </c>
      <c r="V74" s="17" t="str">
        <v>https://www.youtube.com/watch?v=kPy_uaYmsKQ</v>
      </c>
      <c r="W74" s="17" t="str">
        <v>https://www.youtube.com/watch?v=xfmynEaYmU8</v>
      </c>
    </row>
    <row r="75" spans="9:23" x14ac:dyDescent="0.3">
      <c r="I75" s="17" t="str">
        <v>https://www.youtube.com/watch?v=Rd44mxX21vA</v>
      </c>
      <c r="M75" s="17" t="str">
        <v>https://www.youtube.com/watch?v=vso4qoebDkk</v>
      </c>
      <c r="N75" s="17" t="str">
        <v>https://www.youtube.com/watch?v=MFOUEI5wN3w</v>
      </c>
      <c r="P75" s="17" t="str">
        <v>https://ixcis.org/images/discografia/como-uno-de-tantos/14-Maria_ense%C3%B1ame_a_vivir_el_Evangelio.mp3</v>
      </c>
      <c r="Q75" s="17" t="str">
        <v>https://www.maristes.cat/sites/default/files/content/nodes/recurs/file/8880/3notemais.mp3</v>
      </c>
      <c r="R75" s="17" t="str">
        <v>https://www.mercaba.org/Musica/Cesareo%20Gabarain/Jesus%20Nuestro%20Amigo/03%20-%20Cristo%20te%20necesita.mp3</v>
      </c>
      <c r="V75" s="17" t="str">
        <v>https://www.youtube.com/watch?v=5ymVMHshf0M</v>
      </c>
      <c r="W75" s="17" t="str">
        <v>https://www.youtube.com/watch?v=kZtCs6pBF9I</v>
      </c>
    </row>
    <row r="76" spans="9:23" x14ac:dyDescent="0.3">
      <c r="I76" s="17" t="str">
        <v>https://www.youtube.com/watch?v=uua9EyonIEM</v>
      </c>
      <c r="M76" s="17" t="str">
        <v>https://www.youtube.com/watch?v=tvuawnjeHWQ</v>
      </c>
      <c r="N76" s="17" t="str">
        <v>https://www.youtube.com/watch?v=QxdY1jl_mbo</v>
      </c>
      <c r="P76" s="17" t="str">
        <v>https://ixcis.org/images/discografia/como-uno-de-tantos/15-Pastor_bone.mp3</v>
      </c>
      <c r="Q76" s="17" t="str">
        <v>https://www.maristes.cat/sites/default/files/content/nodes/recurs/file/8881/4lalibertadvivedelespiritu.mp3</v>
      </c>
      <c r="R76" s="17" t="str">
        <v>https://www.mercaba.org/Musica/Cesareo%20Gabarain/Jesus%20Nuestro%20Amigo/06%20-%20Jes%C3%BAs%20nuestro%20amigo.mp3</v>
      </c>
      <c r="V76" s="17" t="str">
        <v>https://www.youtube.com/watch?v=DbYsg8g2bVw</v>
      </c>
      <c r="W76" s="17" t="str">
        <v>https://www.youtube.com/watch?v=6dKNkU_vNKs</v>
      </c>
    </row>
    <row r="77" spans="9:23" x14ac:dyDescent="0.3">
      <c r="I77" s="17" t="str">
        <v>https://www.youtube.com/watch?v=q8L6K4bQH6A</v>
      </c>
      <c r="M77" s="17" t="str">
        <v>https://www.youtube.com/watch?v=SkLaiznSbUs</v>
      </c>
      <c r="N77" s="17" t="str">
        <v>https://www.youtube.com/watch?v=LmUtuHsHGlU</v>
      </c>
      <c r="P77" s="17" t="str">
        <v>https://ixcis.org/images/discografia/como-uno-de-tantos/16-Se%C3%B1or_expropiame.mp3</v>
      </c>
      <c r="Q77" s="17" t="str">
        <v>https://www.maristes.cat/sites/default/files/content/nodes/recurs/file/8883/6quejatesipuedes.mp3</v>
      </c>
      <c r="R77" s="17" t="str">
        <v>https://www.mercaba.org/Musica/Cesareo%20Gabarain/La%20Fuerza%20del%20Espiritu/02%20-%20A%20donde%20voy.mp3</v>
      </c>
      <c r="V77" s="17" t="str">
        <v>https://www.youtube.com/watch?v=r2qPCFvjB7w</v>
      </c>
      <c r="W77" s="17" t="str">
        <v>https://www.youtube.com/watch?v=ba9NpRJCfiQ</v>
      </c>
    </row>
    <row r="78" spans="9:23" x14ac:dyDescent="0.3">
      <c r="I78" s="17" t="str">
        <v>https://www.youtube.com/watch?v=vDkFeSq6wd0</v>
      </c>
      <c r="M78" s="17" t="str">
        <v>https://www.youtube.com/watch?v=8iFE-meAUI4</v>
      </c>
      <c r="N78" s="17" t="str">
        <v>https://www.youtube.com/watch?v=2L3Nkx3CHHE</v>
      </c>
      <c r="P78" s="17" t="str">
        <v>https://www.youtube.com/watch?v=VMsi-WP3pLc</v>
      </c>
      <c r="Q78" s="17" t="str">
        <v>https://www.maristes.cat/sites/default/files/content/nodes/recurs/file/8884/7loabandonarontodo.mp3</v>
      </c>
      <c r="R78" s="17" t="str">
        <v>https://www.mercaba.org/Musica/Cesareo%20Gabarain/La%20Fuerza%20del%20Espiritu/04%20-%20Dichoso%20el%20que%20ama.mp3</v>
      </c>
      <c r="V78" s="17" t="str">
        <v>https://www.youtube.com/watch?v=lUu9gLQKgNI</v>
      </c>
      <c r="W78" s="17" t="str">
        <v>https://www.youtube.com/watch?v=jCCUQqkocdY</v>
      </c>
    </row>
    <row r="79" spans="9:23" x14ac:dyDescent="0.3">
      <c r="I79" s="17" t="str">
        <v>https://www.youtube.com/watch?v=3VrPgxzSzuQ</v>
      </c>
      <c r="M79" s="17" t="str">
        <v>https://www.youtube.com/watch?v=71nzxwlVVWI</v>
      </c>
      <c r="N79" s="17" t="str">
        <v>https://www.youtube.com/watch?v=MRL3Ifsl3kE</v>
      </c>
      <c r="P79" s="17" t="str">
        <v>https://www.youtube.com/watch?v=IKUXljzDNOQ</v>
      </c>
      <c r="Q79" s="17" t="str">
        <v>https://www.maristes.cat/sites/default/files/content/nodes/recurs/file/8885/8esmejorhablarcondios.mp3</v>
      </c>
      <c r="R79" s="17" t="str">
        <v>https://www.mercaba.org/Musica/Cesareo%20Gabarain/La%20Fuerza%20del%20Espiritu/06%20-%20Iglesia%20somos.mp3</v>
      </c>
      <c r="V79" s="17" t="str">
        <v>https://www.youtube.com/watch?v=TjzRj0bejUw</v>
      </c>
      <c r="W79" s="17" t="str">
        <v>https://www.youtube.com/watch?v=2Es8vuYZvhg</v>
      </c>
    </row>
    <row r="80" spans="9:23" x14ac:dyDescent="0.3">
      <c r="I80" s="17" t="str">
        <v>https://www.youtube.com/watch?v=7nf9CZeon9c</v>
      </c>
      <c r="M80" s="17" t="str">
        <v>https://www.youtube.com/watch?v=brHjDAAPABQ</v>
      </c>
      <c r="N80" s="17" t="str">
        <v>https://www.youtube.com/watch?v=3UM4mgW5lFc</v>
      </c>
      <c r="P80" s="17" t="str">
        <v>https://www.youtube.com/watch?v=LoaGuhYdNmc</v>
      </c>
      <c r="Q80" s="17" t="str">
        <v>https://www.maristes.cat/sites/default/files/content/nodes/recurs/file/8886/9delodebilsacafuerzasdios.mp3</v>
      </c>
      <c r="R80" s="17" t="str">
        <v>https://www.mercaba.org/Musica/Cesareo%20Gabarain/La%20Fuerza%20del%20Espiritu/07%20-%20Creo%20en%20Dios%20Amor.mp3</v>
      </c>
      <c r="V80" s="17" t="str">
        <v>https://www.youtube.com/watch?v=PXaO49H64rs</v>
      </c>
      <c r="W80" s="17" t="str">
        <v>https://www.youtube.com/watch?v=kPy_uaYmsKQ</v>
      </c>
    </row>
    <row r="81" spans="9:23" x14ac:dyDescent="0.3">
      <c r="I81" s="17" t="str">
        <v>https://www.youtube.com/watch?v=GA6rUqfaYtA</v>
      </c>
      <c r="N81" s="17" t="str">
        <v>https://www.youtube.com/watch?v=UqyH3j-nhmU</v>
      </c>
      <c r="P81" s="17" t="str">
        <v>https://www.youtube.com/watch?v=MB-GeboMa1o</v>
      </c>
      <c r="Q81" s="17" t="str">
        <v>https://www.maristes.cat/sites/default/files/content/nodes/recurs/file/8887/10sontestigos.mp3</v>
      </c>
      <c r="R81" s="17" t="str">
        <v>https://www.mercaba.org/Musica/Cesareo%20Gabarain/La%20Fuerza%20del%20Espiritu/08%20-%20Siempre%20es%20Pentecost%C3%A9s.mp3</v>
      </c>
      <c r="W81" s="17" t="str">
        <v>https://www.youtube.com/watch?v=5ymVMHshf0M</v>
      </c>
    </row>
    <row r="82" spans="9:23" x14ac:dyDescent="0.3">
      <c r="I82" s="17" t="str">
        <v>https://www.youtube.com/watch?v=uX_oSn-_Qxk</v>
      </c>
      <c r="N82" s="17" t="str">
        <v>https://www.youtube.com/watch?v=_zel1ySV9Lg</v>
      </c>
      <c r="P82" s="17" t="str">
        <v>https://www.youtube.com/watch?v=Gq2hKHbKNMc</v>
      </c>
      <c r="Q82" s="17" t="str">
        <v>https://www.maristes.cat/sites/default/files/content/nodes/recurs/file/8888/11tepediranlavida.mp3</v>
      </c>
      <c r="R82" s="17" t="str">
        <v>https://www.mercaba.org/Musica/Cesareo%20Gabarain/La%20Misa%20es%20una%20Fiesta/01%20la%20misa%20es%20una%20fiesta.mp3</v>
      </c>
      <c r="W82" s="17" t="str">
        <v>https://www.youtube.com/watch?v=DbYsg8g2bVw</v>
      </c>
    </row>
    <row r="83" spans="9:23" x14ac:dyDescent="0.3">
      <c r="I83" s="17" t="str">
        <v>https://www.youtube.com/watch?v=HaldyC43baY</v>
      </c>
      <c r="N83" s="17" t="str">
        <v>https://www.youtube.com/watch?v=wtsXEFvqpNo</v>
      </c>
      <c r="P83" s="17" t="str">
        <v>https://www.youtube.com/watch?v=59aRbtDD6rw</v>
      </c>
      <c r="Q83" s="17" t="str">
        <v>https://www.maristes.cat/sites/default/files/content/nodes/recurs/file/8889/12esperadalsenor.mp3</v>
      </c>
      <c r="R83" s="17" t="str">
        <v>https://www.mercaba.org/Musica/Cesareo%20Gabarain/La%20Misa%20es%20una%20Fiesta/02%20se%C3%B1or%20ten%20piedad.mp3</v>
      </c>
      <c r="W83" s="17" t="str">
        <v>https://www.youtube.com/watch?v=r2qPCFvjB7w</v>
      </c>
    </row>
    <row r="84" spans="9:23" x14ac:dyDescent="0.3">
      <c r="I84" s="17" t="str">
        <v>https://www.youtube.com/watch?v=k7C2L4BE6J0</v>
      </c>
      <c r="N84" s="17" t="str">
        <v>https://www.youtube.com/watch?v=vuFzfGsMjzI</v>
      </c>
      <c r="P84" s="17" t="str">
        <v>https://www.youtube.com/watch?v=TGd4-wMNHZU</v>
      </c>
      <c r="Q84" s="17" t="str">
        <v>https://www.maristes.cat/sites/default/files/content/nodes/recurs/file/8937/2buenamadre.mp3</v>
      </c>
      <c r="R84" s="17" t="str">
        <v>https://www.mercaba.org/Musica/Cesareo%20Gabarain/La%20Misa%20es%20una%20Fiesta/04%20ense%C3%B1ame%20se%C3%B1or.mp3</v>
      </c>
      <c r="W84" s="17" t="str">
        <v>https://www.youtube.com/watch?v=TjzRj0bejUw</v>
      </c>
    </row>
    <row r="85" spans="9:23" x14ac:dyDescent="0.3">
      <c r="I85" s="17" t="str">
        <v>https://www.youtube.com/watch?v=oiNypT5ksds</v>
      </c>
      <c r="N85" s="17" t="str">
        <v>https://www.youtube.com/watch?v=wMrfIGvAMIA</v>
      </c>
      <c r="P85" s="17" t="str">
        <v>https://www.youtube.com/watch?v=4zv4Q9j4C0E</v>
      </c>
      <c r="Q85" s="17" t="str">
        <v>https://www.maristes.cat/sites/default/files/content/nodes/recurs/file/8938/3construyenoslacasa.mp3</v>
      </c>
      <c r="R85" s="17" t="str">
        <v>https://www.mercaba.org/Musica/Cesareo%20Gabarain/La%20Misa%20es%20una%20Fiesta/05%20ojala%20escuchesis%20hoy%20su%20voz.mp3</v>
      </c>
      <c r="W85" s="17" t="str">
        <v>https://www.youtube.com/watch?v=PXaO49H64rs</v>
      </c>
    </row>
    <row r="86" spans="9:23" x14ac:dyDescent="0.3">
      <c r="I86" s="17" t="str">
        <v>https://www.youtube.com/watch?v=1l9RnH6AYaw</v>
      </c>
      <c r="N86" s="17" t="str">
        <v>https://www.youtube.com/watch?v=HJ_OZQ80CS0</v>
      </c>
      <c r="P86" s="17" t="str">
        <v>https://www.youtube.com/watch?v=y-_tHx5oXXU</v>
      </c>
      <c r="Q86" s="17" t="str">
        <v>https://www.maristes.cat/sites/default/files/content/nodes/recurs/file/8941/6hermanoentreloshombres.mp3</v>
      </c>
      <c r="R86" s="17" t="str">
        <v>https://www.mercaba.org/Musica/Cesareo%20Gabarain/La%20Misa%20es%20una%20Fiesta/06%20haz%20se%C3%B1or.mp3</v>
      </c>
      <c r="W86" s="17" t="str">
        <v>https://www.youtube.com/watch?v=lUu9gLQKgNI</v>
      </c>
    </row>
    <row r="87" spans="9:23" x14ac:dyDescent="0.3">
      <c r="I87" s="17" t="str">
        <v>https://www.youtube.com/watch?v=S9RQcjC7WD4</v>
      </c>
      <c r="N87" s="17" t="str">
        <v>https://www.youtube.com/watch?v=2_ZD_hlt9aE</v>
      </c>
      <c r="P87" s="17" t="str">
        <v>https://www.youtube.com/watch?v=WnWkfYLeOYM</v>
      </c>
      <c r="Q87" s="17" t="str">
        <v>https://www.maristes.cat/sites/default/files/content/nodes/recurs/file/8794/7entornoalpan.mp3</v>
      </c>
      <c r="R87" s="17" t="str">
        <v>https://www.mercaba.org/Musica/Cesareo%20Gabarain/La%20Misa%20es%20una%20Fiesta/08%20un%20ni%C3%B1o%20se%20te%20acerco.mp3</v>
      </c>
      <c r="W87" s="17" t="str">
        <v>https://www.youtube.com/watch?v=LXqtItOfjyY</v>
      </c>
    </row>
    <row r="88" spans="9:23" x14ac:dyDescent="0.3">
      <c r="I88" s="17" t="str">
        <v>https://www.youtube.com/watch?v=vrRGe_GkKoE</v>
      </c>
      <c r="N88" s="17" t="str">
        <v>https://www.youtube.com/watch?v=SQQXOKJYv4M</v>
      </c>
      <c r="P88" s="17" t="str">
        <v>https://www.youtube.com/watch?v=8KS5qGAg_Jo</v>
      </c>
      <c r="Q88" s="17" t="str">
        <v>https://www.maristes.cat/sites/default/files/content/nodes/recurs/file/8947/12acuerdatemaria.mp3</v>
      </c>
      <c r="R88" s="17" t="str">
        <v>https://www.mercaba.org/Musica/Cesareo%20Gabarain/La%20Misa%20es%20una%20Fiesta/14%20la%20misa%20no%20termina.mp3</v>
      </c>
    </row>
    <row r="89" spans="9:23" x14ac:dyDescent="0.3">
      <c r="I89" s="17" t="str">
        <v>https://www.youtube.com/watch?v=fa1m9mxeILw</v>
      </c>
      <c r="N89" s="17" t="str">
        <v>https://www.youtube.com/watch?v=jmVqAKiaUmw</v>
      </c>
      <c r="P89" s="17" t="str">
        <v>https://www.youtube.com/watch?v=Us2_Co1lHJc</v>
      </c>
      <c r="Q89" s="17" t="str">
        <v>https://www.maristes.cat/sites/default/files/content/nodes/recurs/file/8948/13hermanoadios.mp3</v>
      </c>
      <c r="R89" s="17" t="str">
        <v>https://www.mercaba.org/Musica/Cesareo%20Gabarain/La%20Misa%20es%20una%20Fiesta/17%20yo%20confio%20en%20ti.mp3</v>
      </c>
    </row>
    <row r="90" spans="9:23" x14ac:dyDescent="0.3">
      <c r="I90" s="17" t="str">
        <v>https://www.youtube.com/watch?v=k8ZSWfFxi0I</v>
      </c>
      <c r="N90" s="17" t="str">
        <v>https://www.youtube.com/watch?v=0kl0jwsFjQg</v>
      </c>
      <c r="P90" s="17" t="str">
        <v>https://www.youtube.com/watch?v=ZtJzmetwNZY</v>
      </c>
      <c r="Q90" s="17" t="str">
        <v>https://www.maristes.cat/sites/default/files/content/nodes/recurs/file/8804/2entucruzsigueshoy.mp3</v>
      </c>
      <c r="R90" s="17" t="str">
        <v>https://www.mercaba.org/Musica/Cesareo%20Gabarain/Lampara%20de%20Barro/01%20solo%20el%20amor.mp3</v>
      </c>
    </row>
    <row r="91" spans="9:23" x14ac:dyDescent="0.3">
      <c r="I91" s="17" t="str">
        <v>https://www.youtube.com/watch?v=YmZR-UhTY2E</v>
      </c>
      <c r="N91" s="17" t="str">
        <v>https://www.youtube.com/watch?v=vaOxPi2bIPA</v>
      </c>
      <c r="P91" s="17" t="str">
        <v>https://www.youtube.com/watch?v=GrZD1aLkaeU</v>
      </c>
      <c r="Q91" s="17" t="str">
        <v>https://www.maristes.cat/sites/default/files/content/nodes/recurs/file/8805/3enlacruznosdaslavida.mp3</v>
      </c>
      <c r="R91" s="17" t="str">
        <v>https://www.mercaba.org/Musica/Cesareo%20Gabarain/Lampara%20de%20Barro/05%20dios%20es%20amor.mp3</v>
      </c>
    </row>
    <row r="92" spans="9:23" x14ac:dyDescent="0.3">
      <c r="I92" s="17" t="str">
        <v>https://www.youtube.com/watch?v=vfJvQe4NN7I</v>
      </c>
      <c r="N92" s="17" t="str">
        <v>https://www.youtube.com/watch?v=9zhCMVuoNHU</v>
      </c>
      <c r="P92" s="17" t="str">
        <v>https://www.youtube.com/watch?v=KKu0txRBXCs</v>
      </c>
      <c r="Q92" s="17" t="str">
        <v>https://www.maristes.cat/sites/default/files/content/nodes/recurs/file/8806/4sientotullamadaelsenoreslaesperanzaelsenorestaaquicaminadacogemedios.mp3</v>
      </c>
      <c r="R92" s="17" t="str">
        <v>https://www.mercaba.org/Musica/Cesareo%20Gabarain/Liturgia%20y%20Cancion/01%20esperando.mp3</v>
      </c>
    </row>
    <row r="93" spans="9:23" x14ac:dyDescent="0.3">
      <c r="I93" s="17" t="str">
        <v>https://www.youtube.com/watch?v=YkIH8b0QMs0</v>
      </c>
      <c r="N93" s="17" t="str">
        <v>https://www.youtube.com/watch?v=R-hUB2gpn2Y</v>
      </c>
      <c r="P93" s="17" t="str">
        <v>https://www.youtube.com/watch?v=SF9KryAvpOI</v>
      </c>
      <c r="Q93" s="17" t="str">
        <v>https://www.maristes.cat/sites/default/files/content/nodes/recurs/file/8806/4sientotullamadaelsenoreslaesperanzaelsenorestaaquicaminadacogemedios.mp3</v>
      </c>
      <c r="R93" s="17" t="str">
        <v>https://www.mercaba.org/Musica/Cesareo%20Gabarain/Liturgia%20y%20Cancion/06%20nueva%20vida.mp3</v>
      </c>
    </row>
    <row r="94" spans="9:23" x14ac:dyDescent="0.3">
      <c r="I94" s="17" t="str">
        <v>https://www.youtube.com/watch?v=veJKN_Na9hA</v>
      </c>
      <c r="P94" s="17" t="str">
        <v>https://www.youtube.com/watch?v=yzPh8caE07M</v>
      </c>
      <c r="Q94" s="17" t="str">
        <v>https://www.maristes.cat/sites/default/files/content/nodes/recurs/file/8806/4sientotullamadaelsenoreslaesperanzaelsenorestaaquicaminadacogemedios.mp3</v>
      </c>
      <c r="R94" s="17" t="str">
        <v>https://www.mercaba.org/Musica/Cesareo%20Gabarain/Liturgia%20y%20Cancion/07%20una%20espiga.mp3</v>
      </c>
    </row>
    <row r="95" spans="9:23" x14ac:dyDescent="0.3">
      <c r="I95" s="17" t="str">
        <v>https://www.youtube.com/watch?v=Jnutx7S18gI</v>
      </c>
      <c r="P95" s="17" t="str">
        <v>https://www.youtube.com/watch?v=ZQhkFh3r1oY</v>
      </c>
      <c r="Q95" s="17" t="str">
        <v>https://www.maristes.cat/sites/default/files/content/nodes/recurs/file/8806/4sientotullamadaelsenoreslaesperanzaelsenorestaaquicaminadacogemedios.mp3</v>
      </c>
      <c r="R95" s="17" t="str">
        <v>https://www.mercaba.org/Musica/Cesareo%20Gabarain/Liturgia%20y%20Cancion/15%20el%20ni%C3%B1o%20dios.mp3</v>
      </c>
    </row>
    <row r="96" spans="9:23" x14ac:dyDescent="0.3">
      <c r="I96" s="17" t="str">
        <v>https://www.youtube.com/watch?v=5EmiuHppx3o</v>
      </c>
      <c r="P96" s="17" t="str">
        <v>https://www.youtube.com/watch?v=aMJVVuq6-bI</v>
      </c>
      <c r="Q96" s="17" t="str">
        <v>https://www.maristes.cat/sites/default/files/content/nodes/recurs/file/8806/4sientotullamadaelsenoreslaesperanzaelsenorestaaquicaminadacogemedios.mp3</v>
      </c>
      <c r="R96" s="17" t="str">
        <v>https://www.mercaba.org/Musica/Cesareo%20Gabarain/Ven%20Se%C3%B1or/02%20juntos%20como%20hermanos.mp3</v>
      </c>
    </row>
    <row r="97" spans="9:18" x14ac:dyDescent="0.3">
      <c r="I97" s="17" t="str">
        <v>https://www.youtube.com/watch?v=f_siJHeN8B8</v>
      </c>
      <c r="P97" s="17" t="str">
        <v>https://www.youtube.com/watch?v=oXDvkazf4Ys</v>
      </c>
      <c r="Q97" s="17" t="str">
        <v>https://www.maristes.cat/sites/default/files/content/nodes/recurs/file/8807/5mariamadredeldolor.mp3</v>
      </c>
      <c r="R97" s="17">
        <v>0</v>
      </c>
    </row>
    <row r="98" spans="9:18" x14ac:dyDescent="0.3">
      <c r="I98" s="17" t="str">
        <v>https://www.youtube.com/watch?v=02Gg55dWUYo</v>
      </c>
      <c r="P98" s="17" t="str">
        <v>https://www.youtube.com/watch?v=6RfgXYqhDcg</v>
      </c>
      <c r="Q98" s="17" t="str">
        <v>https://www.maristes.cat/sites/default/files/content/nodes/recurs/file/8809/7llamadevida.mp3</v>
      </c>
      <c r="R98" s="17">
        <v>0</v>
      </c>
    </row>
    <row r="99" spans="9:18" x14ac:dyDescent="0.3">
      <c r="I99" s="17" t="str">
        <v>https://www.youtube.com/watch?v=84v4bhXR4Os</v>
      </c>
      <c r="P99" s="17" t="str">
        <v>https://www.youtube.com/watch?v=joBW-HwXH6o</v>
      </c>
      <c r="Q99" s="17" t="str">
        <v>https://www.maristes.cat/sites/default/files/content/nodes/recurs/file/8810/8vengatureino.mp3</v>
      </c>
      <c r="R99" s="17">
        <v>0</v>
      </c>
    </row>
    <row r="100" spans="9:18" x14ac:dyDescent="0.3">
      <c r="I100" s="17" t="str">
        <v>https://www.youtube.com/watch?v=4KYRRDSt-eQ</v>
      </c>
      <c r="P100" s="17" t="str">
        <v>https://ixcis.org/images/discografia/en-espiritu-y-en-verdad/06-Somos_pueblo_de_Dios.mp3</v>
      </c>
      <c r="Q100" s="17" t="str">
        <v>https://www.maristes.cat/sites/default/files/content/nodes/recurs/file/8813/11somostestigos.mp3</v>
      </c>
      <c r="R100" s="17">
        <v>0</v>
      </c>
    </row>
    <row r="101" spans="9:18" x14ac:dyDescent="0.3">
      <c r="I101" s="17" t="str">
        <v>https://www.youtube.com/watch?v=A3KiVG030AI</v>
      </c>
      <c r="P101" s="17" t="str">
        <v>https://www.youtube.com/watch?v=ZVNCKBJK5Mk</v>
      </c>
      <c r="Q101" s="17" t="str">
        <v>https://www.maristes.cat/sites/default/files/content/nodes/recurs/file/8814/12tucaminoytuverdad.mp3</v>
      </c>
      <c r="R101" s="17">
        <v>0</v>
      </c>
    </row>
    <row r="102" spans="9:18" x14ac:dyDescent="0.3">
      <c r="I102" s="17" t="str">
        <v>https://www.youtube.com/watch?v=iTZOo_q1KA0</v>
      </c>
      <c r="P102" s="17" t="str">
        <v>https://www.youtube.com/watch?v=2__R8jUljLo</v>
      </c>
      <c r="Q102" s="17" t="str">
        <v>https://www.maristes.cat/sites/default/files/content/nodes/recurs/file/8954/1seguiramando.mp3</v>
      </c>
      <c r="R102" s="17">
        <v>0</v>
      </c>
    </row>
    <row r="103" spans="9:18" x14ac:dyDescent="0.3">
      <c r="I103" s="17" t="str">
        <v>https://www.youtube.com/watch?v=DVm04FWhkV8</v>
      </c>
      <c r="P103" s="17" t="str">
        <v>https://ixcis.org/images/discografia/en-espiritu-y-en-verdad/09-Coge_tu_cruz.mp3</v>
      </c>
      <c r="Q103" s="17" t="str">
        <v>https://www.maristes.cat/sites/default/files/content/nodes/recurs/file/8955/2ysevivelavida.mp3</v>
      </c>
      <c r="R103" s="17">
        <v>0</v>
      </c>
    </row>
    <row r="104" spans="9:18" x14ac:dyDescent="0.3">
      <c r="I104" s="17" t="str">
        <v>https://www.youtube.com/watch?v=UjIU2wtKWcA</v>
      </c>
      <c r="P104" s="17" t="str">
        <v>https://www.youtube.com/watch?v=HZKBz5PyT90</v>
      </c>
      <c r="Q104" s="17" t="str">
        <v>https://www.maristes.cat/sites/default/files/content/nodes/recurs/file/8956/3jesuscambianos.mp3</v>
      </c>
      <c r="R104" s="17" t="str">
        <v>https://www.youtube.com/watch?v=qo5JMT-K6zw</v>
      </c>
    </row>
    <row r="105" spans="9:18" x14ac:dyDescent="0.3">
      <c r="I105" s="17" t="str">
        <v>https://open.spotify.com/intl-es/track/6kV3XfTXXeTlu088nmtjHn?si=d6b8aeceea86417b</v>
      </c>
      <c r="P105" s="17" t="str">
        <v>https://www.youtube.com/watch?v=UW_WjvjhqXQ</v>
      </c>
      <c r="Q105" s="17" t="str">
        <v>https://www.maristes.cat/sites/default/files/content/nodes/recurs/file/8957/4comomaria.mp3</v>
      </c>
      <c r="R105" s="17">
        <v>0</v>
      </c>
    </row>
    <row r="106" spans="9:18" x14ac:dyDescent="0.3">
      <c r="I106" s="17" t="str">
        <v>https://open.spotify.com/intl-es/track/5sBvTtLJDKXUF0KadT1rKd?si=90aa0d87eb7d4492</v>
      </c>
      <c r="P106" s="17" t="str">
        <v>https://www.youtube.com/watch?v=85Yc3X3MkBY</v>
      </c>
      <c r="Q106" s="17" t="str">
        <v>https://www.maristes.cat/sites/default/files/content/nodes/recurs/file/8958/5nosmarcaelcaminar.mp3</v>
      </c>
      <c r="R106" s="17">
        <v>0</v>
      </c>
    </row>
    <row r="107" spans="9:18" x14ac:dyDescent="0.3">
      <c r="I107" s="17" t="str">
        <v>https://open.spotify.com/intl-es/track/7eC1exbRtDsvs1yHSPl1tM?si=088ffd5a6fb1499f</v>
      </c>
      <c r="P107" s="17" t="str">
        <v>https://www.youtube.com/watch?v=jBFxnnud9ME</v>
      </c>
      <c r="Q107" s="17" t="str">
        <v>https://www.maristes.cat/sites/default/files/content/nodes/recurs/file/8961/7soymujer.mp3</v>
      </c>
      <c r="R107" s="17">
        <v>0</v>
      </c>
    </row>
    <row r="108" spans="9:18" x14ac:dyDescent="0.3">
      <c r="I108" s="17" t="str">
        <v>https://open.spotify.com/intl-es/track/3xbEsRidrWC5c3pMViSFJa?si=58e2fda79a4f43ef</v>
      </c>
      <c r="P108" s="17" t="str">
        <v>https://www.youtube.com/watch?v=e_XUE8cyMT0</v>
      </c>
      <c r="Q108" s="17" t="str">
        <v>https://www.maristes.cat/sites/default/files/content/nodes/recurs/file/8963/8entisolodescanso.mp3</v>
      </c>
      <c r="R108" s="17">
        <v>0</v>
      </c>
    </row>
    <row r="109" spans="9:18" x14ac:dyDescent="0.3">
      <c r="I109" s="17" t="str">
        <v>https://open.spotify.com/intl-es/track/6HqlZFyiOZN8P7oyumwmDz?si=c050e3a4f06b417d</v>
      </c>
      <c r="P109" s="17" t="str">
        <v>https://www.youtube.com/watch?v=Rsae-DhB9UQ</v>
      </c>
      <c r="Q109" s="17" t="str">
        <v>https://www.maristes.cat/sites/default/files/content/nodes/recurs/file/8964/9diosdelavida.mp3</v>
      </c>
      <c r="R109" s="17">
        <v>0</v>
      </c>
    </row>
    <row r="110" spans="9:18" x14ac:dyDescent="0.3">
      <c r="I110" s="17" t="str">
        <v>https://open.spotify.com/intl-es/track/62lc6MaGErWI1amP96JSlh?si=b505d0203a37492e</v>
      </c>
      <c r="P110" s="17" t="str">
        <v>https://www.youtube.com/watch?v=QAybaLwTCZI</v>
      </c>
      <c r="Q110" s="17" t="str">
        <v>https://www.maristes.cat/sites/default/files/content/nodes/recurs/file/8966/10suena.mp3</v>
      </c>
      <c r="R110" s="17">
        <v>0</v>
      </c>
    </row>
    <row r="111" spans="9:18" x14ac:dyDescent="0.3">
      <c r="I111" s="17" t="str">
        <v>https://open.spotify.com/intl-es/track/4OoVaD7BKohRJsia101fQ1?si=fb4a693f9fdb4f65</v>
      </c>
      <c r="P111" s="17" t="str">
        <v>https://www.youtube.com/watch?v=yPCEMSEx3Ag</v>
      </c>
      <c r="Q111" s="17" t="str">
        <v>https://www.maristes.cat/sites/default/files/content/nodes/recurs/file/8764/2meestasllamando.mp3</v>
      </c>
      <c r="R111" s="17" t="str">
        <v>https://www.youtube.com/watch?v=rTuBMwY_p9Q</v>
      </c>
    </row>
    <row r="112" spans="9:18" x14ac:dyDescent="0.3">
      <c r="I112" s="17" t="str">
        <v>https://open.spotify.com/intl-es/track/3xOXxHhp0A7jhI1p8fynpD?si=60e9e30ae8994eff</v>
      </c>
      <c r="P112" s="17" t="str">
        <v>https://www.youtube.com/watch?v=c41NMPXWxSA</v>
      </c>
      <c r="Q112" s="17" t="str">
        <v>https://www.maristes.cat/sites/default/files/content/nodes/recurs/file/8766/4tocareparati.mp3</v>
      </c>
      <c r="R112" s="17" t="str">
        <v>https://www.youtube.com/watch?v=oFyuywjs-C4</v>
      </c>
    </row>
    <row r="113" spans="9:18" x14ac:dyDescent="0.3">
      <c r="I113" s="17" t="str">
        <v>https://open.spotify.com/intl-es/track/2whB5hr2rwWUx5muRQbENl?si=f7b48634c5094fc6</v>
      </c>
      <c r="P113" s="17" t="str">
        <v>https://www.youtube.com/watch?v=Vg0XlWyas0o</v>
      </c>
      <c r="Q113" s="17" t="str">
        <v>https://www.maristes.cat/sites/default/files/content/nodes/recurs/file/8768/6ensenanosaorar.mp3</v>
      </c>
      <c r="R113" s="17" t="str">
        <v>https://www.youtube.com/watch?v=mKH8F1OA6r8</v>
      </c>
    </row>
    <row r="114" spans="9:18" x14ac:dyDescent="0.3">
      <c r="I114" s="17" t="str">
        <v>https://open.spotify.com/intl-es/track/7HmbcncwspOoj4ye48NTUX?si=96dfc4d12d734322</v>
      </c>
      <c r="P114" s="17" t="str">
        <v>https://www.youtube.com/watch?v=gwsnxwTbwpw</v>
      </c>
      <c r="Q114" s="17" t="str">
        <v>https://www.maristes.cat/sites/default/files/content/nodes/recurs/file/8769/7tusenor.mp3</v>
      </c>
      <c r="R114" s="17" t="str">
        <v>https://www.youtube.com/watch?v=bOkdEJoSAjE</v>
      </c>
    </row>
    <row r="115" spans="9:18" x14ac:dyDescent="0.3">
      <c r="I115" s="17" t="str">
        <v>https://open.spotify.com/intl-es/track/3qyzsR8y6ZqP1iRwxP5vpB?si=f88ceaba5dc447e9</v>
      </c>
      <c r="P115" s="17" t="str">
        <v>https://www.youtube.com/watch?v=KKq9VKHhUgM</v>
      </c>
      <c r="Q115" s="17" t="str">
        <v>https://www.maristes.cat/sites/default/files/content/nodes/recurs/file/8770/8esperandoconmaria.mp3</v>
      </c>
      <c r="R115" s="17" t="str">
        <v>https://www.youtube.com/watch?v=KTWM51GypWs</v>
      </c>
    </row>
    <row r="116" spans="9:18" x14ac:dyDescent="0.3">
      <c r="P116" s="17" t="str">
        <v>https://www.youtube.com/watch?v=KJ2iyL3Baw4</v>
      </c>
      <c r="R116" s="17" t="str">
        <v>https://www.youtube.com/watch?v=fKmF4zTdT_0</v>
      </c>
    </row>
    <row r="117" spans="9:18" x14ac:dyDescent="0.3">
      <c r="P117" s="17" t="str">
        <v>https://www.youtube.com/watch?v=bSXmtN4LlzA</v>
      </c>
      <c r="R117" s="17" t="str">
        <v>https://www.youtube.com/watch?v=y124lUn49WQ</v>
      </c>
    </row>
    <row r="118" spans="9:18" x14ac:dyDescent="0.3">
      <c r="P118" s="17" t="str">
        <v>https://www.youtube.com/watch?v=FkijdnPUuck</v>
      </c>
      <c r="R118" s="17" t="str">
        <v>https://www.youtube.com/watch?v=KALbqxsIhVA</v>
      </c>
    </row>
    <row r="119" spans="9:18" x14ac:dyDescent="0.3">
      <c r="P119" s="17" t="str">
        <v>https://www.youtube.com/watch?v=nBv_jIXFtwM</v>
      </c>
      <c r="R119" s="17" t="str">
        <v>https://www.youtube.com/watch?v=OmPfplp3eK8</v>
      </c>
    </row>
    <row r="120" spans="9:18" x14ac:dyDescent="0.3">
      <c r="P120" s="17" t="str">
        <v>https://www.youtube.com/watch?v=By3i49DuO6M</v>
      </c>
      <c r="R120" s="17" t="str">
        <v>https://www.youtube.com/watch?v=zz6H2x8Up4U</v>
      </c>
    </row>
    <row r="121" spans="9:18" x14ac:dyDescent="0.3">
      <c r="P121" s="17" t="str">
        <v>https://www.youtube.com/watch?v=q46Wucg4C6k</v>
      </c>
      <c r="R121" s="17" t="str">
        <v>https://www.youtube.com/watch?v=NRqk6TvhYO8</v>
      </c>
    </row>
    <row r="122" spans="9:18" x14ac:dyDescent="0.3">
      <c r="P122" s="17" t="str">
        <v>https://www.youtube.com/watch?v=qr5tqQmCNYg</v>
      </c>
      <c r="R122" s="17" t="str">
        <v>https://www.youtube.com/watch?v=xp2CZ51XMEo</v>
      </c>
    </row>
    <row r="123" spans="9:18" x14ac:dyDescent="0.3">
      <c r="P123" s="17" t="str">
        <v>https://www.youtube.com/watch?v=IdbcfYPflE0</v>
      </c>
      <c r="R123" s="17" t="str">
        <v>https://www.youtube.com/watch?v=ghhiDAZK3UE</v>
      </c>
    </row>
    <row r="124" spans="9:18" x14ac:dyDescent="0.3">
      <c r="P124" s="17" t="str">
        <v>https://www.youtube.com/watch?v=wiWlLSwMSTI</v>
      </c>
      <c r="R124" s="17" t="str">
        <v>https://www.youtube.com/watch?v=hvJPN4-Nq_Y</v>
      </c>
    </row>
    <row r="125" spans="9:18" x14ac:dyDescent="0.3">
      <c r="P125" s="17" t="str">
        <v>https://www.youtube.com/watch?v=cID21VynNNY</v>
      </c>
      <c r="R125" s="17" t="str">
        <v>https://www.youtube.com/watch?v=reYQRNcWiTc</v>
      </c>
    </row>
    <row r="126" spans="9:18" x14ac:dyDescent="0.3">
      <c r="P126" s="17" t="str">
        <v>https://www.youtube.com/watch?v=Dga-Yru_pmE</v>
      </c>
      <c r="R126" s="17" t="str">
        <v>https://www.youtube.com/watch?v=aGte73Z0ASU</v>
      </c>
    </row>
    <row r="127" spans="9:18" x14ac:dyDescent="0.3">
      <c r="P127" s="17" t="str">
        <v>https://www.youtube.com/watch?v=P-o1Xn7-nhY</v>
      </c>
      <c r="R127" s="17" t="str">
        <v>https://www.youtube.com/watch?v=WNjdqIG2W6Y</v>
      </c>
    </row>
    <row r="128" spans="9:18" x14ac:dyDescent="0.3">
      <c r="P128" s="17" t="str">
        <v>https://www.youtube.com/watch?v=itz0KvSdsjM</v>
      </c>
      <c r="R128" s="17" t="str">
        <v>https://www.youtube.com/watch?v=xwdgg6PIhyA</v>
      </c>
    </row>
    <row r="129" spans="16:18" x14ac:dyDescent="0.3">
      <c r="P129" s="17" t="str">
        <v>https://www.youtube.com/watch?v=nnPcZUPs2Vo</v>
      </c>
      <c r="R129" s="17" t="str">
        <v>https://www.youtube.com/watch?v=dQyZXkA83hA</v>
      </c>
    </row>
    <row r="130" spans="16:18" x14ac:dyDescent="0.3">
      <c r="P130" s="17" t="str">
        <v>https://www.youtube.com/watch?v=MFecOCnzGXk</v>
      </c>
      <c r="R130" s="17" t="str">
        <v>https://www.youtube.com/watch?v=gcdzkTZWl0o</v>
      </c>
    </row>
    <row r="131" spans="16:18" x14ac:dyDescent="0.3">
      <c r="P131" s="17" t="str">
        <v>https://www.youtube.com/watch?v=wwZ3zEt_vc0</v>
      </c>
      <c r="R131" s="17" t="str">
        <v>https://www.youtube.com/watch?v=wCMsCF8HMuA</v>
      </c>
    </row>
    <row r="132" spans="16:18" x14ac:dyDescent="0.3">
      <c r="P132" s="17" t="str">
        <v>https://www.youtube.com/watch?v=itWkxcUtT8A</v>
      </c>
      <c r="R132" s="17" t="str">
        <v>https://www.youtube.com/watch?v=5asZBdicpPs</v>
      </c>
    </row>
    <row r="133" spans="16:18" x14ac:dyDescent="0.3">
      <c r="P133" s="17" t="str">
        <v>https://www.youtube.com/watch?v=KTXKG-zCKAM</v>
      </c>
      <c r="R133" s="17" t="str">
        <v>https://www.youtube.com/watch?v=mC0dGlHYC-s</v>
      </c>
    </row>
    <row r="134" spans="16:18" x14ac:dyDescent="0.3">
      <c r="P134" s="17" t="str">
        <v>https://www.youtube.com/watch?v=9l56yeA9PCc</v>
      </c>
      <c r="R134" s="17" t="str">
        <v>https://www.youtube.com/watch?v=r1mS6MB3YbA</v>
      </c>
    </row>
    <row r="135" spans="16:18" x14ac:dyDescent="0.3">
      <c r="P135" s="17" t="str">
        <v>https://www.youtube.com/watch?v=Yw7lPt2q5S0</v>
      </c>
      <c r="R135" s="17" t="str">
        <v>https://www.youtube.com/watch?v=_GSxlJx804c</v>
      </c>
    </row>
    <row r="136" spans="16:18" x14ac:dyDescent="0.3">
      <c r="P136" s="17" t="str">
        <v>https://www.youtube.com/watch?v=Q0eTkrduYGQ</v>
      </c>
      <c r="R136" s="17" t="str">
        <v>https://www.youtube.com/watch?v=OwzdalM_9_c</v>
      </c>
    </row>
    <row r="137" spans="16:18" x14ac:dyDescent="0.3">
      <c r="P137" s="17" t="str">
        <v>https://www.youtube.com/watch?v=v5F_I3x7w3E</v>
      </c>
      <c r="R137" s="17" t="str">
        <v>https://www.youtube.com/watch?v=QkZqaN8wdf4</v>
      </c>
    </row>
    <row r="138" spans="16:18" x14ac:dyDescent="0.3">
      <c r="P138" s="17" t="str">
        <v>https://www.youtube.com/watch?v=lfe-rUzz-7o</v>
      </c>
      <c r="R138" s="17" t="str">
        <v>https://www.youtube.com/watch?v=PNWy5eJfkuc</v>
      </c>
    </row>
    <row r="139" spans="16:18" x14ac:dyDescent="0.3">
      <c r="P139" s="17" t="str">
        <v>https://www.youtube.com/watch?v=6UGYiXmYJZQ</v>
      </c>
      <c r="R139" s="17" t="str">
        <v>https://www.youtube.com/watch?v=ubCNscvnoYI</v>
      </c>
    </row>
    <row r="140" spans="16:18" x14ac:dyDescent="0.3">
      <c r="P140" s="17" t="str">
        <v>https://www.youtube.com/watch?v=CZQzgz2HUe4</v>
      </c>
      <c r="R140" s="17" t="str">
        <v>https://www.youtube.com/watch?v=9LVPExAdQtM</v>
      </c>
    </row>
    <row r="141" spans="16:18" x14ac:dyDescent="0.3">
      <c r="P141" s="17" t="str">
        <v>https://www.youtube.com/watch?v=lRXr5PK-1W0</v>
      </c>
      <c r="R141" s="17" t="str">
        <v>https://www.youtube.com/watch?v=tj6jkdiJI2Y</v>
      </c>
    </row>
    <row r="142" spans="16:18" x14ac:dyDescent="0.3">
      <c r="P142" s="17" t="str">
        <v>https://www.youtube.com/watch?v=OdP3EzvdY-g</v>
      </c>
      <c r="R142" s="17" t="str">
        <v>https://www.youtube.com/watch?v=xAmrzAu2szY</v>
      </c>
    </row>
    <row r="143" spans="16:18" x14ac:dyDescent="0.3">
      <c r="P143" s="17" t="str">
        <v>https://www.youtube.com/watch?v=GwEa7Yk17Ww</v>
      </c>
      <c r="R143" s="17" t="str">
        <v>https://www.youtube.com/watch?v=QK9GoNofqAE</v>
      </c>
    </row>
    <row r="144" spans="16:18" x14ac:dyDescent="0.3">
      <c r="P144" s="17" t="str">
        <v>https://www.youtube.com/watch?v=1gVv9EEnyYA</v>
      </c>
      <c r="R144" s="17" t="str">
        <v>https://www.youtube.com/watch?v=TB0gOPCxy7U</v>
      </c>
    </row>
    <row r="145" spans="16:18" x14ac:dyDescent="0.3">
      <c r="P145" s="17" t="str">
        <v>https://www.youtube.com/watch?v=9E51qqaCSuk</v>
      </c>
      <c r="R145" s="17" t="str">
        <v>https://www.youtube.com/watch?v=nkHMfFhFKsc</v>
      </c>
    </row>
    <row r="146" spans="16:18" x14ac:dyDescent="0.3">
      <c r="P146" s="17" t="str">
        <v>https://www.youtube.com/watch?v=-N9IPyuDKqc</v>
      </c>
      <c r="R146" s="17" t="str">
        <v>https://www.youtube.com/watch?v=7ADrrHHh-BE</v>
      </c>
    </row>
    <row r="147" spans="16:18" x14ac:dyDescent="0.3">
      <c r="P147" s="17" t="str">
        <v>https://www.youtube.com/watch?v=Wo-EjzuB_tU</v>
      </c>
      <c r="R147" s="17" t="str">
        <v>https://www.youtube.com/watch?v=QAGi6jvnonM</v>
      </c>
    </row>
    <row r="148" spans="16:18" x14ac:dyDescent="0.3">
      <c r="P148" s="17" t="str">
        <v>https://www.youtube.com/watch?v=LcIMZM6gAgQ</v>
      </c>
      <c r="R148" s="17" t="str">
        <v>https://www.youtube.com/watch?v=i75ZJtVbHMU</v>
      </c>
    </row>
    <row r="149" spans="16:18" x14ac:dyDescent="0.3">
      <c r="P149" s="17" t="str">
        <v>https://www.youtube.com/watch?v=LO95K4YrbMk</v>
      </c>
      <c r="R149" s="17" t="str">
        <v>https://www.youtube.com/watch?v=6psKSWI-gS0</v>
      </c>
    </row>
    <row r="150" spans="16:18" x14ac:dyDescent="0.3">
      <c r="P150" s="17" t="str">
        <v>https://www.youtube.com/watch?v=Zv3B41r0Gx4</v>
      </c>
      <c r="R150" s="17" t="str">
        <v>https://www.youtube.com/watch?v=2r_UBmzxztE</v>
      </c>
    </row>
    <row r="151" spans="16:18" x14ac:dyDescent="0.3">
      <c r="P151" s="17" t="str">
        <v>https://www.youtube.com/watch?v=n4RYxu9bC84</v>
      </c>
      <c r="R151" s="17" t="str">
        <v>https://www.youtube.com/watch?v=vNXQst4FtQQ</v>
      </c>
    </row>
    <row r="152" spans="16:18" x14ac:dyDescent="0.3">
      <c r="P152" s="17" t="str">
        <v>https://www.youtube.com/watch?v=EQQgA6An5nQ</v>
      </c>
      <c r="R152" s="17" t="str">
        <v>https://www.youtube.com/watch?v=w5AMvAr5B4M</v>
      </c>
    </row>
    <row r="153" spans="16:18" x14ac:dyDescent="0.3">
      <c r="P153" s="17" t="str">
        <v>https://www.youtube.com/watch?v=o9JAqMu_aoY</v>
      </c>
      <c r="R153" s="17" t="str">
        <v>https://www.youtube.com/watch?v=bm2-d0SngNE</v>
      </c>
    </row>
    <row r="154" spans="16:18" x14ac:dyDescent="0.3">
      <c r="P154" s="17" t="str">
        <v>https://www.youtube.com/watch?v=GiFk3LfLyK8</v>
      </c>
      <c r="R154" s="17" t="str">
        <v>https://www.youtube.com/watch?v=VANIjWEpnJU</v>
      </c>
    </row>
    <row r="155" spans="16:18" x14ac:dyDescent="0.3">
      <c r="P155" s="17" t="str">
        <v>https://www.youtube.com/watch?v=ItVFkAgp5FU</v>
      </c>
      <c r="R155" s="17" t="str">
        <v>https://www.youtube.com/watch?v=rjkRaYrYbp0</v>
      </c>
    </row>
    <row r="156" spans="16:18" x14ac:dyDescent="0.3">
      <c r="P156" s="17" t="str">
        <v>https://www.youtube.com/watch?v=mQRlw4pmJok</v>
      </c>
      <c r="R156" s="17" t="str">
        <v>https://www.youtube.com/watch?v=399BIn0bl1k</v>
      </c>
    </row>
    <row r="157" spans="16:18" x14ac:dyDescent="0.3">
      <c r="P157" s="17" t="str">
        <v>https://www.youtube.com/watch?v=xISaUFEVE_s</v>
      </c>
      <c r="R157" s="17">
        <v>0</v>
      </c>
    </row>
    <row r="158" spans="16:18" x14ac:dyDescent="0.3">
      <c r="P158" s="17" t="str">
        <v>https://www.youtube.com/watch?v=5Y5Ey61HWoE</v>
      </c>
      <c r="R158" s="17">
        <v>0</v>
      </c>
    </row>
    <row r="159" spans="16:18" x14ac:dyDescent="0.3">
      <c r="P159" s="17" t="str">
        <v>https://www.youtube.com/watch?v=qPt-k1MsWFU</v>
      </c>
      <c r="R159" s="17" t="str">
        <v>https://www.youtube.com/watch?v=4ufvex3-i34</v>
      </c>
    </row>
    <row r="160" spans="16:18" x14ac:dyDescent="0.3">
      <c r="P160" s="17" t="str">
        <v>https://www.youtube.com/watch?v=mEWFfpXpaIQ</v>
      </c>
      <c r="R160" s="17" t="str">
        <v>https://www.youtube.com/watch?v=a41oNwOkVTY</v>
      </c>
    </row>
    <row r="161" spans="16:18" x14ac:dyDescent="0.3">
      <c r="P161" s="17" t="str">
        <v>https://www.youtube.com/watch?v=4OxF3C9_cRk</v>
      </c>
      <c r="R161" s="17" t="str">
        <v>https://www.youtube.com/watch?v=NhFXwdlI3Fw</v>
      </c>
    </row>
    <row r="162" spans="16:18" x14ac:dyDescent="0.3">
      <c r="P162" s="17" t="str">
        <v>https://www.youtube.com/watch?v=25YjPXEBHMg</v>
      </c>
      <c r="R162" s="17" t="str">
        <v>https://www.youtube.com/watch?v=4RA9z_3Cc3U</v>
      </c>
    </row>
    <row r="163" spans="16:18" x14ac:dyDescent="0.3">
      <c r="P163" s="17" t="str">
        <v>https://www.youtube.com/watch?v=8EeFCV4TkKs</v>
      </c>
      <c r="R163" s="17" t="str">
        <v>https://www.youtube.com/watch?v=RTonT2xmMZ4</v>
      </c>
    </row>
    <row r="164" spans="16:18" x14ac:dyDescent="0.3">
      <c r="P164" s="17" t="str">
        <v>https://www.youtube.com/watch?v=gEIy7uI84E0</v>
      </c>
      <c r="R164" s="17" t="str">
        <v>https://www.youtube.com/watch?v=qnsDYLOMPI8</v>
      </c>
    </row>
    <row r="165" spans="16:18" x14ac:dyDescent="0.3">
      <c r="P165" s="17" t="str">
        <v>https://www.youtube.com/watch?v=8T-BWYcGjfM</v>
      </c>
      <c r="R165" s="17" t="str">
        <v>https://www.youtube.com/watch?v=FdCON1gniwo</v>
      </c>
    </row>
    <row r="166" spans="16:18" x14ac:dyDescent="0.3">
      <c r="P166" s="17" t="str">
        <v>https://www.youtube.com/watch?v=1QuSGbquYtA</v>
      </c>
      <c r="R166" s="17" t="str">
        <v>https://www.youtube.com/watch?v=Mj9ZrtLyHh0</v>
      </c>
    </row>
    <row r="167" spans="16:18" x14ac:dyDescent="0.3">
      <c r="P167" s="17" t="str">
        <v>https://www.youtube.com/watch?v=Aw57wD-3Wig</v>
      </c>
      <c r="R167" s="17" t="str">
        <v>https://www.youtube.com/watch?v=I9i4iMWccHE</v>
      </c>
    </row>
    <row r="168" spans="16:18" x14ac:dyDescent="0.3">
      <c r="P168" s="17" t="str">
        <v>https://www.youtube.com/watch?v=XHZyC_W_nLo</v>
      </c>
      <c r="R168" s="17" t="str">
        <v>https://www.youtube.com/watch?v=on2AaQfFOEg</v>
      </c>
    </row>
    <row r="169" spans="16:18" x14ac:dyDescent="0.3">
      <c r="P169" s="17" t="str">
        <v>https://www.youtube.com/watch?v=8Z1cRSZIark</v>
      </c>
      <c r="R169" s="17">
        <v>0</v>
      </c>
    </row>
    <row r="170" spans="16:18" x14ac:dyDescent="0.3">
      <c r="P170" s="17" t="str">
        <v>https://www.youtube.com/watch?v=FvpSXPoIZVU</v>
      </c>
      <c r="R170" s="17">
        <v>0</v>
      </c>
    </row>
    <row r="171" spans="16:18" x14ac:dyDescent="0.3">
      <c r="P171" s="17" t="str">
        <v>https://www.youtube.com/watch?v=pSw3U2ArGPc</v>
      </c>
      <c r="R171" s="17">
        <v>0</v>
      </c>
    </row>
    <row r="172" spans="16:18" x14ac:dyDescent="0.3">
      <c r="P172" s="17" t="str">
        <v>https://www.youtube.com/watch?v=a69j0ZIuvvM</v>
      </c>
      <c r="R172" s="17">
        <v>0</v>
      </c>
    </row>
    <row r="173" spans="16:18" x14ac:dyDescent="0.3">
      <c r="P173" s="17" t="str">
        <v>https://www.youtube.com/watch?v=mjHvhqJ4w7U</v>
      </c>
      <c r="R173" s="17">
        <v>0</v>
      </c>
    </row>
    <row r="174" spans="16:18" x14ac:dyDescent="0.3">
      <c r="P174" s="17" t="str">
        <v>https://www.youtube.com/watch?v=x0tedEIJzHM</v>
      </c>
      <c r="R174" s="17">
        <v>0</v>
      </c>
    </row>
    <row r="175" spans="16:18" x14ac:dyDescent="0.3">
      <c r="P175" s="17" t="str">
        <v>https://www.youtube.com/watch?v=frb3jhS60lU</v>
      </c>
      <c r="R175" s="17">
        <v>0</v>
      </c>
    </row>
    <row r="176" spans="16:18" x14ac:dyDescent="0.3">
      <c r="P176" s="17" t="str">
        <v>https://www.youtube.com/watch?v=7YHudygFt6Q</v>
      </c>
      <c r="R176" s="17" t="str">
        <v>https://www.youtube.com/watch?v=KmGoGRjkxOA</v>
      </c>
    </row>
    <row r="177" spans="16:18" x14ac:dyDescent="0.3">
      <c r="P177" s="17" t="str">
        <v>https://www.youtube.com/watch?v=YJDUWRTOzN8</v>
      </c>
      <c r="R177" s="17">
        <v>0</v>
      </c>
    </row>
    <row r="178" spans="16:18" x14ac:dyDescent="0.3">
      <c r="P178" s="17" t="str">
        <v>https://www.youtube.com/watch?v=-0kTT9jMB_g</v>
      </c>
      <c r="R178" s="17">
        <v>0</v>
      </c>
    </row>
    <row r="179" spans="16:18" x14ac:dyDescent="0.3">
      <c r="P179" s="17" t="str">
        <v>https://www.youtube.com/watch?v=F0Wvic_9go4</v>
      </c>
      <c r="R179" s="17">
        <v>0</v>
      </c>
    </row>
    <row r="180" spans="16:18" x14ac:dyDescent="0.3">
      <c r="P180" s="17" t="str">
        <v>https://www.youtube.com/watch?v=E62cG0FxzI4</v>
      </c>
      <c r="R180" s="17">
        <v>0</v>
      </c>
    </row>
    <row r="181" spans="16:18" x14ac:dyDescent="0.3">
      <c r="P181" s="17" t="str">
        <v>https://www.youtube.com/watch?v=0f4K3eojWj4</v>
      </c>
      <c r="R181" s="17" t="str">
        <v>https://www.youtube.com/watch?v=yNUuh1LJ--E</v>
      </c>
    </row>
    <row r="182" spans="16:18" x14ac:dyDescent="0.3">
      <c r="P182" s="17" t="str">
        <v>https://www.youtube.com/watch?v=OgWCfz-GRy0</v>
      </c>
      <c r="R182" s="17" t="str">
        <v>https://www.youtube.com/watch?v=LEj4ybN6Ovc</v>
      </c>
    </row>
    <row r="183" spans="16:18" x14ac:dyDescent="0.3">
      <c r="P183" s="17" t="str">
        <v>https://www.youtube.com/watch?v=cQyDGySYCrI</v>
      </c>
      <c r="R183" s="17" t="str">
        <v>https://www.youtube.com/watch?v=XNaca0XeB8k</v>
      </c>
    </row>
    <row r="184" spans="16:18" x14ac:dyDescent="0.3">
      <c r="P184" s="17" t="str">
        <v>https://www.youtube.com/watch?v=unk5IQvoWgM</v>
      </c>
      <c r="R184" s="17">
        <v>0</v>
      </c>
    </row>
    <row r="185" spans="16:18" x14ac:dyDescent="0.3">
      <c r="P185" s="17" t="str">
        <v>https://www.youtube.com/watch?v=lciYx6rqUZI</v>
      </c>
      <c r="R185" s="17">
        <v>0</v>
      </c>
    </row>
    <row r="186" spans="16:18" x14ac:dyDescent="0.3">
      <c r="P186" s="17" t="str">
        <v>https://www.youtube.com/watch?v=43DKYGoyxIc</v>
      </c>
      <c r="R186" s="17" t="str">
        <v>https://www.youtube.com/watch?v=OuQldRxC9WM</v>
      </c>
    </row>
    <row r="187" spans="16:18" x14ac:dyDescent="0.3">
      <c r="P187" s="17" t="str">
        <v>https://www.youtube.com/watch?v=0XZyqu1FssQ</v>
      </c>
      <c r="R187" s="17">
        <v>0</v>
      </c>
    </row>
    <row r="188" spans="16:18" x14ac:dyDescent="0.3">
      <c r="P188" s="17" t="str">
        <v>https://www.youtube.com/watch?v=1n7k8GZZtrY</v>
      </c>
      <c r="R188" s="17">
        <v>0</v>
      </c>
    </row>
    <row r="189" spans="16:18" x14ac:dyDescent="0.3">
      <c r="P189" s="17" t="str">
        <v>https://www.youtube.com/watch?v=alkRdHyU3kM</v>
      </c>
      <c r="R189" s="17">
        <v>0</v>
      </c>
    </row>
    <row r="190" spans="16:18" x14ac:dyDescent="0.3">
      <c r="P190" s="17" t="str">
        <v>https://www.youtube.com/watch?v=5Aafr4JK1Dc</v>
      </c>
      <c r="R190" s="17">
        <v>0</v>
      </c>
    </row>
    <row r="191" spans="16:18" x14ac:dyDescent="0.3">
      <c r="P191" s="17" t="str">
        <v>https://www.youtube.com/watch?v=xmb23exabUA</v>
      </c>
      <c r="R191" s="17" t="str">
        <v>https://www.youtube.com/watch?v=gEbtIG9EbO4</v>
      </c>
    </row>
    <row r="192" spans="16:18" x14ac:dyDescent="0.3">
      <c r="P192" s="17" t="str">
        <v>https://www.youtube.com/watch?v=x0JNjgQ6Eqw</v>
      </c>
      <c r="R192" s="17">
        <v>0</v>
      </c>
    </row>
    <row r="193" spans="18:18" x14ac:dyDescent="0.3">
      <c r="R193" s="17" t="str">
        <v>https://www.maristes.cat/sites/default/files/content/nodes/recurs/file/8673/1labondaddelsenor.mp3</v>
      </c>
    </row>
    <row r="194" spans="18:18" x14ac:dyDescent="0.3">
      <c r="R194" s="17" t="str">
        <v>https://www.maristes.cat/sites/default/files/content/nodes/recurs/file/8676/4padrevuelvoati.mp3</v>
      </c>
    </row>
    <row r="195" spans="18:18" x14ac:dyDescent="0.3">
      <c r="R195" s="17" t="str">
        <v>https://www.maristes.cat/sites/default/files/content/nodes/recurs/file/8677/5marialamadrebuena.mp3</v>
      </c>
    </row>
    <row r="196" spans="18:18" x14ac:dyDescent="0.3">
      <c r="R196" s="17" t="str">
        <v>https://www.maristes.cat/sites/default/files/content/nodes/recurs/file/8679/7elespiritudelsenor.mp3</v>
      </c>
    </row>
    <row r="197" spans="18:18" x14ac:dyDescent="0.3">
      <c r="R197" s="17" t="str">
        <v>https://www.maristes.cat/sites/default/files/content/nodes/recurs/file/8680/8aleluya.mp3</v>
      </c>
    </row>
    <row r="198" spans="18:18" x14ac:dyDescent="0.3">
      <c r="R198" s="17" t="str">
        <v>https://www.maristes.cat/sites/default/files/content/nodes/recurs/file/8868/3rezarnoesotracosa.mp3</v>
      </c>
    </row>
    <row r="199" spans="18:18" x14ac:dyDescent="0.3">
      <c r="R199" s="17" t="str">
        <v>https://www.maristes.cat/sites/default/files/content/nodes/recurs/file/8873/8padredelasmisericordias.mp3</v>
      </c>
    </row>
    <row r="200" spans="18:18" x14ac:dyDescent="0.3">
      <c r="R200" s="17" t="str">
        <v>https://www.maristes.cat/sites/default/files/content/nodes/recurs/file/8874/9tealabosenor.mp3</v>
      </c>
    </row>
    <row r="201" spans="18:18" x14ac:dyDescent="0.3">
      <c r="R201" s="17" t="str">
        <v>https://www.maristes.cat/sites/default/files/content/nodes/recurs/file/8850/1ereselfuegoelamor.mp3</v>
      </c>
    </row>
    <row r="202" spans="18:18" x14ac:dyDescent="0.3">
      <c r="R202" s="17" t="str">
        <v>https://www.maristes.cat/sites/default/files/content/nodes/recurs/file/8862/9bienaventuranzas.mp3</v>
      </c>
    </row>
    <row r="203" spans="18:18" x14ac:dyDescent="0.3">
      <c r="R203" s="17" t="str">
        <v>https://www.maristes.cat/sites/default/files/content/nodes/recurs/file/8712/1jesusessenor.mp3</v>
      </c>
    </row>
    <row r="204" spans="18:18" x14ac:dyDescent="0.3">
      <c r="R204" s="17" t="str">
        <v>https://www.maristes.cat/sites/default/files/content/nodes/recurs/file/8713/2yocantare.mp3</v>
      </c>
    </row>
    <row r="205" spans="18:18" x14ac:dyDescent="0.3">
      <c r="R205" s="17" t="str">
        <v>https://www.maristes.cat/sites/default/files/content/nodes/recurs/file/8716/3jesusestaentrenosotros.mp3</v>
      </c>
    </row>
    <row r="206" spans="18:18" x14ac:dyDescent="0.3">
      <c r="R206" s="17" t="str">
        <v>https://www.maristes.cat/sites/default/files/content/nodes/recurs/file/8717/4hablame.mp3</v>
      </c>
    </row>
    <row r="207" spans="18:18" x14ac:dyDescent="0.3">
      <c r="R207" s="17" t="str">
        <v>https://www.maristes.cat/sites/default/files/content/nodes/recurs/file/8718/5oraciondelpobre.mp3</v>
      </c>
    </row>
    <row r="208" spans="18:18" x14ac:dyDescent="0.3">
      <c r="R208" s="17" t="str">
        <v>https://www.maristes.cat/sites/default/files/content/nodes/recurs/file/8722/9gloriaadios.mp3</v>
      </c>
    </row>
    <row r="209" spans="18:18" x14ac:dyDescent="0.3">
      <c r="R209" s="17" t="str">
        <v>https://www.maristes.cat/sites/default/files/content/nodes/recurs/file/8745/7mariamusicadedios.mp3</v>
      </c>
    </row>
    <row r="210" spans="18:18" x14ac:dyDescent="0.3">
      <c r="R210" s="17" t="str">
        <v>https://www.maristes.cat/sites/default/files/content/nodes/recurs/file/8749/11madre.mp3</v>
      </c>
    </row>
    <row r="211" spans="18:18" x14ac:dyDescent="0.3">
      <c r="R211" s="17" t="str">
        <v>https://www.maristes.cat/sites/default/files/content/nodes/recurs/file/8808/6ensumesahayamor.mp3</v>
      </c>
    </row>
    <row r="212" spans="18:18" x14ac:dyDescent="0.3">
      <c r="R212" s="17" t="str">
        <v>https://www.maristes.cat/sites/default/files/content/nodes/recurs/file/8811/9pregonpascual.mp3</v>
      </c>
    </row>
    <row r="213" spans="18:18" x14ac:dyDescent="0.3">
      <c r="R213" s="17" t="str">
        <v>https://www.maristes.cat/sites/default/files/content/nodes/recurs/file/8812/10jesusresucitahoy.mp3</v>
      </c>
    </row>
    <row r="214" spans="18:18" x14ac:dyDescent="0.3">
      <c r="R214" s="17" t="str">
        <v>https://www.maristes.cat/sites/default/files/content/nodes/recurs/file/8763/1pazenlatierra.mp3</v>
      </c>
    </row>
    <row r="215" spans="18:18" x14ac:dyDescent="0.3">
      <c r="R215" s="17" t="str">
        <v>https://www.maristes.cat/sites/default/files/content/nodes/recurs/file/8765/3alabotubondad.mp3</v>
      </c>
    </row>
    <row r="216" spans="18:18" x14ac:dyDescent="0.3">
      <c r="R216" s="17" t="str">
        <v>https://www.maristes.cat/sites/default/files/content/nodes/recurs/file/8767/5elamoresnuestrocanto.mp3</v>
      </c>
    </row>
    <row r="217" spans="18:18" x14ac:dyDescent="0.3">
      <c r="R217" s="17" t="str">
        <v>https://www.maristes.cat/sites/default/files/content/nodes/recurs/file/8771/9venespiritudedios.mp3</v>
      </c>
    </row>
    <row r="218" spans="18:18" x14ac:dyDescent="0.3">
      <c r="R218" s="17" t="str">
        <v>https://www.maristes.cat/sites/default/files/content/nodes/recurs/file/8773/11amaos.mp3</v>
      </c>
    </row>
    <row r="219" spans="18:18" x14ac:dyDescent="0.3">
      <c r="R219" s="17">
        <v>0</v>
      </c>
    </row>
    <row r="220" spans="18:18" x14ac:dyDescent="0.3">
      <c r="R220" s="17" t="str">
        <v>https://www.youtube.com/watch?v=pxOlXWBCT-g</v>
      </c>
    </row>
    <row r="221" spans="18:18" x14ac:dyDescent="0.3">
      <c r="R221" s="17" t="str">
        <v>https://www.youtube.com/watch?v=U2UIr2XOcW4</v>
      </c>
    </row>
    <row r="222" spans="18:18" x14ac:dyDescent="0.3">
      <c r="R222" s="17" t="str">
        <v>https://www.youtube.com/watch?v=f0LSzwq2nY4</v>
      </c>
    </row>
    <row r="223" spans="18:18" x14ac:dyDescent="0.3">
      <c r="R223" s="17">
        <v>0</v>
      </c>
    </row>
    <row r="224" spans="18:18" x14ac:dyDescent="0.3">
      <c r="R224" s="17" t="str">
        <v>https://www.youtube.com/watch?v=XMcY8AO0YTw</v>
      </c>
    </row>
    <row r="225" spans="18:18" x14ac:dyDescent="0.3">
      <c r="R225" s="17">
        <v>0</v>
      </c>
    </row>
    <row r="226" spans="18:18" x14ac:dyDescent="0.3">
      <c r="R226" s="17">
        <v>0</v>
      </c>
    </row>
    <row r="227" spans="18:18" x14ac:dyDescent="0.3">
      <c r="R227" s="17">
        <v>0</v>
      </c>
    </row>
    <row r="228" spans="18:18" x14ac:dyDescent="0.3">
      <c r="R228" s="17">
        <v>0</v>
      </c>
    </row>
    <row r="229" spans="18:18" x14ac:dyDescent="0.3">
      <c r="R229" s="17">
        <v>0</v>
      </c>
    </row>
    <row r="230" spans="18:18" x14ac:dyDescent="0.3">
      <c r="R230" s="17">
        <v>0</v>
      </c>
    </row>
    <row r="231" spans="18:18" x14ac:dyDescent="0.3">
      <c r="R231" s="17">
        <v>0</v>
      </c>
    </row>
    <row r="232" spans="18:18" x14ac:dyDescent="0.3">
      <c r="R232" s="17">
        <v>0</v>
      </c>
    </row>
    <row r="233" spans="18:18" x14ac:dyDescent="0.3">
      <c r="R233" s="17">
        <v>0</v>
      </c>
    </row>
    <row r="234" spans="18:18" x14ac:dyDescent="0.3">
      <c r="R234" s="17">
        <v>0</v>
      </c>
    </row>
    <row r="235" spans="18:18" x14ac:dyDescent="0.3">
      <c r="R235" s="17">
        <v>0</v>
      </c>
    </row>
    <row r="236" spans="18:18" x14ac:dyDescent="0.3">
      <c r="R236" s="17">
        <v>0</v>
      </c>
    </row>
    <row r="237" spans="18:18" x14ac:dyDescent="0.3">
      <c r="R237" s="17">
        <v>0</v>
      </c>
    </row>
    <row r="238" spans="18:18" x14ac:dyDescent="0.3">
      <c r="R238" s="17">
        <v>0</v>
      </c>
    </row>
    <row r="239" spans="18:18" x14ac:dyDescent="0.3">
      <c r="R239" s="17" t="str">
        <v>https://www.youtube.com/watch?v=A0xhZ_NFhlc</v>
      </c>
    </row>
    <row r="240" spans="18:18" x14ac:dyDescent="0.3">
      <c r="R240" s="17">
        <v>0</v>
      </c>
    </row>
    <row r="241" spans="18:18" x14ac:dyDescent="0.3">
      <c r="R241" s="17">
        <v>0</v>
      </c>
    </row>
    <row r="242" spans="18:18" x14ac:dyDescent="0.3">
      <c r="R242" s="17">
        <v>0</v>
      </c>
    </row>
    <row r="243" spans="18:18" x14ac:dyDescent="0.3">
      <c r="R243" s="17">
        <v>0</v>
      </c>
    </row>
    <row r="244" spans="18:18" x14ac:dyDescent="0.3">
      <c r="R244" s="17" t="str">
        <v>https://www.youtube.com/watch?v=pBDC7TRhCYY</v>
      </c>
    </row>
    <row r="245" spans="18:18" x14ac:dyDescent="0.3">
      <c r="R245" s="17">
        <v>0</v>
      </c>
    </row>
    <row r="246" spans="18:18" x14ac:dyDescent="0.3">
      <c r="R246" s="17">
        <v>0</v>
      </c>
    </row>
    <row r="247" spans="18:18" x14ac:dyDescent="0.3">
      <c r="R247" s="17">
        <v>0</v>
      </c>
    </row>
    <row r="248" spans="18:18" x14ac:dyDescent="0.3">
      <c r="R248" s="17">
        <v>0</v>
      </c>
    </row>
    <row r="249" spans="18:18" x14ac:dyDescent="0.3">
      <c r="R249" s="17">
        <v>0</v>
      </c>
    </row>
    <row r="250" spans="18:18" x14ac:dyDescent="0.3">
      <c r="R250" s="17" t="str">
        <v>https://www.youtube.com/watch?v=fwSvlqMZsDQ</v>
      </c>
    </row>
    <row r="251" spans="18:18" x14ac:dyDescent="0.3">
      <c r="R251" s="17">
        <v>0</v>
      </c>
    </row>
    <row r="252" spans="18:18" x14ac:dyDescent="0.3">
      <c r="R252" s="17">
        <v>0</v>
      </c>
    </row>
    <row r="253" spans="18:18" x14ac:dyDescent="0.3">
      <c r="R253" s="17">
        <v>0</v>
      </c>
    </row>
    <row r="254" spans="18:18" x14ac:dyDescent="0.3">
      <c r="R254" s="17">
        <v>0</v>
      </c>
    </row>
    <row r="255" spans="18:18" x14ac:dyDescent="0.3">
      <c r="R255" s="17">
        <v>0</v>
      </c>
    </row>
    <row r="256" spans="18:18" x14ac:dyDescent="0.3">
      <c r="R256" s="17">
        <v>0</v>
      </c>
    </row>
    <row r="257" spans="18:18" x14ac:dyDescent="0.3">
      <c r="R257" s="17">
        <v>0</v>
      </c>
    </row>
    <row r="258" spans="18:18" x14ac:dyDescent="0.3">
      <c r="R258" s="17">
        <v>0</v>
      </c>
    </row>
    <row r="259" spans="18:18" x14ac:dyDescent="0.3">
      <c r="R259" s="17">
        <v>0</v>
      </c>
    </row>
    <row r="260" spans="18:18" x14ac:dyDescent="0.3">
      <c r="R260" s="17">
        <v>0</v>
      </c>
    </row>
    <row r="261" spans="18:18" x14ac:dyDescent="0.3">
      <c r="R261" s="17">
        <v>0</v>
      </c>
    </row>
    <row r="262" spans="18:18" x14ac:dyDescent="0.3">
      <c r="R262" s="17">
        <v>0</v>
      </c>
    </row>
    <row r="263" spans="18:18" x14ac:dyDescent="0.3">
      <c r="R263" s="17">
        <v>0</v>
      </c>
    </row>
    <row r="264" spans="18:18" x14ac:dyDescent="0.3">
      <c r="R264" s="17">
        <v>0</v>
      </c>
    </row>
    <row r="265" spans="18:18" x14ac:dyDescent="0.3">
      <c r="R265" s="17">
        <v>0</v>
      </c>
    </row>
    <row r="266" spans="18:18" x14ac:dyDescent="0.3">
      <c r="R266" s="17">
        <v>0</v>
      </c>
    </row>
    <row r="267" spans="18:18" x14ac:dyDescent="0.3">
      <c r="R267" s="17">
        <v>0</v>
      </c>
    </row>
    <row r="268" spans="18:18" x14ac:dyDescent="0.3">
      <c r="R268" s="17">
        <v>0</v>
      </c>
    </row>
    <row r="269" spans="18:18" x14ac:dyDescent="0.3">
      <c r="R269" s="17" t="str">
        <v>https://www.youtube.com/watch?v=1PbEyr1PQAw</v>
      </c>
    </row>
    <row r="270" spans="18:18" x14ac:dyDescent="0.3">
      <c r="R270" s="17">
        <v>0</v>
      </c>
    </row>
    <row r="271" spans="18:18" x14ac:dyDescent="0.3">
      <c r="R271" s="17">
        <v>0</v>
      </c>
    </row>
    <row r="272" spans="18:18" x14ac:dyDescent="0.3">
      <c r="R272" s="17">
        <v>0</v>
      </c>
    </row>
    <row r="273" spans="18:18" x14ac:dyDescent="0.3">
      <c r="R273" s="17">
        <v>0</v>
      </c>
    </row>
    <row r="274" spans="18:18" x14ac:dyDescent="0.3">
      <c r="R274" s="17">
        <v>0</v>
      </c>
    </row>
    <row r="275" spans="18:18" x14ac:dyDescent="0.3">
      <c r="R275" s="17">
        <v>0</v>
      </c>
    </row>
    <row r="276" spans="18:18" x14ac:dyDescent="0.3">
      <c r="R276" s="17">
        <v>0</v>
      </c>
    </row>
    <row r="277" spans="18:18" x14ac:dyDescent="0.3">
      <c r="R277" s="17">
        <v>0</v>
      </c>
    </row>
    <row r="278" spans="18:18" x14ac:dyDescent="0.3">
      <c r="R278" s="17">
        <v>0</v>
      </c>
    </row>
    <row r="279" spans="18:18" x14ac:dyDescent="0.3">
      <c r="R279" s="17">
        <v>0</v>
      </c>
    </row>
    <row r="280" spans="18:18" x14ac:dyDescent="0.3">
      <c r="R280" s="17">
        <v>0</v>
      </c>
    </row>
    <row r="281" spans="18:18" x14ac:dyDescent="0.3">
      <c r="R281" s="17">
        <v>0</v>
      </c>
    </row>
    <row r="282" spans="18:18" x14ac:dyDescent="0.3">
      <c r="R282" s="17">
        <v>0</v>
      </c>
    </row>
    <row r="283" spans="18:18" x14ac:dyDescent="0.3">
      <c r="R283" s="17">
        <v>0</v>
      </c>
    </row>
    <row r="284" spans="18:18" x14ac:dyDescent="0.3">
      <c r="R284" s="17">
        <v>0</v>
      </c>
    </row>
    <row r="285" spans="18:18" x14ac:dyDescent="0.3">
      <c r="R285" s="17" t="str">
        <v>https://www.youtube.com/watch?v=2jyrVGKLpOk</v>
      </c>
    </row>
    <row r="286" spans="18:18" x14ac:dyDescent="0.3">
      <c r="R286" s="17">
        <v>0</v>
      </c>
    </row>
    <row r="287" spans="18:18" x14ac:dyDescent="0.3">
      <c r="R287" s="17">
        <v>0</v>
      </c>
    </row>
    <row r="288" spans="18:18" x14ac:dyDescent="0.3">
      <c r="R288" s="17">
        <v>0</v>
      </c>
    </row>
    <row r="289" spans="18:18" x14ac:dyDescent="0.3">
      <c r="R289" s="17">
        <v>0</v>
      </c>
    </row>
    <row r="290" spans="18:18" x14ac:dyDescent="0.3">
      <c r="R290" s="17">
        <v>0</v>
      </c>
    </row>
    <row r="291" spans="18:18" x14ac:dyDescent="0.3">
      <c r="R291" s="17">
        <v>0</v>
      </c>
    </row>
    <row r="292" spans="18:18" x14ac:dyDescent="0.3">
      <c r="R292" s="17">
        <v>0</v>
      </c>
    </row>
    <row r="293" spans="18:18" x14ac:dyDescent="0.3">
      <c r="R293" s="17">
        <v>0</v>
      </c>
    </row>
    <row r="294" spans="18:18" x14ac:dyDescent="0.3">
      <c r="R294" s="17">
        <v>0</v>
      </c>
    </row>
    <row r="295" spans="18:18" x14ac:dyDescent="0.3">
      <c r="R295" s="17">
        <v>0</v>
      </c>
    </row>
    <row r="296" spans="18:18" x14ac:dyDescent="0.3">
      <c r="R296" s="17">
        <v>0</v>
      </c>
    </row>
    <row r="297" spans="18:18" x14ac:dyDescent="0.3">
      <c r="R297" s="17">
        <v>0</v>
      </c>
    </row>
    <row r="298" spans="18:18" x14ac:dyDescent="0.3">
      <c r="R298" s="17">
        <v>0</v>
      </c>
    </row>
    <row r="299" spans="18:18" x14ac:dyDescent="0.3">
      <c r="R299" s="17">
        <v>0</v>
      </c>
    </row>
    <row r="300" spans="18:18" x14ac:dyDescent="0.3">
      <c r="R300" s="17" t="str">
        <v>https://www.youtube.com/watch?v=sxGnfJq8oIY</v>
      </c>
    </row>
    <row r="301" spans="18:18" x14ac:dyDescent="0.3">
      <c r="R301" s="17">
        <v>0</v>
      </c>
    </row>
    <row r="302" spans="18:18" x14ac:dyDescent="0.3">
      <c r="R302" s="17" t="str">
        <v>https://www.youtube.com/watch?v=nJ18Li5H2Gw</v>
      </c>
    </row>
    <row r="303" spans="18:18" x14ac:dyDescent="0.3">
      <c r="R303" s="17">
        <v>0</v>
      </c>
    </row>
    <row r="304" spans="18:18" x14ac:dyDescent="0.3">
      <c r="R304" s="17">
        <v>0</v>
      </c>
    </row>
    <row r="305" spans="18:18" x14ac:dyDescent="0.3">
      <c r="R305" s="17">
        <v>0</v>
      </c>
    </row>
    <row r="306" spans="18:18" x14ac:dyDescent="0.3">
      <c r="R306" s="17">
        <v>0</v>
      </c>
    </row>
    <row r="307" spans="18:18" x14ac:dyDescent="0.3">
      <c r="R307" s="17">
        <v>0</v>
      </c>
    </row>
    <row r="308" spans="18:18" x14ac:dyDescent="0.3">
      <c r="R308" s="17">
        <v>0</v>
      </c>
    </row>
    <row r="309" spans="18:18" x14ac:dyDescent="0.3">
      <c r="R309" s="17">
        <v>0</v>
      </c>
    </row>
    <row r="310" spans="18:18" x14ac:dyDescent="0.3">
      <c r="R310" s="17">
        <v>0</v>
      </c>
    </row>
    <row r="311" spans="18:18" x14ac:dyDescent="0.3">
      <c r="R311" s="17" t="str">
        <v>https://www.youtube.com/watch?v=whLQp8Pq58g</v>
      </c>
    </row>
    <row r="312" spans="18:18" x14ac:dyDescent="0.3">
      <c r="R312" s="17">
        <v>0</v>
      </c>
    </row>
    <row r="313" spans="18:18" x14ac:dyDescent="0.3">
      <c r="R313" s="17">
        <v>0</v>
      </c>
    </row>
    <row r="314" spans="18:18" x14ac:dyDescent="0.3">
      <c r="R314" s="17">
        <v>0</v>
      </c>
    </row>
    <row r="315" spans="18:18" x14ac:dyDescent="0.3">
      <c r="R315" s="17">
        <v>0</v>
      </c>
    </row>
    <row r="316" spans="18:18" x14ac:dyDescent="0.3">
      <c r="R316" s="17">
        <v>0</v>
      </c>
    </row>
    <row r="317" spans="18:18" x14ac:dyDescent="0.3">
      <c r="R317" s="17" t="str">
        <v>https://www.youtube.com/watch?v=Y9wRUHUQmtM</v>
      </c>
    </row>
    <row r="318" spans="18:18" x14ac:dyDescent="0.3">
      <c r="R318" s="17" t="str">
        <v>https://www.youtube.com/watch?v=J3cob5AYHWs</v>
      </c>
    </row>
    <row r="319" spans="18:18" x14ac:dyDescent="0.3">
      <c r="R319" s="17">
        <v>0</v>
      </c>
    </row>
    <row r="320" spans="18:18" x14ac:dyDescent="0.3">
      <c r="R320" s="17">
        <v>0</v>
      </c>
    </row>
    <row r="321" spans="18:18" x14ac:dyDescent="0.3">
      <c r="R321" s="17">
        <v>0</v>
      </c>
    </row>
    <row r="322" spans="18:18" x14ac:dyDescent="0.3">
      <c r="R322" s="17">
        <v>0</v>
      </c>
    </row>
    <row r="323" spans="18:18" x14ac:dyDescent="0.3">
      <c r="R323" s="17">
        <v>0</v>
      </c>
    </row>
    <row r="324" spans="18:18" x14ac:dyDescent="0.3">
      <c r="R324" s="17">
        <v>0</v>
      </c>
    </row>
    <row r="325" spans="18:18" x14ac:dyDescent="0.3">
      <c r="R325" s="17">
        <v>0</v>
      </c>
    </row>
    <row r="326" spans="18:18" x14ac:dyDescent="0.3">
      <c r="R326" s="17">
        <v>0</v>
      </c>
    </row>
    <row r="327" spans="18:18" x14ac:dyDescent="0.3">
      <c r="R327" s="17">
        <v>0</v>
      </c>
    </row>
    <row r="328" spans="18:18" x14ac:dyDescent="0.3">
      <c r="R328" s="17">
        <v>0</v>
      </c>
    </row>
    <row r="329" spans="18:18" x14ac:dyDescent="0.3">
      <c r="R329" s="17">
        <v>0</v>
      </c>
    </row>
    <row r="330" spans="18:18" x14ac:dyDescent="0.3">
      <c r="R330" s="17">
        <v>0</v>
      </c>
    </row>
    <row r="331" spans="18:18" x14ac:dyDescent="0.3">
      <c r="R331" s="17">
        <v>0</v>
      </c>
    </row>
    <row r="332" spans="18:18" x14ac:dyDescent="0.3">
      <c r="R332" s="17" t="str">
        <v>https://www.youtube.com/watch?v=CO-z-vko0Zs</v>
      </c>
    </row>
    <row r="333" spans="18:18" x14ac:dyDescent="0.3">
      <c r="R333" s="17" t="str">
        <v>https://www.youtube.com/watch?v=D4_cGAjTqdo</v>
      </c>
    </row>
    <row r="334" spans="18:18" x14ac:dyDescent="0.3">
      <c r="R334" s="17">
        <v>0</v>
      </c>
    </row>
    <row r="335" spans="18:18" x14ac:dyDescent="0.3">
      <c r="R335" s="17">
        <v>0</v>
      </c>
    </row>
    <row r="336" spans="18:18" x14ac:dyDescent="0.3">
      <c r="R336" s="17" t="str">
        <v>https://www.youtube.com/watch?v=y99Dt-hY3ZY</v>
      </c>
    </row>
    <row r="337" spans="18:18" x14ac:dyDescent="0.3">
      <c r="R337" s="17">
        <v>0</v>
      </c>
    </row>
    <row r="338" spans="18:18" x14ac:dyDescent="0.3">
      <c r="R338" s="17">
        <v>0</v>
      </c>
    </row>
    <row r="339" spans="18:18" x14ac:dyDescent="0.3">
      <c r="R339" s="17" t="str">
        <v>https://www.youtube.com/watch?v=gqYzjQV9Asc</v>
      </c>
    </row>
    <row r="340" spans="18:18" x14ac:dyDescent="0.3">
      <c r="R340" s="17" t="str">
        <v>https://www.youtube.com/watch?v=EOyvLOMQ0Vc</v>
      </c>
    </row>
    <row r="341" spans="18:18" x14ac:dyDescent="0.3">
      <c r="R341" s="17" t="str">
        <v>https://www.youtube.com/watch?v=5cqIy7aOPck</v>
      </c>
    </row>
    <row r="342" spans="18:18" x14ac:dyDescent="0.3">
      <c r="R342" s="17">
        <v>0</v>
      </c>
    </row>
    <row r="343" spans="18:18" x14ac:dyDescent="0.3">
      <c r="R343" s="17">
        <v>0</v>
      </c>
    </row>
    <row r="344" spans="18:18" x14ac:dyDescent="0.3">
      <c r="R344" s="17">
        <v>0</v>
      </c>
    </row>
    <row r="345" spans="18:18" x14ac:dyDescent="0.3">
      <c r="R345" s="17">
        <v>0</v>
      </c>
    </row>
    <row r="346" spans="18:18" x14ac:dyDescent="0.3">
      <c r="R346" s="17">
        <v>0</v>
      </c>
    </row>
    <row r="347" spans="18:18" x14ac:dyDescent="0.3">
      <c r="R347" s="17">
        <v>0</v>
      </c>
    </row>
    <row r="348" spans="18:18" x14ac:dyDescent="0.3">
      <c r="R348" s="17" t="str">
        <v>https://www.youtube.com/watch?v=6Hkwjq8gdQc</v>
      </c>
    </row>
    <row r="349" spans="18:18" x14ac:dyDescent="0.3">
      <c r="R349" s="17" t="str">
        <v>https://www.youtube.com/watch?v=g7vRXBpL10k</v>
      </c>
    </row>
    <row r="350" spans="18:18" x14ac:dyDescent="0.3">
      <c r="R350" s="17">
        <v>0</v>
      </c>
    </row>
    <row r="351" spans="18:18" x14ac:dyDescent="0.3">
      <c r="R351" s="17">
        <v>0</v>
      </c>
    </row>
    <row r="352" spans="18:18" x14ac:dyDescent="0.3">
      <c r="R352" s="17">
        <v>0</v>
      </c>
    </row>
    <row r="353" spans="18:18" x14ac:dyDescent="0.3">
      <c r="R353" s="17" t="str">
        <v>https://www.youtube.com/watch?v=hGT1-iaMO3I</v>
      </c>
    </row>
    <row r="354" spans="18:18" x14ac:dyDescent="0.3">
      <c r="R354" s="17" t="str">
        <v>https://www.youtube.com/watch?v=epPas0k9yBo</v>
      </c>
    </row>
    <row r="355" spans="18:18" x14ac:dyDescent="0.3">
      <c r="R355" s="17" t="str">
        <v>https://www.youtube.com/watch?v=oo4lLrdpIBg</v>
      </c>
    </row>
    <row r="356" spans="18:18" x14ac:dyDescent="0.3">
      <c r="R356" s="17" t="str">
        <v>https://www.youtube.com/watch?v=u6cOz4g4_0I</v>
      </c>
    </row>
    <row r="357" spans="18:18" x14ac:dyDescent="0.3">
      <c r="R357" s="17">
        <v>0</v>
      </c>
    </row>
    <row r="358" spans="18:18" x14ac:dyDescent="0.3">
      <c r="R358" s="17" t="str">
        <v>https://www.youtube.com/watch?v=PzhLaLRijl0</v>
      </c>
    </row>
    <row r="359" spans="18:18" x14ac:dyDescent="0.3">
      <c r="R359" s="17" t="str">
        <v>https://www.youtube.com/watch?v=V86NBrzhSAo</v>
      </c>
    </row>
    <row r="360" spans="18:18" x14ac:dyDescent="0.3">
      <c r="R360" s="17">
        <v>0</v>
      </c>
    </row>
    <row r="361" spans="18:18" x14ac:dyDescent="0.3">
      <c r="R361" s="17">
        <v>0</v>
      </c>
    </row>
    <row r="362" spans="18:18" x14ac:dyDescent="0.3">
      <c r="R362" s="17">
        <v>0</v>
      </c>
    </row>
    <row r="363" spans="18:18" x14ac:dyDescent="0.3">
      <c r="R363" s="17">
        <v>0</v>
      </c>
    </row>
    <row r="364" spans="18:18" x14ac:dyDescent="0.3">
      <c r="R364" s="17">
        <v>0</v>
      </c>
    </row>
    <row r="365" spans="18:18" x14ac:dyDescent="0.3">
      <c r="R365" s="17">
        <v>0</v>
      </c>
    </row>
    <row r="366" spans="18:18" x14ac:dyDescent="0.3">
      <c r="R366" s="17">
        <v>0</v>
      </c>
    </row>
    <row r="367" spans="18:18" x14ac:dyDescent="0.3">
      <c r="R367" s="17" t="str">
        <v>https://www.youtube.com/watch?v=c4RyIW0bDp0</v>
      </c>
    </row>
    <row r="368" spans="18:18" x14ac:dyDescent="0.3">
      <c r="R368" s="17">
        <v>0</v>
      </c>
    </row>
    <row r="369" spans="18:18" x14ac:dyDescent="0.3">
      <c r="R369" s="17">
        <v>0</v>
      </c>
    </row>
    <row r="370" spans="18:18" x14ac:dyDescent="0.3">
      <c r="R370" s="17">
        <v>0</v>
      </c>
    </row>
    <row r="371" spans="18:18" x14ac:dyDescent="0.3">
      <c r="R371" s="17">
        <v>0</v>
      </c>
    </row>
    <row r="372" spans="18:18" x14ac:dyDescent="0.3">
      <c r="R372" s="17">
        <v>0</v>
      </c>
    </row>
    <row r="373" spans="18:18" x14ac:dyDescent="0.3">
      <c r="R373" s="17">
        <v>0</v>
      </c>
    </row>
    <row r="374" spans="18:18" x14ac:dyDescent="0.3">
      <c r="R374" s="17">
        <v>0</v>
      </c>
    </row>
    <row r="375" spans="18:18" x14ac:dyDescent="0.3">
      <c r="R375" s="17">
        <v>0</v>
      </c>
    </row>
    <row r="376" spans="18:18" x14ac:dyDescent="0.3">
      <c r="R376" s="17">
        <v>0</v>
      </c>
    </row>
    <row r="377" spans="18:18" x14ac:dyDescent="0.3">
      <c r="R377" s="17">
        <v>0</v>
      </c>
    </row>
    <row r="378" spans="18:18" x14ac:dyDescent="0.3">
      <c r="R378" s="17">
        <v>0</v>
      </c>
    </row>
    <row r="379" spans="18:18" x14ac:dyDescent="0.3">
      <c r="R379" s="17">
        <v>0</v>
      </c>
    </row>
    <row r="380" spans="18:18" x14ac:dyDescent="0.3">
      <c r="R380" s="17">
        <v>0</v>
      </c>
    </row>
    <row r="381" spans="18:18" x14ac:dyDescent="0.3">
      <c r="R381" s="17">
        <v>0</v>
      </c>
    </row>
    <row r="382" spans="18:18" x14ac:dyDescent="0.3">
      <c r="R382" s="17">
        <v>0</v>
      </c>
    </row>
    <row r="383" spans="18:18" x14ac:dyDescent="0.3">
      <c r="R383" s="17">
        <v>0</v>
      </c>
    </row>
    <row r="384" spans="18:18" x14ac:dyDescent="0.3">
      <c r="R384" s="17">
        <v>0</v>
      </c>
    </row>
    <row r="385" spans="18:18" x14ac:dyDescent="0.3">
      <c r="R385" s="17">
        <v>0</v>
      </c>
    </row>
    <row r="386" spans="18:18" x14ac:dyDescent="0.3">
      <c r="R386" s="17">
        <v>0</v>
      </c>
    </row>
    <row r="387" spans="18:18" x14ac:dyDescent="0.3">
      <c r="R387" s="17">
        <v>0</v>
      </c>
    </row>
    <row r="388" spans="18:18" x14ac:dyDescent="0.3">
      <c r="R388" s="17">
        <v>0</v>
      </c>
    </row>
    <row r="389" spans="18:18" x14ac:dyDescent="0.3">
      <c r="R389" s="17">
        <v>0</v>
      </c>
    </row>
    <row r="390" spans="18:18" x14ac:dyDescent="0.3">
      <c r="R390" s="17" t="str">
        <v>https://www.youtube.com/watch?v=c06HqJKSRBU</v>
      </c>
    </row>
    <row r="391" spans="18:18" x14ac:dyDescent="0.3">
      <c r="R391" s="17" t="str">
        <v>https://www.youtube.com/watch?v=i3PyJPPFJsQ</v>
      </c>
    </row>
    <row r="392" spans="18:18" x14ac:dyDescent="0.3">
      <c r="R392" s="17">
        <v>0</v>
      </c>
    </row>
    <row r="393" spans="18:18" x14ac:dyDescent="0.3">
      <c r="R393" s="17">
        <v>0</v>
      </c>
    </row>
    <row r="394" spans="18:18" x14ac:dyDescent="0.3">
      <c r="R394" s="17">
        <v>0</v>
      </c>
    </row>
    <row r="395" spans="18:18" x14ac:dyDescent="0.3">
      <c r="R395" s="17">
        <v>0</v>
      </c>
    </row>
    <row r="396" spans="18:18" x14ac:dyDescent="0.3">
      <c r="R396" s="17">
        <v>0</v>
      </c>
    </row>
    <row r="397" spans="18:18" x14ac:dyDescent="0.3">
      <c r="R397" s="17" t="str">
        <v>https://www.youtube.com/watch?v=sgHZUaaDHc8</v>
      </c>
    </row>
    <row r="398" spans="18:18" x14ac:dyDescent="0.3">
      <c r="R398" s="17">
        <v>0</v>
      </c>
    </row>
    <row r="399" spans="18:18" x14ac:dyDescent="0.3">
      <c r="R399" s="17">
        <v>0</v>
      </c>
    </row>
    <row r="400" spans="18:18" x14ac:dyDescent="0.3">
      <c r="R400" s="17">
        <v>0</v>
      </c>
    </row>
    <row r="401" spans="18:18" x14ac:dyDescent="0.3">
      <c r="R401" s="17" t="str">
        <v>https://www.youtube.com/watch?v=3YeyAI09Elg</v>
      </c>
    </row>
    <row r="402" spans="18:18" x14ac:dyDescent="0.3">
      <c r="R402" s="17">
        <v>0</v>
      </c>
    </row>
    <row r="403" spans="18:18" x14ac:dyDescent="0.3">
      <c r="R403" s="17">
        <v>0</v>
      </c>
    </row>
    <row r="404" spans="18:18" x14ac:dyDescent="0.3">
      <c r="R404" s="17">
        <v>0</v>
      </c>
    </row>
    <row r="405" spans="18:18" x14ac:dyDescent="0.3">
      <c r="R405" s="17">
        <v>0</v>
      </c>
    </row>
    <row r="406" spans="18:18" x14ac:dyDescent="0.3">
      <c r="R406" s="17">
        <v>0</v>
      </c>
    </row>
    <row r="407" spans="18:18" x14ac:dyDescent="0.3">
      <c r="R407" s="17">
        <v>0</v>
      </c>
    </row>
    <row r="408" spans="18:18" x14ac:dyDescent="0.3">
      <c r="R408" s="17" t="str">
        <v>https://www.youtube.com/watch?v=sYD6wlOh578</v>
      </c>
    </row>
    <row r="409" spans="18:18" x14ac:dyDescent="0.3">
      <c r="R409" s="17">
        <v>0</v>
      </c>
    </row>
    <row r="410" spans="18:18" x14ac:dyDescent="0.3">
      <c r="R410" s="17">
        <v>0</v>
      </c>
    </row>
    <row r="411" spans="18:18" x14ac:dyDescent="0.3">
      <c r="R411" s="17">
        <v>0</v>
      </c>
    </row>
    <row r="412" spans="18:18" x14ac:dyDescent="0.3">
      <c r="R412" s="17" t="str">
        <v>https://www.youtube.com/watch?v=zZOhUSdKCDA</v>
      </c>
    </row>
    <row r="413" spans="18:18" x14ac:dyDescent="0.3">
      <c r="R413" s="17">
        <v>0</v>
      </c>
    </row>
    <row r="414" spans="18:18" x14ac:dyDescent="0.3">
      <c r="R414" s="17">
        <v>0</v>
      </c>
    </row>
    <row r="415" spans="18:18" x14ac:dyDescent="0.3">
      <c r="R415" s="17">
        <v>0</v>
      </c>
    </row>
    <row r="416" spans="18:18" x14ac:dyDescent="0.3">
      <c r="R416" s="17">
        <v>0</v>
      </c>
    </row>
    <row r="417" spans="18:18" x14ac:dyDescent="0.3">
      <c r="R417" s="17" t="str">
        <v>https://www.youtube.com/watch?v=8O9zFr7y77A</v>
      </c>
    </row>
    <row r="418" spans="18:18" x14ac:dyDescent="0.3">
      <c r="R418" s="17">
        <v>0</v>
      </c>
    </row>
    <row r="419" spans="18:18" x14ac:dyDescent="0.3">
      <c r="R419" s="17">
        <v>0</v>
      </c>
    </row>
    <row r="420" spans="18:18" x14ac:dyDescent="0.3">
      <c r="R420" s="17">
        <v>0</v>
      </c>
    </row>
    <row r="421" spans="18:18" x14ac:dyDescent="0.3">
      <c r="R421" s="17">
        <v>0</v>
      </c>
    </row>
    <row r="422" spans="18:18" x14ac:dyDescent="0.3">
      <c r="R422" s="17">
        <v>0</v>
      </c>
    </row>
    <row r="423" spans="18:18" x14ac:dyDescent="0.3">
      <c r="R423" s="17">
        <v>0</v>
      </c>
    </row>
    <row r="424" spans="18:18" x14ac:dyDescent="0.3">
      <c r="R424" s="17">
        <v>0</v>
      </c>
    </row>
    <row r="425" spans="18:18" x14ac:dyDescent="0.3">
      <c r="R425" s="17">
        <v>0</v>
      </c>
    </row>
    <row r="426" spans="18:18" x14ac:dyDescent="0.3">
      <c r="R426" s="17">
        <v>0</v>
      </c>
    </row>
    <row r="427" spans="18:18" x14ac:dyDescent="0.3">
      <c r="R427" s="17">
        <v>0</v>
      </c>
    </row>
    <row r="428" spans="18:18" x14ac:dyDescent="0.3">
      <c r="R428" s="17" t="str">
        <v>https://www.youtube.com/watch?v=mAfFgnBZTEQ</v>
      </c>
    </row>
    <row r="429" spans="18:18" x14ac:dyDescent="0.3">
      <c r="R429" s="17">
        <v>0</v>
      </c>
    </row>
    <row r="430" spans="18:18" x14ac:dyDescent="0.3">
      <c r="R430" s="17">
        <v>0</v>
      </c>
    </row>
    <row r="431" spans="18:18" x14ac:dyDescent="0.3">
      <c r="R431" s="17">
        <v>0</v>
      </c>
    </row>
    <row r="432" spans="18:18" x14ac:dyDescent="0.3">
      <c r="R432" s="17" t="str">
        <v>https://www.youtube.com/watch?v=u4eeTcDJQYc</v>
      </c>
    </row>
    <row r="433" spans="18:18" x14ac:dyDescent="0.3">
      <c r="R433" s="17" t="str">
        <v>https://www.youtube.com/watch?v=Vzh4sOGppno</v>
      </c>
    </row>
    <row r="434" spans="18:18" x14ac:dyDescent="0.3">
      <c r="R434" s="17" t="str">
        <v>https://www.youtube.com/watch?v=m1QR_OWTTBQ</v>
      </c>
    </row>
    <row r="435" spans="18:18" x14ac:dyDescent="0.3">
      <c r="R435" s="17" t="str">
        <v>https://www.youtube.com/watch?v=Sy742IRghic</v>
      </c>
    </row>
    <row r="436" spans="18:18" x14ac:dyDescent="0.3">
      <c r="R436" s="17" t="str">
        <v>https://www.youtube.com/watch?v=fgqnkDOlXXY</v>
      </c>
    </row>
    <row r="437" spans="18:18" x14ac:dyDescent="0.3">
      <c r="R437" s="17" t="str">
        <v>https://www.youtube.com/watch?v=Ta9bQ5aR_Xk</v>
      </c>
    </row>
    <row r="438" spans="18:18" x14ac:dyDescent="0.3">
      <c r="R438" s="17" t="str">
        <v>https://www.youtube.com/watch?v=gaw6l2e5e4I</v>
      </c>
    </row>
    <row r="439" spans="18:18" x14ac:dyDescent="0.3">
      <c r="R439" s="17" t="str">
        <v>https://www.youtube.com/watch?v=PMQ0E1Xe1ZA</v>
      </c>
    </row>
    <row r="440" spans="18:18" x14ac:dyDescent="0.3">
      <c r="R440" s="17" t="str">
        <v>https://www.youtube.com/watch?v=P8onw2SbEis</v>
      </c>
    </row>
    <row r="441" spans="18:18" x14ac:dyDescent="0.3">
      <c r="R441" s="17" t="str">
        <v>https://www.youtube.com/watch?v=2G4M56LVyyU</v>
      </c>
    </row>
    <row r="442" spans="18:18" x14ac:dyDescent="0.3">
      <c r="R442" s="17" t="str">
        <v>https://www.youtube.com/watch?v=qIkWcuHH9VE</v>
      </c>
    </row>
    <row r="443" spans="18:18" x14ac:dyDescent="0.3">
      <c r="R443" s="17" t="str">
        <v>https://www.youtube.com/watch?v=sYb8uETw2xg</v>
      </c>
    </row>
    <row r="444" spans="18:18" x14ac:dyDescent="0.3">
      <c r="R444" s="17" t="str">
        <v>https://www.youtube.com/watch?v=H9EmhoD7EZ0</v>
      </c>
    </row>
    <row r="445" spans="18:18" x14ac:dyDescent="0.3">
      <c r="R445" s="17" t="str">
        <v>https://www.youtube.com/watch?v=uWKLF2cLJxs</v>
      </c>
    </row>
    <row r="446" spans="18:18" x14ac:dyDescent="0.3">
      <c r="R446" s="17" t="str">
        <v>https://www.youtube.com/watch?v=XC3LUT65HMk</v>
      </c>
    </row>
    <row r="447" spans="18:18" x14ac:dyDescent="0.3">
      <c r="R447" s="17" t="str">
        <v>https://www.youtube.com/watch?v=VYFvhpdbaxg</v>
      </c>
    </row>
    <row r="448" spans="18:18" x14ac:dyDescent="0.3">
      <c r="R448" s="17" t="str">
        <v>https://www.youtube.com/watch?v=O9T7mrMtU40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P3" sqref="P3"/>
    </sheetView>
  </sheetViews>
  <sheetFormatPr baseColWidth="10" defaultRowHeight="14.4" x14ac:dyDescent="0.3"/>
  <sheetData>
    <row r="1" spans="1:36" x14ac:dyDescent="0.3">
      <c r="C1" s="16">
        <f>SUM(D1:AI1)-Resumen!$Q$6-3</f>
        <v>1299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51</v>
      </c>
      <c r="I1" s="17">
        <f t="shared" si="0"/>
        <v>37</v>
      </c>
      <c r="J1" s="17">
        <f t="shared" si="0"/>
        <v>42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172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17">IF($B$2=1,
_xlfn.CHOOSECOLS(_xlfn._xlws.FILTER(CantoralDB[],CantoralDB[Carpeta]=D2),IF($B$3=1,22,2)),
_xlfn.CHOOSECOLS(_xlfn._xlws.FILTER(CantoralDB[],(CantoralDB[Carpeta]=D2)*(CantoralDB[html]="OK")),IF($B$3=1,22,2)))</f>
        <v>Yo soy el que vive</v>
      </c>
      <c r="E3" s="17" t="str" cm="1">
        <f t="array" ref="E3:E5">IF($B$2=1,
_xlfn.CHOOSECOLS(_xlfn._xlws.FILTER(CantoralDB[],CantoralDB[Carpeta]=E2),IF($B$3=1,22,2)),
_xlfn.CHOOSECOLS(_xlfn._xlws.FILTER(CantoralDB[],(CantoralDB[Carpeta]=E2)*(CantoralDB[html]="OK")),IF($B$3=1,22,2)))</f>
        <v>Abbá, Padre</v>
      </c>
      <c r="F3" s="17" t="str" cm="1">
        <f t="array" ref="F3:F7">IF($B$2=1,
_xlfn.CHOOSECOLS(_xlfn._xlws.FILTER(CantoralDB[],CantoralDB[Carpeta]=F2),IF($B$3=1,22,2)),
_xlfn.CHOOSECOLS(_xlfn._xlws.FILTER(CantoralDB[],(CantoralDB[Carpeta]=F2)*(CantoralDB[html]="OK")),IF($B$3=1,22,2)))</f>
        <v>Como Jonás</v>
      </c>
      <c r="G3" s="17" t="str" cm="1">
        <f t="array" ref="G3:G9">IF($B$2=1,
_xlfn.CHOOSECOLS(_xlfn._xlws.FILTER(CantoralDB[],CantoralDB[Carpeta]=G2),IF($B$3=1,22,2)),
_xlfn.CHOOSECOLS(_xlfn._xlws.FILTER(CantoralDB[],(CantoralDB[Carpeta]=G2)*(CantoralDB[html]="OK")),IF($B$3=1,22,2)))</f>
        <v>De la Virgen ha nacido el Niño</v>
      </c>
      <c r="H3" s="17" t="str" cm="1">
        <f t="array" ref="H3:H53">IF($B$2=1,
_xlfn.CHOOSECOLS(_xlfn._xlws.FILTER(CantoralDB[],CantoralDB[Carpeta]=H2),IF($B$3=1,22,2)),
_xlfn.CHOOSECOLS(_xlfn._xlws.FILTER(CantoralDB[],(CantoralDB[Carpeta]=H2)*(CantoralDB[html]="OK")),IF($B$3=1,22,2)))</f>
        <v>Cómo te podré pagar</v>
      </c>
      <c r="I3" s="17" t="str" cm="1">
        <f t="array" ref="I3:I39">IF($B$2=1,
_xlfn.CHOOSECOLS(_xlfn._xlws.FILTER(CantoralDB[],CantoralDB[Carpeta]=I2),IF($B$3=1,22,2)),
_xlfn.CHOOSECOLS(_xlfn._xlws.FILTER(CantoralDB[],(CantoralDB[Carpeta]=I2)*(CantoralDB[html]="OK")),IF($B$3=1,22,2)))</f>
        <v>Abre tu tienda al Señor</v>
      </c>
      <c r="J3" s="17" t="str" cm="1">
        <f t="array" ref="J3:J44">IF($B$2=1,
_xlfn.CHOOSECOLS(_xlfn._xlws.FILTER(CantoralDB[],CantoralDB[Carpeta]=J2),IF($B$3=1,22,2)),
_xlfn.CHOOSECOLS(_xlfn._xlws.FILTER(CantoralDB[],(CantoralDB[Carpeta]=J2)*(CantoralDB[html]="OK")),IF($B$3=1,22,2)))</f>
        <v>Porque nos invitas</v>
      </c>
      <c r="K3" s="17" t="str" cm="1">
        <f t="array" ref="K3:K11">IF($B$2=1,
_xlfn.CHOOSECOLS(_xlfn._xlws.FILTER(CantoralDB[],CantoralDB[Carpeta]=K2),IF($B$3=1,22,2)),
_xlfn.CHOOSECOLS(_xlfn._xlws.FILTER(CantoralDB[],(CantoralDB[Carpeta]=K2)*(CantoralDB[html]="OK")),IF($B$3=1,22,2)))</f>
        <v>Amar es darse</v>
      </c>
      <c r="L3" s="17" t="str" cm="1">
        <f t="array" ref="L3:L8">IF($B$2=1,
_xlfn.CHOOSECOLS(_xlfn._xlws.FILTER(CantoralDB[],CantoralDB[Carpeta]=L2),IF($B$3=1,22,2)),
_xlfn.CHOOSECOLS(_xlfn._xlws.FILTER(CantoralDB[],(CantoralDB[Carpeta]=L2)*(CantoralDB[html]="OK")),IF($B$3=1,22,2)))</f>
        <v>Como era Pedro</v>
      </c>
      <c r="M3" s="17" t="str" cm="1">
        <f t="array" ref="M3:M109">IF($B$2=1,
_xlfn.CHOOSECOLS(_xlfn._xlws.FILTER(CantoralDB[],CantoralDB[Carpeta]=M2),IF($B$3=1,22,2)),
_xlfn.CHOOSECOLS(_xlfn._xlws.FILTER(CantoralDB[],(CantoralDB[Carpeta]=M2)*(CantoralDB[html]="OK")),IF($B$3=1,22,2)))</f>
        <v>Alrededor de tu mesa</v>
      </c>
      <c r="N3" s="17" t="str" cm="1">
        <f t="array" ref="N3:N96">IF($B$2=1,
_xlfn.CHOOSECOLS(_xlfn._xlws.FILTER(CantoralDB[],CantoralDB[Carpeta]=N2),IF($B$3=1,22,2)),
_xlfn.CHOOSECOLS(_xlfn._xlws.FILTER(CantoralDB[],(CantoralDB[Carpeta]=N2)*(CantoralDB[html]="OK")),IF($B$3=1,22,2)))</f>
        <v>Olor a tostadas</v>
      </c>
      <c r="O3" s="17" t="str" cm="1">
        <f t="array" ref="O3:O4">IF($B$2=1,
_xlfn.CHOOSECOLS(_xlfn._xlws.FILTER(CantoralDB[],CantoralDB[Carpeta]=O2),IF($B$3=1,22,2)),
_xlfn.CHOOSECOLS(_xlfn._xlws.FILTER(CantoralDB[],(CantoralDB[Carpeta]=O2)*(CantoralDB[html]="OK")),IF($B$3=1,22,2)))</f>
        <v>El Señor es mi pastor</v>
      </c>
      <c r="P3" s="17" t="str" cm="1">
        <f t="array" ref="P3:P196">IF($B$2=1,
_xlfn.CHOOSECOLS(_xlfn._xlws.FILTER(CantoralDB[],CantoralDB[Carpeta]=P2),IF($B$3=1,22,2)),
_xlfn.CHOOSECOLS(_xlfn._xlws.FILTER(CantoralDB[],(CantoralDB[Carpeta]=P2)*(CantoralDB[html]="OK")),IF($B$3=1,22,2)))</f>
        <v>Entra en mi noche</v>
      </c>
      <c r="Q3" s="17" t="str" cm="1">
        <f t="array" ref="Q3:Q11">IF($B$2=1,
_xlfn.CHOOSECOLS(_xlfn._xlws.FILTER(CantoralDB[],CantoralDB[Carpeta]=Q2),IF($B$3=1,22,2)),
_xlfn.CHOOSECOLS(_xlfn._xlws.FILTER(CantoralDB[],(CantoralDB[Carpeta]=Q2)*(CantoralDB[html]="OK")),IF($B$3=1,22,2)))</f>
        <v>Al ver Jesús</v>
      </c>
      <c r="R3" s="17" t="str" cm="1">
        <f t="array" ref="R3:R4">IF($B$2=1,
_xlfn.CHOOSECOLS(_xlfn._xlws.FILTER(CantoralDB[],CantoralDB[Carpeta]=R2),IF($B$3=1,22,2)),
_xlfn.CHOOSECOLS(_xlfn._xlws.FILTER(CantoralDB[],(CantoralDB[Carpeta]=R2)*(CantoralDB[html]="OK")),IF($B$3=1,22,2)))</f>
        <v>Adoraré tu cuerpo herido</v>
      </c>
      <c r="S3" s="17" t="str" cm="1">
        <f t="array" ref="S3:S32">IF($B$2=1,
_xlfn.CHOOSECOLS(_xlfn._xlws.FILTER(CantoralDB[],CantoralDB[Carpeta]=S2),IF($B$3=1,22,2)),
_xlfn.CHOOSECOLS(_xlfn._xlws.FILTER(CantoralDB[],(CantoralDB[Carpeta]=S2)*(CantoralDB[html]="OK")),IF($B$3=1,22,2)))</f>
        <v>A Dios den gracias los pueblos</v>
      </c>
      <c r="T3" s="17" t="str" cm="1">
        <f t="array" ref="T3:T7">IF($B$2=1,
_xlfn.CHOOSECOLS(_xlfn._xlws.FILTER(CantoralDB[],CantoralDB[Carpeta]=T2),IF($B$3=1,22,2)),
_xlfn.CHOOSECOLS(_xlfn._xlws.FILTER(CantoralDB[],(CantoralDB[Carpeta]=T2)*(CantoralDB[html]="OK")),IF($B$3=1,22,2)))</f>
        <v>A la fiesta del Señor</v>
      </c>
      <c r="U3" s="17" t="str" cm="1">
        <f t="array" ref="U3:U146">IF($B$2=1,
_xlfn.CHOOSECOLS(_xlfn._xlws.FILTER(CantoralDB[],CantoralDB[Carpeta]=U2),IF($B$3=1,22,2)),
_xlfn.CHOOSECOLS(_xlfn._xlws.FILTER(CantoralDB[],(CantoralDB[Carpeta]=U2)*(CantoralDB[html]="OK")),IF($B$3=1,22,2)))</f>
        <v>La bondad y el amor del Señor</v>
      </c>
      <c r="V3" s="17" t="str" cm="1">
        <f t="array" ref="V3:V4">IF($B$2=1,
_xlfn.CHOOSECOLS(_xlfn._xlws.FILTER(CantoralDB[],CantoralDB[Carpeta]=V2),IF($B$3=1,22,2)),
_xlfn.CHOOSECOLS(_xlfn._xlws.FILTER(CantoralDB[],(CantoralDB[Carpeta]=V2)*(CantoralDB[html]="OK")),IF($B$3=1,22,2)))</f>
        <v>Caminaremos</v>
      </c>
      <c r="W3" s="17" t="str" cm="1">
        <f t="array" ref="W3:W8">IF($B$2=1,
_xlfn.CHOOSECOLS(_xlfn._xlws.FILTER(CantoralDB[],CantoralDB[Carpeta]=W2),IF($B$3=1,22,2)),
_xlfn.CHOOSECOLS(_xlfn._xlws.FILTER(CantoralDB[],(CantoralDB[Carpeta]=W2)*(CantoralDB[html]="OK")),IF($B$3=1,22,2)))</f>
        <v>Compartir</v>
      </c>
      <c r="X3" s="17" t="str" cm="1">
        <f t="array" ref="X3:X4">IF($B$2=1,
_xlfn.CHOOSECOLS(_xlfn._xlws.FILTER(CantoralDB[],CantoralDB[Carpeta]=X2),IF($B$3=1,22,2)),
_xlfn.CHOOSECOLS(_xlfn._xlws.FILTER(CantoralDB[],(CantoralDB[Carpeta]=X2)*(CantoralDB[html]="OK")),IF($B$3=1,22,2)))</f>
        <v>Heme aquí</v>
      </c>
      <c r="Y3" s="17" t="e" cm="1" vm="1">
        <f t="array" ref="Y3">IF($B$2=1,
_xlfn.CHOOSECOLS(_xlfn._xlws.FILTER(CantoralDB[],CantoralDB[Carpeta]=Y2),IF($B$3=1,22,2)),
_xlfn.CHOOSECOLS(_xlfn._xlws.FILTER(CantoralDB[],(CantoralDB[Carpeta]=Y2)*(CantoralDB[html]="OK")),IF($B$3=1,22,2)))</f>
        <v>#VALUE!</v>
      </c>
      <c r="Z3" s="17" t="str" cm="1">
        <f t="array" ref="Z3:Z17">IF($B$2=1,
_xlfn.CHOOSECOLS(_xlfn._xlws.FILTER(CantoralDB[],CantoralDB[Carpeta]=Z2),IF($B$3=1,22,2)),
_xlfn.CHOOSECOLS(_xlfn._xlws.FILTER(CantoralDB[],(CantoralDB[Carpeta]=Z2)*(CantoralDB[html]="OK")),IF($B$3=1,22,2)))</f>
        <v>A Belén se va y se viene</v>
      </c>
      <c r="AA3" s="17" t="str" cm="1">
        <f t="array" ref="AA3:AA174">IF($B$2=1,
_xlfn.CHOOSECOLS(_xlfn._xlws.FILTER(CantoralDB[],CantoralDB[Carpeta]=AA2),IF($B$3=1,22,2)),
_xlfn.CHOOSECOLS(_xlfn._xlws.FILTER(CantoralDB[],(CantoralDB[Carpeta]=AA2)*(CantoralDB[html]="OK")),IF($B$3=1,22,2)))</f>
        <v>Aleluya de Adviento</v>
      </c>
      <c r="AB3" s="17" t="str" cm="1">
        <f t="array" ref="AB3:AB43">IF($B$2=1,
_xlfn.CHOOSECOLS(_xlfn._xlws.FILTER(CantoralDB[],CantoralDB[Carpeta]=AB2),IF($B$3=1,22,2)),
_xlfn.CHOOSECOLS(_xlfn._xlws.FILTER(CantoralDB[],(CantoralDB[Carpeta]=AB2)*(CantoralDB[html]="OK")),IF($B$3=1,22,2)))</f>
        <v>Alma de Cristo</v>
      </c>
      <c r="AC3" s="17" t="str" cm="1">
        <f t="array" ref="AC3:AC6">IF($B$2=1,
_xlfn.CHOOSECOLS(_xlfn._xlws.FILTER(CantoralDB[],CantoralDB[Carpeta]=AC2),IF($B$3=1,22,2)),
_xlfn.CHOOSECOLS(_xlfn._xlws.FILTER(CantoralDB[],(CantoralDB[Carpeta]=AC2)*(CantoralDB[html]="OK")),IF($B$3=1,22,2)))</f>
        <v>Abro mi ser</v>
      </c>
      <c r="AD3" s="17" t="str" cm="1">
        <f t="array" ref="AD3:AD7">IF($B$2=1,
_xlfn.CHOOSECOLS(_xlfn._xlws.FILTER(CantoralDB[],CantoralDB[Carpeta]=AD2),IF($B$3=1,22,2)),
_xlfn.CHOOSECOLS(_xlfn._xlws.FILTER(CantoralDB[],(CantoralDB[Carpeta]=AD2)*(CantoralDB[html]="OK")),IF($B$3=1,22,2)))</f>
        <v>Abrid de par en par</v>
      </c>
      <c r="AE3" s="17" t="str" cm="1">
        <f t="array" ref="AE3:AE13">IF($B$2=1,
_xlfn.CHOOSECOLS(_xlfn._xlws.FILTER(CantoralDB[],CantoralDB[Carpeta]=AE2),IF($B$3=1,22,2)),
_xlfn.CHOOSECOLS(_xlfn._xlws.FILTER(CantoralDB[],(CantoralDB[Carpeta]=AE2)*(CantoralDB[html]="OK")),IF($B$3=1,22,2)))</f>
        <v>Cómo le cantaré al Señor</v>
      </c>
      <c r="AF3" s="17" t="e" cm="1" vm="1">
        <f t="array" ref="AF3">IF($B$2=1,
_xlfn.CHOOSECOLS(_xlfn._xlws.FILTER(CantoralDB[],CantoralDB[Carpeta]=AF2),IF($B$3=1,22,2)),
_xlfn.CHOOSECOLS(_xlfn._xlws.FILTER(CantoralDB[],(CantoralDB[Carpeta]=AF2)*(CantoralDB[html]="OK")),IF($B$3=1,22,2)))</f>
        <v>#VALUE!</v>
      </c>
      <c r="AG3" s="17" t="str" cm="1">
        <f t="array" ref="AG3:AG52">IF($B$2=1,
_xlfn.CHOOSECOLS(_xlfn._xlws.FILTER(CantoralDB[],CantoralDB[Carpeta]=AG2),IF($B$3=1,22,2)),
_xlfn.CHOOSECOLS(_xlfn._xlws.FILTER(CantoralDB[],(CantoralDB[Carpeta]=AG2)*(CantoralDB[html]="OK")),IF($B$3=1,22,2)))</f>
        <v>Adéntrate</v>
      </c>
      <c r="AH3" s="17" t="str" cm="1">
        <f t="array" ref="AH3:AH166">IF($B$2=1,
_xlfn.CHOOSECOLS(_xlfn._xlws.FILTER(CantoralDB[],CantoralDB[Carpeta]=AH2),IF($B$3=1,22,2)),
_xlfn.CHOOSECOLS(_xlfn._xlws.FILTER(CantoralDB[],(CantoralDB[Carpeta]=AH2)*(CantoralDB[html]="OK")),IF($B$3=1,22,2)))</f>
        <v>Cristo ha resucitado</v>
      </c>
      <c r="AI3" s="17" t="str" cm="1">
        <f t="array" ref="AI3:AI46">IF($B$2=1,
_xlfn.CHOOSECOLS(_xlfn._xlws.FILTER(CantoralDB[],CantoralDB[Carpeta]=AI2),IF($B$3=1,22,2)),
_xlfn.CHOOSECOLS(_xlfn._xlws.FILTER(CantoralDB[],(CantoralDB[Carpeta]=AI2)*(CantoralDB[html]="OK")),IF($B$3=1,22,2)))</f>
        <v>Ven a la fiesta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Señor, ten piedad I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Lo que hemos visto y oído</v>
      </c>
      <c r="H5" t="str">
        <v>Nada has pensado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En mi debilidad</v>
      </c>
      <c r="I6" t="str">
        <v>Arriésgate</v>
      </c>
      <c r="J6" t="str">
        <v>Se acerca el Señor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Envíame</v>
      </c>
      <c r="I7" t="str">
        <v>Cerca está el Señor</v>
      </c>
      <c r="J7" t="str">
        <v>El Señor es bueno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Agua, lávame</v>
      </c>
      <c r="I8" t="str">
        <v>Compartir junto al Señor</v>
      </c>
      <c r="J8" t="str">
        <v>Aclama al Señor tierra entera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Sé que voy contigo</v>
      </c>
      <c r="I9" t="str">
        <v>Con nosotros está el Señor</v>
      </c>
      <c r="J9" t="str">
        <v>Envía tu Espíritu,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Santo (Están llenos de tu amor)</v>
      </c>
    </row>
    <row r="10" spans="1:36" x14ac:dyDescent="0.3">
      <c r="D10" t="str">
        <v>La mujer cananea</v>
      </c>
      <c r="H10" t="str">
        <v>Señor, mírame</v>
      </c>
      <c r="I10" t="str">
        <v>Creo en Jesús</v>
      </c>
      <c r="J10" t="str">
        <v>Aleluya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</row>
    <row r="11" spans="1:36" x14ac:dyDescent="0.3">
      <c r="D11" t="str">
        <v>El siervo</v>
      </c>
      <c r="H11" t="str">
        <v>Ten piedad</v>
      </c>
      <c r="I11" t="str">
        <v>Cristo es la imagen de Dios</v>
      </c>
      <c r="J11" t="str">
        <v>Habla, Señor, que tu siervo escucha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Da la paz al mundo</v>
      </c>
    </row>
    <row r="12" spans="1:36" x14ac:dyDescent="0.3">
      <c r="D12" t="str">
        <v>La moneda perdida</v>
      </c>
      <c r="H12" t="str">
        <v>He oído tu voz</v>
      </c>
      <c r="I12" t="str">
        <v>Cristo fue sincero</v>
      </c>
      <c r="J12" t="str">
        <v>Al atardecer de la vida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Padre nuestro, padre nuestro</v>
      </c>
    </row>
    <row r="13" spans="1:36" x14ac:dyDescent="0.3">
      <c r="D13" t="str">
        <v>Señor mío y Dios mío</v>
      </c>
      <c r="H13" t="str">
        <v>Pan y vino de amor</v>
      </c>
      <c r="I13" t="str">
        <v>Cristo nos da la libertad</v>
      </c>
      <c r="J13" t="str">
        <v>Tú nos dijiste que la muerte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Jesús, ven tú</v>
      </c>
    </row>
    <row r="14" spans="1:36" x14ac:dyDescent="0.3">
      <c r="D14" t="str">
        <v>Dame una palabra</v>
      </c>
      <c r="H14" t="str">
        <v>Santo</v>
      </c>
      <c r="I14" t="str">
        <v>Cristo por nosotros</v>
      </c>
      <c r="J14" t="str">
        <v>Peregrino (Éxodo y liberación)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María, María</v>
      </c>
    </row>
    <row r="15" spans="1:36" x14ac:dyDescent="0.3">
      <c r="D15" t="str">
        <v>Somos del Señor</v>
      </c>
      <c r="H15" t="str">
        <v>Padre nuestro</v>
      </c>
      <c r="I15" t="str">
        <v>Cristo se entregó por nosotros</v>
      </c>
      <c r="J15" t="str">
        <v>A quién temeré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Bienvenidos</v>
      </c>
    </row>
    <row r="16" spans="1:36" x14ac:dyDescent="0.3">
      <c r="D16" t="str">
        <v>Fuertes, humildes y diligentes</v>
      </c>
      <c r="H16" t="str">
        <v>Ven junto a mí</v>
      </c>
      <c r="I16" t="str">
        <v>Cuántos años han de pasar</v>
      </c>
      <c r="J16" t="str">
        <v>Pescador de hombres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Señor, ten piedad II</v>
      </c>
    </row>
    <row r="17" spans="4:35" x14ac:dyDescent="0.3">
      <c r="D17" t="str">
        <v>Ain Karem</v>
      </c>
      <c r="H17" t="str">
        <v>Nadie contestó</v>
      </c>
      <c r="I17" t="str">
        <v>Dios nos convoca</v>
      </c>
      <c r="J17" t="str">
        <v>Todos unidos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Gloria (por pintar amaneceres)</v>
      </c>
    </row>
    <row r="18" spans="4:35" x14ac:dyDescent="0.3">
      <c r="D18" t="str">
        <v>Te basta mi gracia</v>
      </c>
      <c r="H18" t="str">
        <v>Tras las huellas del Padre</v>
      </c>
      <c r="I18" t="str">
        <v>Dios te salve, María</v>
      </c>
      <c r="J18" t="str">
        <v>Sois la semilla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Tu palabra se hace vida</v>
      </c>
    </row>
    <row r="19" spans="4:35" x14ac:dyDescent="0.3">
      <c r="D19" t="str">
        <v>Poneos en pie</v>
      </c>
      <c r="H19" t="str">
        <v>Tierra</v>
      </c>
      <c r="I19" t="str">
        <v>Dios te salve, María, llena eres de gracia</v>
      </c>
      <c r="J19" t="str">
        <v>Yo pensaba que el hombre era grande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Aleluya II</v>
      </c>
    </row>
    <row r="20" spans="4:35" x14ac:dyDescent="0.3">
      <c r="D20" t="str">
        <v>Sé mi luz</v>
      </c>
      <c r="H20" t="str">
        <v>Todos juntos</v>
      </c>
      <c r="I20" t="str">
        <v>Escucha tú la Palabra de Dios</v>
      </c>
      <c r="J20" t="str">
        <v>Hoy, Señor, te damos gracias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Te ofrecemos</v>
      </c>
    </row>
    <row r="21" spans="4:35" x14ac:dyDescent="0.3">
      <c r="D21" t="str">
        <v>Cómo podré pagarte</v>
      </c>
      <c r="H21" t="str">
        <v>Allanad los caminos</v>
      </c>
      <c r="I21" t="str">
        <v>Este pan y vino</v>
      </c>
      <c r="J21" t="str">
        <v>En el trabajo de cada día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Santo (Hosanna en el Cielo al Señor)</v>
      </c>
    </row>
    <row r="22" spans="4:35" x14ac:dyDescent="0.3">
      <c r="D22" t="str">
        <v>Palabras de vida</v>
      </c>
      <c r="H22" t="str">
        <v>Las bodas de Caná</v>
      </c>
      <c r="I22" t="str">
        <v>Gracias, Señor, por tu Palabra</v>
      </c>
      <c r="J22" t="str">
        <v>Vienen con alegría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Padre nuestro II</v>
      </c>
    </row>
    <row r="23" spans="4:35" x14ac:dyDescent="0.3">
      <c r="D23" t="str">
        <v>Seducida</v>
      </c>
      <c r="H23" t="str">
        <v>El soplo de Dios</v>
      </c>
      <c r="I23" t="str">
        <v>Hosanna, hosanna, hosanna</v>
      </c>
      <c r="J23" t="str">
        <v>Cristo te necesita para amar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Danos paz</v>
      </c>
    </row>
    <row r="24" spans="4:35" x14ac:dyDescent="0.3">
      <c r="D24" t="str">
        <v>Escucha</v>
      </c>
      <c r="H24" t="str">
        <v>El agua viva</v>
      </c>
      <c r="I24" t="str">
        <v>Hoy me siento peregrino</v>
      </c>
      <c r="J24" t="str">
        <v>Yo tengo un amigo que me ama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Hoy, Jesús, vendrás a mí</v>
      </c>
    </row>
    <row r="25" spans="4:35" x14ac:dyDescent="0.3">
      <c r="D25" t="str">
        <v>Ruah</v>
      </c>
      <c r="H25" t="str">
        <v>El pan de vida</v>
      </c>
      <c r="I25" t="str">
        <v>Hoy vuelvo de lejos</v>
      </c>
      <c r="J25" t="str">
        <v>Caminando voy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Familia de Dios</v>
      </c>
    </row>
    <row r="26" spans="4:35" x14ac:dyDescent="0.3">
      <c r="D26" t="str">
        <v>No guardes tu vida</v>
      </c>
      <c r="H26" t="str">
        <v>Quién tirará la primera piedra</v>
      </c>
      <c r="I26" t="str">
        <v>Las puertas de la nueva ciudad</v>
      </c>
      <c r="J26" t="str">
        <v>Eres mi riqueza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Ave María</v>
      </c>
    </row>
    <row r="27" spans="4:35" x14ac:dyDescent="0.3">
      <c r="D27" t="str">
        <v>Atráeme</v>
      </c>
      <c r="H27" t="str">
        <v>El buen pastor</v>
      </c>
      <c r="I27" t="str">
        <v>Levántate, pueblo mío</v>
      </c>
      <c r="J27" t="str">
        <v>Iglesia soy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Vivir en el Señor</v>
      </c>
      <c r="I28" t="str">
        <v>Llegó la noche</v>
      </c>
      <c r="J28" t="str">
        <v>Aleluya, creo en Ti, Señor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El Espíritu de Dios (33 El Musical)</v>
      </c>
    </row>
    <row r="29" spans="4:35" x14ac:dyDescent="0.3">
      <c r="D29" t="str">
        <v>Levantad las piedras</v>
      </c>
      <c r="H29" t="str">
        <v>Amaos unos a otros</v>
      </c>
      <c r="I29" t="str">
        <v>Nochebuena, nochebuena</v>
      </c>
      <c r="J29" t="str">
        <v>Cuando rezamos, cuando cantamos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5" x14ac:dyDescent="0.3">
      <c r="D30" t="str">
        <v>Aleluya</v>
      </c>
      <c r="H30" t="str">
        <v>Yo soy el que sirve</v>
      </c>
      <c r="I30" t="str">
        <v>Oh, mi Dios, crea en mí</v>
      </c>
      <c r="J30" t="str">
        <v>La misa es una fiesta muy alegre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5" x14ac:dyDescent="0.3">
      <c r="D31" t="str">
        <v>Tú eres mi bien</v>
      </c>
      <c r="H31" t="str">
        <v>La vid y los sarmientos</v>
      </c>
      <c r="I31" t="str">
        <v>Oí tu voz</v>
      </c>
      <c r="J31" t="str">
        <v>Tú, que siempre nos perdonas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5" x14ac:dyDescent="0.3">
      <c r="D32" t="str">
        <v>Desde abajo</v>
      </c>
      <c r="H32" t="str">
        <v>Siempre estaré con vosotros</v>
      </c>
      <c r="I32" t="str">
        <v>Padre nuestro (Erdozáin)</v>
      </c>
      <c r="J32" t="str">
        <v>Enséñame, Señor, tus caminos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El juicio de Cristo</v>
      </c>
      <c r="I33" t="str">
        <v>Purifícame, Señor</v>
      </c>
      <c r="J33" t="str">
        <v>Ojalá escuchemos hoy su voz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Aleluya, el Señor resucitó</v>
      </c>
      <c r="I34" t="str">
        <v>Se acerca el reino de Dios</v>
      </c>
      <c r="J34" t="str">
        <v>Haz, Señor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Señor, envíanos a tu Hijo</v>
      </c>
      <c r="I35" t="str">
        <v>Tened encendida la lámpara</v>
      </c>
      <c r="J35" t="str">
        <v>Un niño se te acercó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Monólogo de Zacarías</v>
      </c>
      <c r="I36" t="str">
        <v>Vamos a preparar</v>
      </c>
      <c r="J36" t="str">
        <v>La misa no termina aquí en la iglesia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Magnificat</v>
      </c>
      <c r="I37" t="str">
        <v>Ven, Espíritu Santo</v>
      </c>
      <c r="J37" t="str">
        <v>Yo confío en ti, Señor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Buscando posada</v>
      </c>
      <c r="I38" t="str">
        <v>Ven, Salvador</v>
      </c>
      <c r="J38" t="str">
        <v>Nadie hay tan grande como tú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Madre de Dios</v>
      </c>
      <c r="I39" t="str">
        <v>Yo estaré con vosotros</v>
      </c>
      <c r="J39" t="str">
        <v>Dios es amor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Gloria a Dios en los cielos</v>
      </c>
      <c r="J40" t="str">
        <v>Esperando, esperando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Navidad en el corazón</v>
      </c>
      <c r="J41" t="str">
        <v>Una nueva vida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Bien nacido</v>
      </c>
      <c r="J42" t="str">
        <v>Una espiga dorada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ropas de Dios</v>
      </c>
      <c r="J43" t="str">
        <v>El niño Dios ha nacido en Belén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Los pájaros pastores</v>
      </c>
      <c r="J44" t="str">
        <v>Juntos como hermanos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La serranilla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Sueños de riqueza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Aleluya cantará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calor de tu palabra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Hoy, Señor, te daré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Me levantaré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Nada nos separará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Que sea mi vida la sal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Ven, no apartes de mí los ojos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Yo celebraré</v>
      </c>
      <c r="AH117" t="str">
        <v>Surrexit Dominus vere (canon)</v>
      </c>
    </row>
    <row r="118" spans="4:34" x14ac:dyDescent="0.3">
      <c r="P118" t="str">
        <v>Hacia Ti</v>
      </c>
      <c r="U118" t="str">
        <v>Acógeme, Dios</v>
      </c>
      <c r="AA118" t="str">
        <v>Canta aleluya</v>
      </c>
      <c r="AH118" t="str">
        <v>Christe Salvator</v>
      </c>
    </row>
    <row r="119" spans="4:34" x14ac:dyDescent="0.3">
      <c r="P119" t="str">
        <v>Ora en mí</v>
      </c>
      <c r="U119" t="str">
        <v>María, madre del dolor</v>
      </c>
      <c r="AA119" t="str">
        <v>Fe no es aguardar</v>
      </c>
      <c r="AH119" t="str">
        <v>Benedictus qui venit (canon)</v>
      </c>
    </row>
    <row r="120" spans="4:34" x14ac:dyDescent="0.3">
      <c r="P120" t="str">
        <v>Vuelve</v>
      </c>
      <c r="U120" t="str">
        <v>El Señor nos ha reunido</v>
      </c>
      <c r="AA120" t="str">
        <v>Acuérdate de Jesucristo</v>
      </c>
      <c r="AH120" t="str">
        <v>Nunc dimittis</v>
      </c>
    </row>
    <row r="121" spans="4:34" x14ac:dyDescent="0.3">
      <c r="P121" t="str">
        <v>Espero en ti</v>
      </c>
      <c r="U121" t="str">
        <v>Llama de vida</v>
      </c>
      <c r="AA121" t="str">
        <v>Anunciaremos tu Reino, Señor</v>
      </c>
      <c r="AH121" t="str">
        <v>Ad te Jesu Christe</v>
      </c>
    </row>
    <row r="122" spans="4:34" x14ac:dyDescent="0.3">
      <c r="P122" t="str">
        <v>Extiende tu mano</v>
      </c>
      <c r="U122" t="str">
        <v>Venga tu reino</v>
      </c>
      <c r="AA122" t="str">
        <v>Oh, Señor, envía tu Espíritu</v>
      </c>
      <c r="AH122" t="str">
        <v>Il Signore ti ristora</v>
      </c>
    </row>
    <row r="123" spans="4:34" x14ac:dyDescent="0.3">
      <c r="P123" t="str">
        <v>Ruah</v>
      </c>
      <c r="U123" t="str">
        <v>Pregón Pascual (Gloria)</v>
      </c>
      <c r="AA123" t="str">
        <v>Un solo Señor</v>
      </c>
      <c r="AH123" t="str">
        <v>Alleluia 22</v>
      </c>
    </row>
    <row r="124" spans="4:34" x14ac:dyDescent="0.3">
      <c r="P124" t="str">
        <v>Descansa</v>
      </c>
      <c r="U124" t="str">
        <v>Mirad, Jesús resucita hoy</v>
      </c>
      <c r="AA124" t="str">
        <v>Sois la sal</v>
      </c>
      <c r="AH124" t="str">
        <v>Iedere nacht verlang ik</v>
      </c>
    </row>
    <row r="125" spans="4:34" x14ac:dyDescent="0.3">
      <c r="P125" t="str">
        <v>Cuando vuelva tu luz</v>
      </c>
      <c r="U125" t="str">
        <v>Somos testigos</v>
      </c>
      <c r="AA125" t="str">
        <v>Amando hasta el extremo</v>
      </c>
      <c r="AH125" t="str">
        <v>Aber du weisst den Weg für mich</v>
      </c>
    </row>
    <row r="126" spans="4:34" x14ac:dyDescent="0.3">
      <c r="P126" t="str">
        <v>Entra en tu cuarto</v>
      </c>
      <c r="U126" t="str">
        <v>Tu camino y tu verdad</v>
      </c>
      <c r="AA126" t="str">
        <v>Quiero alabarte</v>
      </c>
      <c r="AH126" t="str">
        <v>Eat this bread</v>
      </c>
    </row>
    <row r="127" spans="4:34" x14ac:dyDescent="0.3">
      <c r="P127" t="str">
        <v>Transfigúrame</v>
      </c>
      <c r="U127" t="str">
        <v>Seguir amando</v>
      </c>
      <c r="AA127" t="str">
        <v>Jesús, amigo</v>
      </c>
      <c r="AH127" t="str">
        <v>Jesus Christ, bread of life</v>
      </c>
    </row>
    <row r="128" spans="4:34" x14ac:dyDescent="0.3">
      <c r="P128" t="str">
        <v>Tengo fe</v>
      </c>
      <c r="U128" t="str">
        <v>Y se vive la vida</v>
      </c>
      <c r="AA128" t="str">
        <v>Te amo, Señor</v>
      </c>
      <c r="AH128" t="str">
        <v>Esprit consolateur</v>
      </c>
    </row>
    <row r="129" spans="16:34" x14ac:dyDescent="0.3">
      <c r="P129" t="str">
        <v>Que sean uno</v>
      </c>
      <c r="U129" t="str">
        <v>Jesús, cámbianos</v>
      </c>
      <c r="AA129" t="str">
        <v>Quién nos separará</v>
      </c>
      <c r="AH129" t="str">
        <v>Let all who are thirsty come</v>
      </c>
    </row>
    <row r="130" spans="16:34" x14ac:dyDescent="0.3">
      <c r="P130" t="str">
        <v>Ama y haz lo que quieras</v>
      </c>
      <c r="U130" t="str">
        <v>Como María</v>
      </c>
      <c r="AA130" t="str">
        <v>Adiós, adiós amigos</v>
      </c>
      <c r="AH130" t="str">
        <v>Alleluia 17</v>
      </c>
    </row>
    <row r="131" spans="16:34" x14ac:dyDescent="0.3">
      <c r="P131" t="str">
        <v>Si no te dejo marchar</v>
      </c>
      <c r="U131" t="str">
        <v>Nos marca el caminar</v>
      </c>
      <c r="AA131" t="str">
        <v>Nadie te ama como Yo</v>
      </c>
      <c r="AH131" t="str">
        <v>Jésus, ma joie</v>
      </c>
    </row>
    <row r="132" spans="16:34" x14ac:dyDescent="0.3">
      <c r="P132" t="str">
        <v>Sopla en mí</v>
      </c>
      <c r="U132" t="str">
        <v>Soy mujer</v>
      </c>
      <c r="AA132" t="str">
        <v>Hágase</v>
      </c>
      <c r="AH132" t="str">
        <v>Kyrie 6</v>
      </c>
    </row>
    <row r="133" spans="16:34" x14ac:dyDescent="0.3">
      <c r="P133" t="str">
        <v>Peña mía</v>
      </c>
      <c r="U133" t="str">
        <v>En ti solo descanso</v>
      </c>
      <c r="AA133" t="str">
        <v>María de Nazaret</v>
      </c>
      <c r="AH133" t="str">
        <v>Nada te turbe</v>
      </c>
    </row>
    <row r="134" spans="16:34" x14ac:dyDescent="0.3">
      <c r="P134" t="str">
        <v>Vuestra soy</v>
      </c>
      <c r="U134" t="str">
        <v>Dios de la vida</v>
      </c>
      <c r="AA134" t="str">
        <v>No se cansó de hacer el bien</v>
      </c>
      <c r="AH134" t="str">
        <v>Dona la pace</v>
      </c>
    </row>
    <row r="135" spans="16:34" x14ac:dyDescent="0.3">
      <c r="P135" t="str">
        <v>La partida</v>
      </c>
      <c r="U135" t="str">
        <v>Sueña</v>
      </c>
      <c r="AA135" t="str">
        <v>Yendo contigo</v>
      </c>
      <c r="AH135" t="str">
        <v>Bleibet hier</v>
      </c>
    </row>
    <row r="136" spans="16:34" x14ac:dyDescent="0.3">
      <c r="P136" t="str">
        <v>Por ti madrugo</v>
      </c>
      <c r="U136" t="str">
        <v>Paz en la tierra</v>
      </c>
      <c r="AA136" t="str">
        <v>Creo, Señor, firmemente</v>
      </c>
      <c r="AH136" t="str">
        <v>Surrexit Christus</v>
      </c>
    </row>
    <row r="137" spans="16:34" x14ac:dyDescent="0.3">
      <c r="P137" t="str">
        <v>Si te tengo a ti</v>
      </c>
      <c r="U137" t="str">
        <v>Me estás llamando</v>
      </c>
      <c r="AA137" t="str">
        <v>No hay cosa más bonita que mirar</v>
      </c>
      <c r="AH137" t="str">
        <v>O Christe Domine Jesu</v>
      </c>
    </row>
    <row r="138" spans="16:34" x14ac:dyDescent="0.3">
      <c r="P138" t="str">
        <v>La verdad</v>
      </c>
      <c r="U138" t="str">
        <v>Todo mi ser (Alabo tu bondad)</v>
      </c>
      <c r="AA138" t="str">
        <v>Santo salvadoreño</v>
      </c>
      <c r="AH138" t="str">
        <v>Alleluia 7</v>
      </c>
    </row>
    <row r="139" spans="16:34" x14ac:dyDescent="0.3">
      <c r="P139" t="str">
        <v>Te quiero</v>
      </c>
      <c r="U139" t="str">
        <v>Tocaré para ti</v>
      </c>
      <c r="AA139" t="str">
        <v>Vamos todos al banquete</v>
      </c>
      <c r="AH139" t="str">
        <v>Dona nobis pacem</v>
      </c>
    </row>
    <row r="140" spans="16:34" x14ac:dyDescent="0.3">
      <c r="P140" t="str">
        <v>María de Nazaret</v>
      </c>
      <c r="U140" t="str">
        <v>El amor es nuestro canto</v>
      </c>
      <c r="AA140" t="str">
        <v>Cordero de Dios (MiEs)</v>
      </c>
      <c r="AH140" t="str">
        <v>Psallite Deo</v>
      </c>
    </row>
    <row r="141" spans="16:34" x14ac:dyDescent="0.3">
      <c r="P141" t="str">
        <v>Regalada</v>
      </c>
      <c r="U141" t="str">
        <v>Enséñanos a orar</v>
      </c>
      <c r="AA141" t="str">
        <v>Santo (Mocedades)</v>
      </c>
      <c r="AH141" t="str">
        <v>Dieu ne peut que donner</v>
      </c>
    </row>
    <row r="142" spans="16:34" x14ac:dyDescent="0.3">
      <c r="P142" t="str">
        <v>Darnos del todo</v>
      </c>
      <c r="U142" t="str">
        <v>Tú, Señor</v>
      </c>
      <c r="AA142" t="str">
        <v>Aleluya (Santiago)</v>
      </c>
      <c r="AH142" t="str">
        <v>Da pacem cordium (canon)</v>
      </c>
    </row>
    <row r="143" spans="16:34" x14ac:dyDescent="0.3">
      <c r="P143" t="str">
        <v>Misericordia</v>
      </c>
      <c r="U143" t="str">
        <v>Esperando con María</v>
      </c>
      <c r="AA143" t="str">
        <v>El Señor es mi pastor (Nico Montero)</v>
      </c>
      <c r="AH143" t="str">
        <v>Tui amoris</v>
      </c>
    </row>
    <row r="144" spans="16:34" x14ac:dyDescent="0.3">
      <c r="P144" t="str">
        <v>Enséñame a quereme</v>
      </c>
      <c r="U144" t="str">
        <v>Ven, Espíritu de Dios (Kairoi)</v>
      </c>
      <c r="AA144" t="str">
        <v>Una voz clama en el desierto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Gritad que Dios es grande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La noticia es amor</v>
      </c>
      <c r="AH146" t="str">
        <v>Crucem tuam</v>
      </c>
    </row>
    <row r="147" spans="16:34" x14ac:dyDescent="0.3">
      <c r="P147" t="str">
        <v>Levantaos, está cerca</v>
      </c>
      <c r="AA147" t="str">
        <v>Juntos nos acercamos</v>
      </c>
      <c r="AH147" t="str">
        <v>Spiritus Jesu Christi</v>
      </c>
    </row>
    <row r="148" spans="16:34" x14ac:dyDescent="0.3">
      <c r="P148" t="str">
        <v>Ven a sanarme</v>
      </c>
      <c r="AA148" t="str">
        <v>Aquí tienes el Pan</v>
      </c>
      <c r="AH148" t="str">
        <v>Jubilate coeli (canon)</v>
      </c>
    </row>
    <row r="149" spans="16:34" x14ac:dyDescent="0.3">
      <c r="P149" t="str">
        <v>El círculo del juicio</v>
      </c>
      <c r="AA149" t="str">
        <v>Hay un corazón que late</v>
      </c>
      <c r="AH149" t="str">
        <v>El alma que anda en amor</v>
      </c>
    </row>
    <row r="150" spans="16:34" x14ac:dyDescent="0.3">
      <c r="P150" t="str">
        <v>Hijo de David</v>
      </c>
      <c r="AA150" t="str">
        <v>Adorando</v>
      </c>
      <c r="AH150" t="str">
        <v>The kingdom of God</v>
      </c>
    </row>
    <row r="151" spans="16:34" x14ac:dyDescent="0.3">
      <c r="P151" t="str">
        <v>Hambre y sed de ti</v>
      </c>
      <c r="AA151" t="str">
        <v>Padre nuestro zaragozano</v>
      </c>
      <c r="AH151" t="str">
        <v>Bóg jest miłością</v>
      </c>
    </row>
    <row r="152" spans="16:34" x14ac:dyDescent="0.3">
      <c r="P152" t="str">
        <v>Madre de la humanidad</v>
      </c>
      <c r="AA152" t="str">
        <v>A ti acudo</v>
      </c>
      <c r="AH152" t="str">
        <v>Bogoroditse Dievo 1</v>
      </c>
    </row>
    <row r="153" spans="16:34" x14ac:dyDescent="0.3">
      <c r="P153" t="str">
        <v>Transfórmame</v>
      </c>
      <c r="AA153" t="str">
        <v>Cantad a Dios</v>
      </c>
      <c r="AH153" t="str">
        <v>Beati voi poveri</v>
      </c>
    </row>
    <row r="154" spans="16:34" x14ac:dyDescent="0.3">
      <c r="P154" t="str">
        <v>Quién curará</v>
      </c>
      <c r="AA154" t="str">
        <v>María, fuiste siempre pobre de Yahvé</v>
      </c>
      <c r="AH154" t="str">
        <v>In manus tuas</v>
      </c>
    </row>
    <row r="155" spans="16:34" x14ac:dyDescent="0.3">
      <c r="P155" t="str">
        <v>Lázaro grita</v>
      </c>
      <c r="AA155" t="str">
        <v>Nacerá una nueva hermandad</v>
      </c>
      <c r="AH155" t="str">
        <v>Jubilate Deo omnis terra</v>
      </c>
    </row>
    <row r="156" spans="16:34" x14ac:dyDescent="0.3">
      <c r="P156" t="str">
        <v>Mi buen Pastor</v>
      </c>
      <c r="AA156" t="str">
        <v>Tomado de la mano</v>
      </c>
      <c r="AH156" t="str">
        <v>In resurrectione tua</v>
      </c>
    </row>
    <row r="157" spans="16:34" x14ac:dyDescent="0.3">
      <c r="P157" t="str">
        <v>La ley y el sábado</v>
      </c>
      <c r="AA157" t="str">
        <v>A ti que eres el signo</v>
      </c>
      <c r="AH157" t="str">
        <v>Tu sei sorgente viva</v>
      </c>
    </row>
    <row r="158" spans="16:34" x14ac:dyDescent="0.3">
      <c r="P158" t="str">
        <v>El ayuno que yo quiero</v>
      </c>
      <c r="AA158" t="str">
        <v>Como lo había anunciado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guardabas todo</v>
      </c>
      <c r="AH159" t="str">
        <v>Alleluia 96</v>
      </c>
    </row>
    <row r="160" spans="16:34" x14ac:dyDescent="0.3">
      <c r="P160" t="str">
        <v>Tu lluvia desciende</v>
      </c>
      <c r="AA160" t="str">
        <v>Ilumíname, Señor</v>
      </c>
      <c r="AH160" t="str">
        <v>Wysławiajcie Pana</v>
      </c>
    </row>
    <row r="161" spans="16:34" x14ac:dyDescent="0.3">
      <c r="P161" t="str">
        <v>Mirad los lirios</v>
      </c>
      <c r="AA161" t="str">
        <v>Mi Dios está vivo</v>
      </c>
      <c r="AH161" t="str">
        <v>Alleluia 94</v>
      </c>
    </row>
    <row r="162" spans="16:34" x14ac:dyDescent="0.3">
      <c r="P162" t="str">
        <v>Por todos</v>
      </c>
      <c r="AA162" t="str">
        <v>Gracias, Señor</v>
      </c>
      <c r="AH162" t="str">
        <v>Alleluia 97</v>
      </c>
    </row>
    <row r="163" spans="16:34" x14ac:dyDescent="0.3">
      <c r="P163" t="str">
        <v>Te seguiré</v>
      </c>
      <c r="AA163" t="str">
        <v>Dime cómo ser pan</v>
      </c>
      <c r="AH163" t="str">
        <v>Kyrie 1</v>
      </c>
    </row>
    <row r="164" spans="16:34" x14ac:dyDescent="0.3">
      <c r="P164" t="str">
        <v>Proclama mi alma</v>
      </c>
      <c r="AA164" t="str">
        <v>Cerca de Ti, Señor</v>
      </c>
      <c r="AH164" t="str">
        <v>Kyrie 8</v>
      </c>
    </row>
    <row r="165" spans="16:34" x14ac:dyDescent="0.3">
      <c r="P165" t="str">
        <v>Tanto tiempo</v>
      </c>
      <c r="AA165" t="str">
        <v>Padre nuestro, tú que estás</v>
      </c>
      <c r="AH165" t="str">
        <v>Para mim, ser feliz</v>
      </c>
    </row>
    <row r="166" spans="16:34" x14ac:dyDescent="0.3">
      <c r="P166" t="str">
        <v>Tú en mí, yo en todos</v>
      </c>
      <c r="AA166" t="str">
        <v>Quiero caminar</v>
      </c>
      <c r="AH166" t="str">
        <v>Tu palabra, Señor</v>
      </c>
    </row>
    <row r="167" spans="16:34" x14ac:dyDescent="0.3">
      <c r="P167" t="str">
        <v>Padre, me ofrezco</v>
      </c>
      <c r="AA167" t="str">
        <v>Preparad el camino al Señor</v>
      </c>
    </row>
    <row r="168" spans="16:34" x14ac:dyDescent="0.3">
      <c r="P168" t="str">
        <v>Dios Padre y Madre</v>
      </c>
      <c r="AA168" t="str">
        <v>Yo soy el Pan de Vida</v>
      </c>
    </row>
    <row r="169" spans="16:34" x14ac:dyDescent="0.3">
      <c r="P169" t="str">
        <v>Dios del cielo</v>
      </c>
      <c r="AA169" t="str">
        <v>Santo (The Beatles)</v>
      </c>
    </row>
    <row r="170" spans="16:34" x14ac:dyDescent="0.3">
      <c r="P170" t="str">
        <v>Santificaré tu nombre</v>
      </c>
      <c r="AA170" t="str">
        <v>Cordero de Dios (Aragüés)</v>
      </c>
    </row>
    <row r="171" spans="16:34" x14ac:dyDescent="0.3">
      <c r="P171" t="str">
        <v>Parábola del Reino</v>
      </c>
      <c r="AA171" t="str">
        <v>Junto a ti al caer de la tarde</v>
      </c>
    </row>
    <row r="172" spans="16:34" x14ac:dyDescent="0.3">
      <c r="P172" t="str">
        <v>Hacer tu voluntad</v>
      </c>
      <c r="AA172" t="str">
        <v>A dónde me queréis llevar</v>
      </c>
    </row>
    <row r="173" spans="16:34" x14ac:dyDescent="0.3">
      <c r="P173" t="str">
        <v>Nueva tierra</v>
      </c>
      <c r="AA173" t="str">
        <v>Algo nuevo</v>
      </c>
    </row>
    <row r="174" spans="16:34" x14ac:dyDescent="0.3">
      <c r="P174" t="str">
        <v>Danos hoy</v>
      </c>
      <c r="AA174" t="str">
        <v>Santo, Santo, Santo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2026-09-13T07:46:19Z</dcterms:modified>
</cp:coreProperties>
</file>