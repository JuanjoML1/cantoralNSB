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BA2AAACF-6AC7-4AB4-A44D-9F641993E7C9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60" i="2" l="1"/>
  <c r="A1866" i="2"/>
  <c r="A1870" i="2"/>
  <c r="A1871" i="2"/>
  <c r="A1872" i="2"/>
  <c r="A1862" i="2"/>
  <c r="A1863" i="2"/>
  <c r="A1899" i="2"/>
  <c r="A1890" i="2"/>
  <c r="A1893" i="2"/>
  <c r="A1895" i="2"/>
  <c r="A1896" i="2"/>
  <c r="A1898" i="2"/>
  <c r="A1926" i="2"/>
  <c r="A1925" i="2"/>
  <c r="A1933" i="2"/>
  <c r="A1934" i="2"/>
  <c r="A2000" i="2"/>
  <c r="P2000" i="2" a="1"/>
  <c r="P2000" i="2" s="1"/>
  <c r="R2000" i="2" s="1"/>
  <c r="V2000" i="2" s="1"/>
  <c r="W2000" i="2" s="1"/>
  <c r="Q2000" i="2" a="1"/>
  <c r="Q2000" i="2" s="1"/>
  <c r="A1930" i="2"/>
  <c r="A1929" i="2"/>
  <c r="A1923" i="2"/>
  <c r="A1922" i="2"/>
  <c r="A1919" i="2"/>
  <c r="A1918" i="2"/>
  <c r="A1916" i="2"/>
  <c r="A1915" i="2"/>
  <c r="A1914" i="2"/>
  <c r="A1912" i="2"/>
  <c r="A1911" i="2"/>
  <c r="A1953" i="2"/>
  <c r="A1861" i="2"/>
  <c r="A1860" i="2"/>
  <c r="A1857" i="2"/>
  <c r="A1856" i="2"/>
  <c r="A1853" i="2"/>
  <c r="A1852" i="2"/>
  <c r="A1851" i="2"/>
  <c r="A1849" i="2"/>
  <c r="A1846" i="2"/>
  <c r="A1904" i="2"/>
  <c r="A1997" i="2"/>
  <c r="A1995" i="2"/>
  <c r="A1994" i="2"/>
  <c r="A1989" i="2"/>
  <c r="A1988" i="2"/>
  <c r="A1984" i="2"/>
  <c r="A1981" i="2"/>
  <c r="A1963" i="2"/>
  <c r="A1961" i="2"/>
  <c r="A1962" i="2"/>
  <c r="A1959" i="2"/>
  <c r="A1958" i="2"/>
  <c r="A1957" i="2"/>
  <c r="A1956" i="2"/>
  <c r="A1954" i="2"/>
  <c r="A1952" i="2"/>
  <c r="A1951" i="2"/>
  <c r="A1949" i="2"/>
  <c r="A1980" i="2"/>
  <c r="A1977" i="2"/>
  <c r="A1976" i="2"/>
  <c r="A1975" i="2"/>
  <c r="A1974" i="2"/>
  <c r="A1973" i="2"/>
  <c r="A1972" i="2"/>
  <c r="A1970" i="2"/>
  <c r="A1966" i="2"/>
  <c r="A1965" i="2"/>
  <c r="A1964" i="2"/>
  <c r="A1889" i="2"/>
  <c r="A1887" i="2"/>
  <c r="A1885" i="2"/>
  <c r="A1884" i="2"/>
  <c r="A1883" i="2"/>
  <c r="A1879" i="2"/>
  <c r="A1878" i="2"/>
  <c r="A1877" i="2"/>
  <c r="A1876" i="2"/>
  <c r="A1875" i="2"/>
  <c r="A1874" i="2"/>
  <c r="A1844" i="2"/>
  <c r="A1839" i="2"/>
  <c r="A1838" i="2"/>
  <c r="A1836" i="2"/>
  <c r="A1945" i="2"/>
  <c r="A1943" i="2"/>
  <c r="A1940" i="2"/>
  <c r="A1938" i="2"/>
  <c r="A1937" i="2"/>
  <c r="A1935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628" i="2"/>
  <c r="A629" i="2"/>
  <c r="A631" i="2"/>
  <c r="A632" i="2"/>
  <c r="A633" i="2"/>
  <c r="A634" i="2"/>
  <c r="A635" i="2"/>
  <c r="A636" i="2"/>
  <c r="A637" i="2"/>
  <c r="A639" i="2"/>
  <c r="A640" i="2"/>
  <c r="A641" i="2"/>
  <c r="A642" i="2"/>
  <c r="A643" i="2"/>
  <c r="A644" i="2"/>
  <c r="A645" i="2"/>
  <c r="A646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589" i="2" l="1"/>
  <c r="A590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27" i="2"/>
  <c r="A626" i="2"/>
  <c r="A583" i="2"/>
  <c r="A593" i="2"/>
  <c r="A594" i="2"/>
  <c r="A591" i="2"/>
  <c r="A592" i="2"/>
  <c r="A584" i="2"/>
  <c r="A585" i="2"/>
  <c r="A587" i="2"/>
  <c r="A588" i="2"/>
  <c r="A656" i="2"/>
  <c r="A657" i="2"/>
  <c r="A658" i="2"/>
  <c r="A649" i="2"/>
  <c r="A650" i="2"/>
  <c r="A654" i="2"/>
  <c r="A651" i="2"/>
  <c r="A652" i="2"/>
  <c r="A653" i="2"/>
  <c r="A574" i="2"/>
  <c r="A575" i="2"/>
  <c r="A599" i="2"/>
  <c r="A598" i="2"/>
  <c r="A576" i="2"/>
  <c r="A577" i="2"/>
  <c r="A578" i="2"/>
  <c r="A579" i="2"/>
  <c r="A597" i="2"/>
  <c r="A595" i="2"/>
  <c r="A596" i="2"/>
  <c r="A580" i="2"/>
  <c r="A581" i="2"/>
  <c r="A582" i="2"/>
  <c r="A553" i="2"/>
  <c r="A572" i="2"/>
  <c r="A573" i="2"/>
  <c r="A569" i="2"/>
  <c r="A570" i="2"/>
  <c r="A571" i="2"/>
  <c r="A554" i="2"/>
  <c r="A555" i="2"/>
  <c r="A556" i="2"/>
  <c r="A557" i="2"/>
  <c r="A566" i="2"/>
  <c r="A567" i="2"/>
  <c r="A568" i="2"/>
  <c r="A565" i="2"/>
  <c r="A558" i="2"/>
  <c r="A559" i="2"/>
  <c r="A560" i="2"/>
  <c r="A561" i="2"/>
  <c r="A562" i="2"/>
  <c r="A563" i="2"/>
  <c r="A564" i="2"/>
  <c r="A665" i="2"/>
  <c r="A666" i="2"/>
  <c r="A663" i="2"/>
  <c r="A647" i="2"/>
  <c r="A648" i="2"/>
  <c r="A659" i="2"/>
  <c r="A660" i="2"/>
  <c r="A661" i="2"/>
  <c r="A662" i="2"/>
  <c r="A655" i="2"/>
  <c r="A729" i="2"/>
  <c r="A730" i="2"/>
  <c r="A731" i="2"/>
  <c r="A732" i="2"/>
  <c r="A733" i="2"/>
  <c r="A734" i="2"/>
  <c r="A735" i="2"/>
  <c r="A736" i="2"/>
  <c r="A737" i="2"/>
  <c r="A738" i="2"/>
  <c r="A702" i="2" l="1"/>
  <c r="A703" i="2"/>
  <c r="A704" i="2"/>
  <c r="A705" i="2"/>
  <c r="A706" i="2"/>
  <c r="A707" i="2"/>
  <c r="A708" i="2"/>
  <c r="A709" i="2"/>
  <c r="A710" i="2"/>
  <c r="A711" i="2"/>
  <c r="A712" i="2"/>
  <c r="A739" i="2"/>
  <c r="A740" i="2"/>
  <c r="A741" i="2"/>
  <c r="A742" i="2"/>
  <c r="A743" i="2"/>
  <c r="A744" i="2"/>
  <c r="A551" i="2"/>
  <c r="A552" i="2"/>
  <c r="A689" i="2" l="1"/>
  <c r="A690" i="2"/>
  <c r="A725" i="2"/>
  <c r="A726" i="2"/>
  <c r="A727" i="2"/>
  <c r="A728" i="2"/>
  <c r="A691" i="2"/>
  <c r="A692" i="2"/>
  <c r="A693" i="2"/>
  <c r="A694" i="2"/>
  <c r="A695" i="2"/>
  <c r="A696" i="2"/>
  <c r="A697" i="2"/>
  <c r="A698" i="2"/>
  <c r="A699" i="2"/>
  <c r="A700" i="2"/>
  <c r="A701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668" i="2"/>
  <c r="A667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1481" i="2" l="1"/>
  <c r="U7" i="4" l="1"/>
  <c r="A1583" i="2" l="1"/>
  <c r="A1584" i="2"/>
  <c r="P1754" i="2" a="1"/>
  <c r="P1754" i="2" s="1"/>
  <c r="R1754" i="2" s="1"/>
  <c r="V1754" i="2" s="1"/>
  <c r="P1917" i="2" a="1"/>
  <c r="P1917" i="2" s="1"/>
  <c r="R1917" i="2" s="1"/>
  <c r="V1917" i="2" s="1"/>
  <c r="P1908" i="2" a="1"/>
  <c r="P1908" i="2" s="1"/>
  <c r="R1908" i="2" s="1"/>
  <c r="V1908" i="2" s="1"/>
  <c r="P1845" i="2" a="1"/>
  <c r="P1845" i="2" s="1"/>
  <c r="R1845" i="2" s="1"/>
  <c r="V1845" i="2" s="1"/>
  <c r="P1755" i="2" a="1"/>
  <c r="P1755" i="2" s="1"/>
  <c r="R1755" i="2" s="1"/>
  <c r="V1755" i="2" s="1"/>
  <c r="P1756" i="2" a="1"/>
  <c r="P1756" i="2" s="1"/>
  <c r="R1756" i="2" s="1"/>
  <c r="V1756" i="2" s="1"/>
  <c r="P1757" i="2" a="1"/>
  <c r="P1757" i="2" s="1"/>
  <c r="R1757" i="2" s="1"/>
  <c r="V1757" i="2" s="1"/>
  <c r="P1758" i="2" a="1"/>
  <c r="P1758" i="2" s="1"/>
  <c r="R1758" i="2" s="1"/>
  <c r="V1758" i="2" s="1"/>
  <c r="P1759" i="2" a="1"/>
  <c r="P1759" i="2" s="1"/>
  <c r="R1759" i="2" s="1"/>
  <c r="V1759" i="2" s="1"/>
  <c r="P1760" i="2" a="1"/>
  <c r="P1760" i="2" s="1"/>
  <c r="R1760" i="2" s="1"/>
  <c r="V1760" i="2" s="1"/>
  <c r="P1761" i="2" a="1"/>
  <c r="P1761" i="2" s="1"/>
  <c r="R1761" i="2" s="1"/>
  <c r="V1761" i="2" s="1"/>
  <c r="P1762" i="2" a="1"/>
  <c r="P1762" i="2" s="1"/>
  <c r="R1762" i="2" s="1"/>
  <c r="V1762" i="2" s="1"/>
  <c r="P1763" i="2" a="1"/>
  <c r="P1763" i="2" s="1"/>
  <c r="R1763" i="2" s="1"/>
  <c r="V1763" i="2" s="1"/>
  <c r="P1764" i="2" a="1"/>
  <c r="P1764" i="2" s="1"/>
  <c r="R1764" i="2" s="1"/>
  <c r="V1764" i="2" s="1"/>
  <c r="P1765" i="2" a="1"/>
  <c r="P1765" i="2" s="1"/>
  <c r="R1765" i="2" s="1"/>
  <c r="V1765" i="2" s="1"/>
  <c r="P1833" i="2" a="1"/>
  <c r="P1833" i="2" s="1"/>
  <c r="R1833" i="2" s="1"/>
  <c r="V1833" i="2" s="1"/>
  <c r="P1928" i="2" a="1"/>
  <c r="P1928" i="2" s="1"/>
  <c r="R1928" i="2" s="1"/>
  <c r="V1928" i="2" s="1"/>
  <c r="P1910" i="2" a="1"/>
  <c r="P1910" i="2" s="1"/>
  <c r="R1910" i="2" s="1"/>
  <c r="V1910" i="2" s="1"/>
  <c r="P1946" i="2" a="1"/>
  <c r="P1946" i="2" s="1"/>
  <c r="R1946" i="2" s="1"/>
  <c r="V1946" i="2" s="1"/>
  <c r="P1998" i="2" a="1"/>
  <c r="P1998" i="2" s="1"/>
  <c r="R1998" i="2" s="1"/>
  <c r="V1998" i="2" s="1"/>
  <c r="P2001" i="2" a="1"/>
  <c r="P2001" i="2" s="1"/>
  <c r="R2001" i="2" s="1"/>
  <c r="V2001" i="2" s="1"/>
  <c r="P1987" i="2" a="1"/>
  <c r="P1987" i="2" s="1"/>
  <c r="R1987" i="2" s="1"/>
  <c r="V1987" i="2" s="1"/>
  <c r="P1848" i="2" a="1"/>
  <c r="P1848" i="2" s="1"/>
  <c r="R1848" i="2" s="1"/>
  <c r="V1848" i="2" s="1"/>
  <c r="P1766" i="2" a="1"/>
  <c r="P1766" i="2" s="1"/>
  <c r="R1766" i="2" s="1"/>
  <c r="V1766" i="2" s="1"/>
  <c r="P1767" i="2" a="1"/>
  <c r="P1767" i="2" s="1"/>
  <c r="R1767" i="2" s="1"/>
  <c r="V1767" i="2" s="1"/>
  <c r="P1906" i="2" a="1"/>
  <c r="P1906" i="2" s="1"/>
  <c r="R1906" i="2" s="1"/>
  <c r="V1906" i="2" s="1"/>
  <c r="P1882" i="2" a="1"/>
  <c r="P1882" i="2" s="1"/>
  <c r="R1882" i="2" s="1"/>
  <c r="V1882" i="2" s="1"/>
  <c r="P1941" i="2" a="1"/>
  <c r="P1941" i="2" s="1"/>
  <c r="R1941" i="2" s="1"/>
  <c r="V1941" i="2" s="1"/>
  <c r="P1832" i="2" a="1"/>
  <c r="P1832" i="2" s="1"/>
  <c r="R1832" i="2" s="1"/>
  <c r="V1832" i="2" s="1"/>
  <c r="P1985" i="2" a="1"/>
  <c r="P1985" i="2" s="1"/>
  <c r="R1985" i="2" s="1"/>
  <c r="V1985" i="2" s="1"/>
  <c r="P1986" i="2" a="1"/>
  <c r="P1986" i="2" s="1"/>
  <c r="R1986" i="2" s="1"/>
  <c r="V1986" i="2" s="1"/>
  <c r="P1886" i="2" a="1"/>
  <c r="P1886" i="2" s="1"/>
  <c r="R1886" i="2" s="1"/>
  <c r="V1886" i="2" s="1"/>
  <c r="P1768" i="2" a="1"/>
  <c r="P1768" i="2" s="1"/>
  <c r="R1768" i="2" s="1"/>
  <c r="V1768" i="2" s="1"/>
  <c r="P1847" i="2" a="1"/>
  <c r="P1847" i="2" s="1"/>
  <c r="R1847" i="2" s="1"/>
  <c r="V1847" i="2" s="1"/>
  <c r="P1854" i="2" a="1"/>
  <c r="P1854" i="2" s="1"/>
  <c r="R1854" i="2" s="1"/>
  <c r="V1854" i="2" s="1"/>
  <c r="P1905" i="2" a="1"/>
  <c r="P1905" i="2" s="1"/>
  <c r="R1905" i="2" s="1"/>
  <c r="V1905" i="2" s="1"/>
  <c r="P1858" i="2" a="1"/>
  <c r="P1858" i="2" s="1"/>
  <c r="R1858" i="2" s="1"/>
  <c r="V1858" i="2" s="1"/>
  <c r="P1769" i="2" a="1"/>
  <c r="P1769" i="2" s="1"/>
  <c r="R1769" i="2" s="1"/>
  <c r="V1769" i="2" s="1"/>
  <c r="P1835" i="2" a="1"/>
  <c r="P1835" i="2" s="1"/>
  <c r="R1835" i="2" s="1"/>
  <c r="V1835" i="2" s="1"/>
  <c r="P1770" i="2" a="1"/>
  <c r="P1770" i="2" s="1"/>
  <c r="R1770" i="2" s="1"/>
  <c r="V1770" i="2" s="1"/>
  <c r="P1771" i="2" a="1"/>
  <c r="P1771" i="2" s="1"/>
  <c r="R1771" i="2" s="1"/>
  <c r="V1771" i="2" s="1"/>
  <c r="P1752" i="2" a="1"/>
  <c r="P1752" i="2" s="1"/>
  <c r="R1752" i="2" s="1"/>
  <c r="V1752" i="2" s="1"/>
  <c r="P1772" i="2" a="1"/>
  <c r="P1772" i="2" s="1"/>
  <c r="R1772" i="2" s="1"/>
  <c r="V1772" i="2" s="1"/>
  <c r="P1773" i="2" a="1"/>
  <c r="P1773" i="2" s="1"/>
  <c r="R1773" i="2" s="1"/>
  <c r="V1773" i="2" s="1"/>
  <c r="P1971" i="2" a="1"/>
  <c r="P1971" i="2" s="1"/>
  <c r="R1971" i="2" s="1"/>
  <c r="V1971" i="2" s="1"/>
  <c r="P1955" i="2" a="1"/>
  <c r="P1955" i="2" s="1"/>
  <c r="R1955" i="2" s="1"/>
  <c r="V1955" i="2" s="1"/>
  <c r="P1968" i="2" a="1"/>
  <c r="P1968" i="2" s="1"/>
  <c r="R1968" i="2" s="1"/>
  <c r="V1968" i="2" s="1"/>
  <c r="P1774" i="2" a="1"/>
  <c r="P1774" i="2" s="1"/>
  <c r="R1774" i="2" s="1"/>
  <c r="V1774" i="2" s="1"/>
  <c r="P1775" i="2" a="1"/>
  <c r="P1775" i="2" s="1"/>
  <c r="R1775" i="2" s="1"/>
  <c r="V1775" i="2" s="1"/>
  <c r="P1776" i="2" a="1"/>
  <c r="P1776" i="2" s="1"/>
  <c r="R1776" i="2" s="1"/>
  <c r="V1776" i="2" s="1"/>
  <c r="P1777" i="2" a="1"/>
  <c r="P1777" i="2" s="1"/>
  <c r="R1777" i="2" s="1"/>
  <c r="V1777" i="2" s="1"/>
  <c r="P1834" i="2" a="1"/>
  <c r="P1834" i="2" s="1"/>
  <c r="R1834" i="2" s="1"/>
  <c r="V1834" i="2" s="1"/>
  <c r="P1840" i="2" a="1"/>
  <c r="P1840" i="2" s="1"/>
  <c r="R1840" i="2" s="1"/>
  <c r="V1840" i="2" s="1"/>
  <c r="P1778" i="2" a="1"/>
  <c r="P1778" i="2" s="1"/>
  <c r="R1778" i="2" s="1"/>
  <c r="V1778" i="2" s="1"/>
  <c r="P1779" i="2" a="1"/>
  <c r="P1779" i="2" s="1"/>
  <c r="R1779" i="2" s="1"/>
  <c r="V1779" i="2" s="1"/>
  <c r="P1869" i="2" a="1"/>
  <c r="P1869" i="2" s="1"/>
  <c r="R1869" i="2" s="1"/>
  <c r="V1869" i="2" s="1"/>
  <c r="P1867" i="2" a="1"/>
  <c r="P1867" i="2" s="1"/>
  <c r="R1867" i="2" s="1"/>
  <c r="V1867" i="2" s="1"/>
  <c r="P1780" i="2" a="1"/>
  <c r="P1780" i="2" s="1"/>
  <c r="R1780" i="2" s="1"/>
  <c r="V1780" i="2" s="1"/>
  <c r="P1950" i="2" a="1"/>
  <c r="P1950" i="2" s="1"/>
  <c r="R1950" i="2" s="1"/>
  <c r="V1950" i="2" s="1"/>
  <c r="P1781" i="2" a="1"/>
  <c r="P1781" i="2" s="1"/>
  <c r="R1781" i="2" s="1"/>
  <c r="V1781" i="2" s="1"/>
  <c r="P1782" i="2" a="1"/>
  <c r="P1782" i="2" s="1"/>
  <c r="R1782" i="2" s="1"/>
  <c r="V1782" i="2" s="1"/>
  <c r="P1783" i="2" a="1"/>
  <c r="P1783" i="2" s="1"/>
  <c r="R1783" i="2" s="1"/>
  <c r="V1783" i="2" s="1"/>
  <c r="P1784" i="2" a="1"/>
  <c r="P1784" i="2" s="1"/>
  <c r="R1784" i="2" s="1"/>
  <c r="V1784" i="2" s="1"/>
  <c r="P1785" i="2" a="1"/>
  <c r="P1785" i="2" s="1"/>
  <c r="R1785" i="2" s="1"/>
  <c r="V1785" i="2" s="1"/>
  <c r="P1859" i="2" a="1"/>
  <c r="P1859" i="2" s="1"/>
  <c r="R1859" i="2" s="1"/>
  <c r="V1859" i="2" s="1"/>
  <c r="P1939" i="2" a="1"/>
  <c r="P1939" i="2" s="1"/>
  <c r="R1939" i="2" s="1"/>
  <c r="V1939" i="2" s="1"/>
  <c r="P1947" i="2" a="1"/>
  <c r="P1947" i="2" s="1"/>
  <c r="R1947" i="2" s="1"/>
  <c r="V1947" i="2" s="1"/>
  <c r="P1786" i="2" a="1"/>
  <c r="P1786" i="2" s="1"/>
  <c r="R1786" i="2" s="1"/>
  <c r="V1786" i="2" s="1"/>
  <c r="P1920" i="2" a="1"/>
  <c r="P1920" i="2" s="1"/>
  <c r="R1920" i="2" s="1"/>
  <c r="V1920" i="2" s="1"/>
  <c r="P1982" i="2" a="1"/>
  <c r="P1982" i="2" s="1"/>
  <c r="R1982" i="2" s="1"/>
  <c r="V1982" i="2" s="1"/>
  <c r="P1787" i="2" a="1"/>
  <c r="P1787" i="2" s="1"/>
  <c r="R1787" i="2" s="1"/>
  <c r="V1787" i="2" s="1"/>
  <c r="P1843" i="2" a="1"/>
  <c r="P1843" i="2" s="1"/>
  <c r="R1843" i="2" s="1"/>
  <c r="V1843" i="2" s="1"/>
  <c r="P1788" i="2" a="1"/>
  <c r="P1788" i="2" s="1"/>
  <c r="R1788" i="2" s="1"/>
  <c r="V1788" i="2" s="1"/>
  <c r="P1789" i="2" a="1"/>
  <c r="P1789" i="2" s="1"/>
  <c r="R1789" i="2" s="1"/>
  <c r="V1789" i="2" s="1"/>
  <c r="P1790" i="2" a="1"/>
  <c r="P1790" i="2" s="1"/>
  <c r="R1790" i="2" s="1"/>
  <c r="V1790" i="2" s="1"/>
  <c r="P1791" i="2" a="1"/>
  <c r="P1791" i="2" s="1"/>
  <c r="R1791" i="2" s="1"/>
  <c r="V1791" i="2" s="1"/>
  <c r="P1792" i="2" a="1"/>
  <c r="P1792" i="2" s="1"/>
  <c r="R1792" i="2" s="1"/>
  <c r="V1792" i="2" s="1"/>
  <c r="P1924" i="2" a="1"/>
  <c r="P1924" i="2" s="1"/>
  <c r="R1924" i="2" s="1"/>
  <c r="V1924" i="2" s="1"/>
  <c r="P1793" i="2" a="1"/>
  <c r="P1793" i="2" s="1"/>
  <c r="R1793" i="2" s="1"/>
  <c r="V1793" i="2" s="1"/>
  <c r="P1794" i="2" a="1"/>
  <c r="P1794" i="2" s="1"/>
  <c r="R1794" i="2" s="1"/>
  <c r="V1794" i="2" s="1"/>
  <c r="P1864" i="2" a="1"/>
  <c r="P1864" i="2" s="1"/>
  <c r="R1864" i="2" s="1"/>
  <c r="V1864" i="2" s="1"/>
  <c r="P1897" i="2" a="1"/>
  <c r="P1897" i="2" s="1"/>
  <c r="R1897" i="2" s="1"/>
  <c r="V1897" i="2" s="1"/>
  <c r="P1850" i="2" a="1"/>
  <c r="P1850" i="2" s="1"/>
  <c r="R1850" i="2" s="1"/>
  <c r="V1850" i="2" s="1"/>
  <c r="P1913" i="2" a="1"/>
  <c r="P1913" i="2" s="1"/>
  <c r="R1913" i="2" s="1"/>
  <c r="V1913" i="2" s="1"/>
  <c r="P1909" i="2" a="1"/>
  <c r="P1909" i="2" s="1"/>
  <c r="R1909" i="2" s="1"/>
  <c r="V1909" i="2" s="1"/>
  <c r="P1990" i="2" a="1"/>
  <c r="P1990" i="2" s="1"/>
  <c r="R1990" i="2" s="1"/>
  <c r="V1990" i="2" s="1"/>
  <c r="P1992" i="2" a="1"/>
  <c r="P1992" i="2" s="1"/>
  <c r="R1992" i="2" s="1"/>
  <c r="V1992" i="2" s="1"/>
  <c r="P1921" i="2" a="1"/>
  <c r="P1921" i="2" s="1"/>
  <c r="R1921" i="2" s="1"/>
  <c r="V1921" i="2" s="1"/>
  <c r="P1880" i="2" a="1"/>
  <c r="P1880" i="2" s="1"/>
  <c r="R1880" i="2" s="1"/>
  <c r="V1880" i="2" s="1"/>
  <c r="P1795" i="2" a="1"/>
  <c r="P1795" i="2" s="1"/>
  <c r="R1795" i="2" s="1"/>
  <c r="V1795" i="2" s="1"/>
  <c r="P1931" i="2" a="1"/>
  <c r="P1931" i="2" s="1"/>
  <c r="R1931" i="2" s="1"/>
  <c r="V1931" i="2" s="1"/>
  <c r="P1796" i="2" a="1"/>
  <c r="P1796" i="2" s="1"/>
  <c r="R1796" i="2" s="1"/>
  <c r="V1796" i="2" s="1"/>
  <c r="P1888" i="2" a="1"/>
  <c r="P1888" i="2" s="1"/>
  <c r="R1888" i="2" s="1"/>
  <c r="V1888" i="2" s="1"/>
  <c r="P1891" i="2" a="1"/>
  <c r="P1891" i="2" s="1"/>
  <c r="R1891" i="2" s="1"/>
  <c r="V1891" i="2" s="1"/>
  <c r="P1979" i="2" a="1"/>
  <c r="P1979" i="2" s="1"/>
  <c r="R1979" i="2" s="1"/>
  <c r="V1979" i="2" s="1"/>
  <c r="P1991" i="2" a="1"/>
  <c r="P1991" i="2" s="1"/>
  <c r="R1991" i="2" s="1"/>
  <c r="V1991" i="2" s="1"/>
  <c r="P1797" i="2" a="1"/>
  <c r="P1797" i="2" s="1"/>
  <c r="R1797" i="2" s="1"/>
  <c r="V1797" i="2" s="1"/>
  <c r="P2002" i="2" a="1"/>
  <c r="P2002" i="2" s="1"/>
  <c r="R2002" i="2" s="1"/>
  <c r="V2002" i="2" s="1"/>
  <c r="P1855" i="2" a="1"/>
  <c r="P1855" i="2" s="1"/>
  <c r="R1855" i="2" s="1"/>
  <c r="V1855" i="2" s="1"/>
  <c r="P1932" i="2" a="1"/>
  <c r="P1932" i="2" s="1"/>
  <c r="R1932" i="2" s="1"/>
  <c r="V1932" i="2" s="1"/>
  <c r="P2003" i="2" a="1"/>
  <c r="P2003" i="2" s="1"/>
  <c r="R2003" i="2" s="1"/>
  <c r="V2003" i="2" s="1"/>
  <c r="P1996" i="2" a="1"/>
  <c r="P1996" i="2" s="1"/>
  <c r="R1996" i="2" s="1"/>
  <c r="V1996" i="2" s="1"/>
  <c r="P1798" i="2" a="1"/>
  <c r="P1798" i="2" s="1"/>
  <c r="R1798" i="2" s="1"/>
  <c r="V1798" i="2" s="1"/>
  <c r="P1799" i="2" a="1"/>
  <c r="P1799" i="2" s="1"/>
  <c r="R1799" i="2" s="1"/>
  <c r="V1799" i="2" s="1"/>
  <c r="P1881" i="2" a="1"/>
  <c r="P1881" i="2" s="1"/>
  <c r="R1881" i="2" s="1"/>
  <c r="V1881" i="2" s="1"/>
  <c r="P1842" i="2" a="1"/>
  <c r="P1842" i="2" s="1"/>
  <c r="R1842" i="2" s="1"/>
  <c r="V1842" i="2" s="1"/>
  <c r="P1927" i="2" a="1"/>
  <c r="P1927" i="2" s="1"/>
  <c r="R1927" i="2" s="1"/>
  <c r="V1927" i="2" s="1"/>
  <c r="P1800" i="2" a="1"/>
  <c r="P1800" i="2" s="1"/>
  <c r="R1800" i="2" s="1"/>
  <c r="V1800" i="2" s="1"/>
  <c r="P1801" i="2" a="1"/>
  <c r="P1801" i="2" s="1"/>
  <c r="R1801" i="2" s="1"/>
  <c r="V1801" i="2" s="1"/>
  <c r="P1802" i="2" a="1"/>
  <c r="P1802" i="2" s="1"/>
  <c r="R1802" i="2" s="1"/>
  <c r="V1802" i="2" s="1"/>
  <c r="P1837" i="2" a="1"/>
  <c r="P1837" i="2" s="1"/>
  <c r="R1837" i="2" s="1"/>
  <c r="V1837" i="2" s="1"/>
  <c r="P1803" i="2" a="1"/>
  <c r="P1803" i="2" s="1"/>
  <c r="R1803" i="2" s="1"/>
  <c r="V1803" i="2" s="1"/>
  <c r="P1804" i="2" a="1"/>
  <c r="P1804" i="2" s="1"/>
  <c r="R1804" i="2" s="1"/>
  <c r="V1804" i="2" s="1"/>
  <c r="P1969" i="2" a="1"/>
  <c r="P1969" i="2" s="1"/>
  <c r="R1969" i="2" s="1"/>
  <c r="V1969" i="2" s="1"/>
  <c r="P1936" i="2" a="1"/>
  <c r="P1936" i="2" s="1"/>
  <c r="R1936" i="2" s="1"/>
  <c r="V1936" i="2" s="1"/>
  <c r="P1907" i="2" a="1"/>
  <c r="P1907" i="2" s="1"/>
  <c r="R1907" i="2" s="1"/>
  <c r="V1907" i="2" s="1"/>
  <c r="P1944" i="2" a="1"/>
  <c r="P1944" i="2" s="1"/>
  <c r="R1944" i="2" s="1"/>
  <c r="V1944" i="2" s="1"/>
  <c r="P1805" i="2" a="1"/>
  <c r="P1805" i="2" s="1"/>
  <c r="R1805" i="2" s="1"/>
  <c r="V1805" i="2" s="1"/>
  <c r="P1806" i="2" a="1"/>
  <c r="P1806" i="2" s="1"/>
  <c r="R1806" i="2" s="1"/>
  <c r="V1806" i="2" s="1"/>
  <c r="P1807" i="2" a="1"/>
  <c r="P1807" i="2" s="1"/>
  <c r="R1807" i="2" s="1"/>
  <c r="V1807" i="2" s="1"/>
  <c r="P1753" i="2" a="1"/>
  <c r="P1753" i="2" s="1"/>
  <c r="R1753" i="2" s="1"/>
  <c r="V1753" i="2" s="1"/>
  <c r="P1808" i="2" a="1"/>
  <c r="P1808" i="2" s="1"/>
  <c r="R1808" i="2" s="1"/>
  <c r="V1808" i="2" s="1"/>
  <c r="P2004" i="2" a="1"/>
  <c r="P2004" i="2" s="1"/>
  <c r="R2004" i="2" s="1"/>
  <c r="V2004" i="2" s="1"/>
  <c r="P1841" i="2" a="1"/>
  <c r="P1841" i="2" s="1"/>
  <c r="R1841" i="2" s="1"/>
  <c r="V1841" i="2" s="1"/>
  <c r="P1809" i="2" a="1"/>
  <c r="P1809" i="2" s="1"/>
  <c r="R1809" i="2" s="1"/>
  <c r="V1809" i="2" s="1"/>
  <c r="P1810" i="2" a="1"/>
  <c r="P1810" i="2" s="1"/>
  <c r="R1810" i="2" s="1"/>
  <c r="V1810" i="2" s="1"/>
  <c r="P1811" i="2" a="1"/>
  <c r="P1811" i="2" s="1"/>
  <c r="R1811" i="2" s="1"/>
  <c r="V1811" i="2" s="1"/>
  <c r="P1948" i="2" a="1"/>
  <c r="P1948" i="2" s="1"/>
  <c r="R1948" i="2" s="1"/>
  <c r="V1948" i="2" s="1"/>
  <c r="P1812" i="2" a="1"/>
  <c r="P1812" i="2" s="1"/>
  <c r="R1812" i="2" s="1"/>
  <c r="V1812" i="2" s="1"/>
  <c r="P1813" i="2" a="1"/>
  <c r="P1813" i="2" s="1"/>
  <c r="R1813" i="2" s="1"/>
  <c r="V1813" i="2" s="1"/>
  <c r="P1814" i="2" a="1"/>
  <c r="P1814" i="2" s="1"/>
  <c r="R1814" i="2" s="1"/>
  <c r="V1814" i="2" s="1"/>
  <c r="P1815" i="2" a="1"/>
  <c r="P1815" i="2" s="1"/>
  <c r="R1815" i="2" s="1"/>
  <c r="V1815" i="2" s="1"/>
  <c r="P1892" i="2" a="1"/>
  <c r="P1892" i="2" s="1"/>
  <c r="R1892" i="2" s="1"/>
  <c r="V1892" i="2" s="1"/>
  <c r="P1816" i="2" a="1"/>
  <c r="P1816" i="2" s="1"/>
  <c r="R1816" i="2" s="1"/>
  <c r="V1816" i="2" s="1"/>
  <c r="P1894" i="2" a="1"/>
  <c r="P1894" i="2" s="1"/>
  <c r="R1894" i="2" s="1"/>
  <c r="V1894" i="2" s="1"/>
  <c r="P1978" i="2" a="1"/>
  <c r="P1978" i="2" s="1"/>
  <c r="R1978" i="2" s="1"/>
  <c r="V1978" i="2" s="1"/>
  <c r="P1901" i="2" a="1"/>
  <c r="P1901" i="2" s="1"/>
  <c r="R1901" i="2" s="1"/>
  <c r="V1901" i="2" s="1"/>
  <c r="P1942" i="2" a="1"/>
  <c r="P1942" i="2" s="1"/>
  <c r="R1942" i="2" s="1"/>
  <c r="V1942" i="2" s="1"/>
  <c r="P1903" i="2" a="1"/>
  <c r="P1903" i="2" s="1"/>
  <c r="R1903" i="2" s="1"/>
  <c r="V1903" i="2" s="1"/>
  <c r="P1817" i="2" a="1"/>
  <c r="P1817" i="2" s="1"/>
  <c r="R1817" i="2" s="1"/>
  <c r="V1817" i="2" s="1"/>
  <c r="P1818" i="2" a="1"/>
  <c r="P1818" i="2" s="1"/>
  <c r="R1818" i="2" s="1"/>
  <c r="V1818" i="2" s="1"/>
  <c r="P1819" i="2" a="1"/>
  <c r="P1819" i="2" s="1"/>
  <c r="R1819" i="2" s="1"/>
  <c r="V1819" i="2" s="1"/>
  <c r="P1820" i="2" a="1"/>
  <c r="P1820" i="2" s="1"/>
  <c r="R1820" i="2" s="1"/>
  <c r="V1820" i="2" s="1"/>
  <c r="P1821" i="2" a="1"/>
  <c r="P1821" i="2" s="1"/>
  <c r="R1821" i="2" s="1"/>
  <c r="V1821" i="2" s="1"/>
  <c r="P1822" i="2" a="1"/>
  <c r="P1822" i="2" s="1"/>
  <c r="R1822" i="2" s="1"/>
  <c r="V1822" i="2" s="1"/>
  <c r="P1983" i="2" a="1"/>
  <c r="P1983" i="2" s="1"/>
  <c r="R1983" i="2" s="1"/>
  <c r="V1983" i="2" s="1"/>
  <c r="P1823" i="2" a="1"/>
  <c r="P1823" i="2" s="1"/>
  <c r="R1823" i="2" s="1"/>
  <c r="V1823" i="2" s="1"/>
  <c r="P1824" i="2" a="1"/>
  <c r="P1824" i="2" s="1"/>
  <c r="R1824" i="2" s="1"/>
  <c r="V1824" i="2" s="1"/>
  <c r="P2005" i="2" a="1"/>
  <c r="P2005" i="2" s="1"/>
  <c r="R2005" i="2" s="1"/>
  <c r="V2005" i="2" s="1"/>
  <c r="P1825" i="2" a="1"/>
  <c r="P1825" i="2" s="1"/>
  <c r="R1825" i="2" s="1"/>
  <c r="V1825" i="2" s="1"/>
  <c r="P1993" i="2" a="1"/>
  <c r="P1993" i="2" s="1"/>
  <c r="R1993" i="2" s="1"/>
  <c r="V1993" i="2" s="1"/>
  <c r="P1826" i="2" a="1"/>
  <c r="P1826" i="2" s="1"/>
  <c r="R1826" i="2" s="1"/>
  <c r="V1826" i="2" s="1"/>
  <c r="P1827" i="2" a="1"/>
  <c r="P1827" i="2" s="1"/>
  <c r="R1827" i="2" s="1"/>
  <c r="V1827" i="2" s="1"/>
  <c r="P1967" i="2" a="1"/>
  <c r="P1967" i="2" s="1"/>
  <c r="R1967" i="2" s="1"/>
  <c r="V1967" i="2" s="1"/>
  <c r="P1902" i="2" a="1"/>
  <c r="P1902" i="2" s="1"/>
  <c r="R1902" i="2" s="1"/>
  <c r="V1902" i="2" s="1"/>
  <c r="P1828" i="2" a="1"/>
  <c r="P1828" i="2" s="1"/>
  <c r="R1828" i="2" s="1"/>
  <c r="V1828" i="2" s="1"/>
  <c r="P1868" i="2" a="1"/>
  <c r="P1868" i="2" s="1"/>
  <c r="R1868" i="2" s="1"/>
  <c r="V1868" i="2" s="1"/>
  <c r="P1829" i="2" a="1"/>
  <c r="P1829" i="2" s="1"/>
  <c r="R1829" i="2" s="1"/>
  <c r="V1829" i="2" s="1"/>
  <c r="P1830" i="2" a="1"/>
  <c r="P1830" i="2" s="1"/>
  <c r="R1830" i="2" s="1"/>
  <c r="V1830" i="2" s="1"/>
  <c r="P1865" i="2" a="1"/>
  <c r="P1865" i="2" s="1"/>
  <c r="R1865" i="2" s="1"/>
  <c r="V1865" i="2" s="1"/>
  <c r="P1900" i="2" a="1"/>
  <c r="P1900" i="2" s="1"/>
  <c r="R1900" i="2" s="1"/>
  <c r="V1900" i="2" s="1"/>
  <c r="P1999" i="2" a="1"/>
  <c r="P1999" i="2" s="1"/>
  <c r="R1999" i="2" s="1"/>
  <c r="V1999" i="2" s="1"/>
  <c r="P1831" i="2" a="1"/>
  <c r="P1831" i="2" s="1"/>
  <c r="R1831" i="2" s="1"/>
  <c r="V1831" i="2" s="1"/>
  <c r="P1873" i="2" a="1"/>
  <c r="P1873" i="2" s="1"/>
  <c r="R1873" i="2" s="1"/>
  <c r="V1873" i="2" s="1"/>
  <c r="L2" i="4" l="1"/>
  <c r="Q1130" i="2" a="1"/>
  <c r="Q1130" i="2" s="1"/>
  <c r="Q765" i="2" a="1"/>
  <c r="Q765" i="2" s="1"/>
  <c r="Q1334" i="2" a="1"/>
  <c r="Q1334" i="2" s="1"/>
  <c r="Q1592" i="2" a="1"/>
  <c r="Q1592" i="2" s="1"/>
  <c r="Q796" i="2" a="1"/>
  <c r="Q796" i="2" s="1"/>
  <c r="Q1341" i="2" a="1"/>
  <c r="Q1341" i="2" s="1"/>
  <c r="Q1754" i="2" a="1"/>
  <c r="Q1754" i="2" s="1"/>
  <c r="Q404" i="2" a="1"/>
  <c r="Q404" i="2" s="1"/>
  <c r="Q1312" i="2" a="1"/>
  <c r="Q1312" i="2" s="1"/>
  <c r="Q362" i="2" a="1"/>
  <c r="Q362" i="2" s="1"/>
  <c r="Q1131" i="2" a="1"/>
  <c r="Q1131" i="2" s="1"/>
  <c r="Q1318" i="2" a="1"/>
  <c r="Q1318" i="2" s="1"/>
  <c r="Q1342" i="2" a="1"/>
  <c r="Q1342" i="2" s="1"/>
  <c r="Q138" i="2" a="1"/>
  <c r="Q138" i="2" s="1"/>
  <c r="Q1635" i="2" a="1"/>
  <c r="Q1635" i="2" s="1"/>
  <c r="Q1917" i="2" a="1"/>
  <c r="Q1917" i="2" s="1"/>
  <c r="Q1343" i="2" a="1"/>
  <c r="Q1343" i="2" s="1"/>
  <c r="Q225" i="2" a="1"/>
  <c r="Q225" i="2" s="1"/>
  <c r="Q1654" i="2" a="1"/>
  <c r="Q1654" i="2" s="1"/>
  <c r="Q1644" i="2" a="1"/>
  <c r="Q1644" i="2" s="1"/>
  <c r="Q324" i="2" a="1"/>
  <c r="Q324" i="2" s="1"/>
  <c r="Q1132" i="2" a="1"/>
  <c r="Q1132" i="2" s="1"/>
  <c r="Q1344" i="2" a="1"/>
  <c r="Q1344" i="2" s="1"/>
  <c r="Q1573" i="2" a="1"/>
  <c r="Q1573" i="2" s="1"/>
  <c r="Q438" i="2" a="1"/>
  <c r="Q438" i="2" s="1"/>
  <c r="Q1199" i="2" a="1"/>
  <c r="Q1199" i="2" s="1"/>
  <c r="Q1276" i="2" a="1"/>
  <c r="Q1276" i="2" s="1"/>
  <c r="Q1908" i="2" a="1"/>
  <c r="Q1908" i="2" s="1"/>
  <c r="Q1286" i="2" a="1"/>
  <c r="Q1286" i="2" s="1"/>
  <c r="Q1345" i="2" a="1"/>
  <c r="Q1345" i="2" s="1"/>
  <c r="Q1845" i="2" a="1"/>
  <c r="Q1845" i="2" s="1"/>
  <c r="Q1310" i="2" a="1"/>
  <c r="Q1310" i="2" s="1"/>
  <c r="Q754" i="2" a="1"/>
  <c r="Q754" i="2" s="1"/>
  <c r="Q1610" i="2" a="1"/>
  <c r="Q1610" i="2" s="1"/>
  <c r="Q212" i="2" a="1"/>
  <c r="Q212" i="2" s="1"/>
  <c r="Q1499" i="2" a="1"/>
  <c r="Q1499" i="2" s="1"/>
  <c r="Q1581" i="2" a="1"/>
  <c r="Q1581" i="2" s="1"/>
  <c r="Q1091" i="2" a="1"/>
  <c r="Q1091" i="2" s="1"/>
  <c r="Q267" i="2" a="1"/>
  <c r="Q267" i="2" s="1"/>
  <c r="Q1346" i="2" a="1"/>
  <c r="Q1346" i="2" s="1"/>
  <c r="Q1672" i="2" a="1"/>
  <c r="Q1672" i="2" s="1"/>
  <c r="Q1515" i="2" a="1"/>
  <c r="Q1515" i="2" s="1"/>
  <c r="Q1755" i="2" a="1"/>
  <c r="Q1755" i="2" s="1"/>
  <c r="Q745" i="2" a="1"/>
  <c r="Q745" i="2" s="1"/>
  <c r="Q1562" i="2" a="1"/>
  <c r="Q1562" i="2" s="1"/>
  <c r="Q1267" i="2" a="1"/>
  <c r="Q1267" i="2" s="1"/>
  <c r="Q1347" i="2" a="1"/>
  <c r="Q1347" i="2" s="1"/>
  <c r="Q139" i="2" a="1"/>
  <c r="Q139" i="2" s="1"/>
  <c r="Q1756" i="2" a="1"/>
  <c r="Q1756" i="2" s="1"/>
  <c r="Q755" i="2" a="1"/>
  <c r="Q755" i="2" s="1"/>
  <c r="Q1348" i="2" a="1"/>
  <c r="Q1348" i="2" s="1"/>
  <c r="Q1560" i="2" a="1"/>
  <c r="Q1560" i="2" s="1"/>
  <c r="Q1588" i="2" a="1"/>
  <c r="Q1588" i="2" s="1"/>
  <c r="Q1757" i="2" a="1"/>
  <c r="Q1757" i="2" s="1"/>
  <c r="Q766" i="2" a="1"/>
  <c r="Q766" i="2" s="1"/>
  <c r="Q1261" i="2" a="1"/>
  <c r="Q1261" i="2" s="1"/>
  <c r="Q1758" i="2" a="1"/>
  <c r="Q1758" i="2" s="1"/>
  <c r="Q2050" i="2" a="1"/>
  <c r="Q2050" i="2" s="1"/>
  <c r="Q268" i="2" a="1"/>
  <c r="Q268" i="2" s="1"/>
  <c r="Q1561" i="2" a="1"/>
  <c r="Q1561" i="2" s="1"/>
  <c r="Q827" i="2" a="1"/>
  <c r="Q827" i="2" s="1"/>
  <c r="Q1302" i="2" a="1"/>
  <c r="Q1302" i="2" s="1"/>
  <c r="Q1759" i="2" a="1"/>
  <c r="Q1759" i="2" s="1"/>
  <c r="Q1760" i="2" a="1"/>
  <c r="Q1760" i="2" s="1"/>
  <c r="Q1761" i="2" a="1"/>
  <c r="Q1761" i="2" s="1"/>
  <c r="Q1762" i="2" a="1"/>
  <c r="Q1762" i="2" s="1"/>
  <c r="Q1763" i="2" a="1"/>
  <c r="Q1763" i="2" s="1"/>
  <c r="Q1764" i="2" a="1"/>
  <c r="Q1764" i="2" s="1"/>
  <c r="Q1765" i="2" a="1"/>
  <c r="Q1765" i="2" s="1"/>
  <c r="Q213" i="2" a="1"/>
  <c r="Q213" i="2" s="1"/>
  <c r="Q1149" i="2" a="1"/>
  <c r="Q1149" i="2" s="1"/>
  <c r="Q1248" i="2" a="1"/>
  <c r="Q1248" i="2" s="1"/>
  <c r="Q1349" i="2" a="1"/>
  <c r="Q1349" i="2" s="1"/>
  <c r="Q269" i="2" a="1"/>
  <c r="Q269" i="2" s="1"/>
  <c r="Q1601" i="2" a="1"/>
  <c r="Q1601" i="2" s="1"/>
  <c r="Q1631" i="2" a="1"/>
  <c r="Q1631" i="2" s="1"/>
  <c r="Q1518" i="2" a="1"/>
  <c r="Q1518" i="2" s="1"/>
  <c r="Q1133" i="2" a="1"/>
  <c r="Q1133" i="2" s="1"/>
  <c r="Q226" i="2" a="1"/>
  <c r="Q226" i="2" s="1"/>
  <c r="Q746" i="2" a="1"/>
  <c r="Q746" i="2" s="1"/>
  <c r="Q1528" i="2" a="1"/>
  <c r="Q1528" i="2" s="1"/>
  <c r="Q1077" i="2" a="1"/>
  <c r="Q1077" i="2" s="1"/>
  <c r="Q1623" i="2" a="1"/>
  <c r="Q1623" i="2" s="1"/>
  <c r="Q1350" i="2" a="1"/>
  <c r="Q1350" i="2" s="1"/>
  <c r="Q1335" i="2" a="1"/>
  <c r="Q1335" i="2" s="1"/>
  <c r="Q1521" i="2" a="1"/>
  <c r="Q1521" i="2" s="1"/>
  <c r="Q1575" i="2" a="1"/>
  <c r="Q1575" i="2" s="1"/>
  <c r="Q1243" i="2" a="1"/>
  <c r="Q1243" i="2" s="1"/>
  <c r="Q1833" i="2" a="1"/>
  <c r="Q1833" i="2" s="1"/>
  <c r="Q1928" i="2" a="1"/>
  <c r="Q1928" i="2" s="1"/>
  <c r="Q1910" i="2" a="1"/>
  <c r="Q1910" i="2" s="1"/>
  <c r="Q1946" i="2" a="1"/>
  <c r="Q1946" i="2" s="1"/>
  <c r="Q1998" i="2" a="1"/>
  <c r="Q1998" i="2" s="1"/>
  <c r="Q2001" i="2" a="1"/>
  <c r="Q2001" i="2" s="1"/>
  <c r="Q1134" i="2" a="1"/>
  <c r="Q1134" i="2" s="1"/>
  <c r="Q1228" i="2" a="1"/>
  <c r="Q1228" i="2" s="1"/>
  <c r="Q315" i="2" a="1"/>
  <c r="Q315" i="2" s="1"/>
  <c r="Q1217" i="2" a="1"/>
  <c r="Q1217" i="2" s="1"/>
  <c r="Q1281" i="2" a="1"/>
  <c r="Q1281" i="2" s="1"/>
  <c r="Q1075" i="2" a="1"/>
  <c r="Q1075" i="2" s="1"/>
  <c r="Q1092" i="2" a="1"/>
  <c r="Q1092" i="2" s="1"/>
  <c r="Q297" i="2" a="1"/>
  <c r="Q297" i="2" s="1"/>
  <c r="Q1655" i="2" a="1"/>
  <c r="Q1655" i="2" s="1"/>
  <c r="Q756" i="2" a="1"/>
  <c r="Q756" i="2" s="1"/>
  <c r="Q1352" i="2" a="1"/>
  <c r="Q1352" i="2" s="1"/>
  <c r="Q747" i="2" a="1"/>
  <c r="Q747" i="2" s="1"/>
  <c r="Q1353" i="2" a="1"/>
  <c r="Q1353" i="2" s="1"/>
  <c r="Q227" i="2" a="1"/>
  <c r="Q227" i="2" s="1"/>
  <c r="Q1201" i="2" a="1"/>
  <c r="Q1201" i="2" s="1"/>
  <c r="Q1673" i="2" a="1"/>
  <c r="Q1673" i="2" s="1"/>
  <c r="Q1277" i="2" a="1"/>
  <c r="Q1277" i="2" s="1"/>
  <c r="Q1093" i="2" a="1"/>
  <c r="Q1093" i="2" s="1"/>
  <c r="Q1354" i="2" a="1"/>
  <c r="Q1354" i="2" s="1"/>
  <c r="Q1308" i="2" a="1"/>
  <c r="Q1308" i="2" s="1"/>
  <c r="Q140" i="2" a="1"/>
  <c r="Q140" i="2" s="1"/>
  <c r="Q2051" i="2" a="1"/>
  <c r="Q2051" i="2" s="1"/>
  <c r="Q1215" i="2" a="1"/>
  <c r="Q1215" i="2" s="1"/>
  <c r="Q228" i="2" a="1"/>
  <c r="Q228" i="2" s="1"/>
  <c r="Q1600" i="2" a="1"/>
  <c r="Q1600" i="2" s="1"/>
  <c r="Q2029" i="2" a="1"/>
  <c r="Q2029" i="2" s="1"/>
  <c r="Q1645" i="2" a="1"/>
  <c r="Q1645" i="2" s="1"/>
  <c r="Q1355" i="2" a="1"/>
  <c r="Q1355" i="2" s="1"/>
  <c r="Q2052" i="2" a="1"/>
  <c r="Q2052" i="2" s="1"/>
  <c r="Q1265" i="2" a="1"/>
  <c r="Q1265" i="2" s="1"/>
  <c r="Q1987" i="2" a="1"/>
  <c r="Q1987" i="2" s="1"/>
  <c r="Q1848" i="2" a="1"/>
  <c r="Q1848" i="2" s="1"/>
  <c r="Q1356" i="2" a="1"/>
  <c r="Q1356" i="2" s="1"/>
  <c r="Q1357" i="2" a="1"/>
  <c r="Q1357" i="2" s="1"/>
  <c r="Q1496" i="2" a="1"/>
  <c r="Q1496" i="2" s="1"/>
  <c r="Q1078" i="2" a="1"/>
  <c r="Q1078" i="2" s="1"/>
  <c r="Q1766" i="2" a="1"/>
  <c r="Q1766" i="2" s="1"/>
  <c r="Q1646" i="2" a="1"/>
  <c r="Q1646" i="2" s="1"/>
  <c r="Q1358" i="2" a="1"/>
  <c r="Q1358" i="2" s="1"/>
  <c r="Q214" i="2" a="1"/>
  <c r="Q214" i="2" s="1"/>
  <c r="Q1767" i="2" a="1"/>
  <c r="Q1767" i="2" s="1"/>
  <c r="Q1495" i="2" a="1"/>
  <c r="Q1495" i="2" s="1"/>
  <c r="Q1359" i="2" a="1"/>
  <c r="Q1359" i="2" s="1"/>
  <c r="Q1906" i="2" a="1"/>
  <c r="Q1906" i="2" s="1"/>
  <c r="Q1882" i="2" a="1"/>
  <c r="Q1882" i="2" s="1"/>
  <c r="Q298" i="2" a="1"/>
  <c r="Q298" i="2" s="1"/>
  <c r="Q2030" i="2" a="1"/>
  <c r="Q2030" i="2" s="1"/>
  <c r="Q915" i="2" a="1"/>
  <c r="Q915" i="2" s="1"/>
  <c r="Q1360" i="2" a="1"/>
  <c r="Q1360" i="2" s="1"/>
  <c r="Q2018" i="2" a="1"/>
  <c r="Q2018" i="2" s="1"/>
  <c r="Q1941" i="2" a="1"/>
  <c r="Q1941" i="2" s="1"/>
  <c r="Q1832" i="2" a="1"/>
  <c r="Q1832" i="2" s="1"/>
  <c r="Q1985" i="2" a="1"/>
  <c r="Q1985" i="2" s="1"/>
  <c r="Q1986" i="2" a="1"/>
  <c r="Q1986" i="2" s="1"/>
  <c r="Q1886" i="2" a="1"/>
  <c r="Q1886" i="2" s="1"/>
  <c r="Q1536" i="2" a="1"/>
  <c r="Q1536" i="2" s="1"/>
  <c r="Q1361" i="2" a="1"/>
  <c r="Q1361" i="2" s="1"/>
  <c r="Q767" i="2" a="1"/>
  <c r="Q767" i="2" s="1"/>
  <c r="Q270" i="2" a="1"/>
  <c r="Q270" i="2" s="1"/>
  <c r="Q367" i="2" a="1"/>
  <c r="Q367" i="2" s="1"/>
  <c r="Q768" i="2" a="1"/>
  <c r="Q768" i="2" s="1"/>
  <c r="Q586" i="2" a="1"/>
  <c r="Q586" i="2" s="1"/>
  <c r="Q1079" i="2" a="1"/>
  <c r="Q1079" i="2" s="1"/>
  <c r="Q2053" i="2" a="1"/>
  <c r="Q2053" i="2" s="1"/>
  <c r="Q1545" i="2" a="1"/>
  <c r="Q1545" i="2" s="1"/>
  <c r="Q1274" i="2" a="1"/>
  <c r="Q1274" i="2" s="1"/>
  <c r="Q1313" i="2" a="1"/>
  <c r="Q1313" i="2" s="1"/>
  <c r="Q1237" i="2" a="1"/>
  <c r="Q1237" i="2" s="1"/>
  <c r="Q1768" i="2" a="1"/>
  <c r="Q1768" i="2" s="1"/>
  <c r="Q436" i="2" a="1"/>
  <c r="Q436" i="2" s="1"/>
  <c r="Q1847" i="2" a="1"/>
  <c r="Q1847" i="2" s="1"/>
  <c r="Q1854" i="2" a="1"/>
  <c r="Q1854" i="2" s="1"/>
  <c r="Q1246" i="2" a="1"/>
  <c r="Q1246" i="2" s="1"/>
  <c r="Q1362" i="2" a="1"/>
  <c r="Q1362" i="2" s="1"/>
  <c r="Q299" i="2" a="1"/>
  <c r="Q299" i="2" s="1"/>
  <c r="Q361" i="2" a="1"/>
  <c r="Q361" i="2" s="1"/>
  <c r="Q1507" i="2" a="1"/>
  <c r="Q1507" i="2" s="1"/>
  <c r="Q1533" i="2" a="1"/>
  <c r="Q1533" i="2" s="1"/>
  <c r="Q1326" i="2" a="1"/>
  <c r="Q1326" i="2" s="1"/>
  <c r="Q229" i="2" a="1"/>
  <c r="Q229" i="2" s="1"/>
  <c r="Q1905" i="2" a="1"/>
  <c r="Q1905" i="2" s="1"/>
  <c r="Q1858" i="2" a="1"/>
  <c r="Q1858" i="2" s="1"/>
  <c r="Q160" i="2" a="1"/>
  <c r="Q160" i="2" s="1"/>
  <c r="Q1590" i="2" a="1"/>
  <c r="Q1590" i="2" s="1"/>
  <c r="Q1609" i="2" a="1"/>
  <c r="Q1609" i="2" s="1"/>
  <c r="Q1769" i="2" a="1"/>
  <c r="Q1769" i="2" s="1"/>
  <c r="Q797" i="2" a="1"/>
  <c r="Q797" i="2" s="1"/>
  <c r="Q748" i="2" a="1"/>
  <c r="Q748" i="2" s="1"/>
  <c r="Q1363" i="2" a="1"/>
  <c r="Q1363" i="2" s="1"/>
  <c r="Q309" i="2" a="1"/>
  <c r="Q309" i="2" s="1"/>
  <c r="Q1238" i="2" a="1"/>
  <c r="Q1238" i="2" s="1"/>
  <c r="Q153" i="2" a="1"/>
  <c r="Q153" i="2" s="1"/>
  <c r="Q757" i="2" a="1"/>
  <c r="Q757" i="2" s="1"/>
  <c r="Q1660" i="2" a="1"/>
  <c r="Q1660" i="2" s="1"/>
  <c r="Q1319" i="2" a="1"/>
  <c r="Q1319" i="2" s="1"/>
  <c r="Q664" i="2" a="1"/>
  <c r="Q664" i="2" s="1"/>
  <c r="Q1674" i="2" a="1"/>
  <c r="Q1674" i="2" s="1"/>
  <c r="Q1094" i="2" a="1"/>
  <c r="Q1094" i="2" s="1"/>
  <c r="Q230" i="2" a="1"/>
  <c r="Q230" i="2" s="1"/>
  <c r="Q1595" i="2" a="1"/>
  <c r="Q1595" i="2" s="1"/>
  <c r="Q1524" i="2" a="1"/>
  <c r="Q1524" i="2" s="1"/>
  <c r="Q231" i="2" a="1"/>
  <c r="Q231" i="2" s="1"/>
  <c r="Q1661" i="2" a="1"/>
  <c r="Q1661" i="2" s="1"/>
  <c r="Q1135" i="2" a="1"/>
  <c r="Q1135" i="2" s="1"/>
  <c r="Q141" i="2" a="1"/>
  <c r="Q141" i="2" s="1"/>
  <c r="Q1200" i="2" a="1"/>
  <c r="Q1200" i="2" s="1"/>
  <c r="Q1835" i="2" a="1"/>
  <c r="Q1835" i="2" s="1"/>
  <c r="Q1364" i="2" a="1"/>
  <c r="Q1364" i="2" s="1"/>
  <c r="Q1227" i="2" a="1"/>
  <c r="Q1227" i="2" s="1"/>
  <c r="Q1586" i="2" a="1"/>
  <c r="Q1586" i="2" s="1"/>
  <c r="Q1150" i="2" a="1"/>
  <c r="Q1150" i="2" s="1"/>
  <c r="Q1332" i="2" a="1"/>
  <c r="Q1332" i="2" s="1"/>
  <c r="Q1151" i="2" a="1"/>
  <c r="Q1151" i="2" s="1"/>
  <c r="Q1136" i="2" a="1"/>
  <c r="Q1136" i="2" s="1"/>
  <c r="Q1207" i="2" a="1"/>
  <c r="Q1207" i="2" s="1"/>
  <c r="Q1300" i="2" a="1"/>
  <c r="Q1300" i="2" s="1"/>
  <c r="Q1120" i="2" a="1"/>
  <c r="Q1120" i="2" s="1"/>
  <c r="Q310" i="2" a="1"/>
  <c r="Q310" i="2" s="1"/>
  <c r="Q232" i="2" a="1"/>
  <c r="Q232" i="2" s="1"/>
  <c r="Q1614" i="2" a="1"/>
  <c r="Q1614" i="2" s="1"/>
  <c r="Q1295" i="2" a="1"/>
  <c r="Q1295" i="2" s="1"/>
  <c r="Q1365" i="2" a="1"/>
  <c r="Q1365" i="2" s="1"/>
  <c r="Q1288" i="2" a="1"/>
  <c r="Q1288" i="2" s="1"/>
  <c r="Q1121" i="2" a="1"/>
  <c r="Q1121" i="2" s="1"/>
  <c r="Q1770" i="2" a="1"/>
  <c r="Q1770" i="2" s="1"/>
  <c r="Q233" i="2" a="1"/>
  <c r="Q233" i="2" s="1"/>
  <c r="Q1771" i="2" a="1"/>
  <c r="Q1771" i="2" s="1"/>
  <c r="Q234" i="2" a="1"/>
  <c r="Q234" i="2" s="1"/>
  <c r="Q1752" i="2" a="1"/>
  <c r="Q1752" i="2" s="1"/>
  <c r="Q1772" i="2" a="1"/>
  <c r="Q1772" i="2" s="1"/>
  <c r="Q1773" i="2" a="1"/>
  <c r="Q1773" i="2" s="1"/>
  <c r="Q235" i="2" a="1"/>
  <c r="Q235" i="2" s="1"/>
  <c r="Q236" i="2" a="1"/>
  <c r="Q236" i="2" s="1"/>
  <c r="Q237" i="2" a="1"/>
  <c r="Q237" i="2" s="1"/>
  <c r="Q271" i="2" a="1"/>
  <c r="Q271" i="2" s="1"/>
  <c r="Q1366" i="2" a="1"/>
  <c r="Q1366" i="2" s="1"/>
  <c r="Q1593" i="2" a="1"/>
  <c r="Q1593" i="2" s="1"/>
  <c r="Q1367" i="2" a="1"/>
  <c r="Q1367" i="2" s="1"/>
  <c r="Q1971" i="2" a="1"/>
  <c r="Q1971" i="2" s="1"/>
  <c r="Q1112" i="2" a="1"/>
  <c r="Q1112" i="2" s="1"/>
  <c r="Q1368" i="2" a="1"/>
  <c r="Q1368" i="2" s="1"/>
  <c r="Q1369" i="2" a="1"/>
  <c r="Q1369" i="2" s="1"/>
  <c r="Q1252" i="2" a="1"/>
  <c r="Q1252" i="2" s="1"/>
  <c r="Q1137" i="2" a="1"/>
  <c r="Q1137" i="2" s="1"/>
  <c r="Q1095" i="2" a="1"/>
  <c r="Q1095" i="2" s="1"/>
  <c r="Q272" i="2" a="1"/>
  <c r="Q272" i="2" s="1"/>
  <c r="Q1138" i="2" a="1"/>
  <c r="Q1138" i="2" s="1"/>
  <c r="Q238" i="2" a="1"/>
  <c r="Q238" i="2" s="1"/>
  <c r="Q1675" i="2" a="1"/>
  <c r="Q1675" i="2" s="1"/>
  <c r="Q2014" i="2" a="1"/>
  <c r="Q2014" i="2" s="1"/>
  <c r="Q1955" i="2" a="1"/>
  <c r="Q1955" i="2" s="1"/>
  <c r="Q1968" i="2" a="1"/>
  <c r="Q1968" i="2" s="1"/>
  <c r="Q331" i="2" a="1"/>
  <c r="Q331" i="2" s="1"/>
  <c r="Q769" i="2" a="1"/>
  <c r="Q769" i="2" s="1"/>
  <c r="Q215" i="2" a="1"/>
  <c r="Q215" i="2" s="1"/>
  <c r="Q1236" i="2" a="1"/>
  <c r="Q1236" i="2" s="1"/>
  <c r="Q1774" i="2" a="1"/>
  <c r="Q1774" i="2" s="1"/>
  <c r="Q1775" i="2" a="1"/>
  <c r="Q1775" i="2" s="1"/>
  <c r="Q1776" i="2" a="1"/>
  <c r="Q1776" i="2" s="1"/>
  <c r="Q2054" i="2" a="1"/>
  <c r="Q2054" i="2" s="1"/>
  <c r="Q770" i="2" a="1"/>
  <c r="Q770" i="2" s="1"/>
  <c r="Q1777" i="2" a="1"/>
  <c r="Q1777" i="2" s="1"/>
  <c r="Q1834" i="2" a="1"/>
  <c r="Q1834" i="2" s="1"/>
  <c r="Q1216" i="2" a="1"/>
  <c r="Q1216" i="2" s="1"/>
  <c r="Q161" i="2" a="1"/>
  <c r="Q161" i="2" s="1"/>
  <c r="Q1840" i="2" a="1"/>
  <c r="Q1840" i="2" s="1"/>
  <c r="Q1597" i="2" a="1"/>
  <c r="Q1597" i="2" s="1"/>
  <c r="Q1778" i="2" a="1"/>
  <c r="Q1778" i="2" s="1"/>
  <c r="Q142" i="2" a="1"/>
  <c r="Q142" i="2" s="1"/>
  <c r="Q1779" i="2" a="1"/>
  <c r="Q1779" i="2" s="1"/>
  <c r="Q1289" i="2" a="1"/>
  <c r="Q1289" i="2" s="1"/>
  <c r="Q1647" i="2" a="1"/>
  <c r="Q1647" i="2" s="1"/>
  <c r="Q1139" i="2" a="1"/>
  <c r="Q1139" i="2" s="1"/>
  <c r="Q1096" i="2" a="1"/>
  <c r="Q1096" i="2" s="1"/>
  <c r="Q1558" i="2" a="1"/>
  <c r="Q1558" i="2" s="1"/>
  <c r="Q1869" i="2" a="1"/>
  <c r="Q1869" i="2" s="1"/>
  <c r="Q1867" i="2" a="1"/>
  <c r="Q1867" i="2" s="1"/>
  <c r="Q1780" i="2" a="1"/>
  <c r="Q1780" i="2" s="1"/>
  <c r="Q1950" i="2" a="1"/>
  <c r="Q1950" i="2" s="1"/>
  <c r="Q1618" i="2" a="1"/>
  <c r="Q1618" i="2" s="1"/>
  <c r="Q1482" i="2" a="1"/>
  <c r="Q1482" i="2" s="1"/>
  <c r="Q1325" i="2" a="1"/>
  <c r="Q1325" i="2" s="1"/>
  <c r="Q2055" i="2" a="1"/>
  <c r="Q2055" i="2" s="1"/>
  <c r="Q1781" i="2" a="1"/>
  <c r="Q1781" i="2" s="1"/>
  <c r="Q273" i="2" a="1"/>
  <c r="Q273" i="2" s="1"/>
  <c r="Q1202" i="2" a="1"/>
  <c r="Q1202" i="2" s="1"/>
  <c r="Q1782" i="2" a="1"/>
  <c r="Q1782" i="2" s="1"/>
  <c r="Q1251" i="2" a="1"/>
  <c r="Q1251" i="2" s="1"/>
  <c r="Q1370" i="2" a="1"/>
  <c r="Q1370" i="2" s="1"/>
  <c r="Q239" i="2" a="1"/>
  <c r="Q239" i="2" s="1"/>
  <c r="Q1576" i="2" a="1"/>
  <c r="Q1576" i="2" s="1"/>
  <c r="Q1783" i="2" a="1"/>
  <c r="Q1783" i="2" s="1"/>
  <c r="Q240" i="2" a="1"/>
  <c r="Q240" i="2" s="1"/>
  <c r="Q241" i="2" a="1"/>
  <c r="Q241" i="2" s="1"/>
  <c r="Q300" i="2" a="1"/>
  <c r="Q300" i="2" s="1"/>
  <c r="Q1638" i="2" a="1"/>
  <c r="Q1638" i="2" s="1"/>
  <c r="Q1784" i="2" a="1"/>
  <c r="Q1784" i="2" s="1"/>
  <c r="Q1785" i="2" a="1"/>
  <c r="Q1785" i="2" s="1"/>
  <c r="Q1502" i="2" a="1"/>
  <c r="Q1502" i="2" s="1"/>
  <c r="Q771" i="2" a="1"/>
  <c r="Q771" i="2" s="1"/>
  <c r="Q1859" i="2" a="1"/>
  <c r="Q1859" i="2" s="1"/>
  <c r="Q1939" i="2" a="1"/>
  <c r="Q1939" i="2" s="1"/>
  <c r="Q1947" i="2" a="1"/>
  <c r="Q1947" i="2" s="1"/>
  <c r="Q1786" i="2" a="1"/>
  <c r="Q1786" i="2" s="1"/>
  <c r="Q1662" i="2" a="1"/>
  <c r="Q1662" i="2" s="1"/>
  <c r="Q749" i="2" a="1"/>
  <c r="Q749" i="2" s="1"/>
  <c r="Q1663" i="2" a="1"/>
  <c r="Q1663" i="2" s="1"/>
  <c r="Q758" i="2" a="1"/>
  <c r="Q758" i="2" s="1"/>
  <c r="Q1152" i="2" a="1"/>
  <c r="Q1152" i="2" s="1"/>
  <c r="Q1920" i="2" a="1"/>
  <c r="Q1920" i="2" s="1"/>
  <c r="Q929" i="2" a="1"/>
  <c r="Q929" i="2" s="1"/>
  <c r="Q143" i="2" a="1"/>
  <c r="Q143" i="2" s="1"/>
  <c r="Q1982" i="2" a="1"/>
  <c r="Q1982" i="2" s="1"/>
  <c r="Q1371" i="2" a="1"/>
  <c r="Q1371" i="2" s="1"/>
  <c r="Q1372" i="2" a="1"/>
  <c r="Q1372" i="2" s="1"/>
  <c r="Q1069" i="2" a="1"/>
  <c r="Q1069" i="2" s="1"/>
  <c r="Q333" i="2" a="1"/>
  <c r="Q333" i="2" s="1"/>
  <c r="Q541" i="2" a="1"/>
  <c r="Q541" i="2" s="1"/>
  <c r="Q364" i="2" a="1"/>
  <c r="Q364" i="2" s="1"/>
  <c r="Q216" i="2" a="1"/>
  <c r="Q216" i="2" s="1"/>
  <c r="Q1231" i="2" a="1"/>
  <c r="Q1231" i="2" s="1"/>
  <c r="Q1373" i="2" a="1"/>
  <c r="Q1373" i="2" s="1"/>
  <c r="Q2031" i="2" a="1"/>
  <c r="Q2031" i="2" s="1"/>
  <c r="Q1374" i="2" a="1"/>
  <c r="Q1374" i="2" s="1"/>
  <c r="Q1596" i="2" a="1"/>
  <c r="Q1596" i="2" s="1"/>
  <c r="Q1340" i="2" a="1"/>
  <c r="Q1340" i="2" s="1"/>
  <c r="Q1520" i="2" a="1"/>
  <c r="Q1520" i="2" s="1"/>
  <c r="Q1375" i="2" a="1"/>
  <c r="Q1375" i="2" s="1"/>
  <c r="Q274" i="2" a="1"/>
  <c r="Q274" i="2" s="1"/>
  <c r="Q1376" i="2" a="1"/>
  <c r="Q1376" i="2" s="1"/>
  <c r="Q1140" i="2" a="1"/>
  <c r="Q1140" i="2" s="1"/>
  <c r="Q1229" i="2" a="1"/>
  <c r="Q1229" i="2" s="1"/>
  <c r="Q1787" i="2" a="1"/>
  <c r="Q1787" i="2" s="1"/>
  <c r="Q1843" i="2" a="1"/>
  <c r="Q1843" i="2" s="1"/>
  <c r="Q1153" i="2" a="1"/>
  <c r="Q1153" i="2" s="1"/>
  <c r="Q368" i="2" a="1"/>
  <c r="Q368" i="2" s="1"/>
  <c r="Q440" i="2" a="1"/>
  <c r="Q440" i="2" s="1"/>
  <c r="Q1788" i="2" a="1"/>
  <c r="Q1788" i="2" s="1"/>
  <c r="Q772" i="2" a="1"/>
  <c r="Q772" i="2" s="1"/>
  <c r="Q1203" i="2" a="1"/>
  <c r="Q1203" i="2" s="1"/>
  <c r="Q359" i="2" a="1"/>
  <c r="Q359" i="2" s="1"/>
  <c r="Q365" i="2" a="1"/>
  <c r="Q365" i="2" s="1"/>
  <c r="Q1556" i="2" a="1"/>
  <c r="Q1556" i="2" s="1"/>
  <c r="Q1303" i="2" a="1"/>
  <c r="Q1303" i="2" s="1"/>
  <c r="Q1789" i="2" a="1"/>
  <c r="Q1789" i="2" s="1"/>
  <c r="Q1377" i="2" a="1"/>
  <c r="Q1377" i="2" s="1"/>
  <c r="Q418" i="2" a="1"/>
  <c r="Q418" i="2" s="1"/>
  <c r="Q301" i="2" a="1"/>
  <c r="Q301" i="2" s="1"/>
  <c r="Q1048" i="2" a="1"/>
  <c r="Q1048" i="2" s="1"/>
  <c r="Q826" i="2" a="1"/>
  <c r="Q826" i="2" s="1"/>
  <c r="Q1607" i="2" a="1"/>
  <c r="Q1607" i="2" s="1"/>
  <c r="Q750" i="2" a="1"/>
  <c r="Q750" i="2" s="1"/>
  <c r="Q366" i="2" a="1"/>
  <c r="Q366" i="2" s="1"/>
  <c r="Q1790" i="2" a="1"/>
  <c r="Q1790" i="2" s="1"/>
  <c r="Q2056" i="2" a="1"/>
  <c r="Q2056" i="2" s="1"/>
  <c r="Q1676" i="2" a="1"/>
  <c r="Q1676" i="2" s="1"/>
  <c r="Q1154" i="2" a="1"/>
  <c r="Q1154" i="2" s="1"/>
  <c r="Q1214" i="2" a="1"/>
  <c r="Q1214" i="2" s="1"/>
  <c r="Q1627" i="2" a="1"/>
  <c r="Q1627" i="2" s="1"/>
  <c r="Q1378" i="2" a="1"/>
  <c r="Q1378" i="2" s="1"/>
  <c r="Q1155" i="2" a="1"/>
  <c r="Q1155" i="2" s="1"/>
  <c r="Q1156" i="2" a="1"/>
  <c r="Q1156" i="2" s="1"/>
  <c r="Q275" i="2" a="1"/>
  <c r="Q275" i="2" s="1"/>
  <c r="Q154" i="2" a="1"/>
  <c r="Q154" i="2" s="1"/>
  <c r="Q773" i="2" a="1"/>
  <c r="Q773" i="2" s="1"/>
  <c r="Q1630" i="2" a="1"/>
  <c r="Q1630" i="2" s="1"/>
  <c r="Q217" i="2" a="1"/>
  <c r="Q217" i="2" s="1"/>
  <c r="Q1224" i="2" a="1"/>
  <c r="Q1224" i="2" s="1"/>
  <c r="Q1514" i="2" a="1"/>
  <c r="Q1514" i="2" s="1"/>
  <c r="Q1791" i="2" a="1"/>
  <c r="Q1791" i="2" s="1"/>
  <c r="Q1603" i="2" a="1"/>
  <c r="Q1603" i="2" s="1"/>
  <c r="Q759" i="2" a="1"/>
  <c r="Q759" i="2" s="1"/>
  <c r="Q1677" i="2" a="1"/>
  <c r="Q1677" i="2" s="1"/>
  <c r="Q1113" i="2" a="1"/>
  <c r="Q1113" i="2" s="1"/>
  <c r="Q465" i="2" a="1"/>
  <c r="Q465" i="2" s="1"/>
  <c r="Q1525" i="2" a="1"/>
  <c r="Q1525" i="2" s="1"/>
  <c r="Q263" i="2" a="1"/>
  <c r="Q263" i="2" s="1"/>
  <c r="Q1585" i="2" a="1"/>
  <c r="Q1585" i="2" s="1"/>
  <c r="Q1380" i="2" a="1"/>
  <c r="Q1380" i="2" s="1"/>
  <c r="Q1157" i="2" a="1"/>
  <c r="Q1157" i="2" s="1"/>
  <c r="Q218" i="2" a="1"/>
  <c r="Q218" i="2" s="1"/>
  <c r="Q907" i="2" a="1"/>
  <c r="Q907" i="2" s="1"/>
  <c r="Q1598" i="2" a="1"/>
  <c r="Q1598" i="2" s="1"/>
  <c r="Q276" i="2" a="1"/>
  <c r="Q276" i="2" s="1"/>
  <c r="Q1628" i="2" a="1"/>
  <c r="Q1628" i="2" s="1"/>
  <c r="Q774" i="2" a="1"/>
  <c r="Q774" i="2" s="1"/>
  <c r="Q1204" i="2" a="1"/>
  <c r="Q1204" i="2" s="1"/>
  <c r="Q1381" i="2" a="1"/>
  <c r="Q1381" i="2" s="1"/>
  <c r="Q1383" i="2" a="1"/>
  <c r="Q1383" i="2" s="1"/>
  <c r="Q1532" i="2" a="1"/>
  <c r="Q1532" i="2" s="1"/>
  <c r="Q775" i="2" a="1"/>
  <c r="Q775" i="2" s="1"/>
  <c r="Q242" i="2" a="1"/>
  <c r="Q242" i="2" s="1"/>
  <c r="Q1553" i="2" a="1"/>
  <c r="Q1553" i="2" s="1"/>
  <c r="Q1493" i="2" a="1"/>
  <c r="Q1493" i="2" s="1"/>
  <c r="Q1656" i="2" a="1"/>
  <c r="Q1656" i="2" s="1"/>
  <c r="Q277" i="2" a="1"/>
  <c r="Q277" i="2" s="1"/>
  <c r="Q1792" i="2" a="1"/>
  <c r="Q1792" i="2" s="1"/>
  <c r="Q1512" i="2" a="1"/>
  <c r="Q1512" i="2" s="1"/>
  <c r="Q1384" i="2" a="1"/>
  <c r="Q1384" i="2" s="1"/>
  <c r="Q1924" i="2" a="1"/>
  <c r="Q1924" i="2" s="1"/>
  <c r="Q1385" i="2" a="1"/>
  <c r="Q1385" i="2" s="1"/>
  <c r="Q1158" i="2" a="1"/>
  <c r="Q1158" i="2" s="1"/>
  <c r="Q751" i="2" a="1"/>
  <c r="Q751" i="2" s="1"/>
  <c r="Q162" i="2" a="1"/>
  <c r="Q162" i="2" s="1"/>
  <c r="Q1386" i="2" a="1"/>
  <c r="Q1386" i="2" s="1"/>
  <c r="Q776" i="2" a="1"/>
  <c r="Q776" i="2" s="1"/>
  <c r="Q1793" i="2" a="1"/>
  <c r="Q1793" i="2" s="1"/>
  <c r="Q1268" i="2" a="1"/>
  <c r="Q1268" i="2" s="1"/>
  <c r="Q1141" i="2" a="1"/>
  <c r="Q1141" i="2" s="1"/>
  <c r="Q1543" i="2" a="1"/>
  <c r="Q1543" i="2" s="1"/>
  <c r="Q1239" i="2" a="1"/>
  <c r="Q1239" i="2" s="1"/>
  <c r="Q1226" i="2" a="1"/>
  <c r="Q1226" i="2" s="1"/>
  <c r="Q1387" i="2" a="1"/>
  <c r="Q1387" i="2" s="1"/>
  <c r="Q1388" i="2" a="1"/>
  <c r="Q1388" i="2" s="1"/>
  <c r="Q1579" i="2" a="1"/>
  <c r="Q1579" i="2" s="1"/>
  <c r="Q1611" i="2" a="1"/>
  <c r="Q1611" i="2" s="1"/>
  <c r="Q1390" i="2" a="1"/>
  <c r="Q1390" i="2" s="1"/>
  <c r="Q1275" i="2" a="1"/>
  <c r="Q1275" i="2" s="1"/>
  <c r="Q777" i="2" a="1"/>
  <c r="Q777" i="2" s="1"/>
  <c r="Q1794" i="2" a="1"/>
  <c r="Q1794" i="2" s="1"/>
  <c r="Q1523" i="2" a="1"/>
  <c r="Q1523" i="2" s="1"/>
  <c r="Q1648" i="2" a="1"/>
  <c r="Q1648" i="2" s="1"/>
  <c r="Q1580" i="2" a="1"/>
  <c r="Q1580" i="2" s="1"/>
  <c r="Q927" i="2" a="1"/>
  <c r="Q927" i="2" s="1"/>
  <c r="Q317" i="2" a="1"/>
  <c r="Q317" i="2" s="1"/>
  <c r="Q1219" i="2" a="1"/>
  <c r="Q1219" i="2" s="1"/>
  <c r="Q1605" i="2" a="1"/>
  <c r="Q1605" i="2" s="1"/>
  <c r="Q1391" i="2" a="1"/>
  <c r="Q1391" i="2" s="1"/>
  <c r="Q1122" i="2" a="1"/>
  <c r="Q1122" i="2" s="1"/>
  <c r="Q1159" i="2" a="1"/>
  <c r="Q1159" i="2" s="1"/>
  <c r="Q2008" i="2" a="1"/>
  <c r="Q2008" i="2" s="1"/>
  <c r="Q1210" i="2" a="1"/>
  <c r="Q1210" i="2" s="1"/>
  <c r="Q1097" i="2" a="1"/>
  <c r="Q1097" i="2" s="1"/>
  <c r="Q760" i="2" a="1"/>
  <c r="Q760" i="2" s="1"/>
  <c r="Q1392" i="2" a="1"/>
  <c r="Q1392" i="2" s="1"/>
  <c r="Q1497" i="2" a="1"/>
  <c r="Q1497" i="2" s="1"/>
  <c r="Q1324" i="2" a="1"/>
  <c r="Q1324" i="2" s="1"/>
  <c r="Q1314" i="2" a="1"/>
  <c r="Q1314" i="2" s="1"/>
  <c r="Q244" i="2" a="1"/>
  <c r="Q244" i="2" s="1"/>
  <c r="Q1305" i="2" a="1"/>
  <c r="Q1305" i="2" s="1"/>
  <c r="Q1554" i="2" a="1"/>
  <c r="Q1554" i="2" s="1"/>
  <c r="Q922" i="2" a="1"/>
  <c r="Q922" i="2" s="1"/>
  <c r="Q1256" i="2" a="1"/>
  <c r="Q1256" i="2" s="1"/>
  <c r="Q2057" i="2" a="1"/>
  <c r="Q2057" i="2" s="1"/>
  <c r="Q1291" i="2" a="1"/>
  <c r="Q1291" i="2" s="1"/>
  <c r="Q1123" i="2" a="1"/>
  <c r="Q1123" i="2" s="1"/>
  <c r="Q1114" i="2" a="1"/>
  <c r="Q1114" i="2" s="1"/>
  <c r="Q311" i="2" a="1"/>
  <c r="Q311" i="2" s="1"/>
  <c r="Q1124" i="2" a="1"/>
  <c r="Q1124" i="2" s="1"/>
  <c r="Q1393" i="2" a="1"/>
  <c r="Q1393" i="2" s="1"/>
  <c r="Q1570" i="2" a="1"/>
  <c r="Q1570" i="2" s="1"/>
  <c r="Q1394" i="2" a="1"/>
  <c r="Q1394" i="2" s="1"/>
  <c r="Q1309" i="2" a="1"/>
  <c r="Q1309" i="2" s="1"/>
  <c r="Q1395" i="2" a="1"/>
  <c r="Q1395" i="2" s="1"/>
  <c r="Q1577" i="2" a="1"/>
  <c r="Q1577" i="2" s="1"/>
  <c r="Q1396" i="2" a="1"/>
  <c r="Q1396" i="2" s="1"/>
  <c r="Q1616" i="2" a="1"/>
  <c r="Q1616" i="2" s="1"/>
  <c r="Q265" i="2" a="1"/>
  <c r="Q265" i="2" s="1"/>
  <c r="Q1637" i="2" a="1"/>
  <c r="Q1637" i="2" s="1"/>
  <c r="Q1617" i="2" a="1"/>
  <c r="Q1617" i="2" s="1"/>
  <c r="Q7" i="2" a="1"/>
  <c r="Q7" i="2" s="1"/>
  <c r="Q1555" i="2" a="1"/>
  <c r="Q1555" i="2" s="1"/>
  <c r="Q1111" i="2" a="1"/>
  <c r="Q1111" i="2" s="1"/>
  <c r="Q1567" i="2" a="1"/>
  <c r="Q1567" i="2" s="1"/>
  <c r="Q1864" i="2" a="1"/>
  <c r="Q1864" i="2" s="1"/>
  <c r="Q1897" i="2" a="1"/>
  <c r="Q1897" i="2" s="1"/>
  <c r="Q144" i="2" a="1"/>
  <c r="Q144" i="2" s="1"/>
  <c r="Q924" i="2" a="1"/>
  <c r="Q924" i="2" s="1"/>
  <c r="Q370" i="2" a="1"/>
  <c r="Q370" i="2" s="1"/>
  <c r="Q1257" i="2" a="1"/>
  <c r="Q1257" i="2" s="1"/>
  <c r="Q1397" i="2" a="1"/>
  <c r="Q1397" i="2" s="1"/>
  <c r="Q1500" i="2" a="1"/>
  <c r="Q1500" i="2" s="1"/>
  <c r="Q245" i="2" a="1"/>
  <c r="Q245" i="2" s="1"/>
  <c r="Q798" i="2" a="1"/>
  <c r="Q798" i="2" s="1"/>
  <c r="Q1501" i="2" a="1"/>
  <c r="Q1501" i="2" s="1"/>
  <c r="Q1398" i="2" a="1"/>
  <c r="Q1398" i="2" s="1"/>
  <c r="Q1211" i="2" a="1"/>
  <c r="Q1211" i="2" s="1"/>
  <c r="Q1160" i="2" a="1"/>
  <c r="Q1160" i="2" s="1"/>
  <c r="Q1240" i="2" a="1"/>
  <c r="Q1240" i="2" s="1"/>
  <c r="Q2058" i="2" a="1"/>
  <c r="Q2058" i="2" s="1"/>
  <c r="Q246" i="2" a="1"/>
  <c r="Q246" i="2" s="1"/>
  <c r="Q1399" i="2" a="1"/>
  <c r="Q1399" i="2" s="1"/>
  <c r="Q247" i="2" a="1"/>
  <c r="Q247" i="2" s="1"/>
  <c r="Q1208" i="2" a="1"/>
  <c r="Q1208" i="2" s="1"/>
  <c r="Q778" i="2" a="1"/>
  <c r="Q778" i="2" s="1"/>
  <c r="Q219" i="2" a="1"/>
  <c r="Q219" i="2" s="1"/>
  <c r="Q507" i="2" a="1"/>
  <c r="Q507" i="2" s="1"/>
  <c r="Q1850" i="2" a="1"/>
  <c r="Q1850" i="2" s="1"/>
  <c r="Q1913" i="2" a="1"/>
  <c r="Q1913" i="2" s="1"/>
  <c r="Q278" i="2" a="1"/>
  <c r="Q278" i="2" s="1"/>
  <c r="Q1909" i="2" a="1"/>
  <c r="Q1909" i="2" s="1"/>
  <c r="Q1322" i="2" a="1"/>
  <c r="Q1322" i="2" s="1"/>
  <c r="Q1494" i="2" a="1"/>
  <c r="Q1494" i="2" s="1"/>
  <c r="Q1990" i="2" a="1"/>
  <c r="Q1990" i="2" s="1"/>
  <c r="Q1992" i="2" a="1"/>
  <c r="Q1992" i="2" s="1"/>
  <c r="Q1400" i="2" a="1"/>
  <c r="Q1400" i="2" s="1"/>
  <c r="Q1401" i="2" a="1"/>
  <c r="Q1401" i="2" s="1"/>
  <c r="Q1402" i="2" a="1"/>
  <c r="Q1402" i="2" s="1"/>
  <c r="Q1921" i="2" a="1"/>
  <c r="Q1921" i="2" s="1"/>
  <c r="Q1161" i="2" a="1"/>
  <c r="Q1161" i="2" s="1"/>
  <c r="Q1625" i="2" a="1"/>
  <c r="Q1625" i="2" s="1"/>
  <c r="Q919" i="2" a="1"/>
  <c r="Q919" i="2" s="1"/>
  <c r="Q1649" i="2" a="1"/>
  <c r="Q1649" i="2" s="1"/>
  <c r="Q921" i="2" a="1"/>
  <c r="Q921" i="2" s="1"/>
  <c r="Q1880" i="2" a="1"/>
  <c r="Q1880" i="2" s="1"/>
  <c r="Q1485" i="2" a="1"/>
  <c r="Q1485" i="2" s="1"/>
  <c r="Q1602" i="2" a="1"/>
  <c r="Q1602" i="2" s="1"/>
  <c r="Q1491" i="2" a="1"/>
  <c r="Q1491" i="2" s="1"/>
  <c r="Q1795" i="2" a="1"/>
  <c r="Q1795" i="2" s="1"/>
  <c r="Q1283" i="2" a="1"/>
  <c r="Q1283" i="2" s="1"/>
  <c r="Q1549" i="2" a="1"/>
  <c r="Q1549" i="2" s="1"/>
  <c r="Q1931" i="2" a="1"/>
  <c r="Q1931" i="2" s="1"/>
  <c r="Q1796" i="2" a="1"/>
  <c r="Q1796" i="2" s="1"/>
  <c r="Q1262" i="2" a="1"/>
  <c r="Q1262" i="2" s="1"/>
  <c r="Q1125" i="2" a="1"/>
  <c r="Q1125" i="2" s="1"/>
  <c r="Q1888" i="2" a="1"/>
  <c r="Q1888" i="2" s="1"/>
  <c r="Q1604" i="2" a="1"/>
  <c r="Q1604" i="2" s="1"/>
  <c r="Q2016" i="2" a="1"/>
  <c r="Q2016" i="2" s="1"/>
  <c r="Q1891" i="2" a="1"/>
  <c r="Q1891" i="2" s="1"/>
  <c r="Q1979" i="2" a="1"/>
  <c r="Q1979" i="2" s="1"/>
  <c r="Q1991" i="2" a="1"/>
  <c r="Q1991" i="2" s="1"/>
  <c r="Q1797" i="2" a="1"/>
  <c r="Q1797" i="2" s="1"/>
  <c r="Q1333" i="2" a="1"/>
  <c r="Q1333" i="2" s="1"/>
  <c r="Q954" i="2" a="1"/>
  <c r="Q954" i="2" s="1"/>
  <c r="Q2011" i="2" a="1"/>
  <c r="Q2011" i="2" s="1"/>
  <c r="Q1162" i="2" a="1"/>
  <c r="Q1162" i="2" s="1"/>
  <c r="Q1263" i="2" a="1"/>
  <c r="Q1263" i="2" s="1"/>
  <c r="Q279" i="2" a="1"/>
  <c r="Q279" i="2" s="1"/>
  <c r="Q1307" i="2" a="1"/>
  <c r="Q1307" i="2" s="1"/>
  <c r="Q799" i="2" a="1"/>
  <c r="Q799" i="2" s="1"/>
  <c r="Q2002" i="2" a="1"/>
  <c r="Q2002" i="2" s="1"/>
  <c r="Q1855" i="2" a="1"/>
  <c r="Q1855" i="2" s="1"/>
  <c r="Q1932" i="2" a="1"/>
  <c r="Q1932" i="2" s="1"/>
  <c r="Q2003" i="2" a="1"/>
  <c r="Q2003" i="2" s="1"/>
  <c r="Q1996" i="2" a="1"/>
  <c r="Q1996" i="2" s="1"/>
  <c r="Q1798" i="2" a="1"/>
  <c r="Q1798" i="2" s="1"/>
  <c r="Q821" i="2" a="1"/>
  <c r="Q821" i="2" s="1"/>
  <c r="Q1550" i="2" a="1"/>
  <c r="Q1550" i="2" s="1"/>
  <c r="Q1253" i="2" a="1"/>
  <c r="Q1253" i="2" s="1"/>
  <c r="Q2059" i="2" a="1"/>
  <c r="Q2059" i="2" s="1"/>
  <c r="Q280" i="2" a="1"/>
  <c r="Q280" i="2" s="1"/>
  <c r="Q281" i="2" a="1"/>
  <c r="Q281" i="2" s="1"/>
  <c r="Q1799" i="2" a="1"/>
  <c r="Q1799" i="2" s="1"/>
  <c r="Q2060" i="2" a="1"/>
  <c r="Q2060" i="2" s="1"/>
  <c r="Q1306" i="2" a="1"/>
  <c r="Q1306" i="2" s="1"/>
  <c r="Q1266" i="2" a="1"/>
  <c r="Q1266" i="2" s="1"/>
  <c r="Q1606" i="2" a="1"/>
  <c r="Q1606" i="2" s="1"/>
  <c r="Q1403" i="2" a="1"/>
  <c r="Q1403" i="2" s="1"/>
  <c r="Q1163" i="2" a="1"/>
  <c r="Q1163" i="2" s="1"/>
  <c r="Q1591" i="2" a="1"/>
  <c r="Q1591" i="2" s="1"/>
  <c r="Q1142" i="2" a="1"/>
  <c r="Q1142" i="2" s="1"/>
  <c r="Q145" i="2" a="1"/>
  <c r="Q145" i="2" s="1"/>
  <c r="Q1164" i="2" a="1"/>
  <c r="Q1164" i="2" s="1"/>
  <c r="Q1269" i="2" a="1"/>
  <c r="Q1269" i="2" s="1"/>
  <c r="Q112" i="2" a="1"/>
  <c r="Q112" i="2" s="1"/>
  <c r="Q542" i="2" a="1"/>
  <c r="Q542" i="2" s="1"/>
  <c r="Q248" i="2" a="1"/>
  <c r="Q248" i="2" s="1"/>
  <c r="Q1881" i="2" a="1"/>
  <c r="Q1881" i="2" s="1"/>
  <c r="Q1842" i="2" a="1"/>
  <c r="Q1842" i="2" s="1"/>
  <c r="Q1404" i="2" a="1"/>
  <c r="Q1404" i="2" s="1"/>
  <c r="Q1927" i="2" a="1"/>
  <c r="Q1927" i="2" s="1"/>
  <c r="Q1165" i="2" a="1"/>
  <c r="Q1165" i="2" s="1"/>
  <c r="Q1405" i="2" a="1"/>
  <c r="Q1405" i="2" s="1"/>
  <c r="Q249" i="2" a="1"/>
  <c r="Q249" i="2" s="1"/>
  <c r="Q1800" i="2" a="1"/>
  <c r="Q1800" i="2" s="1"/>
  <c r="Q1143" i="2" a="1"/>
  <c r="Q1143" i="2" s="1"/>
  <c r="Q250" i="2" a="1"/>
  <c r="Q250" i="2" s="1"/>
  <c r="Q1406" i="2" a="1"/>
  <c r="Q1406" i="2" s="1"/>
  <c r="Q1801" i="2" a="1"/>
  <c r="Q1801" i="2" s="1"/>
  <c r="Q1166" i="2" a="1"/>
  <c r="Q1166" i="2" s="1"/>
  <c r="Q1678" i="2" a="1"/>
  <c r="Q1678" i="2" s="1"/>
  <c r="Q1098" i="2" a="1"/>
  <c r="Q1098" i="2" s="1"/>
  <c r="Q163" i="2" a="1"/>
  <c r="Q163" i="2" s="1"/>
  <c r="Q302" i="2" a="1"/>
  <c r="Q302" i="2" s="1"/>
  <c r="Q2061" i="2" a="1"/>
  <c r="Q2061" i="2" s="1"/>
  <c r="Q800" i="2" a="1"/>
  <c r="Q800" i="2" s="1"/>
  <c r="Q282" i="2" a="1"/>
  <c r="Q282" i="2" s="1"/>
  <c r="Q1407" i="2" a="1"/>
  <c r="Q1407" i="2" s="1"/>
  <c r="Q1541" i="2" a="1"/>
  <c r="Q1541" i="2" s="1"/>
  <c r="Q372" i="2" a="1"/>
  <c r="Q372" i="2" s="1"/>
  <c r="Q779" i="2" a="1"/>
  <c r="Q779" i="2" s="1"/>
  <c r="Q1080" i="2" a="1"/>
  <c r="Q1080" i="2" s="1"/>
  <c r="Q1548" i="2" a="1"/>
  <c r="Q1548" i="2" s="1"/>
  <c r="Q1802" i="2" a="1"/>
  <c r="Q1802" i="2" s="1"/>
  <c r="Q1837" i="2" a="1"/>
  <c r="Q1837" i="2" s="1"/>
  <c r="Q1542" i="2" a="1"/>
  <c r="Q1542" i="2" s="1"/>
  <c r="Q1527" i="2" a="1"/>
  <c r="Q1527" i="2" s="1"/>
  <c r="Q1408" i="2" a="1"/>
  <c r="Q1408" i="2" s="1"/>
  <c r="Q1409" i="2" a="1"/>
  <c r="Q1409" i="2" s="1"/>
  <c r="Q1557" i="2" a="1"/>
  <c r="Q1557" i="2" s="1"/>
  <c r="Q1410" i="2" a="1"/>
  <c r="Q1410" i="2" s="1"/>
  <c r="Q1411" i="2" a="1"/>
  <c r="Q1411" i="2" s="1"/>
  <c r="Q1292" i="2" a="1"/>
  <c r="Q1292" i="2" s="1"/>
  <c r="Q1315" i="2" a="1"/>
  <c r="Q1315" i="2" s="1"/>
  <c r="Q1320" i="2" a="1"/>
  <c r="Q1320" i="2" s="1"/>
  <c r="Q825" i="2" a="1"/>
  <c r="Q825" i="2" s="1"/>
  <c r="Q1167" i="2" a="1"/>
  <c r="Q1167" i="2" s="1"/>
  <c r="Q1540" i="2" a="1"/>
  <c r="Q1540" i="2" s="1"/>
  <c r="Q2017" i="2" a="1"/>
  <c r="Q2017" i="2" s="1"/>
  <c r="Q1242" i="2" a="1"/>
  <c r="Q1242" i="2" s="1"/>
  <c r="Q951" i="2" a="1"/>
  <c r="Q951" i="2" s="1"/>
  <c r="Q251" i="2" a="1"/>
  <c r="Q251" i="2" s="1"/>
  <c r="Q1639" i="2" a="1"/>
  <c r="Q1639" i="2" s="1"/>
  <c r="Q1115" i="2" a="1"/>
  <c r="Q1115" i="2" s="1"/>
  <c r="Q1803" i="2" a="1"/>
  <c r="Q1803" i="2" s="1"/>
  <c r="Q1412" i="2" a="1"/>
  <c r="Q1412" i="2" s="1"/>
  <c r="Q761" i="2" a="1"/>
  <c r="Q761" i="2" s="1"/>
  <c r="Q1413" i="2" a="1"/>
  <c r="Q1413" i="2" s="1"/>
  <c r="Q220" i="2" a="1"/>
  <c r="Q220" i="2" s="1"/>
  <c r="Q1414" i="2" a="1"/>
  <c r="Q1414" i="2" s="1"/>
  <c r="Q1415" i="2" a="1"/>
  <c r="Q1415" i="2" s="1"/>
  <c r="Q1565" i="2" a="1"/>
  <c r="Q1565" i="2" s="1"/>
  <c r="Q1416" i="2" a="1"/>
  <c r="Q1416" i="2" s="1"/>
  <c r="Q1574" i="2" a="1"/>
  <c r="Q1574" i="2" s="1"/>
  <c r="Q1526" i="2" a="1"/>
  <c r="Q1526" i="2" s="1"/>
  <c r="Q1804" i="2" a="1"/>
  <c r="Q1804" i="2" s="1"/>
  <c r="Q1513" i="2" a="1"/>
  <c r="Q1513" i="2" s="1"/>
  <c r="Q1323" i="2" a="1"/>
  <c r="Q1323" i="2" s="1"/>
  <c r="Q1564" i="2" a="1"/>
  <c r="Q1564" i="2" s="1"/>
  <c r="Q1417" i="2" a="1"/>
  <c r="Q1417" i="2" s="1"/>
  <c r="Q1488" i="2" a="1"/>
  <c r="Q1488" i="2" s="1"/>
  <c r="Q1552" i="2" a="1"/>
  <c r="Q1552" i="2" s="1"/>
  <c r="Q1650" i="2" a="1"/>
  <c r="Q1650" i="2" s="1"/>
  <c r="Q1144" i="2" a="1"/>
  <c r="Q1144" i="2" s="1"/>
  <c r="Q1052" i="2" a="1"/>
  <c r="Q1052" i="2" s="1"/>
  <c r="Q1081" i="2" a="1"/>
  <c r="Q1081" i="2" s="1"/>
  <c r="Q1969" i="2" a="1"/>
  <c r="Q1969" i="2" s="1"/>
  <c r="Q1418" i="2" a="1"/>
  <c r="Q1418" i="2" s="1"/>
  <c r="Q1419" i="2" a="1"/>
  <c r="Q1419" i="2" s="1"/>
  <c r="Q638" i="2" a="1"/>
  <c r="Q638" i="2" s="1"/>
  <c r="Q371" i="2" a="1"/>
  <c r="Q371" i="2" s="1"/>
  <c r="Q2062" i="2" a="1"/>
  <c r="Q2062" i="2" s="1"/>
  <c r="Q1316" i="2" a="1"/>
  <c r="Q1316" i="2" s="1"/>
  <c r="Q780" i="2" a="1"/>
  <c r="Q780" i="2" s="1"/>
  <c r="Q543" i="2" a="1"/>
  <c r="Q543" i="2" s="1"/>
  <c r="Q221" i="2" a="1"/>
  <c r="Q221" i="2" s="1"/>
  <c r="Q222" i="2" a="1"/>
  <c r="Q222" i="2" s="1"/>
  <c r="Q1936" i="2" a="1"/>
  <c r="Q1936" i="2" s="1"/>
  <c r="Q1531" i="2" a="1"/>
  <c r="Q1531" i="2" s="1"/>
  <c r="Q283" i="2" a="1"/>
  <c r="Q283" i="2" s="1"/>
  <c r="Q1287" i="2" a="1"/>
  <c r="Q1287" i="2" s="1"/>
  <c r="Q1544" i="2" a="1"/>
  <c r="Q1544" i="2" s="1"/>
  <c r="Q1337" i="2" a="1"/>
  <c r="Q1337" i="2" s="1"/>
  <c r="Q1258" i="2" a="1"/>
  <c r="Q1258" i="2" s="1"/>
  <c r="Q1259" i="2" a="1"/>
  <c r="Q1259" i="2" s="1"/>
  <c r="Q801" i="2" a="1"/>
  <c r="Q801" i="2" s="1"/>
  <c r="Q1099" i="2" a="1"/>
  <c r="Q1099" i="2" s="1"/>
  <c r="Q1296" i="2" a="1"/>
  <c r="Q1296" i="2" s="1"/>
  <c r="Q1420" i="2" a="1"/>
  <c r="Q1420" i="2" s="1"/>
  <c r="Q146" i="2" a="1"/>
  <c r="Q146" i="2" s="1"/>
  <c r="Q544" i="2" a="1"/>
  <c r="Q544" i="2" s="1"/>
  <c r="Q1126" i="2" a="1"/>
  <c r="Q1126" i="2" s="1"/>
  <c r="Q1168" i="2" a="1"/>
  <c r="Q1168" i="2" s="1"/>
  <c r="Q781" i="2" a="1"/>
  <c r="Q781" i="2" s="1"/>
  <c r="Q1421" i="2" a="1"/>
  <c r="Q1421" i="2" s="1"/>
  <c r="Q1538" i="2" a="1"/>
  <c r="Q1538" i="2" s="1"/>
  <c r="Q1664" i="2" a="1"/>
  <c r="Q1664" i="2" s="1"/>
  <c r="Q1169" i="2" a="1"/>
  <c r="Q1169" i="2" s="1"/>
  <c r="Q1100" i="2" a="1"/>
  <c r="Q1100" i="2" s="1"/>
  <c r="Q1293" i="2" a="1"/>
  <c r="Q1293" i="2" s="1"/>
  <c r="Q545" i="2" a="1"/>
  <c r="Q545" i="2" s="1"/>
  <c r="Q1127" i="2" a="1"/>
  <c r="Q1127" i="2" s="1"/>
  <c r="Q1249" i="2" a="1"/>
  <c r="Q1249" i="2" s="1"/>
  <c r="Q1613" i="2" a="1"/>
  <c r="Q1613" i="2" s="1"/>
  <c r="Q1679" i="2" a="1"/>
  <c r="Q1679" i="2" s="1"/>
  <c r="Q1170" i="2" a="1"/>
  <c r="Q1170" i="2" s="1"/>
  <c r="Q782" i="2" a="1"/>
  <c r="Q782" i="2" s="1"/>
  <c r="Q2063" i="2" a="1"/>
  <c r="Q2063" i="2" s="1"/>
  <c r="Q2064" i="2" a="1"/>
  <c r="Q2064" i="2" s="1"/>
  <c r="Q252" i="2" a="1"/>
  <c r="Q252" i="2" s="1"/>
  <c r="Q1422" i="2" a="1"/>
  <c r="Q1422" i="2" s="1"/>
  <c r="Q1082" i="2" a="1"/>
  <c r="Q1082" i="2" s="1"/>
  <c r="Q164" i="2" a="1"/>
  <c r="Q164" i="2" s="1"/>
  <c r="Q1212" i="2" a="1"/>
  <c r="Q1212" i="2" s="1"/>
  <c r="Q1569" i="2" a="1"/>
  <c r="Q1569" i="2" s="1"/>
  <c r="Q1197" i="2" a="1"/>
  <c r="Q1197" i="2" s="1"/>
  <c r="Q1907" i="2" a="1"/>
  <c r="Q1907" i="2" s="1"/>
  <c r="Q2065" i="2" a="1"/>
  <c r="Q2065" i="2" s="1"/>
  <c r="Q1944" i="2" a="1"/>
  <c r="Q1944" i="2" s="1"/>
  <c r="Q1522" i="2" a="1"/>
  <c r="Q1522" i="2" s="1"/>
  <c r="Q1423" i="2" a="1"/>
  <c r="Q1423" i="2" s="1"/>
  <c r="Q1805" i="2" a="1"/>
  <c r="Q1805" i="2" s="1"/>
  <c r="Q1665" i="2" a="1"/>
  <c r="Q1665" i="2" s="1"/>
  <c r="Q1270" i="2" a="1"/>
  <c r="Q1270" i="2" s="1"/>
  <c r="Q1271" i="2" a="1"/>
  <c r="Q1271" i="2" s="1"/>
  <c r="Q437" i="2" a="1"/>
  <c r="Q437" i="2" s="1"/>
  <c r="Q1806" i="2" a="1"/>
  <c r="Q1806" i="2" s="1"/>
  <c r="Q253" i="2" a="1"/>
  <c r="Q253" i="2" s="1"/>
  <c r="Q1424" i="2" a="1"/>
  <c r="Q1424" i="2" s="1"/>
  <c r="Q1807" i="2" a="1"/>
  <c r="Q1807" i="2" s="1"/>
  <c r="Q1425" i="2" a="1"/>
  <c r="Q1425" i="2" s="1"/>
  <c r="Q1753" i="2" a="1"/>
  <c r="Q1753" i="2" s="1"/>
  <c r="Q1278" i="2" a="1"/>
  <c r="Q1278" i="2" s="1"/>
  <c r="Q1171" i="2" a="1"/>
  <c r="Q1171" i="2" s="1"/>
  <c r="Q1426" i="2" a="1"/>
  <c r="Q1426" i="2" s="1"/>
  <c r="Q254" i="2" a="1"/>
  <c r="Q254" i="2" s="1"/>
  <c r="Q264" i="2" a="1"/>
  <c r="Q264" i="2" s="1"/>
  <c r="Q923" i="2" a="1"/>
  <c r="Q923" i="2" s="1"/>
  <c r="Q352" i="2" a="1"/>
  <c r="Q352" i="2" s="1"/>
  <c r="Q1666" i="2" a="1"/>
  <c r="Q1666" i="2" s="1"/>
  <c r="Q1427" i="2" a="1"/>
  <c r="Q1427" i="2" s="1"/>
  <c r="Q897" i="2" a="1"/>
  <c r="Q897" i="2" s="1"/>
  <c r="Q255" i="2" a="1"/>
  <c r="Q255" i="2" s="1"/>
  <c r="Q1172" i="2" a="1"/>
  <c r="Q1172" i="2" s="1"/>
  <c r="Q1074" i="2" a="1"/>
  <c r="Q1074" i="2" s="1"/>
  <c r="Q1311" i="2" a="1"/>
  <c r="Q1311" i="2" s="1"/>
  <c r="Q2015" i="2" a="1"/>
  <c r="Q2015" i="2" s="1"/>
  <c r="Q312" i="2" a="1"/>
  <c r="Q312" i="2" s="1"/>
  <c r="Q1327" i="2" a="1"/>
  <c r="Q1327" i="2" s="1"/>
  <c r="Q155" i="2" a="1"/>
  <c r="Q155" i="2" s="1"/>
  <c r="Q926" i="2" a="1"/>
  <c r="Q926" i="2" s="1"/>
  <c r="Q1640" i="2" a="1"/>
  <c r="Q1640" i="2" s="1"/>
  <c r="Q1657" i="2" a="1"/>
  <c r="Q1657" i="2" s="1"/>
  <c r="Q824" i="2" a="1"/>
  <c r="Q824" i="2" s="1"/>
  <c r="Q1428" i="2" a="1"/>
  <c r="Q1428" i="2" s="1"/>
  <c r="Q1173" i="2" a="1"/>
  <c r="Q1173" i="2" s="1"/>
  <c r="Q1808" i="2" a="1"/>
  <c r="Q1808" i="2" s="1"/>
  <c r="Q2004" i="2" a="1"/>
  <c r="Q2004" i="2" s="1"/>
  <c r="Q546" i="2" a="1"/>
  <c r="Q546" i="2" s="1"/>
  <c r="Q1509" i="2" a="1"/>
  <c r="Q1509" i="2" s="1"/>
  <c r="Q2066" i="2" a="1"/>
  <c r="Q2066" i="2" s="1"/>
  <c r="Q1680" i="2" a="1"/>
  <c r="Q1680" i="2" s="1"/>
  <c r="Q1065" i="2" a="1"/>
  <c r="Q1065" i="2" s="1"/>
  <c r="Q1174" i="2" a="1"/>
  <c r="Q1174" i="2" s="1"/>
  <c r="Q1429" i="2" a="1"/>
  <c r="Q1429" i="2" s="1"/>
  <c r="Q1841" i="2" a="1"/>
  <c r="Q1841" i="2" s="1"/>
  <c r="Q783" i="2" a="1"/>
  <c r="Q783" i="2" s="1"/>
  <c r="Q802" i="2" a="1"/>
  <c r="Q802" i="2" s="1"/>
  <c r="Q284" i="2" a="1"/>
  <c r="Q284" i="2" s="1"/>
  <c r="Q165" i="2" a="1"/>
  <c r="Q165" i="2" s="1"/>
  <c r="Q1809" i="2" a="1"/>
  <c r="Q1809" i="2" s="1"/>
  <c r="Q285" i="2" a="1"/>
  <c r="Q285" i="2" s="1"/>
  <c r="Q313" i="2" a="1"/>
  <c r="Q313" i="2" s="1"/>
  <c r="Q1430" i="2" a="1"/>
  <c r="Q1430" i="2" s="1"/>
  <c r="Q1175" i="2" a="1"/>
  <c r="Q1175" i="2" s="1"/>
  <c r="Q1529" i="2" a="1"/>
  <c r="Q1529" i="2" s="1"/>
  <c r="Q156" i="2" a="1"/>
  <c r="Q156" i="2" s="1"/>
  <c r="Q1176" i="2" a="1"/>
  <c r="Q1176" i="2" s="1"/>
  <c r="Q784" i="2" a="1"/>
  <c r="Q784" i="2" s="1"/>
  <c r="Q1810" i="2" a="1"/>
  <c r="Q1810" i="2" s="1"/>
  <c r="Q1145" i="2" a="1"/>
  <c r="Q1145" i="2" s="1"/>
  <c r="Q1431" i="2" a="1"/>
  <c r="Q1431" i="2" s="1"/>
  <c r="Q1432" i="2" a="1"/>
  <c r="Q1432" i="2" s="1"/>
  <c r="Q1620" i="2" a="1"/>
  <c r="Q1620" i="2" s="1"/>
  <c r="Q1051" i="2" a="1"/>
  <c r="Q1051" i="2" s="1"/>
  <c r="Q1329" i="2" a="1"/>
  <c r="Q1329" i="2" s="1"/>
  <c r="Q1260" i="2" a="1"/>
  <c r="Q1260" i="2" s="1"/>
  <c r="Q1811" i="2" a="1"/>
  <c r="Q1811" i="2" s="1"/>
  <c r="Q1667" i="2" a="1"/>
  <c r="Q1667" i="2" s="1"/>
  <c r="Q369" i="2" a="1"/>
  <c r="Q369" i="2" s="1"/>
  <c r="Q1948" i="2" a="1"/>
  <c r="Q1948" i="2" s="1"/>
  <c r="Q1433" i="2" a="1"/>
  <c r="Q1433" i="2" s="1"/>
  <c r="Q1668" i="2" a="1"/>
  <c r="Q1668" i="2" s="1"/>
  <c r="Q1264" i="2" a="1"/>
  <c r="Q1264" i="2" s="1"/>
  <c r="Q256" i="2" a="1"/>
  <c r="Q256" i="2" s="1"/>
  <c r="Q1812" i="2" a="1"/>
  <c r="Q1812" i="2" s="1"/>
  <c r="Q1146" i="2" a="1"/>
  <c r="Q1146" i="2" s="1"/>
  <c r="Q1101" i="2" a="1"/>
  <c r="Q1101" i="2" s="1"/>
  <c r="Q1813" i="2" a="1"/>
  <c r="Q1813" i="2" s="1"/>
  <c r="Q1083" i="2" a="1"/>
  <c r="Q1083" i="2" s="1"/>
  <c r="Q314" i="2" a="1"/>
  <c r="Q314" i="2" s="1"/>
  <c r="Q1338" i="2" a="1"/>
  <c r="Q1338" i="2" s="1"/>
  <c r="Q1530" i="2" a="1"/>
  <c r="Q1530" i="2" s="1"/>
  <c r="Q223" i="2" a="1"/>
  <c r="Q223" i="2" s="1"/>
  <c r="Q1547" i="2" a="1"/>
  <c r="Q1547" i="2" s="1"/>
  <c r="Q1102" i="2" a="1"/>
  <c r="Q1102" i="2" s="1"/>
  <c r="Q166" i="2" a="1"/>
  <c r="Q166" i="2" s="1"/>
  <c r="Q147" i="2" a="1"/>
  <c r="Q147" i="2" s="1"/>
  <c r="Q1814" i="2" a="1"/>
  <c r="Q1814" i="2" s="1"/>
  <c r="Q2009" i="2" a="1"/>
  <c r="Q2009" i="2" s="1"/>
  <c r="Q1815" i="2" a="1"/>
  <c r="Q1815" i="2" s="1"/>
  <c r="Q785" i="2" a="1"/>
  <c r="Q785" i="2" s="1"/>
  <c r="Q786" i="2" a="1"/>
  <c r="Q786" i="2" s="1"/>
  <c r="Q1519" i="2" a="1"/>
  <c r="Q1519" i="2" s="1"/>
  <c r="Q1434" i="2" a="1"/>
  <c r="Q1434" i="2" s="1"/>
  <c r="Q1128" i="2" a="1"/>
  <c r="Q1128" i="2" s="1"/>
  <c r="Q547" i="2" a="1"/>
  <c r="Q547" i="2" s="1"/>
  <c r="Q1290" i="2" a="1"/>
  <c r="Q1290" i="2" s="1"/>
  <c r="Q1285" i="2" a="1"/>
  <c r="Q1285" i="2" s="1"/>
  <c r="Q548" i="2" a="1"/>
  <c r="Q548" i="2" s="1"/>
  <c r="Q1539" i="2" a="1"/>
  <c r="Q1539" i="2" s="1"/>
  <c r="Q1282" i="2" a="1"/>
  <c r="Q1282" i="2" s="1"/>
  <c r="Q1328" i="2" a="1"/>
  <c r="Q1328" i="2" s="1"/>
  <c r="Q1213" i="2" a="1"/>
  <c r="Q1213" i="2" s="1"/>
  <c r="Q1103" i="2" a="1"/>
  <c r="Q1103" i="2" s="1"/>
  <c r="Q1435" i="2" a="1"/>
  <c r="Q1435" i="2" s="1"/>
  <c r="Q1436" i="2" a="1"/>
  <c r="Q1436" i="2" s="1"/>
  <c r="Q1225" i="2" a="1"/>
  <c r="Q1225" i="2" s="1"/>
  <c r="Q1230" i="2" a="1"/>
  <c r="Q1230" i="2" s="1"/>
  <c r="Q374" i="2" a="1"/>
  <c r="Q374" i="2" s="1"/>
  <c r="Q1437" i="2" a="1"/>
  <c r="Q1437" i="2" s="1"/>
  <c r="Q1116" i="2" a="1"/>
  <c r="Q1116" i="2" s="1"/>
  <c r="Q1589" i="2" a="1"/>
  <c r="Q1589" i="2" s="1"/>
  <c r="Q1084" i="2" a="1"/>
  <c r="Q1084" i="2" s="1"/>
  <c r="Q1272" i="2" a="1"/>
  <c r="Q1272" i="2" s="1"/>
  <c r="Q419" i="2" a="1"/>
  <c r="Q419" i="2" s="1"/>
  <c r="Q1438" i="2" a="1"/>
  <c r="Q1438" i="2" s="1"/>
  <c r="Q1439" i="2" a="1"/>
  <c r="Q1439" i="2" s="1"/>
  <c r="Q892" i="2" a="1"/>
  <c r="Q892" i="2" s="1"/>
  <c r="Q1440" i="2" a="1"/>
  <c r="Q1440" i="2" s="1"/>
  <c r="Q1147" i="2" a="1"/>
  <c r="Q1147" i="2" s="1"/>
  <c r="Q1441" i="2" a="1"/>
  <c r="Q1441" i="2" s="1"/>
  <c r="Q1508" i="2" a="1"/>
  <c r="Q1508" i="2" s="1"/>
  <c r="Q1177" i="2" a="1"/>
  <c r="Q1177" i="2" s="1"/>
  <c r="Q1232" i="2" a="1"/>
  <c r="Q1232" i="2" s="1"/>
  <c r="Q1636" i="2" a="1"/>
  <c r="Q1636" i="2" s="1"/>
  <c r="Q1681" i="2" a="1"/>
  <c r="Q1681" i="2" s="1"/>
  <c r="Q1892" i="2" a="1"/>
  <c r="Q1892" i="2" s="1"/>
  <c r="Q787" i="2" a="1"/>
  <c r="Q787" i="2" s="1"/>
  <c r="Q157" i="2" a="1"/>
  <c r="Q157" i="2" s="1"/>
  <c r="Q1254" i="2" a="1"/>
  <c r="Q1254" i="2" s="1"/>
  <c r="Q2012" i="2" a="1"/>
  <c r="Q2012" i="2" s="1"/>
  <c r="Q1534" i="2" a="1"/>
  <c r="Q1534" i="2" s="1"/>
  <c r="Q1233" i="2" a="1"/>
  <c r="Q1233" i="2" s="1"/>
  <c r="Q2024" i="2" a="1"/>
  <c r="Q2024" i="2" s="1"/>
  <c r="Q1301" i="2" a="1"/>
  <c r="Q1301" i="2" s="1"/>
  <c r="Q1250" i="2" a="1"/>
  <c r="Q1250" i="2" s="1"/>
  <c r="Q320" i="2" a="1"/>
  <c r="Q320" i="2" s="1"/>
  <c r="Q1178" i="2" a="1"/>
  <c r="Q1178" i="2" s="1"/>
  <c r="Q1331" i="2" a="1"/>
  <c r="Q1331" i="2" s="1"/>
  <c r="Q1179" i="2" a="1"/>
  <c r="Q1179" i="2" s="1"/>
  <c r="Q1442" i="2" a="1"/>
  <c r="Q1442" i="2" s="1"/>
  <c r="Q1180" i="2" a="1"/>
  <c r="Q1180" i="2" s="1"/>
  <c r="Q1298" i="2" a="1"/>
  <c r="Q1298" i="2" s="1"/>
  <c r="Q803" i="2" a="1"/>
  <c r="Q803" i="2" s="1"/>
  <c r="Q1181" i="2" a="1"/>
  <c r="Q1181" i="2" s="1"/>
  <c r="Q1443" i="2" a="1"/>
  <c r="Q1443" i="2" s="1"/>
  <c r="Q1444" i="2" a="1"/>
  <c r="Q1444" i="2" s="1"/>
  <c r="Q1336" i="2" a="1"/>
  <c r="Q1336" i="2" s="1"/>
  <c r="Q257" i="2" a="1"/>
  <c r="Q257" i="2" s="1"/>
  <c r="Q1182" i="2" a="1"/>
  <c r="Q1182" i="2" s="1"/>
  <c r="Q1445" i="2" a="1"/>
  <c r="Q1445" i="2" s="1"/>
  <c r="Q1642" i="2" a="1"/>
  <c r="Q1642" i="2" s="1"/>
  <c r="Q1559" i="2" a="1"/>
  <c r="Q1559" i="2" s="1"/>
  <c r="Q170" i="2" a="1"/>
  <c r="Q170" i="2" s="1"/>
  <c r="Q1816" i="2" a="1"/>
  <c r="Q1816" i="2" s="1"/>
  <c r="Q1104" i="2" a="1"/>
  <c r="Q1104" i="2" s="1"/>
  <c r="Q1446" i="2" a="1"/>
  <c r="Q1446" i="2" s="1"/>
  <c r="Q1196" i="2" a="1"/>
  <c r="Q1196" i="2" s="1"/>
  <c r="Q1537" i="2" a="1"/>
  <c r="Q1537" i="2" s="1"/>
  <c r="Q1447" i="2" a="1"/>
  <c r="Q1447" i="2" s="1"/>
  <c r="Q1517" i="2" a="1"/>
  <c r="Q1517" i="2" s="1"/>
  <c r="Q434" i="2" a="1"/>
  <c r="Q434" i="2" s="1"/>
  <c r="Q167" i="2" a="1"/>
  <c r="Q167" i="2" s="1"/>
  <c r="Q1658" i="2" a="1"/>
  <c r="Q1658" i="2" s="1"/>
  <c r="Q1448" i="2" a="1"/>
  <c r="Q1448" i="2" s="1"/>
  <c r="Q1894" i="2" a="1"/>
  <c r="Q1894" i="2" s="1"/>
  <c r="Q1220" i="2" a="1"/>
  <c r="Q1220" i="2" s="1"/>
  <c r="Q1587" i="2" a="1"/>
  <c r="Q1587" i="2" s="1"/>
  <c r="Q1563" i="2" a="1"/>
  <c r="Q1563" i="2" s="1"/>
  <c r="Q1183" i="2" a="1"/>
  <c r="Q1183" i="2" s="1"/>
  <c r="Q435" i="2" a="1"/>
  <c r="Q435" i="2" s="1"/>
  <c r="Q788" i="2" a="1"/>
  <c r="Q788" i="2" s="1"/>
  <c r="Q1184" i="2" a="1"/>
  <c r="Q1184" i="2" s="1"/>
  <c r="Q1492" i="2" a="1"/>
  <c r="Q1492" i="2" s="1"/>
  <c r="Q1449" i="2" a="1"/>
  <c r="Q1449" i="2" s="1"/>
  <c r="Q1241" i="2" a="1"/>
  <c r="Q1241" i="2" s="1"/>
  <c r="Q1198" i="2" a="1"/>
  <c r="Q1198" i="2" s="1"/>
  <c r="Q1185" i="2" a="1"/>
  <c r="Q1185" i="2" s="1"/>
  <c r="Q1450" i="2" a="1"/>
  <c r="Q1450" i="2" s="1"/>
  <c r="Q1451" i="2" a="1"/>
  <c r="Q1451" i="2" s="1"/>
  <c r="Q1085" i="2" a="1"/>
  <c r="Q1085" i="2" s="1"/>
  <c r="Q1086" i="2" a="1"/>
  <c r="Q1086" i="2" s="1"/>
  <c r="Q441" i="2" a="1"/>
  <c r="Q441" i="2" s="1"/>
  <c r="Q1669" i="2" a="1"/>
  <c r="Q1669" i="2" s="1"/>
  <c r="Q1452" i="2" a="1"/>
  <c r="Q1452" i="2" s="1"/>
  <c r="Q1453" i="2" a="1"/>
  <c r="Q1453" i="2" s="1"/>
  <c r="Q158" i="2" a="1"/>
  <c r="Q158" i="2" s="1"/>
  <c r="Q1186" i="2" a="1"/>
  <c r="Q1186" i="2" s="1"/>
  <c r="Q2032" i="2" a="1"/>
  <c r="Q2032" i="2" s="1"/>
  <c r="Q804" i="2" a="1"/>
  <c r="Q804" i="2" s="1"/>
  <c r="Q303" i="2" a="1"/>
  <c r="Q303" i="2" s="1"/>
  <c r="Q1599" i="2" a="1"/>
  <c r="Q1599" i="2" s="1"/>
  <c r="Q1454" i="2" a="1"/>
  <c r="Q1454" i="2" s="1"/>
  <c r="Q630" i="2" a="1"/>
  <c r="Q630" i="2" s="1"/>
  <c r="Q1280" i="2" a="1"/>
  <c r="Q1280" i="2" s="1"/>
  <c r="Q286" i="2" a="1"/>
  <c r="Q286" i="2" s="1"/>
  <c r="Q1105" i="2" a="1"/>
  <c r="Q1105" i="2" s="1"/>
  <c r="Q1187" i="2" a="1"/>
  <c r="Q1187" i="2" s="1"/>
  <c r="Q304" i="2" a="1"/>
  <c r="Q304" i="2" s="1"/>
  <c r="Q305" i="2" a="1"/>
  <c r="Q305" i="2" s="1"/>
  <c r="Q1188" i="2" a="1"/>
  <c r="Q1188" i="2" s="1"/>
  <c r="Q1978" i="2" a="1"/>
  <c r="Q1978" i="2" s="1"/>
  <c r="Q1901" i="2" a="1"/>
  <c r="Q1901" i="2" s="1"/>
  <c r="Q1942" i="2" a="1"/>
  <c r="Q1942" i="2" s="1"/>
  <c r="Q1903" i="2" a="1"/>
  <c r="Q1903" i="2" s="1"/>
  <c r="Q1106" i="2" a="1"/>
  <c r="Q1106" i="2" s="1"/>
  <c r="Q1209" i="2" a="1"/>
  <c r="Q1209" i="2" s="1"/>
  <c r="Q1817" i="2" a="1"/>
  <c r="Q1817" i="2" s="1"/>
  <c r="Q1455" i="2" a="1"/>
  <c r="Q1455" i="2" s="1"/>
  <c r="Q898" i="2" a="1"/>
  <c r="Q898" i="2" s="1"/>
  <c r="Q1566" i="2" a="1"/>
  <c r="Q1566" i="2" s="1"/>
  <c r="Q1284" i="2" a="1"/>
  <c r="Q1284" i="2" s="1"/>
  <c r="Q306" i="2" a="1"/>
  <c r="Q306" i="2" s="1"/>
  <c r="Q762" i="2" a="1"/>
  <c r="Q762" i="2" s="1"/>
  <c r="Q1456" i="2" a="1"/>
  <c r="Q1456" i="2" s="1"/>
  <c r="Q789" i="2" a="1"/>
  <c r="Q789" i="2" s="1"/>
  <c r="Q1651" i="2" a="1"/>
  <c r="Q1651" i="2" s="1"/>
  <c r="Q1626" i="2" a="1"/>
  <c r="Q1626" i="2" s="1"/>
  <c r="Q1457" i="2" a="1"/>
  <c r="Q1457" i="2" s="1"/>
  <c r="Q1670" i="2" a="1"/>
  <c r="Q1670" i="2" s="1"/>
  <c r="Q2023" i="2" a="1"/>
  <c r="Q2023" i="2" s="1"/>
  <c r="Q1117" i="2" a="1"/>
  <c r="Q1117" i="2" s="1"/>
  <c r="Q1189" i="2" a="1"/>
  <c r="Q1189" i="2" s="1"/>
  <c r="Q1818" i="2" a="1"/>
  <c r="Q1818" i="2" s="1"/>
  <c r="Q1819" i="2" a="1"/>
  <c r="Q1819" i="2" s="1"/>
  <c r="Q1820" i="2" a="1"/>
  <c r="Q1820" i="2" s="1"/>
  <c r="Q1821" i="2" a="1"/>
  <c r="Q1821" i="2" s="1"/>
  <c r="Q258" i="2" a="1"/>
  <c r="Q258" i="2" s="1"/>
  <c r="Q1458" i="2" a="1"/>
  <c r="Q1458" i="2" s="1"/>
  <c r="Q1190" i="2" a="1"/>
  <c r="Q1190" i="2" s="1"/>
  <c r="Q1822" i="2" a="1"/>
  <c r="Q1822" i="2" s="1"/>
  <c r="Q1983" i="2" a="1"/>
  <c r="Q1983" i="2" s="1"/>
  <c r="Q307" i="2" a="1"/>
  <c r="Q307" i="2" s="1"/>
  <c r="Q1339" i="2" a="1"/>
  <c r="Q1339" i="2" s="1"/>
  <c r="Q1535" i="2" a="1"/>
  <c r="Q1535" i="2" s="1"/>
  <c r="Q1659" i="2" a="1"/>
  <c r="Q1659" i="2" s="1"/>
  <c r="Q1067" i="2" a="1"/>
  <c r="Q1067" i="2" s="1"/>
  <c r="Q1247" i="2" a="1"/>
  <c r="Q1247" i="2" s="1"/>
  <c r="Q287" i="2" a="1"/>
  <c r="Q287" i="2" s="1"/>
  <c r="Q1503" i="2" a="1"/>
  <c r="Q1503" i="2" s="1"/>
  <c r="Q1087" i="2" a="1"/>
  <c r="Q1087" i="2" s="1"/>
  <c r="Q466" i="2" a="1"/>
  <c r="Q466" i="2" s="1"/>
  <c r="Q1317" i="2" a="1"/>
  <c r="Q1317" i="2" s="1"/>
  <c r="Q1459" i="2" a="1"/>
  <c r="Q1459" i="2" s="1"/>
  <c r="Q1191" i="2" a="1"/>
  <c r="Q1191" i="2" s="1"/>
  <c r="Q1118" i="2" a="1"/>
  <c r="Q1118" i="2" s="1"/>
  <c r="Q1460" i="2" a="1"/>
  <c r="Q1460" i="2" s="1"/>
  <c r="Q1235" i="2" a="1"/>
  <c r="Q1235" i="2" s="1"/>
  <c r="Q1516" i="2" a="1"/>
  <c r="Q1516" i="2" s="1"/>
  <c r="Q790" i="2" a="1"/>
  <c r="Q790" i="2" s="1"/>
  <c r="Q1823" i="2" a="1"/>
  <c r="Q1823" i="2" s="1"/>
  <c r="Q1612" i="2" a="1"/>
  <c r="Q1612" i="2" s="1"/>
  <c r="Q1643" i="2" a="1"/>
  <c r="Q1643" i="2" s="1"/>
  <c r="Q148" i="2" a="1"/>
  <c r="Q148" i="2" s="1"/>
  <c r="Q928" i="2" a="1"/>
  <c r="Q928" i="2" s="1"/>
  <c r="Q288" i="2" a="1"/>
  <c r="Q288" i="2" s="1"/>
  <c r="Q1824" i="2" a="1"/>
  <c r="Q1824" i="2" s="1"/>
  <c r="Q791" i="2" a="1"/>
  <c r="Q791" i="2" s="1"/>
  <c r="Q2005" i="2" a="1"/>
  <c r="Q2005" i="2" s="1"/>
  <c r="Q1148" i="2" a="1"/>
  <c r="Q1148" i="2" s="1"/>
  <c r="Q149" i="2" a="1"/>
  <c r="Q149" i="2" s="1"/>
  <c r="Q1825" i="2" a="1"/>
  <c r="Q1825" i="2" s="1"/>
  <c r="Q1993" i="2" a="1"/>
  <c r="Q1993" i="2" s="1"/>
  <c r="Q1826" i="2" a="1"/>
  <c r="Q1826" i="2" s="1"/>
  <c r="Q1621" i="2" a="1"/>
  <c r="Q1621" i="2" s="1"/>
  <c r="Q1827" i="2" a="1"/>
  <c r="Q1827" i="2" s="1"/>
  <c r="Q289" i="2" a="1"/>
  <c r="Q289" i="2" s="1"/>
  <c r="Q1967" i="2" a="1"/>
  <c r="Q1967" i="2" s="1"/>
  <c r="Q1255" i="2" a="1"/>
  <c r="Q1255" i="2" s="1"/>
  <c r="Q1461" i="2" a="1"/>
  <c r="Q1461" i="2" s="1"/>
  <c r="Q150" i="2" a="1"/>
  <c r="Q150" i="2" s="1"/>
  <c r="Q1902" i="2" a="1"/>
  <c r="Q1902" i="2" s="1"/>
  <c r="Q1828" i="2" a="1"/>
  <c r="Q1828" i="2" s="1"/>
  <c r="Q805" i="2" a="1"/>
  <c r="Q805" i="2" s="1"/>
  <c r="Q1221" i="2" a="1"/>
  <c r="Q1221" i="2" s="1"/>
  <c r="Q290" i="2" a="1"/>
  <c r="Q290" i="2" s="1"/>
  <c r="Q1107" i="2" a="1"/>
  <c r="Q1107" i="2" s="1"/>
  <c r="Q1192" i="2" a="1"/>
  <c r="Q1192" i="2" s="1"/>
  <c r="Q792" i="2" a="1"/>
  <c r="Q792" i="2" s="1"/>
  <c r="Q1279" i="2" a="1"/>
  <c r="Q1279" i="2" s="1"/>
  <c r="Q793" i="2" a="1"/>
  <c r="Q793" i="2" s="1"/>
  <c r="Q291" i="2" a="1"/>
  <c r="Q291" i="2" s="1"/>
  <c r="Q292" i="2" a="1"/>
  <c r="Q292" i="2" s="1"/>
  <c r="Q1108" i="2" a="1"/>
  <c r="Q1108" i="2" s="1"/>
  <c r="Q1304" i="2" a="1"/>
  <c r="Q1304" i="2" s="1"/>
  <c r="Q168" i="2" a="1"/>
  <c r="Q168" i="2" s="1"/>
  <c r="Q794" i="2" a="1"/>
  <c r="Q794" i="2" s="1"/>
  <c r="Q752" i="2" a="1"/>
  <c r="Q752" i="2" s="1"/>
  <c r="Q1868" i="2" a="1"/>
  <c r="Q1868" i="2" s="1"/>
  <c r="Q1462" i="2" a="1"/>
  <c r="Q1462" i="2" s="1"/>
  <c r="Q1463" i="2" a="1"/>
  <c r="Q1463" i="2" s="1"/>
  <c r="Q1464" i="2" a="1"/>
  <c r="Q1464" i="2" s="1"/>
  <c r="Q1465" i="2" a="1"/>
  <c r="Q1465" i="2" s="1"/>
  <c r="Q1297" i="2" a="1"/>
  <c r="Q1297" i="2" s="1"/>
  <c r="Q259" i="2" a="1"/>
  <c r="Q259" i="2" s="1"/>
  <c r="Q753" i="2" a="1"/>
  <c r="Q753" i="2" s="1"/>
  <c r="Q795" i="2" a="1"/>
  <c r="Q795" i="2" s="1"/>
  <c r="Q1466" i="2" a="1"/>
  <c r="Q1466" i="2" s="1"/>
  <c r="Q1572" i="2" a="1"/>
  <c r="Q1572" i="2" s="1"/>
  <c r="Q1299" i="2" a="1"/>
  <c r="Q1299" i="2" s="1"/>
  <c r="Q442" i="2" a="1"/>
  <c r="Q442" i="2" s="1"/>
  <c r="Q1652" i="2" a="1"/>
  <c r="Q1652" i="2" s="1"/>
  <c r="Q1653" i="2" a="1"/>
  <c r="Q1653" i="2" s="1"/>
  <c r="Q1205" i="2" a="1"/>
  <c r="Q1205" i="2" s="1"/>
  <c r="Q1468" i="2" a="1"/>
  <c r="Q1468" i="2" s="1"/>
  <c r="Q2006" i="2" a="1"/>
  <c r="Q2006" i="2" s="1"/>
  <c r="Q1223" i="2" a="1"/>
  <c r="Q1223" i="2" s="1"/>
  <c r="Q443" i="2" a="1"/>
  <c r="Q443" i="2" s="1"/>
  <c r="Q1469" i="2" a="1"/>
  <c r="Q1469" i="2" s="1"/>
  <c r="Q1506" i="2" a="1"/>
  <c r="Q1506" i="2" s="1"/>
  <c r="Q1470" i="2" a="1"/>
  <c r="Q1470" i="2" s="1"/>
  <c r="Q1487" i="2" a="1"/>
  <c r="Q1487" i="2" s="1"/>
  <c r="Q763" i="2" a="1"/>
  <c r="Q763" i="2" s="1"/>
  <c r="Q764" i="2" a="1"/>
  <c r="Q764" i="2" s="1"/>
  <c r="Q1622" i="2" a="1"/>
  <c r="Q1622" i="2" s="1"/>
  <c r="Q1471" i="2" a="1"/>
  <c r="Q1471" i="2" s="1"/>
  <c r="Q1504" i="2" a="1"/>
  <c r="Q1504" i="2" s="1"/>
  <c r="Q1498" i="2" a="1"/>
  <c r="Q1498" i="2" s="1"/>
  <c r="Q151" i="2" a="1"/>
  <c r="Q151" i="2" s="1"/>
  <c r="Q1829" i="2" a="1"/>
  <c r="Q1829" i="2" s="1"/>
  <c r="Q1129" i="2" a="1"/>
  <c r="Q1129" i="2" s="1"/>
  <c r="Q1484" i="2" a="1"/>
  <c r="Q1484" i="2" s="1"/>
  <c r="Q1830" i="2" a="1"/>
  <c r="Q1830" i="2" s="1"/>
  <c r="Q1193" i="2" a="1"/>
  <c r="Q1193" i="2" s="1"/>
  <c r="Q1073" i="2" a="1"/>
  <c r="Q1073" i="2" s="1"/>
  <c r="Q1472" i="2" a="1"/>
  <c r="Q1472" i="2" s="1"/>
  <c r="Q1245" i="2" a="1"/>
  <c r="Q1245" i="2" s="1"/>
  <c r="Q260" i="2" a="1"/>
  <c r="Q260" i="2" s="1"/>
  <c r="Q1629" i="2" a="1"/>
  <c r="Q1629" i="2" s="1"/>
  <c r="Q152" i="2" a="1"/>
  <c r="Q152" i="2" s="1"/>
  <c r="Q1594" i="2" a="1"/>
  <c r="Q1594" i="2" s="1"/>
  <c r="Q224" i="2" a="1"/>
  <c r="Q224" i="2" s="1"/>
  <c r="Q261" i="2" a="1"/>
  <c r="Q261" i="2" s="1"/>
  <c r="Q549" i="2" a="1"/>
  <c r="Q549" i="2" s="1"/>
  <c r="Q169" i="2" a="1"/>
  <c r="Q169" i="2" s="1"/>
  <c r="Q1244" i="2" a="1"/>
  <c r="Q1244" i="2" s="1"/>
  <c r="Q1486" i="2" a="1"/>
  <c r="Q1486" i="2" s="1"/>
  <c r="Q308" i="2" a="1"/>
  <c r="Q308" i="2" s="1"/>
  <c r="Q1641" i="2" a="1"/>
  <c r="Q1641" i="2" s="1"/>
  <c r="Q1473" i="2" a="1"/>
  <c r="Q1473" i="2" s="1"/>
  <c r="Q1474" i="2" a="1"/>
  <c r="Q1474" i="2" s="1"/>
  <c r="Q1088" i="2" a="1"/>
  <c r="Q1088" i="2" s="1"/>
  <c r="Q2067" i="2" a="1"/>
  <c r="Q2067" i="2" s="1"/>
  <c r="Q806" i="2" a="1"/>
  <c r="Q806" i="2" s="1"/>
  <c r="Q1475" i="2" a="1"/>
  <c r="Q1475" i="2" s="1"/>
  <c r="Q1321" i="2" a="1"/>
  <c r="Q1321" i="2" s="1"/>
  <c r="Q1222" i="2" a="1"/>
  <c r="Q1222" i="2" s="1"/>
  <c r="Q1608" i="2" a="1"/>
  <c r="Q1608" i="2" s="1"/>
  <c r="Q293" i="2" a="1"/>
  <c r="Q293" i="2" s="1"/>
  <c r="Q1865" i="2" a="1"/>
  <c r="Q1865" i="2" s="1"/>
  <c r="Q1109" i="2" a="1"/>
  <c r="Q1109" i="2" s="1"/>
  <c r="Q1089" i="2" a="1"/>
  <c r="Q1089" i="2" s="1"/>
  <c r="Q1578" i="2" a="1"/>
  <c r="Q1578" i="2" s="1"/>
  <c r="Q1194" i="2" a="1"/>
  <c r="Q1194" i="2" s="1"/>
  <c r="Q1218" i="2" a="1"/>
  <c r="Q1218" i="2" s="1"/>
  <c r="Q2033" i="2" a="1"/>
  <c r="Q2033" i="2" s="1"/>
  <c r="Q1900" i="2" a="1"/>
  <c r="Q1900" i="2" s="1"/>
  <c r="Q1195" i="2" a="1"/>
  <c r="Q1195" i="2" s="1"/>
  <c r="Q1505" i="2" a="1"/>
  <c r="Q1505" i="2" s="1"/>
  <c r="Q1619" i="2" a="1"/>
  <c r="Q1619" i="2" s="1"/>
  <c r="Q1999" i="2" a="1"/>
  <c r="Q1999" i="2" s="1"/>
  <c r="Q1476" i="2" a="1"/>
  <c r="Q1476" i="2" s="1"/>
  <c r="Q2068" i="2" a="1"/>
  <c r="Q2068" i="2" s="1"/>
  <c r="Q1294" i="2" a="1"/>
  <c r="Q1294" i="2" s="1"/>
  <c r="Q1119" i="2" a="1"/>
  <c r="Q1119" i="2" s="1"/>
  <c r="Q1682" i="2" a="1"/>
  <c r="Q1682" i="2" s="1"/>
  <c r="Q920" i="2" a="1"/>
  <c r="Q920" i="2" s="1"/>
  <c r="Q1477" i="2" a="1"/>
  <c r="Q1477" i="2" s="1"/>
  <c r="Q1510" i="2" a="1"/>
  <c r="Q1510" i="2" s="1"/>
  <c r="Q1273" i="2" a="1"/>
  <c r="Q1273" i="2" s="1"/>
  <c r="Q294" i="2" a="1"/>
  <c r="Q294" i="2" s="1"/>
  <c r="Q550" i="2" a="1"/>
  <c r="Q550" i="2" s="1"/>
  <c r="Q262" i="2" a="1"/>
  <c r="Q262" i="2" s="1"/>
  <c r="Q1110" i="2" a="1"/>
  <c r="Q1110" i="2" s="1"/>
  <c r="Q1633" i="2" a="1"/>
  <c r="Q1633" i="2" s="1"/>
  <c r="Q295" i="2" a="1"/>
  <c r="Q295" i="2" s="1"/>
  <c r="Q1511" i="2" a="1"/>
  <c r="Q1511" i="2" s="1"/>
  <c r="Q1330" i="2" a="1"/>
  <c r="Q1330" i="2" s="1"/>
  <c r="Q159" i="2" a="1"/>
  <c r="Q159" i="2" s="1"/>
  <c r="Q1206" i="2" a="1"/>
  <c r="Q1206" i="2" s="1"/>
  <c r="Q1478" i="2" a="1"/>
  <c r="Q1478" i="2" s="1"/>
  <c r="Q1479" i="2" a="1"/>
  <c r="Q1479" i="2" s="1"/>
  <c r="Q1090" i="2" a="1"/>
  <c r="Q1090" i="2" s="1"/>
  <c r="Q1234" i="2" a="1"/>
  <c r="Q1234" i="2" s="1"/>
  <c r="Q296" i="2" a="1"/>
  <c r="Q296" i="2" s="1"/>
  <c r="Q1480" i="2" a="1"/>
  <c r="Q1480" i="2" s="1"/>
  <c r="Q1671" i="2" a="1"/>
  <c r="Q1671" i="2" s="1"/>
  <c r="Q1831" i="2" a="1"/>
  <c r="Q1831" i="2" s="1"/>
  <c r="Q1683" i="2" a="1"/>
  <c r="Q1683" i="2" s="1"/>
  <c r="Q1873" i="2" a="1"/>
  <c r="Q1873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043" i="2"/>
  <c r="A2044" i="2"/>
  <c r="A2045" i="2"/>
  <c r="A2046" i="2"/>
  <c r="A2047" i="2"/>
  <c r="A2048" i="2"/>
  <c r="A2049" i="2"/>
  <c r="A2035" i="2"/>
  <c r="A2036" i="2"/>
  <c r="A2037" i="2"/>
  <c r="A2038" i="2"/>
  <c r="A2039" i="2"/>
  <c r="A2040" i="2"/>
  <c r="A2041" i="2"/>
  <c r="A2042" i="2"/>
  <c r="A2034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752" i="2"/>
  <c r="W1799" i="2"/>
  <c r="W1969" i="2"/>
  <c r="W1936" i="2"/>
  <c r="W1944" i="2"/>
  <c r="W1826" i="2"/>
  <c r="W1786" i="2"/>
  <c r="W1902" i="2"/>
  <c r="W1754" i="2"/>
  <c r="W1917" i="2"/>
  <c r="W1908" i="2"/>
  <c r="W1845" i="2"/>
  <c r="W1755" i="2"/>
  <c r="W1756" i="2"/>
  <c r="W1757" i="2"/>
  <c r="W1758" i="2"/>
  <c r="W1759" i="2"/>
  <c r="W1760" i="2"/>
  <c r="W1761" i="2"/>
  <c r="W1762" i="2"/>
  <c r="W1763" i="2"/>
  <c r="W1764" i="2"/>
  <c r="W1765" i="2"/>
  <c r="W1833" i="2"/>
  <c r="W1928" i="2"/>
  <c r="W1910" i="2"/>
  <c r="W1946" i="2"/>
  <c r="W1998" i="2"/>
  <c r="W2001" i="2"/>
  <c r="W1987" i="2"/>
  <c r="W1848" i="2"/>
  <c r="W1766" i="2"/>
  <c r="W1767" i="2"/>
  <c r="W1906" i="2"/>
  <c r="W1882" i="2"/>
  <c r="W1941" i="2"/>
  <c r="W1832" i="2"/>
  <c r="W1985" i="2"/>
  <c r="W1986" i="2"/>
  <c r="W1886" i="2"/>
  <c r="W1768" i="2"/>
  <c r="W1847" i="2"/>
  <c r="W1854" i="2"/>
  <c r="W1905" i="2"/>
  <c r="W1858" i="2"/>
  <c r="W1769" i="2"/>
  <c r="W1835" i="2"/>
  <c r="W1770" i="2"/>
  <c r="W1771" i="2"/>
  <c r="W1772" i="2"/>
  <c r="W1773" i="2"/>
  <c r="W1971" i="2"/>
  <c r="W1955" i="2"/>
  <c r="W1968" i="2"/>
  <c r="W1774" i="2"/>
  <c r="W1775" i="2"/>
  <c r="W1776" i="2"/>
  <c r="W1777" i="2"/>
  <c r="W1834" i="2"/>
  <c r="W1840" i="2"/>
  <c r="W1778" i="2"/>
  <c r="W1779" i="2"/>
  <c r="W1869" i="2"/>
  <c r="W1867" i="2"/>
  <c r="W1780" i="2"/>
  <c r="W1950" i="2"/>
  <c r="W1781" i="2"/>
  <c r="W1782" i="2"/>
  <c r="W1783" i="2"/>
  <c r="W1784" i="2"/>
  <c r="W1785" i="2"/>
  <c r="W1859" i="2"/>
  <c r="W1939" i="2"/>
  <c r="W1947" i="2"/>
  <c r="W1920" i="2"/>
  <c r="W1982" i="2"/>
  <c r="W1787" i="2"/>
  <c r="W1843" i="2"/>
  <c r="W1788" i="2"/>
  <c r="W1789" i="2"/>
  <c r="W1790" i="2"/>
  <c r="W1791" i="2"/>
  <c r="W1792" i="2"/>
  <c r="W1924" i="2"/>
  <c r="W1793" i="2"/>
  <c r="W1794" i="2"/>
  <c r="W1864" i="2"/>
  <c r="W1897" i="2"/>
  <c r="W1850" i="2"/>
  <c r="W1913" i="2"/>
  <c r="W1909" i="2"/>
  <c r="W1990" i="2"/>
  <c r="W1992" i="2"/>
  <c r="W1921" i="2"/>
  <c r="W1880" i="2"/>
  <c r="W1795" i="2"/>
  <c r="W1931" i="2"/>
  <c r="W1796" i="2"/>
  <c r="W1888" i="2"/>
  <c r="W1891" i="2"/>
  <c r="W1979" i="2"/>
  <c r="W1991" i="2"/>
  <c r="W1797" i="2"/>
  <c r="W2002" i="2"/>
  <c r="W1855" i="2"/>
  <c r="W1932" i="2"/>
  <c r="W2003" i="2"/>
  <c r="W1996" i="2"/>
  <c r="W1798" i="2"/>
  <c r="W1881" i="2"/>
  <c r="W1842" i="2"/>
  <c r="W1927" i="2"/>
  <c r="W1800" i="2"/>
  <c r="W1801" i="2"/>
  <c r="W1802" i="2"/>
  <c r="W1837" i="2"/>
  <c r="W1803" i="2"/>
  <c r="W1804" i="2"/>
  <c r="W1907" i="2"/>
  <c r="W1805" i="2"/>
  <c r="W1806" i="2"/>
  <c r="W1807" i="2"/>
  <c r="W1753" i="2"/>
  <c r="W1808" i="2"/>
  <c r="W2004" i="2"/>
  <c r="W1841" i="2"/>
  <c r="W1809" i="2"/>
  <c r="W1810" i="2"/>
  <c r="W1811" i="2"/>
  <c r="W1948" i="2"/>
  <c r="W1812" i="2"/>
  <c r="W1813" i="2"/>
  <c r="W1814" i="2"/>
  <c r="W1815" i="2"/>
  <c r="W1892" i="2"/>
  <c r="W1816" i="2"/>
  <c r="W1894" i="2"/>
  <c r="W1978" i="2"/>
  <c r="W1901" i="2"/>
  <c r="W1942" i="2"/>
  <c r="W1903" i="2"/>
  <c r="W1817" i="2"/>
  <c r="W1818" i="2"/>
  <c r="W1819" i="2"/>
  <c r="W1820" i="2"/>
  <c r="W1821" i="2"/>
  <c r="W1822" i="2"/>
  <c r="W1983" i="2"/>
  <c r="W1823" i="2"/>
  <c r="W1824" i="2"/>
  <c r="W2005" i="2"/>
  <c r="W1825" i="2"/>
  <c r="W1993" i="2"/>
  <c r="W1827" i="2"/>
  <c r="W1967" i="2"/>
  <c r="W1828" i="2"/>
  <c r="W1868" i="2"/>
  <c r="W1829" i="2"/>
  <c r="W1830" i="2"/>
  <c r="W1865" i="2"/>
  <c r="W1900" i="2"/>
  <c r="W1999" i="2"/>
  <c r="W1831" i="2"/>
  <c r="W1873" i="2"/>
  <c r="O6" i="4" l="1" a="1"/>
  <c r="O6" i="4" s="1"/>
  <c r="A533" i="2"/>
  <c r="A532" i="2"/>
  <c r="A531" i="2"/>
  <c r="A530" i="2"/>
  <c r="A529" i="2"/>
  <c r="A528" i="2"/>
  <c r="A526" i="2"/>
  <c r="A459" i="2"/>
  <c r="K5" i="4" l="1" a="1"/>
  <c r="A1826" i="2"/>
  <c r="A1615" i="2"/>
  <c r="A1624" i="2"/>
  <c r="A266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536" i="2"/>
  <c r="A170" i="2"/>
  <c r="A1103" i="2"/>
  <c r="A1593" i="2"/>
  <c r="A1119" i="2"/>
  <c r="A803" i="2"/>
  <c r="A1086" i="2"/>
  <c r="A1478" i="2"/>
  <c r="A1449" i="2"/>
  <c r="A1400" i="2"/>
  <c r="A1452" i="2"/>
  <c r="A1425" i="2"/>
  <c r="A1458" i="2"/>
  <c r="A1438" i="2"/>
  <c r="A1447" i="2"/>
  <c r="A1482" i="2"/>
  <c r="A1465" i="2"/>
  <c r="A1446" i="2"/>
  <c r="A759" i="2"/>
  <c r="A1077" i="2"/>
  <c r="A1097" i="2"/>
  <c r="A1567" i="2"/>
  <c r="A1487" i="2"/>
  <c r="A1460" i="2"/>
  <c r="A1475" i="2"/>
  <c r="A1453" i="2"/>
  <c r="A1412" i="2"/>
  <c r="A1384" i="2"/>
  <c r="A1628" i="2"/>
  <c r="A1087" i="2"/>
  <c r="A1376" i="2"/>
  <c r="A1540" i="2"/>
  <c r="A1493" i="2"/>
  <c r="A1574" i="2"/>
  <c r="A1617" i="2"/>
  <c r="A1356" i="2"/>
  <c r="A1399" i="2"/>
  <c r="A1472" i="2"/>
  <c r="A1608" i="2"/>
  <c r="A1464" i="2"/>
  <c r="A1411" i="2"/>
  <c r="A1532" i="2"/>
  <c r="A1358" i="2"/>
  <c r="A1637" i="2"/>
  <c r="A1349" i="2"/>
  <c r="A1410" i="2"/>
  <c r="A1398" i="2"/>
  <c r="A1461" i="2"/>
  <c r="A1380" i="2"/>
  <c r="A1512" i="2"/>
  <c r="A1443" i="2"/>
  <c r="A1444" i="2"/>
  <c r="A1591" i="2"/>
  <c r="A1645" i="2"/>
  <c r="A763" i="2"/>
  <c r="A1426" i="2"/>
  <c r="A1418" i="2"/>
  <c r="A1090" i="2"/>
  <c r="A1433" i="2"/>
  <c r="A1570" i="2"/>
  <c r="A1424" i="2"/>
  <c r="A1457" i="2"/>
  <c r="A1505" i="2"/>
  <c r="A1440" i="2"/>
  <c r="A1560" i="2"/>
  <c r="A1422" i="2"/>
  <c r="A1117" i="2"/>
  <c r="A1633" i="2"/>
  <c r="A1095" i="2"/>
  <c r="A1484" i="2"/>
  <c r="A756" i="2"/>
  <c r="A1419" i="2"/>
  <c r="A1085" i="2"/>
  <c r="A1621" i="2"/>
  <c r="A1377" i="2"/>
  <c r="A1575" i="2"/>
  <c r="A1596" i="2"/>
  <c r="A1587" i="2"/>
  <c r="A1462" i="2"/>
  <c r="A1649" i="2"/>
  <c r="A1344" i="2"/>
  <c r="A1620" i="2"/>
  <c r="A1650" i="2"/>
  <c r="A1534" i="2"/>
  <c r="A1428" i="2"/>
  <c r="A1680" i="2"/>
  <c r="A1359" i="2"/>
  <c r="A1521" i="2"/>
  <c r="A762" i="2"/>
  <c r="A1089" i="2"/>
  <c r="A1123" i="2"/>
  <c r="A1517" i="2"/>
  <c r="A1556" i="2"/>
  <c r="A1566" i="2"/>
  <c r="A1554" i="2"/>
  <c r="A1541" i="2"/>
  <c r="A1563" i="2"/>
  <c r="A1550" i="2"/>
  <c r="A1586" i="2"/>
  <c r="A1509" i="2"/>
  <c r="A1558" i="2"/>
  <c r="A1416" i="2"/>
  <c r="A1078" i="2"/>
  <c r="A1116" i="2"/>
  <c r="A1601" i="2"/>
  <c r="A1439" i="2"/>
  <c r="A1523" i="2"/>
  <c r="A1083" i="2"/>
  <c r="A757" i="2"/>
  <c r="A1079" i="2"/>
  <c r="A1373" i="2"/>
  <c r="A1129" i="2"/>
  <c r="A1110" i="2"/>
  <c r="A1561" i="2"/>
  <c r="A1385" i="2"/>
  <c r="A1576" i="2"/>
  <c r="A1502" i="2"/>
  <c r="A1343" i="2"/>
  <c r="A1511" i="2"/>
  <c r="A1093" i="2"/>
  <c r="A1676" i="2"/>
  <c r="A1352" i="2"/>
  <c r="A1450" i="2"/>
  <c r="A1535" i="2"/>
  <c r="A1627" i="2"/>
  <c r="A1553" i="2"/>
  <c r="A158" i="2"/>
  <c r="A1442" i="2"/>
  <c r="A1466" i="2"/>
  <c r="A1125" i="2"/>
  <c r="A1631" i="2"/>
  <c r="A758" i="2"/>
  <c r="A1368" i="2"/>
  <c r="A1388" i="2"/>
  <c r="A1602" i="2"/>
  <c r="A1599" i="2"/>
  <c r="A1579" i="2"/>
  <c r="A1614" i="2"/>
  <c r="A1092" i="2"/>
  <c r="A1451" i="2"/>
  <c r="A151" i="2"/>
  <c r="A1100" i="2"/>
  <c r="A1342" i="2"/>
  <c r="A1401" i="2"/>
  <c r="A1348" i="2"/>
  <c r="A1510" i="2"/>
  <c r="A1091" i="2"/>
  <c r="A1393" i="2"/>
  <c r="A1371" i="2"/>
  <c r="A1096" i="2"/>
  <c r="A214" i="2"/>
  <c r="A1549" i="2"/>
  <c r="A1098" i="2"/>
  <c r="A1387" i="2"/>
  <c r="A1101" i="2"/>
  <c r="A1346" i="2"/>
  <c r="A546" i="2"/>
  <c r="A1121" i="2"/>
  <c r="A1374" i="2"/>
  <c r="A1341" i="2"/>
  <c r="A1407" i="2"/>
  <c r="A1609" i="2"/>
  <c r="A1606" i="2"/>
  <c r="A1539" i="2"/>
  <c r="A1404" i="2"/>
  <c r="A1480" i="2"/>
  <c r="A1499" i="2"/>
  <c r="A1408" i="2"/>
  <c r="A1673" i="2"/>
  <c r="A1355" i="2"/>
  <c r="A1643" i="2"/>
  <c r="A1405" i="2"/>
  <c r="A1542" i="2"/>
  <c r="A1525" i="2"/>
  <c r="A1409" i="2"/>
  <c r="A1350" i="2"/>
  <c r="A1468" i="2"/>
  <c r="A1429" i="2"/>
  <c r="A1391" i="2"/>
  <c r="A1127" i="2"/>
  <c r="A1080" i="2"/>
  <c r="A1431" i="2"/>
  <c r="A1354" i="2"/>
  <c r="A1589" i="2"/>
  <c r="A1435" i="2"/>
  <c r="A1548" i="2"/>
  <c r="A1363" i="2"/>
  <c r="A549" i="2"/>
  <c r="A1520" i="2"/>
  <c r="A1423" i="2"/>
  <c r="A1522" i="2"/>
  <c r="A1552" i="2"/>
  <c r="A1508" i="2"/>
  <c r="A1441" i="2"/>
  <c r="A1678" i="2"/>
  <c r="A1578" i="2"/>
  <c r="A1537" i="2"/>
  <c r="A1557" i="2"/>
  <c r="A1675" i="2"/>
  <c r="A1360" i="2"/>
  <c r="A1347" i="2"/>
  <c r="A1501" i="2"/>
  <c r="A1605" i="2"/>
  <c r="A1415" i="2"/>
  <c r="A1526" i="2"/>
  <c r="A1504" i="2"/>
  <c r="A1473" i="2"/>
  <c r="A1364" i="2"/>
  <c r="A1366" i="2"/>
  <c r="A1619" i="2"/>
  <c r="A1430" i="2"/>
  <c r="A1397" i="2"/>
  <c r="A1677" i="2"/>
  <c r="A1544" i="2"/>
  <c r="A1365" i="2"/>
  <c r="A1514" i="2"/>
  <c r="A1459" i="2"/>
  <c r="A1506" i="2"/>
  <c r="A1109" i="2"/>
  <c r="A1629" i="2"/>
  <c r="A1421" i="2"/>
  <c r="A1613" i="2"/>
  <c r="A1474" i="2"/>
  <c r="A150" i="2"/>
  <c r="A1469" i="2"/>
  <c r="A1383" i="2"/>
  <c r="A1372" i="2"/>
  <c r="A760" i="2"/>
  <c r="A1471" i="2"/>
  <c r="A1636" i="2"/>
  <c r="A1112" i="2"/>
  <c r="A1682" i="2"/>
  <c r="A1413" i="2"/>
  <c r="A1652" i="2"/>
  <c r="A755" i="2"/>
  <c r="A1683" i="2"/>
  <c r="A1618" i="2"/>
  <c r="A761" i="2"/>
  <c r="A1491" i="2"/>
  <c r="A1518" i="2"/>
  <c r="A1485" i="2"/>
  <c r="A1672" i="2"/>
  <c r="A1638" i="2"/>
  <c r="A1402" i="2"/>
  <c r="A1088" i="2"/>
  <c r="A1120" i="2"/>
  <c r="A1084" i="2"/>
  <c r="A1635" i="2"/>
  <c r="A1529" i="2"/>
  <c r="A215" i="2"/>
  <c r="A146" i="2"/>
  <c r="A1653" i="2"/>
  <c r="A1392" i="2"/>
  <c r="A1115" i="2"/>
  <c r="A1496" i="2"/>
  <c r="A1528" i="2"/>
  <c r="A1577" i="2"/>
  <c r="A1640" i="2"/>
  <c r="A1572" i="2"/>
  <c r="A1500" i="2"/>
  <c r="A1396" i="2"/>
  <c r="A1367" i="2"/>
  <c r="A1362" i="2"/>
  <c r="A140" i="2"/>
  <c r="A1580" i="2"/>
  <c r="A1124" i="2"/>
  <c r="A1420" i="2"/>
  <c r="A1455" i="2"/>
  <c r="A1607" i="2"/>
  <c r="A1569" i="2"/>
  <c r="A1681" i="2"/>
  <c r="A1434" i="2"/>
  <c r="A1436" i="2"/>
  <c r="A1647" i="2"/>
  <c r="A1564" i="2"/>
  <c r="A1533" i="2"/>
  <c r="A1370" i="2"/>
  <c r="A1611" i="2"/>
  <c r="A1463" i="2"/>
  <c r="A1590" i="2"/>
  <c r="A1477" i="2"/>
  <c r="A1395" i="2"/>
  <c r="A1625" i="2"/>
  <c r="A1538" i="2"/>
  <c r="A1437" i="2"/>
  <c r="A1503" i="2"/>
  <c r="A1530" i="2"/>
  <c r="A1114" i="2"/>
  <c r="A1345" i="2"/>
  <c r="A1104" i="2"/>
  <c r="A1390" i="2"/>
  <c r="A1353" i="2"/>
  <c r="A1357" i="2"/>
  <c r="A1595" i="2"/>
  <c r="A1603" i="2"/>
  <c r="A1630" i="2"/>
  <c r="A1118" i="2"/>
  <c r="A1456" i="2"/>
  <c r="A1081" i="2"/>
  <c r="A1513" i="2"/>
  <c r="A1378" i="2"/>
  <c r="A1612" i="2"/>
  <c r="A1679" i="2"/>
  <c r="A1604" i="2"/>
  <c r="A1417" i="2"/>
  <c r="A1492" i="2"/>
  <c r="A1488" i="2"/>
  <c r="A1527" i="2"/>
  <c r="A1600" i="2"/>
  <c r="A1082" i="2"/>
  <c r="A1122" i="2"/>
  <c r="A1562" i="2"/>
  <c r="A1497" i="2"/>
  <c r="A1445" i="2"/>
  <c r="A1585" i="2"/>
  <c r="A1495" i="2"/>
  <c r="A1369" i="2"/>
  <c r="A1414" i="2"/>
  <c r="A1476" i="2"/>
  <c r="A1555" i="2"/>
  <c r="A1622" i="2"/>
  <c r="A1642" i="2"/>
  <c r="A1454" i="2"/>
  <c r="A1448" i="2"/>
  <c r="A1432" i="2"/>
  <c r="A1479" i="2"/>
  <c r="A1403" i="2"/>
  <c r="A1581" i="2"/>
  <c r="A1573" i="2"/>
  <c r="A1494" i="2"/>
  <c r="A141" i="2"/>
  <c r="A1610" i="2"/>
  <c r="A1674" i="2"/>
  <c r="A1516" i="2"/>
  <c r="A1597" i="2"/>
  <c r="A144" i="2"/>
  <c r="A1381" i="2"/>
  <c r="A1498" i="2"/>
  <c r="A1641" i="2"/>
  <c r="A147" i="2"/>
  <c r="A1470" i="2"/>
  <c r="A1375" i="2"/>
  <c r="A1598" i="2"/>
  <c r="A1753" i="2"/>
  <c r="A1519" i="2"/>
  <c r="A152" i="2"/>
  <c r="A1616" i="2"/>
  <c r="A1543" i="2"/>
  <c r="A1594" i="2"/>
  <c r="A1361" i="2"/>
  <c r="A1592" i="2"/>
  <c r="A142" i="2"/>
  <c r="A1507" i="2"/>
  <c r="A1486" i="2"/>
  <c r="A1545" i="2"/>
  <c r="A1113" i="2"/>
  <c r="A1547" i="2"/>
  <c r="A139" i="2"/>
  <c r="A145" i="2"/>
  <c r="A1128" i="2"/>
  <c r="A148" i="2"/>
  <c r="A1394" i="2"/>
  <c r="A1427" i="2"/>
  <c r="A143" i="2"/>
  <c r="A1531" i="2"/>
  <c r="A1126" i="2"/>
  <c r="A1565" i="2"/>
  <c r="A1588" i="2"/>
  <c r="A1386" i="2"/>
  <c r="A1111" i="2"/>
  <c r="A1406" i="2"/>
  <c r="A1559" i="2"/>
  <c r="A1524" i="2"/>
  <c r="A14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208" i="2"/>
  <c r="A541" i="2"/>
  <c r="A539" i="2"/>
  <c r="A542" i="2"/>
  <c r="A548" i="2"/>
  <c r="A544" i="2"/>
  <c r="A547" i="2"/>
  <c r="A550" i="2"/>
  <c r="A545" i="2"/>
  <c r="A540" i="2"/>
  <c r="A943" i="2"/>
  <c r="A934" i="2"/>
  <c r="A932" i="2"/>
  <c r="A942" i="2"/>
  <c r="A543" i="2"/>
  <c r="A327" i="2"/>
  <c r="A328" i="2"/>
  <c r="A329" i="2"/>
  <c r="A330" i="2"/>
  <c r="A331" i="2"/>
  <c r="A332" i="2"/>
  <c r="A333" i="2"/>
  <c r="A334" i="2"/>
  <c r="A335" i="2"/>
  <c r="A336" i="2"/>
  <c r="A337" i="2"/>
  <c r="A421" i="2"/>
  <c r="A422" i="2"/>
  <c r="A423" i="2"/>
  <c r="A424" i="2"/>
  <c r="A425" i="2"/>
  <c r="A426" i="2"/>
  <c r="A428" i="2"/>
  <c r="A1014" i="2"/>
  <c r="A2061" i="2"/>
  <c r="A2059" i="2"/>
  <c r="A2057" i="2"/>
  <c r="A2051" i="2"/>
  <c r="C5" i="16"/>
  <c r="A243" i="2"/>
  <c r="A1489" i="2"/>
  <c r="A1515" i="2"/>
  <c r="A1623" i="2"/>
  <c r="A1551" i="2"/>
  <c r="A1351" i="2"/>
  <c r="A1483" i="2"/>
  <c r="A1582" i="2"/>
  <c r="A1379" i="2"/>
  <c r="A1546" i="2"/>
  <c r="A1571" i="2"/>
  <c r="A1382" i="2"/>
  <c r="A1634" i="2"/>
  <c r="A1389" i="2"/>
  <c r="A1632" i="2"/>
  <c r="A1639" i="2"/>
  <c r="A1626" i="2"/>
  <c r="A1490" i="2"/>
  <c r="A1467" i="2"/>
  <c r="A2060" i="2"/>
  <c r="A165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924" i="2"/>
  <c r="A925" i="2"/>
  <c r="A926" i="2"/>
  <c r="A928" i="2"/>
  <c r="A929" i="2"/>
  <c r="A930" i="2"/>
  <c r="A1028" i="2"/>
  <c r="A1029" i="2"/>
  <c r="A1030" i="2"/>
  <c r="A1031" i="2"/>
  <c r="A1032" i="2"/>
  <c r="A1033" i="2"/>
  <c r="A1034" i="2"/>
  <c r="A1035" i="2"/>
  <c r="A1036" i="2"/>
  <c r="A1037" i="2"/>
  <c r="A1038" i="2"/>
  <c r="A945" i="2"/>
  <c r="A946" i="2"/>
  <c r="A947" i="2"/>
  <c r="A948" i="2"/>
  <c r="A949" i="2"/>
  <c r="A950" i="2"/>
  <c r="A952" i="2"/>
  <c r="A953" i="2"/>
  <c r="A955" i="2"/>
  <c r="A936" i="2"/>
  <c r="A937" i="2"/>
  <c r="A938" i="2"/>
  <c r="A939" i="2"/>
  <c r="A940" i="2"/>
  <c r="A941" i="2"/>
  <c r="A944" i="2"/>
  <c r="A1066" i="2"/>
  <c r="A1068" i="2"/>
  <c r="A1070" i="2"/>
  <c r="A1071" i="2"/>
  <c r="A1072" i="2"/>
  <c r="A1074" i="2"/>
  <c r="A1076" i="2"/>
  <c r="A1039" i="2"/>
  <c r="A1040" i="2"/>
  <c r="A1041" i="2"/>
  <c r="A1042" i="2"/>
  <c r="A1043" i="2"/>
  <c r="A1044" i="2"/>
  <c r="A1045" i="2"/>
  <c r="A1046" i="2"/>
  <c r="A1047" i="2"/>
  <c r="A1049" i="2"/>
  <c r="A1050" i="2"/>
  <c r="A1054" i="2"/>
  <c r="A901" i="2"/>
  <c r="A902" i="2"/>
  <c r="A903" i="2"/>
  <c r="A904" i="2"/>
  <c r="A905" i="2"/>
  <c r="A906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80" i="2"/>
  <c r="A823" i="2"/>
  <c r="A828" i="2"/>
  <c r="A829" i="2"/>
  <c r="A830" i="2"/>
  <c r="A831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908" i="2"/>
  <c r="A909" i="2"/>
  <c r="A910" i="2"/>
  <c r="A911" i="2"/>
  <c r="A912" i="2"/>
  <c r="A913" i="2"/>
  <c r="A914" i="2"/>
  <c r="A916" i="2"/>
  <c r="A917" i="2"/>
  <c r="A918" i="2"/>
  <c r="A890" i="2"/>
  <c r="A891" i="2"/>
  <c r="A893" i="2"/>
  <c r="A894" i="2"/>
  <c r="A895" i="2"/>
  <c r="A896" i="2"/>
  <c r="A897" i="2"/>
  <c r="A898" i="2"/>
  <c r="A899" i="2"/>
  <c r="A900" i="2"/>
  <c r="A1005" i="2"/>
  <c r="A1006" i="2"/>
  <c r="A1007" i="2"/>
  <c r="A1008" i="2"/>
  <c r="A1009" i="2"/>
  <c r="A1010" i="2"/>
  <c r="A1011" i="2"/>
  <c r="A1012" i="2"/>
  <c r="A1013" i="2"/>
  <c r="A1053" i="2"/>
  <c r="A1015" i="2"/>
  <c r="A1016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878" i="2"/>
  <c r="A879" i="2"/>
  <c r="A822" i="2"/>
  <c r="A881" i="2"/>
  <c r="A882" i="2"/>
  <c r="A883" i="2"/>
  <c r="A884" i="2"/>
  <c r="A885" i="2"/>
  <c r="A886" i="2"/>
  <c r="A887" i="2"/>
  <c r="A888" i="2"/>
  <c r="A889" i="2"/>
  <c r="A844" i="2"/>
  <c r="A845" i="2"/>
  <c r="A846" i="2"/>
  <c r="A847" i="2"/>
  <c r="A848" i="2"/>
  <c r="A849" i="2"/>
  <c r="A850" i="2"/>
  <c r="A851" i="2"/>
  <c r="A852" i="2"/>
  <c r="A853" i="2"/>
  <c r="A1017" i="2"/>
  <c r="A1018" i="2"/>
  <c r="A1019" i="2"/>
  <c r="A1020" i="2"/>
  <c r="A1021" i="2"/>
  <c r="A1022" i="2"/>
  <c r="A1023" i="2"/>
  <c r="A1024" i="2"/>
  <c r="A1025" i="2"/>
  <c r="A1026" i="2"/>
  <c r="A1027" i="2"/>
  <c r="A1055" i="2"/>
  <c r="A1056" i="2"/>
  <c r="A1057" i="2"/>
  <c r="A1058" i="2"/>
  <c r="A1059" i="2"/>
  <c r="A1060" i="2"/>
  <c r="A1061" i="2"/>
  <c r="A1062" i="2"/>
  <c r="A1063" i="2"/>
  <c r="A1064" i="2"/>
  <c r="A983" i="2"/>
  <c r="A984" i="2"/>
  <c r="A985" i="2"/>
  <c r="A986" i="2"/>
  <c r="A987" i="2"/>
  <c r="A988" i="2"/>
  <c r="A989" i="2"/>
  <c r="A990" i="2"/>
  <c r="A991" i="2"/>
  <c r="A992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931" i="2"/>
  <c r="A933" i="2"/>
  <c r="A935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007" i="2"/>
  <c r="A2010" i="2"/>
  <c r="A2013" i="2"/>
  <c r="A2019" i="2"/>
  <c r="A2020" i="2"/>
  <c r="A2021" i="2"/>
  <c r="A2022" i="2"/>
  <c r="A2025" i="2"/>
  <c r="A2026" i="2"/>
  <c r="A2027" i="2"/>
  <c r="A2028" i="2"/>
  <c r="A1699" i="2"/>
  <c r="A1700" i="2"/>
  <c r="A1701" i="2"/>
  <c r="A1702" i="2"/>
  <c r="A1703" i="2"/>
  <c r="A1704" i="2"/>
  <c r="A1705" i="2"/>
  <c r="A1706" i="2"/>
  <c r="A1707" i="2"/>
  <c r="A1708" i="2"/>
  <c r="A1709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10" i="2"/>
  <c r="A1711" i="2"/>
  <c r="A1712" i="2"/>
  <c r="A1713" i="2"/>
  <c r="A1714" i="2"/>
  <c r="A1715" i="2"/>
  <c r="A1716" i="2"/>
  <c r="A1717" i="2"/>
  <c r="A1718" i="2"/>
  <c r="A1719" i="2"/>
  <c r="A1720" i="2"/>
  <c r="A525" i="2"/>
  <c r="A464" i="2"/>
  <c r="A521" i="2"/>
  <c r="A445" i="2"/>
  <c r="A474" i="2"/>
  <c r="A520" i="2"/>
  <c r="A468" i="2"/>
  <c r="A448" i="2"/>
  <c r="A517" i="2"/>
  <c r="A511" i="2"/>
  <c r="A519" i="2"/>
  <c r="A447" i="2"/>
  <c r="A478" i="2"/>
  <c r="A537" i="2"/>
  <c r="A503" i="2"/>
  <c r="A467" i="2"/>
  <c r="A453" i="2"/>
  <c r="A515" i="2"/>
  <c r="A456" i="2"/>
  <c r="A506" i="2"/>
  <c r="A463" i="2"/>
  <c r="A534" i="2"/>
  <c r="A516" i="2"/>
  <c r="A527" i="2"/>
  <c r="A452" i="2"/>
  <c r="A454" i="2"/>
  <c r="A523" i="2"/>
  <c r="A535" i="2"/>
  <c r="A472" i="2"/>
  <c r="A486" i="2"/>
  <c r="A538" i="2"/>
  <c r="A458" i="2"/>
  <c r="A514" i="2"/>
  <c r="A470" i="2"/>
  <c r="A536" i="2"/>
  <c r="A524" i="2"/>
  <c r="A502" i="2"/>
  <c r="A457" i="2"/>
  <c r="A484" i="2"/>
  <c r="A508" i="2"/>
  <c r="A450" i="2"/>
  <c r="A461" i="2"/>
  <c r="A460" i="2"/>
  <c r="A510" i="2"/>
  <c r="A481" i="2"/>
  <c r="A513" i="2"/>
  <c r="A446" i="2"/>
  <c r="A444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473" i="2"/>
  <c r="A449" i="2"/>
  <c r="A451" i="2"/>
  <c r="A509" i="2"/>
  <c r="A469" i="2"/>
  <c r="A480" i="2"/>
  <c r="A476" i="2"/>
  <c r="A485" i="2"/>
  <c r="A512" i="2"/>
  <c r="A479" i="2"/>
  <c r="A471" i="2"/>
  <c r="A505" i="2"/>
  <c r="A522" i="2"/>
  <c r="A483" i="2"/>
  <c r="A462" i="2"/>
  <c r="A475" i="2"/>
  <c r="A482" i="2"/>
  <c r="A477" i="2"/>
  <c r="A504" i="2"/>
  <c r="A455" i="2"/>
  <c r="A518" i="2"/>
  <c r="A316" i="2"/>
  <c r="A318" i="2"/>
  <c r="A319" i="2"/>
  <c r="A321" i="2"/>
  <c r="A322" i="2"/>
  <c r="A427" i="2"/>
  <c r="A323" i="2"/>
  <c r="A325" i="2"/>
  <c r="A360" i="2"/>
  <c r="A361" i="2"/>
  <c r="A363" i="2"/>
  <c r="A366" i="2"/>
  <c r="A367" i="2"/>
  <c r="A368" i="2"/>
  <c r="A369" i="2"/>
  <c r="A373" i="2"/>
  <c r="A375" i="2"/>
  <c r="A376" i="2"/>
  <c r="A377" i="2"/>
  <c r="A378" i="2"/>
  <c r="A379" i="2"/>
  <c r="A380" i="2"/>
  <c r="A429" i="2"/>
  <c r="A430" i="2"/>
  <c r="A431" i="2"/>
  <c r="A432" i="2"/>
  <c r="A433" i="2"/>
  <c r="A434" i="2"/>
  <c r="A437" i="2"/>
  <c r="A388" i="2"/>
  <c r="A389" i="2"/>
  <c r="A390" i="2"/>
  <c r="A391" i="2"/>
  <c r="A392" i="2"/>
  <c r="A393" i="2"/>
  <c r="A394" i="2"/>
  <c r="A395" i="2"/>
  <c r="A396" i="2"/>
  <c r="A397" i="2"/>
  <c r="A381" i="2"/>
  <c r="A382" i="2"/>
  <c r="A383" i="2"/>
  <c r="A384" i="2"/>
  <c r="A385" i="2"/>
  <c r="A386" i="2"/>
  <c r="A38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4" i="2"/>
  <c r="A356" i="2"/>
  <c r="A357" i="2"/>
  <c r="A358" i="2"/>
  <c r="A420" i="2"/>
  <c r="A439" i="2"/>
  <c r="A326" i="2"/>
  <c r="A1793" i="2"/>
  <c r="A1154" i="2"/>
  <c r="A295" i="2"/>
  <c r="A168" i="2"/>
  <c r="A167" i="2"/>
  <c r="A258" i="2"/>
  <c r="A289" i="2"/>
  <c r="A296" i="2"/>
  <c r="A1161" i="2"/>
  <c r="A1162" i="2"/>
  <c r="A280" i="2"/>
  <c r="A281" i="2"/>
  <c r="A283" i="2"/>
  <c r="A1187" i="2"/>
  <c r="A1286" i="2"/>
  <c r="A232" i="2"/>
  <c r="A1671" i="2"/>
  <c r="A262" i="2"/>
  <c r="A271" i="2"/>
  <c r="A260" i="2"/>
  <c r="A169" i="2"/>
  <c r="A294" i="2"/>
  <c r="A309" i="2"/>
  <c r="A753" i="2"/>
  <c r="A1321" i="2"/>
  <c r="A1297" i="2"/>
  <c r="A1223" i="2"/>
  <c r="A443" i="2"/>
  <c r="A308" i="2"/>
  <c r="A805" i="2"/>
  <c r="A1107" i="2"/>
  <c r="A1247" i="2"/>
  <c r="A1279" i="2"/>
  <c r="A793" i="2"/>
  <c r="A1659" i="2"/>
  <c r="A228" i="2"/>
  <c r="A1255" i="2"/>
  <c r="A307" i="2"/>
  <c r="A306" i="2"/>
  <c r="A1339" i="2"/>
  <c r="A305" i="2"/>
  <c r="A804" i="2"/>
  <c r="A1188" i="2"/>
  <c r="A1241" i="2"/>
  <c r="A1239" i="2"/>
  <c r="A1198" i="2"/>
  <c r="A788" i="2"/>
  <c r="A257" i="2"/>
  <c r="A1105" i="2"/>
  <c r="A303" i="2"/>
  <c r="A435" i="2"/>
  <c r="A1147" i="2"/>
  <c r="A1669" i="2"/>
  <c r="A1658" i="2"/>
  <c r="A892" i="2"/>
  <c r="A314" i="2"/>
  <c r="A1338" i="2"/>
  <c r="A1290" i="2"/>
  <c r="A1230" i="2"/>
  <c r="A802" i="2"/>
  <c r="A1264" i="2"/>
  <c r="A783" i="2"/>
  <c r="A157" i="2"/>
  <c r="A1234" i="2"/>
  <c r="A1145" i="2"/>
  <c r="A313" i="2"/>
  <c r="A312" i="2"/>
  <c r="A155" i="2"/>
  <c r="A1278" i="2"/>
  <c r="A1270" i="2"/>
  <c r="A254" i="2"/>
  <c r="A1944" i="2"/>
  <c r="A1665" i="2"/>
  <c r="A1296" i="2"/>
  <c r="A1337" i="2"/>
  <c r="A782" i="2"/>
  <c r="A252" i="2"/>
  <c r="A1170" i="2"/>
  <c r="A164" i="2"/>
  <c r="A1197" i="2"/>
  <c r="A1212" i="2"/>
  <c r="A780" i="2"/>
  <c r="A1664" i="2"/>
  <c r="A1316" i="2"/>
  <c r="A2063" i="2"/>
  <c r="A251" i="2"/>
  <c r="A1320" i="2"/>
  <c r="A250" i="2"/>
  <c r="A282" i="2"/>
  <c r="A372" i="2"/>
  <c r="A1315" i="2"/>
  <c r="A1266" i="2"/>
  <c r="A248" i="2"/>
  <c r="A1142" i="2"/>
  <c r="A249" i="2"/>
  <c r="A1306" i="2"/>
  <c r="A1143" i="2"/>
  <c r="A1333" i="2"/>
  <c r="A799" i="2"/>
  <c r="A1269" i="2"/>
  <c r="A800" i="2"/>
  <c r="A246" i="2"/>
  <c r="A1314" i="2"/>
  <c r="A798" i="2"/>
  <c r="A1256" i="2"/>
  <c r="A311" i="2"/>
  <c r="A265" i="2"/>
  <c r="A1240" i="2"/>
  <c r="A1160" i="2"/>
  <c r="A777" i="2"/>
  <c r="A244" i="2"/>
  <c r="A1275" i="2"/>
  <c r="A775" i="2"/>
  <c r="A1158" i="2"/>
  <c r="A1268" i="2"/>
  <c r="A162" i="2"/>
  <c r="A154" i="2"/>
  <c r="A277" i="2"/>
  <c r="A1656" i="2"/>
  <c r="A774" i="2"/>
  <c r="A1157" i="2"/>
  <c r="A418" i="2"/>
  <c r="A263" i="2"/>
  <c r="A772" i="2"/>
  <c r="A359" i="2"/>
  <c r="A440" i="2"/>
  <c r="A1340" i="2"/>
  <c r="A241" i="2"/>
  <c r="A161" i="2"/>
  <c r="A275" i="2"/>
  <c r="A1140" i="2"/>
  <c r="A300" i="2"/>
  <c r="A1662" i="2"/>
  <c r="A1139" i="2"/>
  <c r="A1289" i="2"/>
  <c r="A1216" i="2"/>
  <c r="A240" i="2"/>
  <c r="A238" i="2"/>
  <c r="A1252" i="2"/>
  <c r="A272" i="2"/>
  <c r="A2054" i="2"/>
  <c r="A769" i="2"/>
  <c r="A1236" i="2"/>
  <c r="A1663" i="2"/>
  <c r="A1138" i="2"/>
  <c r="A1319" i="2"/>
  <c r="A160" i="2"/>
  <c r="A310" i="2"/>
  <c r="A1295" i="2"/>
  <c r="A1660" i="2"/>
  <c r="A234" i="2"/>
  <c r="A153" i="2"/>
  <c r="A237" i="2"/>
  <c r="A233" i="2"/>
  <c r="A1288" i="2"/>
  <c r="A1237" i="2"/>
  <c r="A1094" i="2"/>
  <c r="A748" i="2"/>
  <c r="A1238" i="2"/>
  <c r="A231" i="2"/>
  <c r="A768" i="2"/>
  <c r="A1661" i="2"/>
  <c r="A1134" i="2"/>
  <c r="A1201" i="2"/>
  <c r="A1215" i="2"/>
  <c r="A362" i="2"/>
  <c r="A1131" i="2"/>
  <c r="A1267" i="2"/>
  <c r="A1132" i="2"/>
  <c r="A1654" i="2"/>
  <c r="A1199" i="2"/>
  <c r="A1655" i="2"/>
  <c r="A438" i="2"/>
  <c r="A1276" i="2"/>
  <c r="A3" i="29" l="1" a="1"/>
  <c r="K5" i="4"/>
  <c r="Q6" i="4" a="1"/>
  <c r="Q6" i="4" s="1"/>
  <c r="Q8" i="4" s="1"/>
  <c r="Q1976" i="2" l="1" a="1"/>
  <c r="Q1976" i="2" s="1"/>
  <c r="P1874" i="2" a="1"/>
  <c r="P1874" i="2" s="1"/>
  <c r="R1874" i="2" s="1"/>
  <c r="V1874" i="2" s="1"/>
  <c r="W1874" i="2" s="1"/>
  <c r="P1839" i="2" a="1"/>
  <c r="P1839" i="2" s="1"/>
  <c r="R1839" i="2" s="1"/>
  <c r="V1839" i="2" s="1"/>
  <c r="W1839" i="2" s="1"/>
  <c r="P1937" i="2" a="1"/>
  <c r="P1937" i="2" s="1"/>
  <c r="R1937" i="2" s="1"/>
  <c r="V1937" i="2" s="1"/>
  <c r="W1937" i="2" s="1"/>
  <c r="Q1937" i="2" a="1"/>
  <c r="Q1937" i="2" s="1"/>
  <c r="P1935" i="2" a="1"/>
  <c r="P1935" i="2" s="1"/>
  <c r="R1935" i="2" s="1"/>
  <c r="V1935" i="2" s="1"/>
  <c r="W1935" i="2" s="1"/>
  <c r="Q1935" i="2" a="1"/>
  <c r="Q1935" i="2" s="1"/>
  <c r="A3" i="29"/>
  <c r="P678" i="2" s="1" a="1"/>
  <c r="P678" i="2" s="1"/>
  <c r="R678" i="2" s="1"/>
  <c r="V678" i="2" s="1"/>
  <c r="W678" i="2" s="1"/>
  <c r="N5" i="4" a="1"/>
  <c r="N5" i="4" s="1"/>
  <c r="Q7" i="4"/>
  <c r="O4" i="4"/>
  <c r="Q1960" i="2" l="1" a="1"/>
  <c r="Q1960" i="2" s="1"/>
  <c r="P1960" i="2" a="1"/>
  <c r="P1960" i="2" s="1"/>
  <c r="R1960" i="2" s="1"/>
  <c r="V1960" i="2" s="1"/>
  <c r="W1960" i="2" s="1"/>
  <c r="Q1866" i="2" a="1"/>
  <c r="Q1866" i="2" s="1"/>
  <c r="P1866" i="2" a="1"/>
  <c r="P1866" i="2" s="1"/>
  <c r="R1866" i="2" s="1"/>
  <c r="V1866" i="2" s="1"/>
  <c r="W1866" i="2" s="1"/>
  <c r="Q1871" i="2" a="1"/>
  <c r="Q1871" i="2" s="1"/>
  <c r="P1871" i="2" a="1"/>
  <c r="P1871" i="2" s="1"/>
  <c r="R1871" i="2" s="1"/>
  <c r="V1871" i="2" s="1"/>
  <c r="W1871" i="2" s="1"/>
  <c r="Q1870" i="2" a="1"/>
  <c r="Q1870" i="2" s="1"/>
  <c r="P1870" i="2" a="1"/>
  <c r="P1870" i="2" s="1"/>
  <c r="R1870" i="2" s="1"/>
  <c r="V1870" i="2" s="1"/>
  <c r="W1870" i="2" s="1"/>
  <c r="Q1872" i="2" a="1"/>
  <c r="Q1872" i="2" s="1"/>
  <c r="P1872" i="2" a="1"/>
  <c r="P1872" i="2" s="1"/>
  <c r="R1872" i="2" s="1"/>
  <c r="V1872" i="2" s="1"/>
  <c r="W1872" i="2" s="1"/>
  <c r="P1863" i="2" a="1"/>
  <c r="P1863" i="2" s="1"/>
  <c r="R1863" i="2" s="1"/>
  <c r="V1863" i="2" s="1"/>
  <c r="W1863" i="2" s="1"/>
  <c r="Q1862" i="2" a="1"/>
  <c r="Q1862" i="2" s="1"/>
  <c r="P1862" i="2" a="1"/>
  <c r="P1862" i="2" s="1"/>
  <c r="R1862" i="2" s="1"/>
  <c r="V1862" i="2" s="1"/>
  <c r="W1862" i="2" s="1"/>
  <c r="Q1863" i="2" a="1"/>
  <c r="Q1863" i="2" s="1"/>
  <c r="Q1899" i="2" a="1"/>
  <c r="Q1899" i="2" s="1"/>
  <c r="P1899" i="2" a="1"/>
  <c r="P1899" i="2" s="1"/>
  <c r="R1899" i="2" s="1"/>
  <c r="V1899" i="2" s="1"/>
  <c r="W1899" i="2" s="1"/>
  <c r="Q1890" i="2" a="1"/>
  <c r="Q1890" i="2" s="1"/>
  <c r="P1890" i="2" a="1"/>
  <c r="P1890" i="2" s="1"/>
  <c r="R1890" i="2" s="1"/>
  <c r="V1890" i="2" s="1"/>
  <c r="W1890" i="2" s="1"/>
  <c r="Q1893" i="2" a="1"/>
  <c r="Q1893" i="2" s="1"/>
  <c r="P1893" i="2" a="1"/>
  <c r="P1893" i="2" s="1"/>
  <c r="R1893" i="2" s="1"/>
  <c r="V1893" i="2" s="1"/>
  <c r="W1893" i="2" s="1"/>
  <c r="Q1895" i="2" a="1"/>
  <c r="Q1895" i="2" s="1"/>
  <c r="P1895" i="2" a="1"/>
  <c r="P1895" i="2" s="1"/>
  <c r="R1895" i="2" s="1"/>
  <c r="V1895" i="2" s="1"/>
  <c r="W1895" i="2" s="1"/>
  <c r="Q1896" i="2" a="1"/>
  <c r="Q1896" i="2" s="1"/>
  <c r="P1896" i="2" a="1"/>
  <c r="P1896" i="2" s="1"/>
  <c r="R1896" i="2" s="1"/>
  <c r="V1896" i="2" s="1"/>
  <c r="W1896" i="2" s="1"/>
  <c r="Q1898" i="2" a="1"/>
  <c r="Q1898" i="2" s="1"/>
  <c r="P1898" i="2" a="1"/>
  <c r="P1898" i="2" s="1"/>
  <c r="R1898" i="2" s="1"/>
  <c r="V1898" i="2" s="1"/>
  <c r="W1898" i="2" s="1"/>
  <c r="Q1926" i="2" a="1"/>
  <c r="Q1926" i="2" s="1"/>
  <c r="P1926" i="2" a="1"/>
  <c r="P1926" i="2" s="1"/>
  <c r="R1926" i="2" s="1"/>
  <c r="V1926" i="2" s="1"/>
  <c r="W1926" i="2" s="1"/>
  <c r="Q1925" i="2" a="1"/>
  <c r="Q1925" i="2" s="1"/>
  <c r="P1925" i="2" a="1"/>
  <c r="P1925" i="2" s="1"/>
  <c r="R1925" i="2" s="1"/>
  <c r="V1925" i="2" s="1"/>
  <c r="W1925" i="2" s="1"/>
  <c r="Q1933" i="2" a="1"/>
  <c r="Q1933" i="2" s="1"/>
  <c r="P1933" i="2" a="1"/>
  <c r="P1933" i="2" s="1"/>
  <c r="R1933" i="2" s="1"/>
  <c r="V1933" i="2" s="1"/>
  <c r="W1933" i="2" s="1"/>
  <c r="Q1934" i="2" a="1"/>
  <c r="Q1934" i="2" s="1"/>
  <c r="P1934" i="2" a="1"/>
  <c r="P1934" i="2" s="1"/>
  <c r="R1934" i="2" s="1"/>
  <c r="V1934" i="2" s="1"/>
  <c r="W1934" i="2" s="1"/>
  <c r="Q1930" i="2" a="1"/>
  <c r="Q1930" i="2" s="1"/>
  <c r="P1930" i="2" a="1"/>
  <c r="P1930" i="2" s="1"/>
  <c r="R1930" i="2" s="1"/>
  <c r="V1930" i="2" s="1"/>
  <c r="W1930" i="2" s="1"/>
  <c r="Q1929" i="2" a="1"/>
  <c r="Q1929" i="2" s="1"/>
  <c r="P1929" i="2" a="1"/>
  <c r="P1929" i="2" s="1"/>
  <c r="R1929" i="2" s="1"/>
  <c r="V1929" i="2" s="1"/>
  <c r="W1929" i="2" s="1"/>
  <c r="Q1923" i="2" a="1"/>
  <c r="Q1923" i="2" s="1"/>
  <c r="P1923" i="2" a="1"/>
  <c r="P1923" i="2" s="1"/>
  <c r="R1923" i="2" s="1"/>
  <c r="V1923" i="2" s="1"/>
  <c r="W1923" i="2" s="1"/>
  <c r="Q1922" i="2" a="1"/>
  <c r="Q1922" i="2" s="1"/>
  <c r="P1922" i="2" a="1"/>
  <c r="P1922" i="2" s="1"/>
  <c r="R1922" i="2" s="1"/>
  <c r="V1922" i="2" s="1"/>
  <c r="W1922" i="2" s="1"/>
  <c r="Q1919" i="2" a="1"/>
  <c r="Q1919" i="2" s="1"/>
  <c r="P1919" i="2" a="1"/>
  <c r="P1919" i="2" s="1"/>
  <c r="R1919" i="2" s="1"/>
  <c r="V1919" i="2" s="1"/>
  <c r="W1919" i="2" s="1"/>
  <c r="Q1918" i="2" a="1"/>
  <c r="Q1918" i="2" s="1"/>
  <c r="P1918" i="2" a="1"/>
  <c r="P1918" i="2" s="1"/>
  <c r="R1918" i="2" s="1"/>
  <c r="V1918" i="2" s="1"/>
  <c r="W1918" i="2" s="1"/>
  <c r="Q1916" i="2" a="1"/>
  <c r="Q1916" i="2" s="1"/>
  <c r="P1916" i="2" a="1"/>
  <c r="P1916" i="2" s="1"/>
  <c r="R1916" i="2" s="1"/>
  <c r="V1916" i="2" s="1"/>
  <c r="W1916" i="2" s="1"/>
  <c r="Q1915" i="2" a="1"/>
  <c r="Q1915" i="2" s="1"/>
  <c r="P1915" i="2" a="1"/>
  <c r="P1915" i="2" s="1"/>
  <c r="R1915" i="2" s="1"/>
  <c r="V1915" i="2" s="1"/>
  <c r="W1915" i="2" s="1"/>
  <c r="Q1914" i="2" a="1"/>
  <c r="Q1914" i="2" s="1"/>
  <c r="P1914" i="2" a="1"/>
  <c r="P1914" i="2" s="1"/>
  <c r="R1914" i="2" s="1"/>
  <c r="V1914" i="2" s="1"/>
  <c r="W1914" i="2" s="1"/>
  <c r="Q1912" i="2" a="1"/>
  <c r="Q1912" i="2" s="1"/>
  <c r="P1912" i="2" a="1"/>
  <c r="P1912" i="2" s="1"/>
  <c r="R1912" i="2" s="1"/>
  <c r="V1912" i="2" s="1"/>
  <c r="W1912" i="2" s="1"/>
  <c r="Q1911" i="2" a="1"/>
  <c r="Q1911" i="2" s="1"/>
  <c r="P1911" i="2" a="1"/>
  <c r="P1911" i="2" s="1"/>
  <c r="R1911" i="2" s="1"/>
  <c r="V1911" i="2" s="1"/>
  <c r="W1911" i="2" s="1"/>
  <c r="Q1953" i="2" a="1"/>
  <c r="Q1953" i="2" s="1"/>
  <c r="P1953" i="2" a="1"/>
  <c r="P1953" i="2" s="1"/>
  <c r="R1953" i="2" s="1"/>
  <c r="V1953" i="2" s="1"/>
  <c r="W1953" i="2" s="1"/>
  <c r="Q1861" i="2" a="1"/>
  <c r="Q1861" i="2" s="1"/>
  <c r="P1861" i="2" a="1"/>
  <c r="P1861" i="2" s="1"/>
  <c r="R1861" i="2" s="1"/>
  <c r="V1861" i="2" s="1"/>
  <c r="W1861" i="2" s="1"/>
  <c r="Q1860" i="2" a="1"/>
  <c r="Q1860" i="2" s="1"/>
  <c r="P1860" i="2" a="1"/>
  <c r="P1860" i="2" s="1"/>
  <c r="R1860" i="2" s="1"/>
  <c r="V1860" i="2" s="1"/>
  <c r="W1860" i="2" s="1"/>
  <c r="Q1857" i="2" a="1"/>
  <c r="Q1857" i="2" s="1"/>
  <c r="P1857" i="2" a="1"/>
  <c r="P1857" i="2" s="1"/>
  <c r="R1857" i="2" s="1"/>
  <c r="V1857" i="2" s="1"/>
  <c r="W1857" i="2" s="1"/>
  <c r="Q1856" i="2" a="1"/>
  <c r="Q1856" i="2" s="1"/>
  <c r="P1856" i="2" a="1"/>
  <c r="P1856" i="2" s="1"/>
  <c r="R1856" i="2" s="1"/>
  <c r="V1856" i="2" s="1"/>
  <c r="W1856" i="2" s="1"/>
  <c r="Q1853" i="2" a="1"/>
  <c r="Q1853" i="2" s="1"/>
  <c r="P1853" i="2" a="1"/>
  <c r="P1853" i="2" s="1"/>
  <c r="R1853" i="2" s="1"/>
  <c r="V1853" i="2" s="1"/>
  <c r="W1853" i="2" s="1"/>
  <c r="Q1852" i="2" a="1"/>
  <c r="Q1852" i="2" s="1"/>
  <c r="P1852" i="2" a="1"/>
  <c r="P1852" i="2" s="1"/>
  <c r="R1852" i="2" s="1"/>
  <c r="V1852" i="2" s="1"/>
  <c r="W1852" i="2" s="1"/>
  <c r="Q1851" i="2" a="1"/>
  <c r="Q1851" i="2" s="1"/>
  <c r="P1851" i="2" a="1"/>
  <c r="P1851" i="2" s="1"/>
  <c r="R1851" i="2" s="1"/>
  <c r="V1851" i="2" s="1"/>
  <c r="W1851" i="2" s="1"/>
  <c r="Q1849" i="2" a="1"/>
  <c r="Q1849" i="2" s="1"/>
  <c r="P1849" i="2" a="1"/>
  <c r="P1849" i="2" s="1"/>
  <c r="R1849" i="2" s="1"/>
  <c r="V1849" i="2" s="1"/>
  <c r="W1849" i="2" s="1"/>
  <c r="Q1846" i="2" a="1"/>
  <c r="Q1846" i="2" s="1"/>
  <c r="P1846" i="2" a="1"/>
  <c r="P1846" i="2" s="1"/>
  <c r="R1846" i="2" s="1"/>
  <c r="V1846" i="2" s="1"/>
  <c r="W1846" i="2" s="1"/>
  <c r="Q1904" i="2" a="1"/>
  <c r="Q1904" i="2" s="1"/>
  <c r="P1904" i="2" a="1"/>
  <c r="P1904" i="2" s="1"/>
  <c r="R1904" i="2" s="1"/>
  <c r="V1904" i="2" s="1"/>
  <c r="W1904" i="2" s="1"/>
  <c r="Q1997" i="2" a="1"/>
  <c r="Q1997" i="2" s="1"/>
  <c r="P1997" i="2" a="1"/>
  <c r="P1997" i="2" s="1"/>
  <c r="R1997" i="2" s="1"/>
  <c r="V1997" i="2" s="1"/>
  <c r="W1997" i="2" s="1"/>
  <c r="Q1995" i="2" a="1"/>
  <c r="Q1995" i="2" s="1"/>
  <c r="P1995" i="2" a="1"/>
  <c r="P1995" i="2" s="1"/>
  <c r="R1995" i="2" s="1"/>
  <c r="V1995" i="2" s="1"/>
  <c r="W1995" i="2" s="1"/>
  <c r="Q1994" i="2" a="1"/>
  <c r="Q1994" i="2" s="1"/>
  <c r="P1994" i="2" a="1"/>
  <c r="P1994" i="2" s="1"/>
  <c r="R1994" i="2" s="1"/>
  <c r="V1994" i="2" s="1"/>
  <c r="W1994" i="2" s="1"/>
  <c r="Q1989" i="2" a="1"/>
  <c r="Q1989" i="2" s="1"/>
  <c r="P1989" i="2" a="1"/>
  <c r="P1989" i="2" s="1"/>
  <c r="R1989" i="2" s="1"/>
  <c r="V1989" i="2" s="1"/>
  <c r="W1989" i="2" s="1"/>
  <c r="Q1988" i="2" a="1"/>
  <c r="Q1988" i="2" s="1"/>
  <c r="P1988" i="2" a="1"/>
  <c r="P1988" i="2" s="1"/>
  <c r="R1988" i="2" s="1"/>
  <c r="V1988" i="2" s="1"/>
  <c r="W1988" i="2" s="1"/>
  <c r="Q1984" i="2" a="1"/>
  <c r="Q1984" i="2" s="1"/>
  <c r="P1984" i="2" a="1"/>
  <c r="P1984" i="2" s="1"/>
  <c r="R1984" i="2" s="1"/>
  <c r="V1984" i="2" s="1"/>
  <c r="W1984" i="2" s="1"/>
  <c r="Q1981" i="2" a="1"/>
  <c r="Q1981" i="2" s="1"/>
  <c r="P1981" i="2" a="1"/>
  <c r="P1981" i="2" s="1"/>
  <c r="R1981" i="2" s="1"/>
  <c r="V1981" i="2" s="1"/>
  <c r="W1981" i="2" s="1"/>
  <c r="Q1963" i="2" a="1"/>
  <c r="Q1963" i="2" s="1"/>
  <c r="P1963" i="2" a="1"/>
  <c r="P1963" i="2" s="1"/>
  <c r="R1963" i="2" s="1"/>
  <c r="V1963" i="2" s="1"/>
  <c r="W1963" i="2" s="1"/>
  <c r="Q1961" i="2" a="1"/>
  <c r="Q1961" i="2" s="1"/>
  <c r="P1961" i="2" a="1"/>
  <c r="P1961" i="2" s="1"/>
  <c r="R1961" i="2" s="1"/>
  <c r="V1961" i="2" s="1"/>
  <c r="W1961" i="2" s="1"/>
  <c r="Q1962" i="2" a="1"/>
  <c r="Q1962" i="2" s="1"/>
  <c r="P1962" i="2" a="1"/>
  <c r="P1962" i="2" s="1"/>
  <c r="R1962" i="2" s="1"/>
  <c r="V1962" i="2" s="1"/>
  <c r="W1962" i="2" s="1"/>
  <c r="Q1959" i="2" a="1"/>
  <c r="Q1959" i="2" s="1"/>
  <c r="P1959" i="2" a="1"/>
  <c r="P1959" i="2" s="1"/>
  <c r="R1959" i="2" s="1"/>
  <c r="V1959" i="2" s="1"/>
  <c r="W1959" i="2" s="1"/>
  <c r="Q1958" i="2" a="1"/>
  <c r="Q1958" i="2" s="1"/>
  <c r="P1958" i="2" a="1"/>
  <c r="P1958" i="2" s="1"/>
  <c r="R1958" i="2" s="1"/>
  <c r="V1958" i="2" s="1"/>
  <c r="W1958" i="2" s="1"/>
  <c r="Q1957" i="2" a="1"/>
  <c r="Q1957" i="2" s="1"/>
  <c r="P1957" i="2" a="1"/>
  <c r="P1957" i="2" s="1"/>
  <c r="R1957" i="2" s="1"/>
  <c r="V1957" i="2" s="1"/>
  <c r="W1957" i="2" s="1"/>
  <c r="Q1956" i="2" a="1"/>
  <c r="Q1956" i="2" s="1"/>
  <c r="P1956" i="2" a="1"/>
  <c r="P1956" i="2" s="1"/>
  <c r="R1956" i="2" s="1"/>
  <c r="V1956" i="2" s="1"/>
  <c r="W1956" i="2" s="1"/>
  <c r="Q1954" i="2" a="1"/>
  <c r="Q1954" i="2" s="1"/>
  <c r="P1954" i="2" a="1"/>
  <c r="P1954" i="2" s="1"/>
  <c r="R1954" i="2" s="1"/>
  <c r="V1954" i="2" s="1"/>
  <c r="W1954" i="2" s="1"/>
  <c r="Q1952" i="2" a="1"/>
  <c r="Q1952" i="2" s="1"/>
  <c r="P1952" i="2" a="1"/>
  <c r="P1952" i="2" s="1"/>
  <c r="R1952" i="2" s="1"/>
  <c r="V1952" i="2" s="1"/>
  <c r="W1952" i="2" s="1"/>
  <c r="Q1951" i="2" a="1"/>
  <c r="Q1951" i="2" s="1"/>
  <c r="P1951" i="2" a="1"/>
  <c r="P1951" i="2" s="1"/>
  <c r="R1951" i="2" s="1"/>
  <c r="V1951" i="2" s="1"/>
  <c r="W1951" i="2" s="1"/>
  <c r="Q1949" i="2" a="1"/>
  <c r="Q1949" i="2" s="1"/>
  <c r="P1949" i="2" a="1"/>
  <c r="P1949" i="2" s="1"/>
  <c r="R1949" i="2" s="1"/>
  <c r="V1949" i="2" s="1"/>
  <c r="W1949" i="2" s="1"/>
  <c r="Q1980" i="2" a="1"/>
  <c r="Q1980" i="2" s="1"/>
  <c r="P1980" i="2" a="1"/>
  <c r="P1980" i="2" s="1"/>
  <c r="R1980" i="2" s="1"/>
  <c r="V1980" i="2" s="1"/>
  <c r="W1980" i="2" s="1"/>
  <c r="Q1977" i="2" a="1"/>
  <c r="Q1977" i="2" s="1"/>
  <c r="P1977" i="2" a="1"/>
  <c r="P1977" i="2" s="1"/>
  <c r="R1977" i="2" s="1"/>
  <c r="V1977" i="2" s="1"/>
  <c r="W1977" i="2" s="1"/>
  <c r="P1976" i="2" a="1"/>
  <c r="P1976" i="2" s="1"/>
  <c r="R1976" i="2" s="1"/>
  <c r="V1976" i="2" s="1"/>
  <c r="W1976" i="2" s="1"/>
  <c r="Q1975" i="2" a="1"/>
  <c r="Q1975" i="2" s="1"/>
  <c r="P1975" i="2" a="1"/>
  <c r="P1975" i="2" s="1"/>
  <c r="R1975" i="2" s="1"/>
  <c r="V1975" i="2" s="1"/>
  <c r="W1975" i="2" s="1"/>
  <c r="Q1974" i="2" a="1"/>
  <c r="Q1974" i="2" s="1"/>
  <c r="P1974" i="2" a="1"/>
  <c r="P1974" i="2" s="1"/>
  <c r="R1974" i="2" s="1"/>
  <c r="V1974" i="2" s="1"/>
  <c r="W1974" i="2" s="1"/>
  <c r="Q1973" i="2" a="1"/>
  <c r="Q1973" i="2" s="1"/>
  <c r="P1973" i="2" a="1"/>
  <c r="P1973" i="2" s="1"/>
  <c r="R1973" i="2" s="1"/>
  <c r="V1973" i="2" s="1"/>
  <c r="W1973" i="2" s="1"/>
  <c r="Q1972" i="2" a="1"/>
  <c r="Q1972" i="2" s="1"/>
  <c r="P1972" i="2" a="1"/>
  <c r="P1972" i="2" s="1"/>
  <c r="R1972" i="2" s="1"/>
  <c r="V1972" i="2" s="1"/>
  <c r="W1972" i="2" s="1"/>
  <c r="Q1970" i="2" a="1"/>
  <c r="Q1970" i="2" s="1"/>
  <c r="P1970" i="2" a="1"/>
  <c r="P1970" i="2" s="1"/>
  <c r="R1970" i="2" s="1"/>
  <c r="V1970" i="2" s="1"/>
  <c r="W1970" i="2" s="1"/>
  <c r="Q1966" i="2" a="1"/>
  <c r="Q1966" i="2" s="1"/>
  <c r="P1966" i="2" a="1"/>
  <c r="P1966" i="2" s="1"/>
  <c r="R1966" i="2" s="1"/>
  <c r="V1966" i="2" s="1"/>
  <c r="W1966" i="2" s="1"/>
  <c r="Q1965" i="2" a="1"/>
  <c r="Q1965" i="2" s="1"/>
  <c r="P1965" i="2" a="1"/>
  <c r="P1965" i="2" s="1"/>
  <c r="R1965" i="2" s="1"/>
  <c r="V1965" i="2" s="1"/>
  <c r="W1965" i="2" s="1"/>
  <c r="Q1964" i="2" a="1"/>
  <c r="Q1964" i="2" s="1"/>
  <c r="P1964" i="2" a="1"/>
  <c r="P1964" i="2" s="1"/>
  <c r="R1964" i="2" s="1"/>
  <c r="V1964" i="2" s="1"/>
  <c r="W1964" i="2" s="1"/>
  <c r="Q1889" i="2" a="1"/>
  <c r="Q1889" i="2" s="1"/>
  <c r="P1889" i="2" a="1"/>
  <c r="P1889" i="2" s="1"/>
  <c r="R1889" i="2" s="1"/>
  <c r="V1889" i="2" s="1"/>
  <c r="W1889" i="2" s="1"/>
  <c r="Q1887" i="2" a="1"/>
  <c r="Q1887" i="2" s="1"/>
  <c r="P1887" i="2" a="1"/>
  <c r="P1887" i="2" s="1"/>
  <c r="R1887" i="2" s="1"/>
  <c r="V1887" i="2" s="1"/>
  <c r="W1887" i="2" s="1"/>
  <c r="Q1885" i="2" a="1"/>
  <c r="Q1885" i="2" s="1"/>
  <c r="P1885" i="2" a="1"/>
  <c r="P1885" i="2" s="1"/>
  <c r="R1885" i="2" s="1"/>
  <c r="V1885" i="2" s="1"/>
  <c r="W1885" i="2" s="1"/>
  <c r="Q1884" i="2" a="1"/>
  <c r="Q1884" i="2" s="1"/>
  <c r="P1884" i="2" a="1"/>
  <c r="P1884" i="2" s="1"/>
  <c r="R1884" i="2" s="1"/>
  <c r="V1884" i="2" s="1"/>
  <c r="W1884" i="2" s="1"/>
  <c r="Q1883" i="2" a="1"/>
  <c r="Q1883" i="2" s="1"/>
  <c r="P1883" i="2" a="1"/>
  <c r="P1883" i="2" s="1"/>
  <c r="R1883" i="2" s="1"/>
  <c r="V1883" i="2" s="1"/>
  <c r="W1883" i="2" s="1"/>
  <c r="Q1879" i="2" a="1"/>
  <c r="Q1879" i="2" s="1"/>
  <c r="P1879" i="2" a="1"/>
  <c r="P1879" i="2" s="1"/>
  <c r="R1879" i="2" s="1"/>
  <c r="V1879" i="2" s="1"/>
  <c r="W1879" i="2" s="1"/>
  <c r="Q1878" i="2" a="1"/>
  <c r="Q1878" i="2" s="1"/>
  <c r="P1878" i="2" a="1"/>
  <c r="P1878" i="2" s="1"/>
  <c r="R1878" i="2" s="1"/>
  <c r="V1878" i="2" s="1"/>
  <c r="W1878" i="2" s="1"/>
  <c r="Q1877" i="2" a="1"/>
  <c r="Q1877" i="2" s="1"/>
  <c r="P1877" i="2" a="1"/>
  <c r="P1877" i="2" s="1"/>
  <c r="R1877" i="2" s="1"/>
  <c r="V1877" i="2" s="1"/>
  <c r="W1877" i="2" s="1"/>
  <c r="Q1876" i="2" a="1"/>
  <c r="Q1876" i="2" s="1"/>
  <c r="P1876" i="2" a="1"/>
  <c r="P1876" i="2" s="1"/>
  <c r="R1876" i="2" s="1"/>
  <c r="V1876" i="2" s="1"/>
  <c r="W1876" i="2" s="1"/>
  <c r="Q1875" i="2" a="1"/>
  <c r="Q1875" i="2" s="1"/>
  <c r="P1875" i="2" a="1"/>
  <c r="P1875" i="2" s="1"/>
  <c r="R1875" i="2" s="1"/>
  <c r="V1875" i="2" s="1"/>
  <c r="W1875" i="2" s="1"/>
  <c r="Q1874" i="2" a="1"/>
  <c r="Q1874" i="2" s="1"/>
  <c r="Q1844" i="2" a="1"/>
  <c r="Q1844" i="2" s="1"/>
  <c r="P1844" i="2" a="1"/>
  <c r="P1844" i="2" s="1"/>
  <c r="R1844" i="2" s="1"/>
  <c r="V1844" i="2" s="1"/>
  <c r="W1844" i="2" s="1"/>
  <c r="Q1839" i="2" a="1"/>
  <c r="Q1839" i="2" s="1"/>
  <c r="Q1838" i="2" a="1"/>
  <c r="Q1838" i="2" s="1"/>
  <c r="P1838" i="2" a="1"/>
  <c r="P1838" i="2" s="1"/>
  <c r="R1838" i="2" s="1"/>
  <c r="V1838" i="2" s="1"/>
  <c r="W1838" i="2" s="1"/>
  <c r="Q1836" i="2" a="1"/>
  <c r="Q1836" i="2" s="1"/>
  <c r="P1836" i="2" a="1"/>
  <c r="P1836" i="2" s="1"/>
  <c r="R1836" i="2" s="1"/>
  <c r="V1836" i="2" s="1"/>
  <c r="W1836" i="2" s="1"/>
  <c r="Q1945" i="2" a="1"/>
  <c r="Q1945" i="2" s="1"/>
  <c r="P1945" i="2" a="1"/>
  <c r="P1945" i="2" s="1"/>
  <c r="R1945" i="2" s="1"/>
  <c r="V1945" i="2" s="1"/>
  <c r="W1945" i="2" s="1"/>
  <c r="Q1943" i="2" a="1"/>
  <c r="Q1943" i="2" s="1"/>
  <c r="P1943" i="2" a="1"/>
  <c r="P1943" i="2" s="1"/>
  <c r="R1943" i="2" s="1"/>
  <c r="V1943" i="2" s="1"/>
  <c r="W1943" i="2" s="1"/>
  <c r="Q1940" i="2" a="1"/>
  <c r="Q1940" i="2" s="1"/>
  <c r="P1940" i="2" a="1"/>
  <c r="P1940" i="2" s="1"/>
  <c r="R1940" i="2" s="1"/>
  <c r="V1940" i="2" s="1"/>
  <c r="W1940" i="2" s="1"/>
  <c r="Q1938" i="2" a="1"/>
  <c r="Q1938" i="2" s="1"/>
  <c r="P1938" i="2" a="1"/>
  <c r="P1938" i="2" s="1"/>
  <c r="R1938" i="2" s="1"/>
  <c r="V1938" i="2" s="1"/>
  <c r="W1938" i="2" s="1"/>
  <c r="P1723" i="2" a="1"/>
  <c r="P1723" i="2" s="1"/>
  <c r="R1723" i="2" s="1"/>
  <c r="V1723" i="2" s="1"/>
  <c r="W1723" i="2" s="1"/>
  <c r="Q1722" i="2" a="1"/>
  <c r="Q1722" i="2" s="1"/>
  <c r="P1722" i="2" a="1"/>
  <c r="P1722" i="2" s="1"/>
  <c r="R1722" i="2" s="1"/>
  <c r="V1722" i="2" s="1"/>
  <c r="W1722" i="2" s="1"/>
  <c r="Q1730" i="2" a="1"/>
  <c r="Q1730" i="2" s="1"/>
  <c r="Q1721" i="2" a="1"/>
  <c r="Q1721" i="2" s="1"/>
  <c r="Q1732" i="2" a="1"/>
  <c r="Q1732" i="2" s="1"/>
  <c r="Q1723" i="2" a="1"/>
  <c r="Q1723" i="2" s="1"/>
  <c r="P1721" i="2" a="1"/>
  <c r="P1721" i="2" s="1"/>
  <c r="R1721" i="2" s="1"/>
  <c r="V1721" i="2" s="1"/>
  <c r="W1721" i="2" s="1"/>
  <c r="Q1724" i="2" a="1"/>
  <c r="Q1724" i="2" s="1"/>
  <c r="P1724" i="2" a="1"/>
  <c r="P1724" i="2" s="1"/>
  <c r="R1724" i="2" s="1"/>
  <c r="V1724" i="2" s="1"/>
  <c r="W1724" i="2" s="1"/>
  <c r="Q1725" i="2" a="1"/>
  <c r="Q1725" i="2" s="1"/>
  <c r="P1725" i="2" a="1"/>
  <c r="P1725" i="2" s="1"/>
  <c r="R1725" i="2" s="1"/>
  <c r="V1725" i="2" s="1"/>
  <c r="W1725" i="2" s="1"/>
  <c r="Q1729" i="2" a="1"/>
  <c r="Q1729" i="2" s="1"/>
  <c r="Q1726" i="2" a="1"/>
  <c r="Q1726" i="2" s="1"/>
  <c r="P1726" i="2" a="1"/>
  <c r="P1726" i="2" s="1"/>
  <c r="R1726" i="2" s="1"/>
  <c r="V1726" i="2" s="1"/>
  <c r="W1726" i="2" s="1"/>
  <c r="Q1727" i="2" a="1"/>
  <c r="Q1727" i="2" s="1"/>
  <c r="Q1735" i="2" a="1"/>
  <c r="Q1735" i="2" s="1"/>
  <c r="P1727" i="2" a="1"/>
  <c r="P1727" i="2" s="1"/>
  <c r="R1727" i="2" s="1"/>
  <c r="V1727" i="2" s="1"/>
  <c r="W1727" i="2" s="1"/>
  <c r="P1729" i="2" a="1"/>
  <c r="P1729" i="2" s="1"/>
  <c r="R1729" i="2" s="1"/>
  <c r="V1729" i="2" s="1"/>
  <c r="W1729" i="2" s="1"/>
  <c r="P1728" i="2" a="1"/>
  <c r="P1728" i="2" s="1"/>
  <c r="R1728" i="2" s="1"/>
  <c r="V1728" i="2" s="1"/>
  <c r="W1728" i="2" s="1"/>
  <c r="Q1728" i="2" a="1"/>
  <c r="Q1728" i="2" s="1"/>
  <c r="P1730" i="2" a="1"/>
  <c r="P1730" i="2" s="1"/>
  <c r="R1730" i="2" s="1"/>
  <c r="V1730" i="2" s="1"/>
  <c r="W1730" i="2" s="1"/>
  <c r="Q1731" i="2" a="1"/>
  <c r="Q1731" i="2" s="1"/>
  <c r="P1731" i="2" a="1"/>
  <c r="P1731" i="2" s="1"/>
  <c r="R1731" i="2" s="1"/>
  <c r="V1731" i="2" s="1"/>
  <c r="W1731" i="2" s="1"/>
  <c r="P1732" i="2" a="1"/>
  <c r="P1732" i="2" s="1"/>
  <c r="R1732" i="2" s="1"/>
  <c r="V1732" i="2" s="1"/>
  <c r="W1732" i="2" s="1"/>
  <c r="Q1734" i="2" a="1"/>
  <c r="Q1734" i="2" s="1"/>
  <c r="Q1733" i="2" a="1"/>
  <c r="Q1733" i="2" s="1"/>
  <c r="P1733" i="2" a="1"/>
  <c r="P1733" i="2" s="1"/>
  <c r="R1733" i="2" s="1"/>
  <c r="V1733" i="2" s="1"/>
  <c r="W1733" i="2" s="1"/>
  <c r="P1734" i="2" a="1"/>
  <c r="P1734" i="2" s="1"/>
  <c r="R1734" i="2" s="1"/>
  <c r="V1734" i="2" s="1"/>
  <c r="W1734" i="2" s="1"/>
  <c r="P1735" i="2" a="1"/>
  <c r="P1735" i="2" s="1"/>
  <c r="R1735" i="2" s="1"/>
  <c r="V1735" i="2" s="1"/>
  <c r="W1735" i="2" s="1"/>
  <c r="Q128" i="2" a="1"/>
  <c r="Q128" i="2" s="1"/>
  <c r="Q124" i="2" a="1"/>
  <c r="Q124" i="2" s="1"/>
  <c r="P124" i="2" a="1"/>
  <c r="P124" i="2" s="1"/>
  <c r="R124" i="2" s="1"/>
  <c r="V124" i="2" s="1"/>
  <c r="W124" i="2" s="1"/>
  <c r="Q122" i="2" a="1"/>
  <c r="Q122" i="2" s="1"/>
  <c r="P122" i="2" a="1"/>
  <c r="P122" i="2" s="1"/>
  <c r="R122" i="2" s="1"/>
  <c r="V122" i="2" s="1"/>
  <c r="W122" i="2" s="1"/>
  <c r="P123" i="2" a="1"/>
  <c r="P123" i="2" s="1"/>
  <c r="R123" i="2" s="1"/>
  <c r="V123" i="2" s="1"/>
  <c r="W123" i="2" s="1"/>
  <c r="Q123" i="2" a="1"/>
  <c r="Q123" i="2" s="1"/>
  <c r="Q129" i="2" a="1"/>
  <c r="Q129" i="2" s="1"/>
  <c r="P129" i="2" a="1"/>
  <c r="P129" i="2" s="1"/>
  <c r="R129" i="2" s="1"/>
  <c r="V129" i="2" s="1"/>
  <c r="W129" i="2" s="1"/>
  <c r="Q125" i="2" a="1"/>
  <c r="Q125" i="2" s="1"/>
  <c r="P125" i="2" a="1"/>
  <c r="P125" i="2" s="1"/>
  <c r="R125" i="2" s="1"/>
  <c r="V125" i="2" s="1"/>
  <c r="W125" i="2" s="1"/>
  <c r="Q126" i="2" a="1"/>
  <c r="Q126" i="2" s="1"/>
  <c r="P126" i="2" a="1"/>
  <c r="P126" i="2" s="1"/>
  <c r="R126" i="2" s="1"/>
  <c r="V126" i="2" s="1"/>
  <c r="W126" i="2" s="1"/>
  <c r="P128" i="2" a="1"/>
  <c r="P128" i="2" s="1"/>
  <c r="R128" i="2" s="1"/>
  <c r="V128" i="2" s="1"/>
  <c r="W128" i="2" s="1"/>
  <c r="Q127" i="2" a="1"/>
  <c r="Q127" i="2" s="1"/>
  <c r="P127" i="2" a="1"/>
  <c r="P127" i="2" s="1"/>
  <c r="R127" i="2" s="1"/>
  <c r="V127" i="2" s="1"/>
  <c r="W127" i="2" s="1"/>
  <c r="Q134" i="2" a="1"/>
  <c r="Q134" i="2" s="1"/>
  <c r="Q132" i="2" a="1"/>
  <c r="Q132" i="2" s="1"/>
  <c r="Q130" i="2" a="1"/>
  <c r="Q130" i="2" s="1"/>
  <c r="P130" i="2" a="1"/>
  <c r="P130" i="2" s="1"/>
  <c r="R130" i="2" s="1"/>
  <c r="V130" i="2" s="1"/>
  <c r="W130" i="2" s="1"/>
  <c r="P132" i="2" a="1"/>
  <c r="P132" i="2" s="1"/>
  <c r="R132" i="2" s="1"/>
  <c r="V132" i="2" s="1"/>
  <c r="W132" i="2" s="1"/>
  <c r="Q131" i="2" a="1"/>
  <c r="Q131" i="2" s="1"/>
  <c r="P131" i="2" a="1"/>
  <c r="P131" i="2" s="1"/>
  <c r="R131" i="2" s="1"/>
  <c r="V131" i="2" s="1"/>
  <c r="W131" i="2" s="1"/>
  <c r="P134" i="2" a="1"/>
  <c r="P134" i="2" s="1"/>
  <c r="R134" i="2" s="1"/>
  <c r="V134" i="2" s="1"/>
  <c r="W134" i="2" s="1"/>
  <c r="P133" i="2" a="1"/>
  <c r="P133" i="2" s="1"/>
  <c r="R133" i="2" s="1"/>
  <c r="V133" i="2" s="1"/>
  <c r="W133" i="2" s="1"/>
  <c r="Q133" i="2" a="1"/>
  <c r="Q133" i="2" s="1"/>
  <c r="Q136" i="2" a="1"/>
  <c r="Q136" i="2" s="1"/>
  <c r="Q135" i="2" a="1"/>
  <c r="Q135" i="2" s="1"/>
  <c r="Q623" i="2" a="1"/>
  <c r="Q623" i="2" s="1"/>
  <c r="P135" i="2" a="1"/>
  <c r="P135" i="2" s="1"/>
  <c r="R135" i="2" s="1"/>
  <c r="V135" i="2" s="1"/>
  <c r="W135" i="2" s="1"/>
  <c r="P136" i="2" a="1"/>
  <c r="P136" i="2" s="1"/>
  <c r="R136" i="2" s="1"/>
  <c r="V136" i="2" s="1"/>
  <c r="W136" i="2" s="1"/>
  <c r="P137" i="2" a="1"/>
  <c r="P137" i="2" s="1"/>
  <c r="R137" i="2" s="1"/>
  <c r="V137" i="2" s="1"/>
  <c r="W137" i="2" s="1"/>
  <c r="Q137" i="2" a="1"/>
  <c r="Q137" i="2" s="1"/>
  <c r="P616" i="2" a="1"/>
  <c r="P616" i="2" s="1"/>
  <c r="R616" i="2" s="1"/>
  <c r="V616" i="2" s="1"/>
  <c r="W616" i="2" s="1"/>
  <c r="P645" i="2" a="1"/>
  <c r="P645" i="2" s="1"/>
  <c r="R645" i="2" s="1"/>
  <c r="V645" i="2" s="1"/>
  <c r="W645" i="2" s="1"/>
  <c r="P641" i="2" a="1"/>
  <c r="P641" i="2" s="1"/>
  <c r="R641" i="2" s="1"/>
  <c r="V641" i="2" s="1"/>
  <c r="W641" i="2" s="1"/>
  <c r="P639" i="2" a="1"/>
  <c r="P639" i="2" s="1"/>
  <c r="R639" i="2" s="1"/>
  <c r="V639" i="2" s="1"/>
  <c r="W639" i="2" s="1"/>
  <c r="Q634" i="2" a="1"/>
  <c r="Q634" i="2" s="1"/>
  <c r="Q620" i="2" a="1"/>
  <c r="Q620" i="2" s="1"/>
  <c r="Q624" i="2" a="1"/>
  <c r="Q624" i="2" s="1"/>
  <c r="Q615" i="2" a="1"/>
  <c r="Q615" i="2" s="1"/>
  <c r="Q642" i="2" a="1"/>
  <c r="Q642" i="2" s="1"/>
  <c r="Q633" i="2" a="1"/>
  <c r="Q633" i="2" s="1"/>
  <c r="P623" i="2" a="1"/>
  <c r="P623" i="2" s="1"/>
  <c r="R623" i="2" s="1"/>
  <c r="V623" i="2" s="1"/>
  <c r="W623" i="2" s="1"/>
  <c r="P632" i="2" a="1"/>
  <c r="P632" i="2" s="1"/>
  <c r="R632" i="2" s="1"/>
  <c r="V632" i="2" s="1"/>
  <c r="W632" i="2" s="1"/>
  <c r="P622" i="2" a="1"/>
  <c r="P622" i="2" s="1"/>
  <c r="R622" i="2" s="1"/>
  <c r="V622" i="2" s="1"/>
  <c r="W622" i="2" s="1"/>
  <c r="P629" i="2" a="1"/>
  <c r="P629" i="2" s="1"/>
  <c r="R629" i="2" s="1"/>
  <c r="V629" i="2" s="1"/>
  <c r="W629" i="2" s="1"/>
  <c r="P636" i="2" a="1"/>
  <c r="P636" i="2" s="1"/>
  <c r="R636" i="2" s="1"/>
  <c r="V636" i="2" s="1"/>
  <c r="W636" i="2" s="1"/>
  <c r="Q621" i="2" a="1"/>
  <c r="Q621" i="2" s="1"/>
  <c r="P634" i="2" a="1"/>
  <c r="P634" i="2" s="1"/>
  <c r="R634" i="2" s="1"/>
  <c r="V634" i="2" s="1"/>
  <c r="W634" i="2" s="1"/>
  <c r="Q616" i="2" a="1"/>
  <c r="Q616" i="2" s="1"/>
  <c r="P633" i="2" a="1"/>
  <c r="P633" i="2" s="1"/>
  <c r="R633" i="2" s="1"/>
  <c r="V633" i="2" s="1"/>
  <c r="W633" i="2" s="1"/>
  <c r="Q614" i="2" a="1"/>
  <c r="Q614" i="2" s="1"/>
  <c r="Q643" i="2" a="1"/>
  <c r="Q643" i="2" s="1"/>
  <c r="P631" i="2" a="1"/>
  <c r="P631" i="2" s="1"/>
  <c r="R631" i="2" s="1"/>
  <c r="V631" i="2" s="1"/>
  <c r="W631" i="2" s="1"/>
  <c r="P628" i="2" a="1"/>
  <c r="P628" i="2" s="1"/>
  <c r="R628" i="2" s="1"/>
  <c r="V628" i="2" s="1"/>
  <c r="W628" i="2" s="1"/>
  <c r="P635" i="2" a="1"/>
  <c r="P635" i="2" s="1"/>
  <c r="R635" i="2" s="1"/>
  <c r="V635" i="2" s="1"/>
  <c r="W635" i="2" s="1"/>
  <c r="Q641" i="2" a="1"/>
  <c r="Q641" i="2" s="1"/>
  <c r="Q632" i="2" a="1"/>
  <c r="Q632" i="2" s="1"/>
  <c r="P621" i="2" a="1"/>
  <c r="P621" i="2" s="1"/>
  <c r="R621" i="2" s="1"/>
  <c r="V621" i="2" s="1"/>
  <c r="W621" i="2" s="1"/>
  <c r="Q618" i="2" a="1"/>
  <c r="Q618" i="2" s="1"/>
  <c r="Q612" i="2" a="1"/>
  <c r="Q612" i="2" s="1"/>
  <c r="Q646" i="2" a="1"/>
  <c r="Q646" i="2" s="1"/>
  <c r="Q613" i="2" a="1"/>
  <c r="Q613" i="2" s="1"/>
  <c r="Q637" i="2" a="1"/>
  <c r="Q637" i="2" s="1"/>
  <c r="Q639" i="2" a="1"/>
  <c r="Q639" i="2" s="1"/>
  <c r="Q628" i="2" a="1"/>
  <c r="Q628" i="2" s="1"/>
  <c r="Q644" i="2" a="1"/>
  <c r="Q644" i="2" s="1"/>
  <c r="Q622" i="2" a="1"/>
  <c r="Q622" i="2" s="1"/>
  <c r="Q635" i="2" a="1"/>
  <c r="Q635" i="2" s="1"/>
  <c r="Q617" i="2" a="1"/>
  <c r="Q617" i="2" s="1"/>
  <c r="Q640" i="2" a="1"/>
  <c r="Q640" i="2" s="1"/>
  <c r="Q636" i="2" a="1"/>
  <c r="Q636" i="2" s="1"/>
  <c r="P618" i="2" a="1"/>
  <c r="P618" i="2" s="1"/>
  <c r="R618" i="2" s="1"/>
  <c r="V618" i="2" s="1"/>
  <c r="W618" i="2" s="1"/>
  <c r="Q631" i="2" a="1"/>
  <c r="Q631" i="2" s="1"/>
  <c r="Q629" i="2" a="1"/>
  <c r="Q629" i="2" s="1"/>
  <c r="P614" i="2" a="1"/>
  <c r="P614" i="2" s="1"/>
  <c r="R614" i="2" s="1"/>
  <c r="V614" i="2" s="1"/>
  <c r="W614" i="2" s="1"/>
  <c r="P615" i="2" a="1"/>
  <c r="P615" i="2" s="1"/>
  <c r="R615" i="2" s="1"/>
  <c r="V615" i="2" s="1"/>
  <c r="W615" i="2" s="1"/>
  <c r="P620" i="2" a="1"/>
  <c r="P620" i="2" s="1"/>
  <c r="R620" i="2" s="1"/>
  <c r="V620" i="2" s="1"/>
  <c r="W620" i="2" s="1"/>
  <c r="Q582" i="2" a="1"/>
  <c r="Q582" i="2" s="1"/>
  <c r="Q625" i="2" a="1"/>
  <c r="Q625" i="2" s="1"/>
  <c r="Q619" i="2" a="1"/>
  <c r="Q619" i="2" s="1"/>
  <c r="P612" i="2" a="1"/>
  <c r="P612" i="2" s="1"/>
  <c r="R612" i="2" s="1"/>
  <c r="V612" i="2" s="1"/>
  <c r="W612" i="2" s="1"/>
  <c r="P646" i="2" a="1"/>
  <c r="P646" i="2" s="1"/>
  <c r="R646" i="2" s="1"/>
  <c r="V646" i="2" s="1"/>
  <c r="W646" i="2" s="1"/>
  <c r="P617" i="2" a="1"/>
  <c r="P617" i="2" s="1"/>
  <c r="R617" i="2" s="1"/>
  <c r="V617" i="2" s="1"/>
  <c r="W617" i="2" s="1"/>
  <c r="P625" i="2" a="1"/>
  <c r="P625" i="2" s="1"/>
  <c r="R625" i="2" s="1"/>
  <c r="V625" i="2" s="1"/>
  <c r="W625" i="2" s="1"/>
  <c r="Q645" i="2" a="1"/>
  <c r="Q645" i="2" s="1"/>
  <c r="P643" i="2" a="1"/>
  <c r="P643" i="2" s="1"/>
  <c r="R643" i="2" s="1"/>
  <c r="V643" i="2" s="1"/>
  <c r="W643" i="2" s="1"/>
  <c r="P644" i="2" a="1"/>
  <c r="P644" i="2" s="1"/>
  <c r="R644" i="2" s="1"/>
  <c r="V644" i="2" s="1"/>
  <c r="W644" i="2" s="1"/>
  <c r="P613" i="2" a="1"/>
  <c r="P613" i="2" s="1"/>
  <c r="R613" i="2" s="1"/>
  <c r="V613" i="2" s="1"/>
  <c r="W613" i="2" s="1"/>
  <c r="P619" i="2" a="1"/>
  <c r="P619" i="2" s="1"/>
  <c r="R619" i="2" s="1"/>
  <c r="V619" i="2" s="1"/>
  <c r="W619" i="2" s="1"/>
  <c r="P637" i="2" a="1"/>
  <c r="P637" i="2" s="1"/>
  <c r="R637" i="2" s="1"/>
  <c r="V637" i="2" s="1"/>
  <c r="W637" i="2" s="1"/>
  <c r="P640" i="2" a="1"/>
  <c r="P640" i="2" s="1"/>
  <c r="R640" i="2" s="1"/>
  <c r="V640" i="2" s="1"/>
  <c r="W640" i="2" s="1"/>
  <c r="P642" i="2" a="1"/>
  <c r="P642" i="2" s="1"/>
  <c r="R642" i="2" s="1"/>
  <c r="V642" i="2" s="1"/>
  <c r="W642" i="2" s="1"/>
  <c r="P624" i="2" a="1"/>
  <c r="P624" i="2" s="1"/>
  <c r="R624" i="2" s="1"/>
  <c r="V624" i="2" s="1"/>
  <c r="W624" i="2" s="1"/>
  <c r="P609" i="2" a="1"/>
  <c r="P609" i="2" s="1"/>
  <c r="R609" i="2" s="1"/>
  <c r="V609" i="2" s="1"/>
  <c r="W609" i="2" s="1"/>
  <c r="P601" i="2" a="1"/>
  <c r="P601" i="2" s="1"/>
  <c r="R601" i="2" s="1"/>
  <c r="V601" i="2" s="1"/>
  <c r="W601" i="2" s="1"/>
  <c r="Q627" i="2" a="1"/>
  <c r="Q627" i="2" s="1"/>
  <c r="Q604" i="2" a="1"/>
  <c r="Q604" i="2" s="1"/>
  <c r="Q600" i="2" a="1"/>
  <c r="Q600" i="2" s="1"/>
  <c r="P627" i="2" a="1"/>
  <c r="P627" i="2" s="1"/>
  <c r="R627" i="2" s="1"/>
  <c r="V627" i="2" s="1"/>
  <c r="W627" i="2" s="1"/>
  <c r="Q608" i="2" a="1"/>
  <c r="Q608" i="2" s="1"/>
  <c r="P608" i="2" a="1"/>
  <c r="P608" i="2" s="1"/>
  <c r="R608" i="2" s="1"/>
  <c r="V608" i="2" s="1"/>
  <c r="W608" i="2" s="1"/>
  <c r="P606" i="2" a="1"/>
  <c r="P606" i="2" s="1"/>
  <c r="R606" i="2" s="1"/>
  <c r="V606" i="2" s="1"/>
  <c r="W606" i="2" s="1"/>
  <c r="P611" i="2" a="1"/>
  <c r="P611" i="2" s="1"/>
  <c r="R611" i="2" s="1"/>
  <c r="V611" i="2" s="1"/>
  <c r="W611" i="2" s="1"/>
  <c r="Q589" i="2" a="1"/>
  <c r="Q589" i="2" s="1"/>
  <c r="P604" i="2" a="1"/>
  <c r="P604" i="2" s="1"/>
  <c r="R604" i="2" s="1"/>
  <c r="V604" i="2" s="1"/>
  <c r="W604" i="2" s="1"/>
  <c r="P602" i="2" a="1"/>
  <c r="P602" i="2" s="1"/>
  <c r="R602" i="2" s="1"/>
  <c r="V602" i="2" s="1"/>
  <c r="W602" i="2" s="1"/>
  <c r="P605" i="2" a="1"/>
  <c r="P605" i="2" s="1"/>
  <c r="R605" i="2" s="1"/>
  <c r="V605" i="2" s="1"/>
  <c r="W605" i="2" s="1"/>
  <c r="Q626" i="2" a="1"/>
  <c r="Q626" i="2" s="1"/>
  <c r="P626" i="2" a="1"/>
  <c r="P626" i="2" s="1"/>
  <c r="R626" i="2" s="1"/>
  <c r="V626" i="2" s="1"/>
  <c r="W626" i="2" s="1"/>
  <c r="Q611" i="2" a="1"/>
  <c r="Q611" i="2" s="1"/>
  <c r="P589" i="2" a="1"/>
  <c r="P589" i="2" s="1"/>
  <c r="R589" i="2" s="1"/>
  <c r="V589" i="2" s="1"/>
  <c r="W589" i="2" s="1"/>
  <c r="P585" i="2" a="1"/>
  <c r="P585" i="2" s="1"/>
  <c r="R585" i="2" s="1"/>
  <c r="V585" i="2" s="1"/>
  <c r="W585" i="2" s="1"/>
  <c r="Q601" i="2" a="1"/>
  <c r="Q601" i="2" s="1"/>
  <c r="Q605" i="2" a="1"/>
  <c r="Q605" i="2" s="1"/>
  <c r="P607" i="2" a="1"/>
  <c r="P607" i="2" s="1"/>
  <c r="R607" i="2" s="1"/>
  <c r="V607" i="2" s="1"/>
  <c r="W607" i="2" s="1"/>
  <c r="Q603" i="2" a="1"/>
  <c r="Q603" i="2" s="1"/>
  <c r="P603" i="2" a="1"/>
  <c r="P603" i="2" s="1"/>
  <c r="R603" i="2" s="1"/>
  <c r="V603" i="2" s="1"/>
  <c r="W603" i="2" s="1"/>
  <c r="Q607" i="2" a="1"/>
  <c r="Q607" i="2" s="1"/>
  <c r="Q590" i="2" a="1"/>
  <c r="Q590" i="2" s="1"/>
  <c r="Q602" i="2" a="1"/>
  <c r="Q602" i="2" s="1"/>
  <c r="Q610" i="2" a="1"/>
  <c r="Q610" i="2" s="1"/>
  <c r="P610" i="2" a="1"/>
  <c r="P610" i="2" s="1"/>
  <c r="R610" i="2" s="1"/>
  <c r="V610" i="2" s="1"/>
  <c r="W610" i="2" s="1"/>
  <c r="P590" i="2" a="1"/>
  <c r="P590" i="2" s="1"/>
  <c r="R590" i="2" s="1"/>
  <c r="V590" i="2" s="1"/>
  <c r="W590" i="2" s="1"/>
  <c r="Q609" i="2" a="1"/>
  <c r="Q609" i="2" s="1"/>
  <c r="Q606" i="2" a="1"/>
  <c r="Q606" i="2" s="1"/>
  <c r="P600" i="2" a="1"/>
  <c r="P600" i="2" s="1"/>
  <c r="R600" i="2" s="1"/>
  <c r="V600" i="2" s="1"/>
  <c r="W600" i="2" s="1"/>
  <c r="Q594" i="2" a="1"/>
  <c r="Q594" i="2" s="1"/>
  <c r="Q583" i="2" a="1"/>
  <c r="Q583" i="2" s="1"/>
  <c r="Q591" i="2" a="1"/>
  <c r="Q591" i="2" s="1"/>
  <c r="P583" i="2" a="1"/>
  <c r="P583" i="2" s="1"/>
  <c r="R583" i="2" s="1"/>
  <c r="V583" i="2" s="1"/>
  <c r="W583" i="2" s="1"/>
  <c r="Q584" i="2" a="1"/>
  <c r="Q584" i="2" s="1"/>
  <c r="P591" i="2" a="1"/>
  <c r="P591" i="2" s="1"/>
  <c r="R591" i="2" s="1"/>
  <c r="V591" i="2" s="1"/>
  <c r="W591" i="2" s="1"/>
  <c r="P593" i="2" a="1"/>
  <c r="P593" i="2" s="1"/>
  <c r="R593" i="2" s="1"/>
  <c r="V593" i="2" s="1"/>
  <c r="W593" i="2" s="1"/>
  <c r="Q593" i="2" a="1"/>
  <c r="Q593" i="2" s="1"/>
  <c r="P594" i="2" a="1"/>
  <c r="P594" i="2" s="1"/>
  <c r="R594" i="2" s="1"/>
  <c r="V594" i="2" s="1"/>
  <c r="W594" i="2" s="1"/>
  <c r="P584" i="2" a="1"/>
  <c r="P584" i="2" s="1"/>
  <c r="R584" i="2" s="1"/>
  <c r="V584" i="2" s="1"/>
  <c r="W584" i="2" s="1"/>
  <c r="P592" i="2" a="1"/>
  <c r="P592" i="2" s="1"/>
  <c r="R592" i="2" s="1"/>
  <c r="V592" i="2" s="1"/>
  <c r="W592" i="2" s="1"/>
  <c r="Q585" i="2" a="1"/>
  <c r="Q585" i="2" s="1"/>
  <c r="Q592" i="2" a="1"/>
  <c r="Q592" i="2" s="1"/>
  <c r="P581" i="2" a="1"/>
  <c r="P581" i="2" s="1"/>
  <c r="R581" i="2" s="1"/>
  <c r="V581" i="2" s="1"/>
  <c r="W581" i="2" s="1"/>
  <c r="Q587" i="2" a="1"/>
  <c r="Q587" i="2" s="1"/>
  <c r="P587" i="2" a="1"/>
  <c r="P587" i="2" s="1"/>
  <c r="R587" i="2" s="1"/>
  <c r="V587" i="2" s="1"/>
  <c r="W587" i="2" s="1"/>
  <c r="P649" i="2" a="1"/>
  <c r="P649" i="2" s="1"/>
  <c r="R649" i="2" s="1"/>
  <c r="V649" i="2" s="1"/>
  <c r="W649" i="2" s="1"/>
  <c r="Q588" i="2" a="1"/>
  <c r="Q588" i="2" s="1"/>
  <c r="P588" i="2" a="1"/>
  <c r="P588" i="2" s="1"/>
  <c r="R588" i="2" s="1"/>
  <c r="V588" i="2" s="1"/>
  <c r="W588" i="2" s="1"/>
  <c r="P657" i="2" a="1"/>
  <c r="P657" i="2" s="1"/>
  <c r="R657" i="2" s="1"/>
  <c r="V657" i="2" s="1"/>
  <c r="W657" i="2" s="1"/>
  <c r="P595" i="2" a="1"/>
  <c r="P595" i="2" s="1"/>
  <c r="R595" i="2" s="1"/>
  <c r="V595" i="2" s="1"/>
  <c r="W595" i="2" s="1"/>
  <c r="P579" i="2" a="1"/>
  <c r="P579" i="2" s="1"/>
  <c r="R579" i="2" s="1"/>
  <c r="V579" i="2" s="1"/>
  <c r="W579" i="2" s="1"/>
  <c r="P658" i="2" a="1"/>
  <c r="P658" i="2" s="1"/>
  <c r="R658" i="2" s="1"/>
  <c r="V658" i="2" s="1"/>
  <c r="W658" i="2" s="1"/>
  <c r="Q599" i="2" a="1"/>
  <c r="Q599" i="2" s="1"/>
  <c r="Q574" i="2" a="1"/>
  <c r="Q574" i="2" s="1"/>
  <c r="P656" i="2" a="1"/>
  <c r="P656" i="2" s="1"/>
  <c r="R656" i="2" s="1"/>
  <c r="V656" i="2" s="1"/>
  <c r="W656" i="2" s="1"/>
  <c r="P651" i="2" a="1"/>
  <c r="P651" i="2" s="1"/>
  <c r="R651" i="2" s="1"/>
  <c r="V651" i="2" s="1"/>
  <c r="W651" i="2" s="1"/>
  <c r="Q596" i="2" a="1"/>
  <c r="Q596" i="2" s="1"/>
  <c r="Q576" i="2" a="1"/>
  <c r="Q576" i="2" s="1"/>
  <c r="P578" i="2" a="1"/>
  <c r="P578" i="2" s="1"/>
  <c r="R578" i="2" s="1"/>
  <c r="V578" i="2" s="1"/>
  <c r="W578" i="2" s="1"/>
  <c r="Q581" i="2" a="1"/>
  <c r="Q581" i="2" s="1"/>
  <c r="Q578" i="2" a="1"/>
  <c r="Q578" i="2" s="1"/>
  <c r="Q595" i="2" a="1"/>
  <c r="Q595" i="2" s="1"/>
  <c r="Q656" i="2" a="1"/>
  <c r="Q656" i="2" s="1"/>
  <c r="Q577" i="2" a="1"/>
  <c r="Q577" i="2" s="1"/>
  <c r="P582" i="2" a="1"/>
  <c r="P582" i="2" s="1"/>
  <c r="R582" i="2" s="1"/>
  <c r="V582" i="2" s="1"/>
  <c r="W582" i="2" s="1"/>
  <c r="Q580" i="2" a="1"/>
  <c r="Q580" i="2" s="1"/>
  <c r="Q657" i="2" a="1"/>
  <c r="Q657" i="2" s="1"/>
  <c r="P576" i="2" a="1"/>
  <c r="P576" i="2" s="1"/>
  <c r="R576" i="2" s="1"/>
  <c r="V576" i="2" s="1"/>
  <c r="W576" i="2" s="1"/>
  <c r="Q579" i="2" a="1"/>
  <c r="Q579" i="2" s="1"/>
  <c r="Q653" i="2" a="1"/>
  <c r="Q653" i="2" s="1"/>
  <c r="P575" i="2" a="1"/>
  <c r="P575" i="2" s="1"/>
  <c r="R575" i="2" s="1"/>
  <c r="V575" i="2" s="1"/>
  <c r="W575" i="2" s="1"/>
  <c r="Q654" i="2" a="1"/>
  <c r="Q654" i="2" s="1"/>
  <c r="Q598" i="2" a="1"/>
  <c r="Q598" i="2" s="1"/>
  <c r="Q650" i="2" a="1"/>
  <c r="Q650" i="2" s="1"/>
  <c r="P598" i="2" a="1"/>
  <c r="P598" i="2" s="1"/>
  <c r="R598" i="2" s="1"/>
  <c r="V598" i="2" s="1"/>
  <c r="W598" i="2" s="1"/>
  <c r="P597" i="2" a="1"/>
  <c r="P597" i="2" s="1"/>
  <c r="R597" i="2" s="1"/>
  <c r="V597" i="2" s="1"/>
  <c r="W597" i="2" s="1"/>
  <c r="P580" i="2" a="1"/>
  <c r="P580" i="2" s="1"/>
  <c r="R580" i="2" s="1"/>
  <c r="V580" i="2" s="1"/>
  <c r="W580" i="2" s="1"/>
  <c r="Q575" i="2" a="1"/>
  <c r="Q575" i="2" s="1"/>
  <c r="Q597" i="2" a="1"/>
  <c r="Q597" i="2" s="1"/>
  <c r="P652" i="2" a="1"/>
  <c r="P652" i="2" s="1"/>
  <c r="R652" i="2" s="1"/>
  <c r="V652" i="2" s="1"/>
  <c r="W652" i="2" s="1"/>
  <c r="Q651" i="2" a="1"/>
  <c r="Q651" i="2" s="1"/>
  <c r="P577" i="2" a="1"/>
  <c r="P577" i="2" s="1"/>
  <c r="R577" i="2" s="1"/>
  <c r="V577" i="2" s="1"/>
  <c r="W577" i="2" s="1"/>
  <c r="P596" i="2" a="1"/>
  <c r="P596" i="2" s="1"/>
  <c r="R596" i="2" s="1"/>
  <c r="V596" i="2" s="1"/>
  <c r="W596" i="2" s="1"/>
  <c r="P653" i="2" a="1"/>
  <c r="P653" i="2" s="1"/>
  <c r="R653" i="2" s="1"/>
  <c r="V653" i="2" s="1"/>
  <c r="W653" i="2" s="1"/>
  <c r="Q652" i="2" a="1"/>
  <c r="Q652" i="2" s="1"/>
  <c r="P599" i="2" a="1"/>
  <c r="P599" i="2" s="1"/>
  <c r="R599" i="2" s="1"/>
  <c r="V599" i="2" s="1"/>
  <c r="W599" i="2" s="1"/>
  <c r="Q649" i="2" a="1"/>
  <c r="Q649" i="2" s="1"/>
  <c r="P574" i="2" a="1"/>
  <c r="P574" i="2" s="1"/>
  <c r="R574" i="2" s="1"/>
  <c r="V574" i="2" s="1"/>
  <c r="W574" i="2" s="1"/>
  <c r="P654" i="2" a="1"/>
  <c r="P654" i="2" s="1"/>
  <c r="R654" i="2" s="1"/>
  <c r="V654" i="2" s="1"/>
  <c r="W654" i="2" s="1"/>
  <c r="Q658" i="2" a="1"/>
  <c r="Q658" i="2" s="1"/>
  <c r="P650" i="2" a="1"/>
  <c r="P650" i="2" s="1"/>
  <c r="R650" i="2" s="1"/>
  <c r="V650" i="2" s="1"/>
  <c r="W650" i="2" s="1"/>
  <c r="Q1719" i="2" a="1"/>
  <c r="Q1719" i="2" s="1"/>
  <c r="P370" i="2" a="1"/>
  <c r="P370" i="2" s="1"/>
  <c r="R370" i="2" s="1"/>
  <c r="V370" i="2" s="1"/>
  <c r="W370" i="2" s="1"/>
  <c r="Q72" i="2" a="1"/>
  <c r="Q72" i="2" s="1"/>
  <c r="Q80" i="2" a="1"/>
  <c r="Q80" i="2" s="1"/>
  <c r="Q532" i="2" a="1"/>
  <c r="Q532" i="2" s="1"/>
  <c r="Q174" i="2" a="1"/>
  <c r="Q174" i="2" s="1"/>
  <c r="Q572" i="2" a="1"/>
  <c r="Q572" i="2" s="1"/>
  <c r="Q334" i="2" a="1"/>
  <c r="Q334" i="2" s="1"/>
  <c r="Q1697" i="2" a="1"/>
  <c r="Q1697" i="2" s="1"/>
  <c r="P555" i="2" a="1"/>
  <c r="P555" i="2" s="1"/>
  <c r="R555" i="2" s="1"/>
  <c r="V555" i="2" s="1"/>
  <c r="W555" i="2" s="1"/>
  <c r="Q94" i="2" a="1"/>
  <c r="Q94" i="2" s="1"/>
  <c r="P559" i="2" a="1"/>
  <c r="P559" i="2" s="1"/>
  <c r="R559" i="2" s="1"/>
  <c r="V559" i="2" s="1"/>
  <c r="W559" i="2" s="1"/>
  <c r="Q956" i="2" a="1"/>
  <c r="Q956" i="2" s="1"/>
  <c r="Q932" i="2" a="1"/>
  <c r="Q932" i="2" s="1"/>
  <c r="P572" i="2" a="1"/>
  <c r="P572" i="2" s="1"/>
  <c r="R572" i="2" s="1"/>
  <c r="V572" i="2" s="1"/>
  <c r="W572" i="2" s="1"/>
  <c r="Q1025" i="2" a="1"/>
  <c r="Q1025" i="2" s="1"/>
  <c r="Q842" i="2" a="1"/>
  <c r="Q842" i="2" s="1"/>
  <c r="Q19" i="2" a="1"/>
  <c r="Q19" i="2" s="1"/>
  <c r="Q327" i="2" a="1"/>
  <c r="Q327" i="2" s="1"/>
  <c r="Q565" i="2" a="1"/>
  <c r="Q565" i="2" s="1"/>
  <c r="Q10" i="2" a="1"/>
  <c r="Q10" i="2" s="1"/>
  <c r="Q69" i="2" a="1"/>
  <c r="Q69" i="2" s="1"/>
  <c r="Q873" i="2" a="1"/>
  <c r="Q873" i="2" s="1"/>
  <c r="Q97" i="2" a="1"/>
  <c r="Q97" i="2" s="1"/>
  <c r="Q490" i="2" a="1"/>
  <c r="Q490" i="2" s="1"/>
  <c r="Q905" i="2" a="1"/>
  <c r="Q905" i="2" s="1"/>
  <c r="P561" i="2" a="1"/>
  <c r="P561" i="2" s="1"/>
  <c r="R561" i="2" s="1"/>
  <c r="V561" i="2" s="1"/>
  <c r="W561" i="2" s="1"/>
  <c r="Q1693" i="2" a="1"/>
  <c r="Q1693" i="2" s="1"/>
  <c r="Q120" i="2" a="1"/>
  <c r="Q120" i="2" s="1"/>
  <c r="Q111" i="2" a="1"/>
  <c r="Q111" i="2" s="1"/>
  <c r="Q985" i="2" a="1"/>
  <c r="Q985" i="2" s="1"/>
  <c r="Q557" i="2" a="1"/>
  <c r="Q557" i="2" s="1"/>
  <c r="Q500" i="2" a="1"/>
  <c r="Q500" i="2" s="1"/>
  <c r="Q1012" i="2" a="1"/>
  <c r="Q1012" i="2" s="1"/>
  <c r="Q1071" i="2" a="1"/>
  <c r="Q1071" i="2" s="1"/>
  <c r="Q830" i="2" a="1"/>
  <c r="Q830" i="2" s="1"/>
  <c r="Q358" i="2" a="1"/>
  <c r="Q358" i="2" s="1"/>
  <c r="Q912" i="2" a="1"/>
  <c r="Q912" i="2" s="1"/>
  <c r="P665" i="2" a="1"/>
  <c r="P665" i="2" s="1"/>
  <c r="R665" i="2" s="1"/>
  <c r="V665" i="2" s="1"/>
  <c r="W665" i="2" s="1"/>
  <c r="Q346" i="2" a="1"/>
  <c r="Q346" i="2" s="1"/>
  <c r="Q88" i="2" a="1"/>
  <c r="Q88" i="2" s="1"/>
  <c r="Q963" i="2" a="1"/>
  <c r="Q963" i="2" s="1"/>
  <c r="P51" i="2" a="1"/>
  <c r="P51" i="2" s="1"/>
  <c r="R51" i="2" s="1"/>
  <c r="V51" i="2" s="1"/>
  <c r="W51" i="2" s="1"/>
  <c r="Q666" i="2" a="1"/>
  <c r="Q666" i="2" s="1"/>
  <c r="Q663" i="2" a="1"/>
  <c r="Q663" i="2" s="1"/>
  <c r="Q2034" i="2" a="1"/>
  <c r="Q2034" i="2" s="1"/>
  <c r="Q942" i="2" a="1"/>
  <c r="Q942" i="2" s="1"/>
  <c r="Q351" i="2" a="1"/>
  <c r="Q351" i="2" s="1"/>
  <c r="Q187" i="2" a="1"/>
  <c r="Q187" i="2" s="1"/>
  <c r="P289" i="2" a="1"/>
  <c r="P289" i="2" s="1"/>
  <c r="R289" i="2" s="1"/>
  <c r="V289" i="2" s="1"/>
  <c r="W289" i="2" s="1"/>
  <c r="Q562" i="2" a="1"/>
  <c r="Q562" i="2" s="1"/>
  <c r="Q430" i="2" a="1"/>
  <c r="Q430" i="2" s="1"/>
  <c r="Q266" i="2" a="1"/>
  <c r="Q266" i="2" s="1"/>
  <c r="Q405" i="2" a="1"/>
  <c r="Q405" i="2" s="1"/>
  <c r="Q360" i="2" a="1"/>
  <c r="Q360" i="2" s="1"/>
  <c r="Q39" i="2" a="1"/>
  <c r="Q39" i="2" s="1"/>
  <c r="P145" i="2" a="1"/>
  <c r="P145" i="2" s="1"/>
  <c r="Q570" i="2" a="1"/>
  <c r="Q570" i="2" s="1"/>
  <c r="Q13" i="2" a="1"/>
  <c r="Q13" i="2" s="1"/>
  <c r="Q44" i="2" a="1"/>
  <c r="Q44" i="2" s="1"/>
  <c r="Q344" i="2" a="1"/>
  <c r="Q344" i="2" s="1"/>
  <c r="Q1743" i="2" a="1"/>
  <c r="Q1743" i="2" s="1"/>
  <c r="Q987" i="2" a="1"/>
  <c r="Q987" i="2" s="1"/>
  <c r="P1610" i="2" a="1"/>
  <c r="P1610" i="2" s="1"/>
  <c r="Q563" i="2" a="1"/>
  <c r="Q563" i="2" s="1"/>
  <c r="Q176" i="2" a="1"/>
  <c r="Q176" i="2" s="1"/>
  <c r="Q936" i="2" a="1"/>
  <c r="Q936" i="2" s="1"/>
  <c r="Q188" i="2" a="1"/>
  <c r="Q188" i="2" s="1"/>
  <c r="Q1615" i="2" a="1"/>
  <c r="Q1615" i="2" s="1"/>
  <c r="Q66" i="2" a="1"/>
  <c r="Q66" i="2" s="1"/>
  <c r="P1197" i="2" a="1"/>
  <c r="P1197" i="2" s="1"/>
  <c r="P666" i="2" a="1"/>
  <c r="P666" i="2" s="1"/>
  <c r="R666" i="2" s="1"/>
  <c r="V666" i="2" s="1"/>
  <c r="W666" i="2" s="1"/>
  <c r="P562" i="2" a="1"/>
  <c r="P562" i="2" s="1"/>
  <c r="R562" i="2" s="1"/>
  <c r="V562" i="2" s="1"/>
  <c r="W562" i="2" s="1"/>
  <c r="P560" i="2" a="1"/>
  <c r="P560" i="2" s="1"/>
  <c r="R560" i="2" s="1"/>
  <c r="V560" i="2" s="1"/>
  <c r="W560" i="2" s="1"/>
  <c r="Q558" i="2" a="1"/>
  <c r="Q558" i="2" s="1"/>
  <c r="P568" i="2" a="1"/>
  <c r="P568" i="2" s="1"/>
  <c r="R568" i="2" s="1"/>
  <c r="V568" i="2" s="1"/>
  <c r="W568" i="2" s="1"/>
  <c r="P663" i="2" a="1"/>
  <c r="P663" i="2" s="1"/>
  <c r="R663" i="2" s="1"/>
  <c r="V663" i="2" s="1"/>
  <c r="W663" i="2" s="1"/>
  <c r="Q566" i="2" a="1"/>
  <c r="Q566" i="2" s="1"/>
  <c r="P566" i="2" a="1"/>
  <c r="P566" i="2" s="1"/>
  <c r="R566" i="2" s="1"/>
  <c r="V566" i="2" s="1"/>
  <c r="W566" i="2" s="1"/>
  <c r="P1520" i="2" a="1"/>
  <c r="P1520" i="2" s="1"/>
  <c r="P565" i="2" a="1"/>
  <c r="P565" i="2" s="1"/>
  <c r="R565" i="2" s="1"/>
  <c r="V565" i="2" s="1"/>
  <c r="W565" i="2" s="1"/>
  <c r="Q554" i="2" a="1"/>
  <c r="Q554" i="2" s="1"/>
  <c r="P556" i="2" a="1"/>
  <c r="P556" i="2" s="1"/>
  <c r="R556" i="2" s="1"/>
  <c r="V556" i="2" s="1"/>
  <c r="W556" i="2" s="1"/>
  <c r="P567" i="2" a="1"/>
  <c r="P567" i="2" s="1"/>
  <c r="R567" i="2" s="1"/>
  <c r="V567" i="2" s="1"/>
  <c r="W567" i="2" s="1"/>
  <c r="Q573" i="2" a="1"/>
  <c r="Q573" i="2" s="1"/>
  <c r="P570" i="2" a="1"/>
  <c r="P570" i="2" s="1"/>
  <c r="R570" i="2" s="1"/>
  <c r="V570" i="2" s="1"/>
  <c r="W570" i="2" s="1"/>
  <c r="Q417" i="2" a="1"/>
  <c r="Q417" i="2" s="1"/>
  <c r="Q655" i="2" a="1"/>
  <c r="Q655" i="2" s="1"/>
  <c r="P557" i="2" a="1"/>
  <c r="P557" i="2" s="1"/>
  <c r="R557" i="2" s="1"/>
  <c r="V557" i="2" s="1"/>
  <c r="W557" i="2" s="1"/>
  <c r="Q553" i="2" a="1"/>
  <c r="Q553" i="2" s="1"/>
  <c r="P573" i="2" a="1"/>
  <c r="P573" i="2" s="1"/>
  <c r="R573" i="2" s="1"/>
  <c r="V573" i="2" s="1"/>
  <c r="W573" i="2" s="1"/>
  <c r="Q390" i="2" a="1"/>
  <c r="Q390" i="2" s="1"/>
  <c r="Q343" i="2" a="1"/>
  <c r="Q343" i="2" s="1"/>
  <c r="Q659" i="2" a="1"/>
  <c r="Q659" i="2" s="1"/>
  <c r="P569" i="2" a="1"/>
  <c r="P569" i="2" s="1"/>
  <c r="R569" i="2" s="1"/>
  <c r="V569" i="2" s="1"/>
  <c r="W569" i="2" s="1"/>
  <c r="Q559" i="2" a="1"/>
  <c r="Q559" i="2" s="1"/>
  <c r="P553" i="2" a="1"/>
  <c r="P553" i="2" s="1"/>
  <c r="R553" i="2" s="1"/>
  <c r="V553" i="2" s="1"/>
  <c r="W553" i="2" s="1"/>
  <c r="P659" i="2" a="1"/>
  <c r="P659" i="2" s="1"/>
  <c r="R659" i="2" s="1"/>
  <c r="V659" i="2" s="1"/>
  <c r="W659" i="2" s="1"/>
  <c r="Q561" i="2" a="1"/>
  <c r="Q561" i="2" s="1"/>
  <c r="Q647" i="2" a="1"/>
  <c r="Q647" i="2" s="1"/>
  <c r="Q567" i="2" a="1"/>
  <c r="Q567" i="2" s="1"/>
  <c r="Q2040" i="2" a="1"/>
  <c r="Q2040" i="2" s="1"/>
  <c r="Q648" i="2" a="1"/>
  <c r="Q648" i="2" s="1"/>
  <c r="P563" i="2" a="1"/>
  <c r="P563" i="2" s="1"/>
  <c r="R563" i="2" s="1"/>
  <c r="V563" i="2" s="1"/>
  <c r="W563" i="2" s="1"/>
  <c r="Q564" i="2" a="1"/>
  <c r="Q564" i="2" s="1"/>
  <c r="P647" i="2" a="1"/>
  <c r="P647" i="2" s="1"/>
  <c r="R647" i="2" s="1"/>
  <c r="V647" i="2" s="1"/>
  <c r="W647" i="2" s="1"/>
  <c r="Q863" i="2" a="1"/>
  <c r="Q863" i="2" s="1"/>
  <c r="Q910" i="2" a="1"/>
  <c r="Q910" i="2" s="1"/>
  <c r="P648" i="2" a="1"/>
  <c r="P648" i="2" s="1"/>
  <c r="R648" i="2" s="1"/>
  <c r="V648" i="2" s="1"/>
  <c r="W648" i="2" s="1"/>
  <c r="P571" i="2" a="1"/>
  <c r="P571" i="2" s="1"/>
  <c r="R571" i="2" s="1"/>
  <c r="V571" i="2" s="1"/>
  <c r="W571" i="2" s="1"/>
  <c r="Q560" i="2" a="1"/>
  <c r="Q560" i="2" s="1"/>
  <c r="P564" i="2" a="1"/>
  <c r="P564" i="2" s="1"/>
  <c r="R564" i="2" s="1"/>
  <c r="V564" i="2" s="1"/>
  <c r="W564" i="2" s="1"/>
  <c r="Q1066" i="2" a="1"/>
  <c r="Q1066" i="2" s="1"/>
  <c r="Q9" i="2" a="1"/>
  <c r="Q9" i="2" s="1"/>
  <c r="Q665" i="2" a="1"/>
  <c r="Q665" i="2" s="1"/>
  <c r="Q555" i="2" a="1"/>
  <c r="Q555" i="2" s="1"/>
  <c r="Q568" i="2" a="1"/>
  <c r="Q568" i="2" s="1"/>
  <c r="P558" i="2" a="1"/>
  <c r="P558" i="2" s="1"/>
  <c r="R558" i="2" s="1"/>
  <c r="V558" i="2" s="1"/>
  <c r="W558" i="2" s="1"/>
  <c r="Q2027" i="2" a="1"/>
  <c r="Q2027" i="2" s="1"/>
  <c r="Q569" i="2" a="1"/>
  <c r="Q569" i="2" s="1"/>
  <c r="Q571" i="2" a="1"/>
  <c r="Q571" i="2" s="1"/>
  <c r="Q556" i="2" a="1"/>
  <c r="Q556" i="2" s="1"/>
  <c r="P554" i="2" a="1"/>
  <c r="P554" i="2" s="1"/>
  <c r="R554" i="2" s="1"/>
  <c r="V554" i="2" s="1"/>
  <c r="W554" i="2" s="1"/>
  <c r="P655" i="2" a="1"/>
  <c r="P655" i="2" s="1"/>
  <c r="R655" i="2" s="1"/>
  <c r="V655" i="2" s="1"/>
  <c r="W655" i="2" s="1"/>
  <c r="Q661" i="2" a="1"/>
  <c r="Q661" i="2" s="1"/>
  <c r="Q660" i="2" a="1"/>
  <c r="Q660" i="2" s="1"/>
  <c r="Q1698" i="2" a="1"/>
  <c r="Q1698" i="2" s="1"/>
  <c r="P660" i="2" a="1"/>
  <c r="P660" i="2" s="1"/>
  <c r="R660" i="2" s="1"/>
  <c r="V660" i="2" s="1"/>
  <c r="W660" i="2" s="1"/>
  <c r="P661" i="2" a="1"/>
  <c r="P661" i="2" s="1"/>
  <c r="R661" i="2" s="1"/>
  <c r="V661" i="2" s="1"/>
  <c r="W661" i="2" s="1"/>
  <c r="Q662" i="2" a="1"/>
  <c r="Q662" i="2" s="1"/>
  <c r="P662" i="2" a="1"/>
  <c r="P662" i="2" s="1"/>
  <c r="R662" i="2" s="1"/>
  <c r="V662" i="2" s="1"/>
  <c r="W662" i="2" s="1"/>
  <c r="Q738" i="2" a="1"/>
  <c r="Q738" i="2" s="1"/>
  <c r="Q732" i="2" a="1"/>
  <c r="Q732" i="2" s="1"/>
  <c r="Q731" i="2" a="1"/>
  <c r="Q731" i="2" s="1"/>
  <c r="Q730" i="2" a="1"/>
  <c r="Q730" i="2" s="1"/>
  <c r="P730" i="2" a="1"/>
  <c r="P730" i="2" s="1"/>
  <c r="R730" i="2" s="1"/>
  <c r="V730" i="2" s="1"/>
  <c r="W730" i="2" s="1"/>
  <c r="Q729" i="2" a="1"/>
  <c r="Q729" i="2" s="1"/>
  <c r="P729" i="2" a="1"/>
  <c r="P729" i="2" s="1"/>
  <c r="R729" i="2" s="1"/>
  <c r="V729" i="2" s="1"/>
  <c r="W729" i="2" s="1"/>
  <c r="P731" i="2" a="1"/>
  <c r="P731" i="2" s="1"/>
  <c r="R731" i="2" s="1"/>
  <c r="V731" i="2" s="1"/>
  <c r="W731" i="2" s="1"/>
  <c r="P732" i="2" a="1"/>
  <c r="P732" i="2" s="1"/>
  <c r="R732" i="2" s="1"/>
  <c r="V732" i="2" s="1"/>
  <c r="W732" i="2" s="1"/>
  <c r="P738" i="2" a="1"/>
  <c r="P738" i="2" s="1"/>
  <c r="R738" i="2" s="1"/>
  <c r="V738" i="2" s="1"/>
  <c r="W738" i="2" s="1"/>
  <c r="Q734" i="2" a="1"/>
  <c r="Q734" i="2" s="1"/>
  <c r="P734" i="2" a="1"/>
  <c r="P734" i="2" s="1"/>
  <c r="R734" i="2" s="1"/>
  <c r="V734" i="2" s="1"/>
  <c r="W734" i="2" s="1"/>
  <c r="Q733" i="2" a="1"/>
  <c r="Q733" i="2" s="1"/>
  <c r="Q486" i="2" a="1"/>
  <c r="Q486" i="2" s="1"/>
  <c r="P733" i="2" a="1"/>
  <c r="P733" i="2" s="1"/>
  <c r="R733" i="2" s="1"/>
  <c r="V733" i="2" s="1"/>
  <c r="W733" i="2" s="1"/>
  <c r="Q735" i="2" a="1"/>
  <c r="Q735" i="2" s="1"/>
  <c r="P735" i="2" a="1"/>
  <c r="P735" i="2" s="1"/>
  <c r="R735" i="2" s="1"/>
  <c r="V735" i="2" s="1"/>
  <c r="W735" i="2" s="1"/>
  <c r="Q737" i="2" a="1"/>
  <c r="Q737" i="2" s="1"/>
  <c r="P737" i="2" a="1"/>
  <c r="P737" i="2" s="1"/>
  <c r="R737" i="2" s="1"/>
  <c r="V737" i="2" s="1"/>
  <c r="W737" i="2" s="1"/>
  <c r="Q736" i="2" a="1"/>
  <c r="Q736" i="2" s="1"/>
  <c r="P736" i="2" a="1"/>
  <c r="P736" i="2" s="1"/>
  <c r="R736" i="2" s="1"/>
  <c r="V736" i="2" s="1"/>
  <c r="W736" i="2" s="1"/>
  <c r="Q710" i="2" a="1"/>
  <c r="Q710" i="2" s="1"/>
  <c r="P740" i="2" a="1"/>
  <c r="P740" i="2" s="1"/>
  <c r="R740" i="2" s="1"/>
  <c r="V740" i="2" s="1"/>
  <c r="W740" i="2" s="1"/>
  <c r="Q75" i="2" a="1"/>
  <c r="Q75" i="2" s="1"/>
  <c r="Q703" i="2" a="1"/>
  <c r="Q703" i="2" s="1"/>
  <c r="Q855" i="2" a="1"/>
  <c r="Q855" i="2" s="1"/>
  <c r="Q984" i="2" a="1"/>
  <c r="Q984" i="2" s="1"/>
  <c r="P705" i="2" a="1"/>
  <c r="P705" i="2" s="1"/>
  <c r="R705" i="2" s="1"/>
  <c r="V705" i="2" s="1"/>
  <c r="W705" i="2" s="1"/>
  <c r="Q1006" i="2" a="1"/>
  <c r="Q1006" i="2" s="1"/>
  <c r="Q1747" i="2" a="1"/>
  <c r="Q1747" i="2" s="1"/>
  <c r="Q940" i="2" a="1"/>
  <c r="Q940" i="2" s="1"/>
  <c r="P1516" i="2" a="1"/>
  <c r="P1516" i="2" s="1"/>
  <c r="R1516" i="2" s="1"/>
  <c r="V1516" i="2" s="1"/>
  <c r="W1516" i="2" s="1"/>
  <c r="Q704" i="2" a="1"/>
  <c r="Q704" i="2" s="1"/>
  <c r="Q533" i="2" a="1"/>
  <c r="Q533" i="2" s="1"/>
  <c r="P483" i="2" a="1"/>
  <c r="P483" i="2" s="1"/>
  <c r="Q708" i="2" a="1"/>
  <c r="Q708" i="2" s="1"/>
  <c r="Q811" i="2" a="1"/>
  <c r="Q811" i="2" s="1"/>
  <c r="P180" i="2" a="1"/>
  <c r="P180" i="2" s="1"/>
  <c r="Q706" i="2" a="1"/>
  <c r="Q706" i="2" s="1"/>
  <c r="Q702" i="2" a="1"/>
  <c r="Q702" i="2" s="1"/>
  <c r="Q705" i="2" a="1"/>
  <c r="Q705" i="2" s="1"/>
  <c r="P703" i="2" a="1"/>
  <c r="P703" i="2" s="1"/>
  <c r="R703" i="2" s="1"/>
  <c r="V703" i="2" s="1"/>
  <c r="W703" i="2" s="1"/>
  <c r="Q960" i="2" a="1"/>
  <c r="Q960" i="2" s="1"/>
  <c r="P742" i="2" a="1"/>
  <c r="P742" i="2" s="1"/>
  <c r="R742" i="2" s="1"/>
  <c r="V742" i="2" s="1"/>
  <c r="W742" i="2" s="1"/>
  <c r="Q741" i="2" a="1"/>
  <c r="Q741" i="2" s="1"/>
  <c r="Q482" i="2" a="1"/>
  <c r="Q482" i="2" s="1"/>
  <c r="Q742" i="2" a="1"/>
  <c r="Q742" i="2" s="1"/>
  <c r="P739" i="2" a="1"/>
  <c r="P739" i="2" s="1"/>
  <c r="R739" i="2" s="1"/>
  <c r="V739" i="2" s="1"/>
  <c r="W739" i="2" s="1"/>
  <c r="Q14" i="2" a="1"/>
  <c r="Q14" i="2" s="1"/>
  <c r="Q52" i="2" a="1"/>
  <c r="Q52" i="2" s="1"/>
  <c r="P704" i="2" a="1"/>
  <c r="P704" i="2" s="1"/>
  <c r="R704" i="2" s="1"/>
  <c r="V704" i="2" s="1"/>
  <c r="W704" i="2" s="1"/>
  <c r="Q355" i="2" a="1"/>
  <c r="Q355" i="2" s="1"/>
  <c r="Q853" i="2" a="1"/>
  <c r="Q853" i="2" s="1"/>
  <c r="Q707" i="2" a="1"/>
  <c r="Q707" i="2" s="1"/>
  <c r="Q712" i="2" a="1"/>
  <c r="Q712" i="2" s="1"/>
  <c r="Q978" i="2" a="1"/>
  <c r="Q978" i="2" s="1"/>
  <c r="Q383" i="2" a="1"/>
  <c r="Q383" i="2" s="1"/>
  <c r="P712" i="2" a="1"/>
  <c r="P712" i="2" s="1"/>
  <c r="R712" i="2" s="1"/>
  <c r="V712" i="2" s="1"/>
  <c r="W712" i="2" s="1"/>
  <c r="Q711" i="2" a="1"/>
  <c r="Q711" i="2" s="1"/>
  <c r="P710" i="2" a="1"/>
  <c r="P710" i="2" s="1"/>
  <c r="R710" i="2" s="1"/>
  <c r="V710" i="2" s="1"/>
  <c r="W710" i="2" s="1"/>
  <c r="P741" i="2" a="1"/>
  <c r="P741" i="2" s="1"/>
  <c r="R741" i="2" s="1"/>
  <c r="V741" i="2" s="1"/>
  <c r="W741" i="2" s="1"/>
  <c r="P711" i="2" a="1"/>
  <c r="P711" i="2" s="1"/>
  <c r="R711" i="2" s="1"/>
  <c r="V711" i="2" s="1"/>
  <c r="W711" i="2" s="1"/>
  <c r="Q740" i="2" a="1"/>
  <c r="Q740" i="2" s="1"/>
  <c r="P709" i="2" a="1"/>
  <c r="P709" i="2" s="1"/>
  <c r="R709" i="2" s="1"/>
  <c r="V709" i="2" s="1"/>
  <c r="W709" i="2" s="1"/>
  <c r="Q744" i="2" a="1"/>
  <c r="Q744" i="2" s="1"/>
  <c r="P707" i="2" a="1"/>
  <c r="P707" i="2" s="1"/>
  <c r="R707" i="2" s="1"/>
  <c r="V707" i="2" s="1"/>
  <c r="W707" i="2" s="1"/>
  <c r="P708" i="2" a="1"/>
  <c r="P708" i="2" s="1"/>
  <c r="R708" i="2" s="1"/>
  <c r="V708" i="2" s="1"/>
  <c r="W708" i="2" s="1"/>
  <c r="Q844" i="2" a="1"/>
  <c r="Q844" i="2" s="1"/>
  <c r="Q743" i="2" a="1"/>
  <c r="Q743" i="2" s="1"/>
  <c r="Q739" i="2" a="1"/>
  <c r="Q739" i="2" s="1"/>
  <c r="P706" i="2" a="1"/>
  <c r="P706" i="2" s="1"/>
  <c r="R706" i="2" s="1"/>
  <c r="V706" i="2" s="1"/>
  <c r="W706" i="2" s="1"/>
  <c r="Q1057" i="2" a="1"/>
  <c r="Q1057" i="2" s="1"/>
  <c r="P743" i="2" a="1"/>
  <c r="P743" i="2" s="1"/>
  <c r="R743" i="2" s="1"/>
  <c r="V743" i="2" s="1"/>
  <c r="W743" i="2" s="1"/>
  <c r="Q709" i="2" a="1"/>
  <c r="Q709" i="2" s="1"/>
  <c r="P702" i="2" a="1"/>
  <c r="P702" i="2" s="1"/>
  <c r="R702" i="2" s="1"/>
  <c r="V702" i="2" s="1"/>
  <c r="W702" i="2" s="1"/>
  <c r="P744" i="2" a="1"/>
  <c r="P744" i="2" s="1"/>
  <c r="R744" i="2" s="1"/>
  <c r="V744" i="2" s="1"/>
  <c r="W744" i="2" s="1"/>
  <c r="Q552" i="2" a="1"/>
  <c r="Q552" i="2" s="1"/>
  <c r="P552" i="2" a="1"/>
  <c r="P552" i="2" s="1"/>
  <c r="R552" i="2" s="1"/>
  <c r="V552" i="2" s="1"/>
  <c r="W552" i="2" s="1"/>
  <c r="Q551" i="2" a="1"/>
  <c r="Q551" i="2" s="1"/>
  <c r="P551" i="2" a="1"/>
  <c r="P551" i="2" s="1"/>
  <c r="R551" i="2" s="1"/>
  <c r="V551" i="2" s="1"/>
  <c r="W551" i="2" s="1"/>
  <c r="P1361" i="2" a="1"/>
  <c r="P1361" i="2" s="1"/>
  <c r="P1424" i="2" a="1"/>
  <c r="P1424" i="2" s="1"/>
  <c r="P1625" i="2" a="1"/>
  <c r="P1625" i="2" s="1"/>
  <c r="Q1718" i="2" a="1"/>
  <c r="Q1718" i="2" s="1"/>
  <c r="Q523" i="2" a="1"/>
  <c r="Q523" i="2" s="1"/>
  <c r="Q725" i="2" a="1"/>
  <c r="Q725" i="2" s="1"/>
  <c r="Q458" i="2" a="1"/>
  <c r="Q458" i="2" s="1"/>
  <c r="P1038" i="2" a="1"/>
  <c r="P1038" i="2" s="1"/>
  <c r="P725" i="2" a="1"/>
  <c r="P725" i="2" s="1"/>
  <c r="R725" i="2" s="1"/>
  <c r="V725" i="2" s="1"/>
  <c r="W725" i="2" s="1"/>
  <c r="Q690" i="2" a="1"/>
  <c r="Q690" i="2" s="1"/>
  <c r="Q689" i="2" a="1"/>
  <c r="Q689" i="2" s="1"/>
  <c r="P689" i="2" a="1"/>
  <c r="P689" i="2" s="1"/>
  <c r="R689" i="2" s="1"/>
  <c r="V689" i="2" s="1"/>
  <c r="W689" i="2" s="1"/>
  <c r="P690" i="2" a="1"/>
  <c r="P690" i="2" s="1"/>
  <c r="R690" i="2" s="1"/>
  <c r="V690" i="2" s="1"/>
  <c r="W690" i="2" s="1"/>
  <c r="P1357" i="2" a="1"/>
  <c r="P1357" i="2" s="1"/>
  <c r="R1357" i="2" s="1"/>
  <c r="V1357" i="2" s="1"/>
  <c r="W1357" i="2" s="1"/>
  <c r="Q889" i="2" a="1"/>
  <c r="Q889" i="2" s="1"/>
  <c r="Q511" i="2" a="1"/>
  <c r="Q511" i="2" s="1"/>
  <c r="Q531" i="2" a="1"/>
  <c r="Q531" i="2" s="1"/>
  <c r="Q84" i="2" a="1"/>
  <c r="Q84" i="2" s="1"/>
  <c r="Q939" i="2" a="1"/>
  <c r="Q939" i="2" s="1"/>
  <c r="P1670" i="2" a="1"/>
  <c r="P1670" i="2" s="1"/>
  <c r="P727" i="2" a="1"/>
  <c r="P727" i="2" s="1"/>
  <c r="R727" i="2" s="1"/>
  <c r="V727" i="2" s="1"/>
  <c r="W727" i="2" s="1"/>
  <c r="Q467" i="2" a="1"/>
  <c r="Q467" i="2" s="1"/>
  <c r="Q881" i="2" a="1"/>
  <c r="Q881" i="2" s="1"/>
  <c r="Q186" i="2" a="1"/>
  <c r="Q186" i="2" s="1"/>
  <c r="Q33" i="2" a="1"/>
  <c r="Q33" i="2" s="1"/>
  <c r="Q935" i="2" a="1"/>
  <c r="Q935" i="2" s="1"/>
  <c r="Q357" i="2" a="1"/>
  <c r="Q357" i="2" s="1"/>
  <c r="Q497" i="2" a="1"/>
  <c r="Q497" i="2" s="1"/>
  <c r="P531" i="2" a="1"/>
  <c r="P531" i="2" s="1"/>
  <c r="R531" i="2" s="1"/>
  <c r="V531" i="2" s="1"/>
  <c r="W531" i="2" s="1"/>
  <c r="Q727" i="2" a="1"/>
  <c r="Q727" i="2" s="1"/>
  <c r="Q2007" i="2" a="1"/>
  <c r="Q2007" i="2" s="1"/>
  <c r="Q815" i="2" a="1"/>
  <c r="Q815" i="2" s="1"/>
  <c r="Q1744" i="2" a="1"/>
  <c r="Q1744" i="2" s="1"/>
  <c r="Q478" i="2" a="1"/>
  <c r="Q478" i="2" s="1"/>
  <c r="Q53" i="2" a="1"/>
  <c r="Q53" i="2" s="1"/>
  <c r="Q422" i="2" a="1"/>
  <c r="Q422" i="2" s="1"/>
  <c r="Q321" i="2" a="1"/>
  <c r="Q321" i="2" s="1"/>
  <c r="Q900" i="2" a="1"/>
  <c r="Q900" i="2" s="1"/>
  <c r="P1188" i="2" a="1"/>
  <c r="P1188" i="2" s="1"/>
  <c r="Q726" i="2" a="1"/>
  <c r="Q726" i="2" s="1"/>
  <c r="Q330" i="2" a="1"/>
  <c r="Q330" i="2" s="1"/>
  <c r="Q972" i="2" a="1"/>
  <c r="Q972" i="2" s="1"/>
  <c r="Q1624" i="2" a="1"/>
  <c r="Q1624" i="2" s="1"/>
  <c r="Q1019" i="2" a="1"/>
  <c r="Q1019" i="2" s="1"/>
  <c r="Q380" i="2" a="1"/>
  <c r="Q380" i="2" s="1"/>
  <c r="Q25" i="2" a="1"/>
  <c r="Q25" i="2" s="1"/>
  <c r="Q834" i="2" a="1"/>
  <c r="Q834" i="2" s="1"/>
  <c r="Q68" i="2" a="1"/>
  <c r="Q68" i="2" s="1"/>
  <c r="P935" i="2" a="1"/>
  <c r="P935" i="2" s="1"/>
  <c r="R935" i="2" s="1"/>
  <c r="V935" i="2" s="1"/>
  <c r="W935" i="2" s="1"/>
  <c r="P726" i="2" a="1"/>
  <c r="P726" i="2" s="1"/>
  <c r="R726" i="2" s="1"/>
  <c r="V726" i="2" s="1"/>
  <c r="W726" i="2" s="1"/>
  <c r="Q859" i="2" a="1"/>
  <c r="Q859" i="2" s="1"/>
  <c r="Q902" i="2" a="1"/>
  <c r="Q902" i="2" s="1"/>
  <c r="Q495" i="2" a="1"/>
  <c r="Q495" i="2" s="1"/>
  <c r="Q887" i="2" a="1"/>
  <c r="Q887" i="2" s="1"/>
  <c r="Q5" i="2" a="1"/>
  <c r="Q5" i="2" s="1"/>
  <c r="Q1009" i="2" a="1"/>
  <c r="Q1009" i="2" s="1"/>
  <c r="Q325" i="2" a="1"/>
  <c r="Q325" i="2" s="1"/>
  <c r="Q382" i="2" a="1"/>
  <c r="Q382" i="2" s="1"/>
  <c r="Q918" i="2" a="1"/>
  <c r="Q918" i="2" s="1"/>
  <c r="P885" i="2" a="1"/>
  <c r="P885" i="2" s="1"/>
  <c r="R885" i="2" s="1"/>
  <c r="V885" i="2" s="1"/>
  <c r="W885" i="2" s="1"/>
  <c r="P691" i="2" a="1"/>
  <c r="P691" i="2" s="1"/>
  <c r="R691" i="2" s="1"/>
  <c r="V691" i="2" s="1"/>
  <c r="W691" i="2" s="1"/>
  <c r="Q189" i="2" a="1"/>
  <c r="Q189" i="2" s="1"/>
  <c r="Q890" i="2" a="1"/>
  <c r="Q890" i="2" s="1"/>
  <c r="Q1696" i="2" a="1"/>
  <c r="Q1696" i="2" s="1"/>
  <c r="Q415" i="2" a="1"/>
  <c r="Q415" i="2" s="1"/>
  <c r="Q1692" i="2" a="1"/>
  <c r="Q1692" i="2" s="1"/>
  <c r="Q449" i="2" a="1"/>
  <c r="Q449" i="2" s="1"/>
  <c r="Q528" i="2" a="1"/>
  <c r="Q528" i="2" s="1"/>
  <c r="Q431" i="2" a="1"/>
  <c r="Q431" i="2" s="1"/>
  <c r="Q42" i="2" a="1"/>
  <c r="Q42" i="2" s="1"/>
  <c r="P2051" i="2" a="1"/>
  <c r="P2051" i="2" s="1"/>
  <c r="Q691" i="2" a="1"/>
  <c r="Q691" i="2" s="1"/>
  <c r="Q1714" i="2" a="1"/>
  <c r="Q1714" i="2" s="1"/>
  <c r="Q1709" i="2" a="1"/>
  <c r="Q1709" i="2" s="1"/>
  <c r="Q1076" i="2" a="1"/>
  <c r="Q1076" i="2" s="1"/>
  <c r="Q979" i="2" a="1"/>
  <c r="Q979" i="2" s="1"/>
  <c r="Q870" i="2" a="1"/>
  <c r="Q870" i="2" s="1"/>
  <c r="Q499" i="2" a="1"/>
  <c r="Q499" i="2" s="1"/>
  <c r="Q393" i="2" a="1"/>
  <c r="Q393" i="2" s="1"/>
  <c r="Q852" i="2" a="1"/>
  <c r="Q852" i="2" s="1"/>
  <c r="Q967" i="2" a="1"/>
  <c r="Q967" i="2" s="1"/>
  <c r="P257" i="2" a="1"/>
  <c r="P257" i="2" s="1"/>
  <c r="R257" i="2" s="1"/>
  <c r="V257" i="2" s="1"/>
  <c r="W257" i="2" s="1"/>
  <c r="P728" i="2" a="1"/>
  <c r="P728" i="2" s="1"/>
  <c r="R728" i="2" s="1"/>
  <c r="V728" i="2" s="1"/>
  <c r="W728" i="2" s="1"/>
  <c r="Q911" i="2" a="1"/>
  <c r="Q911" i="2" s="1"/>
  <c r="Q54" i="2" a="1"/>
  <c r="Q54" i="2" s="1"/>
  <c r="Q2025" i="2" a="1"/>
  <c r="Q2025" i="2" s="1"/>
  <c r="Q916" i="2" a="1"/>
  <c r="Q916" i="2" s="1"/>
  <c r="Q1351" i="2" a="1"/>
  <c r="Q1351" i="2" s="1"/>
  <c r="Q487" i="2" a="1"/>
  <c r="Q487" i="2" s="1"/>
  <c r="Q175" i="2" a="1"/>
  <c r="Q175" i="2" s="1"/>
  <c r="Q95" i="2" a="1"/>
  <c r="Q95" i="2" s="1"/>
  <c r="Q71" i="2" a="1"/>
  <c r="Q71" i="2" s="1"/>
  <c r="P548" i="2" a="1"/>
  <c r="P548" i="2" s="1"/>
  <c r="R548" i="2" s="1"/>
  <c r="V548" i="2" s="1"/>
  <c r="W548" i="2" s="1"/>
  <c r="Q728" i="2" a="1"/>
  <c r="Q728" i="2" s="1"/>
  <c r="Q1007" i="2" a="1"/>
  <c r="Q1007" i="2" s="1"/>
  <c r="Q387" i="2" a="1"/>
  <c r="Q387" i="2" s="1"/>
  <c r="Q2013" i="2" a="1"/>
  <c r="Q2013" i="2" s="1"/>
  <c r="Q381" i="2" a="1"/>
  <c r="Q381" i="2" s="1"/>
  <c r="Q1702" i="2" a="1"/>
  <c r="Q1702" i="2" s="1"/>
  <c r="Q60" i="2" a="1"/>
  <c r="Q60" i="2" s="1"/>
  <c r="Q1704" i="2" a="1"/>
  <c r="Q1704" i="2" s="1"/>
  <c r="Q61" i="2" a="1"/>
  <c r="Q61" i="2" s="1"/>
  <c r="Q971" i="2" a="1"/>
  <c r="Q971" i="2" s="1"/>
  <c r="Q28" i="2" a="1"/>
  <c r="Q28" i="2" s="1"/>
  <c r="Q938" i="2" a="1"/>
  <c r="Q938" i="2" s="1"/>
  <c r="P1193" i="2" a="1"/>
  <c r="P1193" i="2" s="1"/>
  <c r="R1193" i="2" s="1"/>
  <c r="V1193" i="2" s="1"/>
  <c r="W1193" i="2" s="1"/>
  <c r="Q693" i="2" a="1"/>
  <c r="Q693" i="2" s="1"/>
  <c r="Q865" i="2" a="1"/>
  <c r="Q865" i="2" s="1"/>
  <c r="Q1015" i="2" a="1"/>
  <c r="Q1015" i="2" s="1"/>
  <c r="Q455" i="2" a="1"/>
  <c r="Q455" i="2" s="1"/>
  <c r="Q100" i="2" a="1"/>
  <c r="Q100" i="2" s="1"/>
  <c r="Q47" i="2" a="1"/>
  <c r="Q47" i="2" s="1"/>
  <c r="Q994" i="2" a="1"/>
  <c r="Q994" i="2" s="1"/>
  <c r="Q835" i="2" a="1"/>
  <c r="Q835" i="2" s="1"/>
  <c r="Q456" i="2" a="1"/>
  <c r="Q456" i="2" s="1"/>
  <c r="Q998" i="2" a="1"/>
  <c r="Q998" i="2" s="1"/>
  <c r="Q1695" i="2" a="1"/>
  <c r="Q1695" i="2" s="1"/>
  <c r="P2019" i="2" a="1"/>
  <c r="P2019" i="2" s="1"/>
  <c r="R2019" i="2" s="1"/>
  <c r="V2019" i="2" s="1"/>
  <c r="W2019" i="2" s="1"/>
  <c r="P693" i="2" a="1"/>
  <c r="P693" i="2" s="1"/>
  <c r="R693" i="2" s="1"/>
  <c r="V693" i="2" s="1"/>
  <c r="W693" i="2" s="1"/>
  <c r="Q492" i="2" a="1"/>
  <c r="Q492" i="2" s="1"/>
  <c r="Q1483" i="2" a="1"/>
  <c r="Q1483" i="2" s="1"/>
  <c r="Q78" i="2" a="1"/>
  <c r="Q78" i="2" s="1"/>
  <c r="Q26" i="2" a="1"/>
  <c r="Q26" i="2" s="1"/>
  <c r="Q337" i="2" a="1"/>
  <c r="Q337" i="2" s="1"/>
  <c r="Q810" i="2" a="1"/>
  <c r="Q810" i="2" s="1"/>
  <c r="Q18" i="2" a="1"/>
  <c r="Q18" i="2" s="1"/>
  <c r="Q1038" i="2" a="1"/>
  <c r="Q1038" i="2" s="1"/>
  <c r="Q845" i="2" a="1"/>
  <c r="Q845" i="2" s="1"/>
  <c r="Q62" i="2" a="1"/>
  <c r="Q62" i="2" s="1"/>
  <c r="Q990" i="2" a="1"/>
  <c r="Q990" i="2" s="1"/>
  <c r="Q388" i="2" a="1"/>
  <c r="Q388" i="2" s="1"/>
  <c r="Q1063" i="2" a="1"/>
  <c r="Q1063" i="2" s="1"/>
  <c r="Q43" i="2" a="1"/>
  <c r="Q43" i="2" s="1"/>
  <c r="P1332" i="2" a="1"/>
  <c r="P1332" i="2" s="1"/>
  <c r="R1332" i="2" s="1"/>
  <c r="V1332" i="2" s="1"/>
  <c r="W1332" i="2" s="1"/>
  <c r="P2021" i="2" a="1"/>
  <c r="P2021" i="2" s="1"/>
  <c r="R2021" i="2" s="1"/>
  <c r="V2021" i="2" s="1"/>
  <c r="W2021" i="2" s="1"/>
  <c r="Q692" i="2" a="1"/>
  <c r="Q692" i="2" s="1"/>
  <c r="Q462" i="2" a="1"/>
  <c r="Q462" i="2" s="1"/>
  <c r="Q182" i="2" a="1"/>
  <c r="Q182" i="2" s="1"/>
  <c r="Q510" i="2" a="1"/>
  <c r="Q510" i="2" s="1"/>
  <c r="Q328" i="2" a="1"/>
  <c r="Q328" i="2" s="1"/>
  <c r="Q178" i="2" a="1"/>
  <c r="Q178" i="2" s="1"/>
  <c r="Q838" i="2" a="1"/>
  <c r="Q838" i="2" s="1"/>
  <c r="Q378" i="2" a="1"/>
  <c r="Q378" i="2" s="1"/>
  <c r="Q857" i="2" a="1"/>
  <c r="Q857" i="2" s="1"/>
  <c r="Q392" i="2" a="1"/>
  <c r="Q392" i="2" s="1"/>
  <c r="Q1720" i="2" a="1"/>
  <c r="Q1720" i="2" s="1"/>
  <c r="Q477" i="2" a="1"/>
  <c r="Q477" i="2" s="1"/>
  <c r="Q999" i="2" a="1"/>
  <c r="Q999" i="2" s="1"/>
  <c r="Q83" i="2" a="1"/>
  <c r="Q83" i="2" s="1"/>
  <c r="Q537" i="2" a="1"/>
  <c r="Q537" i="2" s="1"/>
  <c r="Q70" i="2" a="1"/>
  <c r="Q70" i="2" s="1"/>
  <c r="P1119" i="2" a="1"/>
  <c r="P1119" i="2" s="1"/>
  <c r="R1119" i="2" s="1"/>
  <c r="V1119" i="2" s="1"/>
  <c r="W1119" i="2" s="1"/>
  <c r="P925" i="2" a="1"/>
  <c r="P925" i="2" s="1"/>
  <c r="R925" i="2" s="1"/>
  <c r="V925" i="2" s="1"/>
  <c r="W925" i="2" s="1"/>
  <c r="P692" i="2" a="1"/>
  <c r="P692" i="2" s="1"/>
  <c r="R692" i="2" s="1"/>
  <c r="V692" i="2" s="1"/>
  <c r="W692" i="2" s="1"/>
  <c r="Q694" i="2" a="1"/>
  <c r="Q694" i="2" s="1"/>
  <c r="P694" i="2" a="1"/>
  <c r="P694" i="2" s="1"/>
  <c r="R694" i="2" s="1"/>
  <c r="V694" i="2" s="1"/>
  <c r="W694" i="2" s="1"/>
  <c r="Q460" i="2" a="1"/>
  <c r="Q460" i="2" s="1"/>
  <c r="Q413" i="2" a="1"/>
  <c r="Q413" i="2" s="1"/>
  <c r="Q976" i="2" a="1"/>
  <c r="Q976" i="2" s="1"/>
  <c r="Q356" i="2" a="1"/>
  <c r="Q356" i="2" s="1"/>
  <c r="P457" i="2" a="1"/>
  <c r="P457" i="2" s="1"/>
  <c r="R457" i="2" s="1"/>
  <c r="V457" i="2" s="1"/>
  <c r="W457" i="2" s="1"/>
  <c r="Q817" i="2" a="1"/>
  <c r="Q817" i="2" s="1"/>
  <c r="Q429" i="2" a="1"/>
  <c r="Q429" i="2" s="1"/>
  <c r="Q1000" i="2" a="1"/>
  <c r="Q1000" i="2" s="1"/>
  <c r="Q389" i="2" a="1"/>
  <c r="Q389" i="2" s="1"/>
  <c r="Q697" i="2" a="1"/>
  <c r="Q697" i="2" s="1"/>
  <c r="Q41" i="2" a="1"/>
  <c r="Q41" i="2" s="1"/>
  <c r="Q869" i="2" a="1"/>
  <c r="Q869" i="2" s="1"/>
  <c r="Q1686" i="2" a="1"/>
  <c r="Q1686" i="2" s="1"/>
  <c r="Q917" i="2" a="1"/>
  <c r="Q917" i="2" s="1"/>
  <c r="Q35" i="2" a="1"/>
  <c r="Q35" i="2" s="1"/>
  <c r="Q981" i="2" a="1"/>
  <c r="Q981" i="2" s="1"/>
  <c r="Q945" i="2" a="1"/>
  <c r="Q945" i="2" s="1"/>
  <c r="Q808" i="2" a="1"/>
  <c r="Q808" i="2" s="1"/>
  <c r="Q1042" i="2" a="1"/>
  <c r="Q1042" i="2" s="1"/>
  <c r="Q38" i="2" a="1"/>
  <c r="Q38" i="2" s="1"/>
  <c r="Q475" i="2" a="1"/>
  <c r="Q475" i="2" s="1"/>
  <c r="Q1551" i="2" a="1"/>
  <c r="Q1551" i="2" s="1"/>
  <c r="Q89" i="2" a="1"/>
  <c r="Q89" i="2" s="1"/>
  <c r="Q969" i="2" a="1"/>
  <c r="Q969" i="2" s="1"/>
  <c r="Q498" i="2" a="1"/>
  <c r="Q498" i="2" s="1"/>
  <c r="Q77" i="2" a="1"/>
  <c r="Q77" i="2" s="1"/>
  <c r="Q323" i="2" a="1"/>
  <c r="Q323" i="2" s="1"/>
  <c r="Q1016" i="2" a="1"/>
  <c r="Q1016" i="2" s="1"/>
  <c r="Q1055" i="2" a="1"/>
  <c r="Q1055" i="2" s="1"/>
  <c r="P1566" i="2" a="1"/>
  <c r="P1566" i="2" s="1"/>
  <c r="R1566" i="2" s="1"/>
  <c r="V1566" i="2" s="1"/>
  <c r="W1566" i="2" s="1"/>
  <c r="P938" i="2" a="1"/>
  <c r="P938" i="2" s="1"/>
  <c r="R938" i="2" s="1"/>
  <c r="V938" i="2" s="1"/>
  <c r="W938" i="2" s="1"/>
  <c r="P2006" i="2" a="1"/>
  <c r="P2006" i="2" s="1"/>
  <c r="R2006" i="2" s="1"/>
  <c r="V2006" i="2" s="1"/>
  <c r="W2006" i="2" s="1"/>
  <c r="Q696" i="2" a="1"/>
  <c r="Q696" i="2" s="1"/>
  <c r="Q385" i="2" a="1"/>
  <c r="Q385" i="2" s="1"/>
  <c r="Q479" i="2" a="1"/>
  <c r="Q479" i="2" s="1"/>
  <c r="Q864" i="2" a="1"/>
  <c r="Q864" i="2" s="1"/>
  <c r="Q46" i="2" a="1"/>
  <c r="Q46" i="2" s="1"/>
  <c r="Q410" i="2" a="1"/>
  <c r="Q410" i="2" s="1"/>
  <c r="P1599" i="2" a="1"/>
  <c r="P1599" i="2" s="1"/>
  <c r="R1599" i="2" s="1"/>
  <c r="V1599" i="2" s="1"/>
  <c r="W1599" i="2" s="1"/>
  <c r="Q116" i="2" a="1"/>
  <c r="Q116" i="2" s="1"/>
  <c r="Q1741" i="2" a="1"/>
  <c r="Q1741" i="2" s="1"/>
  <c r="Q316" i="2" a="1"/>
  <c r="Q316" i="2" s="1"/>
  <c r="Q22" i="2" a="1"/>
  <c r="Q22" i="2" s="1"/>
  <c r="Q841" i="2" a="1"/>
  <c r="Q841" i="2" s="1"/>
  <c r="P413" i="2" a="1"/>
  <c r="P413" i="2" s="1"/>
  <c r="R413" i="2" s="1"/>
  <c r="V413" i="2" s="1"/>
  <c r="W413" i="2" s="1"/>
  <c r="Q524" i="2" a="1"/>
  <c r="Q524" i="2" s="1"/>
  <c r="Q400" i="2" a="1"/>
  <c r="Q400" i="2" s="1"/>
  <c r="Q952" i="2" a="1"/>
  <c r="Q952" i="2" s="1"/>
  <c r="Q1037" i="2" a="1"/>
  <c r="Q1037" i="2" s="1"/>
  <c r="Q1031" i="2" a="1"/>
  <c r="Q1031" i="2" s="1"/>
  <c r="Q1064" i="2" a="1"/>
  <c r="Q1064" i="2" s="1"/>
  <c r="Q949" i="2" a="1"/>
  <c r="Q949" i="2" s="1"/>
  <c r="Q463" i="2" a="1"/>
  <c r="Q463" i="2" s="1"/>
  <c r="Q420" i="2" a="1"/>
  <c r="Q420" i="2" s="1"/>
  <c r="Q871" i="2" a="1"/>
  <c r="Q871" i="2" s="1"/>
  <c r="Q878" i="2" a="1"/>
  <c r="Q878" i="2" s="1"/>
  <c r="Q2022" i="2" a="1"/>
  <c r="Q2022" i="2" s="1"/>
  <c r="Q454" i="2" a="1"/>
  <c r="Q454" i="2" s="1"/>
  <c r="Q376" i="2" a="1"/>
  <c r="Q376" i="2" s="1"/>
  <c r="Q444" i="2" a="1"/>
  <c r="Q444" i="2" s="1"/>
  <c r="Q3" i="2" a="1"/>
  <c r="Q3" i="2" s="1"/>
  <c r="Q519" i="2" a="1"/>
  <c r="Q519" i="2" s="1"/>
  <c r="Q1382" i="2" a="1"/>
  <c r="Q1382" i="2" s="1"/>
  <c r="Q20" i="2" a="1"/>
  <c r="Q20" i="2" s="1"/>
  <c r="P1180" i="2" a="1"/>
  <c r="P1180" i="2" s="1"/>
  <c r="R1180" i="2" s="1"/>
  <c r="V1180" i="2" s="1"/>
  <c r="W1180" i="2" s="1"/>
  <c r="P986" i="2" a="1"/>
  <c r="P986" i="2" s="1"/>
  <c r="R986" i="2" s="1"/>
  <c r="V986" i="2" s="1"/>
  <c r="W986" i="2" s="1"/>
  <c r="P1517" i="2" a="1"/>
  <c r="P1517" i="2" s="1"/>
  <c r="R1517" i="2" s="1"/>
  <c r="V1517" i="2" s="1"/>
  <c r="W1517" i="2" s="1"/>
  <c r="P696" i="2" a="1"/>
  <c r="P696" i="2" s="1"/>
  <c r="R696" i="2" s="1"/>
  <c r="V696" i="2" s="1"/>
  <c r="W696" i="2" s="1"/>
  <c r="Q807" i="2" a="1"/>
  <c r="Q807" i="2" s="1"/>
  <c r="Q1018" i="2" a="1"/>
  <c r="Q1018" i="2" s="1"/>
  <c r="Q1568" i="2" a="1"/>
  <c r="Q1568" i="2" s="1"/>
  <c r="Q1700" i="2" a="1"/>
  <c r="Q1700" i="2" s="1"/>
  <c r="Q172" i="2" a="1"/>
  <c r="Q172" i="2" s="1"/>
  <c r="Q1705" i="2" a="1"/>
  <c r="Q1705" i="2" s="1"/>
  <c r="Q409" i="2" a="1"/>
  <c r="Q409" i="2" s="1"/>
  <c r="Q840" i="2" a="1"/>
  <c r="Q840" i="2" s="1"/>
  <c r="Q1033" i="2" a="1"/>
  <c r="Q1033" i="2" s="1"/>
  <c r="Q1034" i="2" a="1"/>
  <c r="Q1034" i="2" s="1"/>
  <c r="P811" i="2" a="1"/>
  <c r="P811" i="2" s="1"/>
  <c r="R811" i="2" s="1"/>
  <c r="V811" i="2" s="1"/>
  <c r="W811" i="2" s="1"/>
  <c r="Q408" i="2" a="1"/>
  <c r="Q408" i="2" s="1"/>
  <c r="Q849" i="2" a="1"/>
  <c r="Q849" i="2" s="1"/>
  <c r="Q876" i="2" a="1"/>
  <c r="Q876" i="2" s="1"/>
  <c r="Q1582" i="2" a="1"/>
  <c r="Q1582" i="2" s="1"/>
  <c r="Q102" i="2" a="1"/>
  <c r="Q102" i="2" s="1"/>
  <c r="Q1742" i="2" a="1"/>
  <c r="Q1742" i="2" s="1"/>
  <c r="Q1046" i="2" a="1"/>
  <c r="Q1046" i="2" s="1"/>
  <c r="Q117" i="2" a="1"/>
  <c r="Q117" i="2" s="1"/>
  <c r="Q11" i="2" a="1"/>
  <c r="Q11" i="2" s="1"/>
  <c r="Q501" i="2" a="1"/>
  <c r="Q501" i="2" s="1"/>
  <c r="Q899" i="2" a="1"/>
  <c r="Q899" i="2" s="1"/>
  <c r="Q882" i="2" a="1"/>
  <c r="Q882" i="2" s="1"/>
  <c r="Q395" i="2" a="1"/>
  <c r="Q395" i="2" s="1"/>
  <c r="Q326" i="2" a="1"/>
  <c r="Q326" i="2" s="1"/>
  <c r="Q1036" i="2" a="1"/>
  <c r="Q1036" i="2" s="1"/>
  <c r="Q65" i="2" a="1"/>
  <c r="Q65" i="2" s="1"/>
  <c r="Q868" i="2" a="1"/>
  <c r="Q868" i="2" s="1"/>
  <c r="Q516" i="2" a="1"/>
  <c r="Q516" i="2" s="1"/>
  <c r="Q91" i="2" a="1"/>
  <c r="Q91" i="2" s="1"/>
  <c r="P501" i="2" a="1"/>
  <c r="P501" i="2" s="1"/>
  <c r="R501" i="2" s="1"/>
  <c r="V501" i="2" s="1"/>
  <c r="W501" i="2" s="1"/>
  <c r="P224" i="2" a="1"/>
  <c r="P224" i="2" s="1"/>
  <c r="R224" i="2" s="1"/>
  <c r="V224" i="2" s="1"/>
  <c r="W224" i="2" s="1"/>
  <c r="P1439" i="2" a="1"/>
  <c r="P1439" i="2" s="1"/>
  <c r="R1439" i="2" s="1"/>
  <c r="V1439" i="2" s="1"/>
  <c r="W1439" i="2" s="1"/>
  <c r="Q695" i="2" a="1"/>
  <c r="Q695" i="2" s="1"/>
  <c r="Q909" i="2" a="1"/>
  <c r="Q909" i="2" s="1"/>
  <c r="Q1053" i="2" a="1"/>
  <c r="Q1053" i="2" s="1"/>
  <c r="Q1699" i="2" a="1"/>
  <c r="Q1699" i="2" s="1"/>
  <c r="Q473" i="2" a="1"/>
  <c r="Q473" i="2" s="1"/>
  <c r="Q812" i="2" a="1"/>
  <c r="Q812" i="2" s="1"/>
  <c r="P1282" i="2" a="1"/>
  <c r="P1282" i="2" s="1"/>
  <c r="R1282" i="2" s="1"/>
  <c r="V1282" i="2" s="1"/>
  <c r="W1282" i="2" s="1"/>
  <c r="Q73" i="2" a="1"/>
  <c r="Q73" i="2" s="1"/>
  <c r="Q181" i="2" a="1"/>
  <c r="Q181" i="2" s="1"/>
  <c r="Q15" i="2" a="1"/>
  <c r="Q15" i="2" s="1"/>
  <c r="Q399" i="2" a="1"/>
  <c r="Q399" i="2" s="1"/>
  <c r="Q879" i="2" a="1"/>
  <c r="Q879" i="2" s="1"/>
  <c r="P793" i="2" a="1"/>
  <c r="P793" i="2" s="1"/>
  <c r="R793" i="2" s="1"/>
  <c r="V793" i="2" s="1"/>
  <c r="W793" i="2" s="1"/>
  <c r="Q534" i="2" a="1"/>
  <c r="Q534" i="2" s="1"/>
  <c r="Q48" i="2" a="1"/>
  <c r="Q48" i="2" s="1"/>
  <c r="Q184" i="2" a="1"/>
  <c r="Q184" i="2" s="1"/>
  <c r="Q394" i="2" a="1"/>
  <c r="Q394" i="2" s="1"/>
  <c r="Q491" i="2" a="1"/>
  <c r="Q491" i="2" s="1"/>
  <c r="Q1005" i="2" a="1"/>
  <c r="Q1005" i="2" s="1"/>
  <c r="Q36" i="2" a="1"/>
  <c r="Q36" i="2" s="1"/>
  <c r="Q191" i="2" a="1"/>
  <c r="Q191" i="2" s="1"/>
  <c r="Q407" i="2" a="1"/>
  <c r="Q407" i="2" s="1"/>
  <c r="Q488" i="2" a="1"/>
  <c r="Q488" i="2" s="1"/>
  <c r="Q1002" i="2" a="1"/>
  <c r="Q1002" i="2" s="1"/>
  <c r="Q464" i="2" a="1"/>
  <c r="Q464" i="2" s="1"/>
  <c r="Q832" i="2" a="1"/>
  <c r="Q832" i="2" s="1"/>
  <c r="Q901" i="2" a="1"/>
  <c r="Q901" i="2" s="1"/>
  <c r="Q377" i="2" a="1"/>
  <c r="Q377" i="2" s="1"/>
  <c r="Q450" i="2" a="1"/>
  <c r="Q450" i="2" s="1"/>
  <c r="Q338" i="2" a="1"/>
  <c r="Q338" i="2" s="1"/>
  <c r="Q428" i="2" a="1"/>
  <c r="Q428" i="2" s="1"/>
  <c r="Q997" i="2" a="1"/>
  <c r="Q997" i="2" s="1"/>
  <c r="P498" i="2" a="1"/>
  <c r="P498" i="2" s="1"/>
  <c r="P1688" i="2" a="1"/>
  <c r="P1688" i="2" s="1"/>
  <c r="R1688" i="2" s="1"/>
  <c r="V1688" i="2" s="1"/>
  <c r="W1688" i="2" s="1"/>
  <c r="P825" i="2" a="1"/>
  <c r="P825" i="2" s="1"/>
  <c r="R825" i="2" s="1"/>
  <c r="V825" i="2" s="1"/>
  <c r="W825" i="2" s="1"/>
  <c r="P695" i="2" a="1"/>
  <c r="P695" i="2" s="1"/>
  <c r="R695" i="2" s="1"/>
  <c r="V695" i="2" s="1"/>
  <c r="W695" i="2" s="1"/>
  <c r="P697" i="2" a="1"/>
  <c r="P697" i="2" s="1"/>
  <c r="R697" i="2" s="1"/>
  <c r="V697" i="2" s="1"/>
  <c r="W697" i="2" s="1"/>
  <c r="Q340" i="2" a="1"/>
  <c r="Q340" i="2" s="1"/>
  <c r="Q398" i="2" a="1"/>
  <c r="Q398" i="2" s="1"/>
  <c r="Q959" i="2" a="1"/>
  <c r="Q959" i="2" s="1"/>
  <c r="Q914" i="2" a="1"/>
  <c r="Q914" i="2" s="1"/>
  <c r="Q24" i="2" a="1"/>
  <c r="Q24" i="2" s="1"/>
  <c r="Q484" i="2" a="1"/>
  <c r="Q484" i="2" s="1"/>
  <c r="Q348" i="2" a="1"/>
  <c r="Q348" i="2" s="1"/>
  <c r="Q496" i="2" a="1"/>
  <c r="Q496" i="2" s="1"/>
  <c r="P1324" i="2" a="1"/>
  <c r="P1324" i="2" s="1"/>
  <c r="R1324" i="2" s="1"/>
  <c r="V1324" i="2" s="1"/>
  <c r="W1324" i="2" s="1"/>
  <c r="Q63" i="2" a="1"/>
  <c r="Q63" i="2" s="1"/>
  <c r="Q16" i="2" a="1"/>
  <c r="Q16" i="2" s="1"/>
  <c r="Q101" i="2" a="1"/>
  <c r="Q101" i="2" s="1"/>
  <c r="Q489" i="2" a="1"/>
  <c r="Q489" i="2" s="1"/>
  <c r="Q1708" i="2" a="1"/>
  <c r="Q1708" i="2" s="1"/>
  <c r="Q851" i="2" a="1"/>
  <c r="Q851" i="2" s="1"/>
  <c r="Q198" i="2" a="1"/>
  <c r="Q198" i="2" s="1"/>
  <c r="Q1634" i="2" a="1"/>
  <c r="Q1634" i="2" s="1"/>
  <c r="P700" i="2" a="1"/>
  <c r="P700" i="2" s="1"/>
  <c r="R700" i="2" s="1"/>
  <c r="V700" i="2" s="1"/>
  <c r="W700" i="2" s="1"/>
  <c r="Q847" i="2" a="1"/>
  <c r="Q847" i="2" s="1"/>
  <c r="Q494" i="2" a="1"/>
  <c r="Q494" i="2" s="1"/>
  <c r="Q74" i="2" a="1"/>
  <c r="Q74" i="2" s="1"/>
  <c r="Q353" i="2" a="1"/>
  <c r="Q353" i="2" s="1"/>
  <c r="Q329" i="2" a="1"/>
  <c r="Q329" i="2" s="1"/>
  <c r="Q883" i="2" a="1"/>
  <c r="Q883" i="2" s="1"/>
  <c r="Q931" i="2" a="1"/>
  <c r="Q931" i="2" s="1"/>
  <c r="Q895" i="2" a="1"/>
  <c r="Q895" i="2" s="1"/>
  <c r="Q908" i="2" a="1"/>
  <c r="Q908" i="2" s="1"/>
  <c r="Q1017" i="2" a="1"/>
  <c r="Q1017" i="2" s="1"/>
  <c r="Q1029" i="2" a="1"/>
  <c r="Q1029" i="2" s="1"/>
  <c r="Q858" i="2" a="1"/>
  <c r="Q858" i="2" s="1"/>
  <c r="Q375" i="2" a="1"/>
  <c r="Q375" i="2" s="1"/>
  <c r="Q432" i="2" a="1"/>
  <c r="Q432" i="2" s="1"/>
  <c r="Q322" i="2" a="1"/>
  <c r="Q322" i="2" s="1"/>
  <c r="Q504" i="2" a="1"/>
  <c r="Q504" i="2" s="1"/>
  <c r="Q98" i="2" a="1"/>
  <c r="Q98" i="2" s="1"/>
  <c r="Q522" i="2" a="1"/>
  <c r="Q522" i="2" s="1"/>
  <c r="Q1546" i="2" a="1"/>
  <c r="Q1546" i="2" s="1"/>
  <c r="Q1687" i="2" a="1"/>
  <c r="Q1687" i="2" s="1"/>
  <c r="Q896" i="2" a="1"/>
  <c r="Q896" i="2" s="1"/>
  <c r="Q1691" i="2" a="1"/>
  <c r="Q1691" i="2" s="1"/>
  <c r="Q350" i="2" a="1"/>
  <c r="Q350" i="2" s="1"/>
  <c r="Q2041" i="2" a="1"/>
  <c r="Q2041" i="2" s="1"/>
  <c r="Q527" i="2" a="1"/>
  <c r="Q527" i="2" s="1"/>
  <c r="Q1737" i="2" a="1"/>
  <c r="Q1737" i="2" s="1"/>
  <c r="Q974" i="2" a="1"/>
  <c r="Q974" i="2" s="1"/>
  <c r="Q2" i="2" a="1"/>
  <c r="Q2" i="2" s="1"/>
  <c r="Q1032" i="2" a="1"/>
  <c r="Q1032" i="2" s="1"/>
  <c r="Q520" i="2" a="1"/>
  <c r="Q520" i="2" s="1"/>
  <c r="Q813" i="2" a="1"/>
  <c r="Q813" i="2" s="1"/>
  <c r="Q1739" i="2" a="1"/>
  <c r="Q1739" i="2" s="1"/>
  <c r="P2038" i="2" a="1"/>
  <c r="P2038" i="2" s="1"/>
  <c r="R2038" i="2" s="1"/>
  <c r="V2038" i="2" s="1"/>
  <c r="W2038" i="2" s="1"/>
  <c r="P1396" i="2" a="1"/>
  <c r="P1396" i="2" s="1"/>
  <c r="R1396" i="2" s="1"/>
  <c r="V1396" i="2" s="1"/>
  <c r="W1396" i="2" s="1"/>
  <c r="P286" i="2" a="1"/>
  <c r="P286" i="2" s="1"/>
  <c r="R286" i="2" s="1"/>
  <c r="V286" i="2" s="1"/>
  <c r="W286" i="2" s="1"/>
  <c r="P448" i="2" a="1"/>
  <c r="P448" i="2" s="1"/>
  <c r="R448" i="2" s="1"/>
  <c r="V448" i="2" s="1"/>
  <c r="W448" i="2" s="1"/>
  <c r="Q699" i="2" a="1"/>
  <c r="Q699" i="2" s="1"/>
  <c r="Q837" i="2" a="1"/>
  <c r="Q837" i="2" s="1"/>
  <c r="Q485" i="2" a="1"/>
  <c r="Q485" i="2" s="1"/>
  <c r="Q342" i="2" a="1"/>
  <c r="Q342" i="2" s="1"/>
  <c r="Q457" i="2" a="1"/>
  <c r="Q457" i="2" s="1"/>
  <c r="Q1011" i="2" a="1"/>
  <c r="Q1011" i="2" s="1"/>
  <c r="Q49" i="2" a="1"/>
  <c r="Q49" i="2" s="1"/>
  <c r="Q1748" i="2" a="1"/>
  <c r="Q1748" i="2" s="1"/>
  <c r="Q4" i="2" a="1"/>
  <c r="Q4" i="2" s="1"/>
  <c r="P1442" i="2" a="1"/>
  <c r="P1442" i="2" s="1"/>
  <c r="R1442" i="2" s="1"/>
  <c r="V1442" i="2" s="1"/>
  <c r="W1442" i="2" s="1"/>
  <c r="Q1003" i="2" a="1"/>
  <c r="Q1003" i="2" s="1"/>
  <c r="Q880" i="2" a="1"/>
  <c r="Q880" i="2" s="1"/>
  <c r="Q90" i="2" a="1"/>
  <c r="Q90" i="2" s="1"/>
  <c r="Q1703" i="2" a="1"/>
  <c r="Q1703" i="2" s="1"/>
  <c r="Q423" i="2" a="1"/>
  <c r="Q423" i="2" s="1"/>
  <c r="Q861" i="2" a="1"/>
  <c r="Q861" i="2" s="1"/>
  <c r="Q1021" i="2" a="1"/>
  <c r="Q1021" i="2" s="1"/>
  <c r="Q820" i="2" a="1"/>
  <c r="Q820" i="2" s="1"/>
  <c r="P293" i="2" a="1"/>
  <c r="P293" i="2" s="1"/>
  <c r="R293" i="2" s="1"/>
  <c r="V293" i="2" s="1"/>
  <c r="W293" i="2" s="1"/>
  <c r="P433" i="2" a="1"/>
  <c r="P433" i="2" s="1"/>
  <c r="R433" i="2" s="1"/>
  <c r="V433" i="2" s="1"/>
  <c r="W433" i="2" s="1"/>
  <c r="Q51" i="2" a="1"/>
  <c r="Q51" i="2" s="1"/>
  <c r="Q425" i="2" a="1"/>
  <c r="Q425" i="2" s="1"/>
  <c r="Q96" i="2" a="1"/>
  <c r="Q96" i="2" s="1"/>
  <c r="Q76" i="2" a="1"/>
  <c r="Q76" i="2" s="1"/>
  <c r="Q819" i="2" a="1"/>
  <c r="Q819" i="2" s="1"/>
  <c r="Q105" i="2" a="1"/>
  <c r="Q105" i="2" s="1"/>
  <c r="Q872" i="2" a="1"/>
  <c r="Q872" i="2" s="1"/>
  <c r="Q2049" i="2" a="1"/>
  <c r="Q2049" i="2" s="1"/>
  <c r="Q185" i="2" a="1"/>
  <c r="Q185" i="2" s="1"/>
  <c r="Q2021" i="2" a="1"/>
  <c r="Q2021" i="2" s="1"/>
  <c r="Q391" i="2" a="1"/>
  <c r="Q391" i="2" s="1"/>
  <c r="Q1056" i="2" a="1"/>
  <c r="Q1056" i="2" s="1"/>
  <c r="Q536" i="2" a="1"/>
  <c r="Q536" i="2" s="1"/>
  <c r="Q384" i="2" a="1"/>
  <c r="Q384" i="2" s="1"/>
  <c r="Q903" i="2" a="1"/>
  <c r="Q903" i="2" s="1"/>
  <c r="Q483" i="2" a="1"/>
  <c r="Q483" i="2" s="1"/>
  <c r="Q1024" i="2" a="1"/>
  <c r="Q1024" i="2" s="1"/>
  <c r="Q67" i="2" a="1"/>
  <c r="Q67" i="2" s="1"/>
  <c r="Q539" i="2" a="1"/>
  <c r="Q539" i="2" s="1"/>
  <c r="Q193" i="2" a="1"/>
  <c r="Q193" i="2" s="1"/>
  <c r="Q481" i="2" a="1"/>
  <c r="Q481" i="2" s="1"/>
  <c r="Q843" i="2" a="1"/>
  <c r="Q843" i="2" s="1"/>
  <c r="Q195" i="2" a="1"/>
  <c r="Q195" i="2" s="1"/>
  <c r="Q1027" i="2" a="1"/>
  <c r="Q1027" i="2" s="1"/>
  <c r="Q416" i="2" a="1"/>
  <c r="Q416" i="2" s="1"/>
  <c r="Q171" i="2" a="1"/>
  <c r="Q171" i="2" s="1"/>
  <c r="Q848" i="2" a="1"/>
  <c r="Q848" i="2" s="1"/>
  <c r="Q2039" i="2" a="1"/>
  <c r="Q2039" i="2" s="1"/>
  <c r="Q502" i="2" a="1"/>
  <c r="Q502" i="2" s="1"/>
  <c r="Q445" i="2" a="1"/>
  <c r="Q445" i="2" s="1"/>
  <c r="Q530" i="2" a="1"/>
  <c r="Q530" i="2" s="1"/>
  <c r="Q106" i="2" a="1"/>
  <c r="Q106" i="2" s="1"/>
  <c r="P1473" i="2" a="1"/>
  <c r="P1473" i="2" s="1"/>
  <c r="R1473" i="2" s="1"/>
  <c r="V1473" i="2" s="1"/>
  <c r="W1473" i="2" s="1"/>
  <c r="P436" i="2" a="1"/>
  <c r="P436" i="2" s="1"/>
  <c r="P343" i="2" a="1"/>
  <c r="P343" i="2" s="1"/>
  <c r="R343" i="2" s="1"/>
  <c r="V343" i="2" s="1"/>
  <c r="W343" i="2" s="1"/>
  <c r="P1664" i="2" a="1"/>
  <c r="P1664" i="2" s="1"/>
  <c r="R1664" i="2" s="1"/>
  <c r="V1664" i="2" s="1"/>
  <c r="W1664" i="2" s="1"/>
  <c r="P699" i="2" a="1"/>
  <c r="P699" i="2" s="1"/>
  <c r="R699" i="2" s="1"/>
  <c r="V699" i="2" s="1"/>
  <c r="W699" i="2" s="1"/>
  <c r="Q1750" i="2" a="1"/>
  <c r="Q1750" i="2" s="1"/>
  <c r="Q950" i="2" a="1"/>
  <c r="Q950" i="2" s="1"/>
  <c r="Q2048" i="2" a="1"/>
  <c r="Q2048" i="2" s="1"/>
  <c r="Q468" i="2" a="1"/>
  <c r="Q468" i="2" s="1"/>
  <c r="Q828" i="2" a="1"/>
  <c r="Q828" i="2" s="1"/>
  <c r="Q401" i="2" a="1"/>
  <c r="Q401" i="2" s="1"/>
  <c r="Q1701" i="2" a="1"/>
  <c r="Q1701" i="2" s="1"/>
  <c r="Q854" i="2" a="1"/>
  <c r="Q854" i="2" s="1"/>
  <c r="P108" i="2" a="1"/>
  <c r="P108" i="2" s="1"/>
  <c r="R108" i="2" s="1"/>
  <c r="V108" i="2" s="1"/>
  <c r="W108" i="2" s="1"/>
  <c r="Q700" i="2" a="1"/>
  <c r="Q700" i="2" s="1"/>
  <c r="Q517" i="2" a="1"/>
  <c r="Q517" i="2" s="1"/>
  <c r="Q453" i="2" a="1"/>
  <c r="Q453" i="2" s="1"/>
  <c r="Q1049" i="2" a="1"/>
  <c r="Q1049" i="2" s="1"/>
  <c r="Q822" i="2" a="1"/>
  <c r="Q822" i="2" s="1"/>
  <c r="Q2038" i="2" a="1"/>
  <c r="Q2038" i="2" s="1"/>
  <c r="Q373" i="2" a="1"/>
  <c r="Q373" i="2" s="1"/>
  <c r="Q115" i="2" a="1"/>
  <c r="Q115" i="2" s="1"/>
  <c r="Q886" i="2" a="1"/>
  <c r="Q886" i="2" s="1"/>
  <c r="P1751" i="2" a="1"/>
  <c r="P1751" i="2" s="1"/>
  <c r="R1751" i="2" s="1"/>
  <c r="V1751" i="2" s="1"/>
  <c r="W1751" i="2" s="1"/>
  <c r="Q109" i="2" a="1"/>
  <c r="Q109" i="2" s="1"/>
  <c r="Q944" i="2" a="1"/>
  <c r="Q944" i="2" s="1"/>
  <c r="Q92" i="2" a="1"/>
  <c r="Q92" i="2" s="1"/>
  <c r="Q493" i="2" a="1"/>
  <c r="Q493" i="2" s="1"/>
  <c r="Q506" i="2" a="1"/>
  <c r="Q506" i="2" s="1"/>
  <c r="Q179" i="2" a="1"/>
  <c r="Q179" i="2" s="1"/>
  <c r="Q846" i="2" a="1"/>
  <c r="Q846" i="2" s="1"/>
  <c r="Q2036" i="2" a="1"/>
  <c r="Q2036" i="2" s="1"/>
  <c r="Q1041" i="2" a="1"/>
  <c r="Q1041" i="2" s="1"/>
  <c r="Q31" i="2" a="1"/>
  <c r="Q31" i="2" s="1"/>
  <c r="Q114" i="2" a="1"/>
  <c r="Q114" i="2" s="1"/>
  <c r="Q982" i="2" a="1"/>
  <c r="Q982" i="2" s="1"/>
  <c r="Q538" i="2" a="1"/>
  <c r="Q538" i="2" s="1"/>
  <c r="Q1707" i="2" a="1"/>
  <c r="Q1707" i="2" s="1"/>
  <c r="Q397" i="2" a="1"/>
  <c r="Q397" i="2" s="1"/>
  <c r="Q1068" i="2" a="1"/>
  <c r="Q1068" i="2" s="1"/>
  <c r="Q243" i="2" a="1"/>
  <c r="Q243" i="2" s="1"/>
  <c r="Q831" i="2" a="1"/>
  <c r="Q831" i="2" s="1"/>
  <c r="Q966" i="2" a="1"/>
  <c r="Q966" i="2" s="1"/>
  <c r="Q411" i="2" a="1"/>
  <c r="Q411" i="2" s="1"/>
  <c r="Q958" i="2" a="1"/>
  <c r="Q958" i="2" s="1"/>
  <c r="Q2042" i="2" a="1"/>
  <c r="Q2042" i="2" s="1"/>
  <c r="Q402" i="2" a="1"/>
  <c r="Q402" i="2" s="1"/>
  <c r="Q986" i="2" a="1"/>
  <c r="Q986" i="2" s="1"/>
  <c r="Q414" i="2" a="1"/>
  <c r="Q414" i="2" s="1"/>
  <c r="Q55" i="2" a="1"/>
  <c r="Q55" i="2" s="1"/>
  <c r="Q1062" i="2" a="1"/>
  <c r="Q1062" i="2" s="1"/>
  <c r="Q904" i="2" a="1"/>
  <c r="Q904" i="2" s="1"/>
  <c r="Q6" i="2" a="1"/>
  <c r="Q6" i="2" s="1"/>
  <c r="Q194" i="2" a="1"/>
  <c r="Q194" i="2" s="1"/>
  <c r="Q446" i="2" a="1"/>
  <c r="Q446" i="2" s="1"/>
  <c r="Q412" i="2" a="1"/>
  <c r="Q412" i="2" s="1"/>
  <c r="P1279" i="2" a="1"/>
  <c r="P1279" i="2" s="1"/>
  <c r="R1279" i="2" s="1"/>
  <c r="V1279" i="2" s="1"/>
  <c r="W1279" i="2" s="1"/>
  <c r="P2013" i="2" a="1"/>
  <c r="P2013" i="2" s="1"/>
  <c r="R2013" i="2" s="1"/>
  <c r="V2013" i="2" s="1"/>
  <c r="W2013" i="2" s="1"/>
  <c r="P52" i="2" a="1"/>
  <c r="P52" i="2" s="1"/>
  <c r="R52" i="2" s="1"/>
  <c r="V52" i="2" s="1"/>
  <c r="W52" i="2" s="1"/>
  <c r="P1162" i="2" a="1"/>
  <c r="P1162" i="2" s="1"/>
  <c r="R1162" i="2" s="1"/>
  <c r="V1162" i="2" s="1"/>
  <c r="W1162" i="2" s="1"/>
  <c r="P698" i="2" a="1"/>
  <c r="P698" i="2" s="1"/>
  <c r="R698" i="2" s="1"/>
  <c r="V698" i="2" s="1"/>
  <c r="W698" i="2" s="1"/>
  <c r="Q970" i="2" a="1"/>
  <c r="Q970" i="2" s="1"/>
  <c r="Q913" i="2" a="1"/>
  <c r="Q913" i="2" s="1"/>
  <c r="Q59" i="2" a="1"/>
  <c r="Q59" i="2" s="1"/>
  <c r="Q177" i="2" a="1"/>
  <c r="Q177" i="2" s="1"/>
  <c r="Q110" i="2" a="1"/>
  <c r="Q110" i="2" s="1"/>
  <c r="Q1489" i="2" a="1"/>
  <c r="Q1489" i="2" s="1"/>
  <c r="Q459" i="2" a="1"/>
  <c r="Q459" i="2" s="1"/>
  <c r="Q816" i="2" a="1"/>
  <c r="Q816" i="2" s="1"/>
  <c r="P987" i="2" a="1"/>
  <c r="P987" i="2" s="1"/>
  <c r="R987" i="2" s="1"/>
  <c r="V987" i="2" s="1"/>
  <c r="W987" i="2" s="1"/>
  <c r="Q1685" i="2" a="1"/>
  <c r="Q1685" i="2" s="1"/>
  <c r="Q508" i="2" a="1"/>
  <c r="Q508" i="2" s="1"/>
  <c r="Q2035" i="2" a="1"/>
  <c r="Q2035" i="2" s="1"/>
  <c r="Q877" i="2" a="1"/>
  <c r="Q877" i="2" s="1"/>
  <c r="Q1740" i="2" a="1"/>
  <c r="Q1740" i="2" s="1"/>
  <c r="Q525" i="2" a="1"/>
  <c r="Q525" i="2" s="1"/>
  <c r="Q1035" i="2" a="1"/>
  <c r="Q1035" i="2" s="1"/>
  <c r="Q933" i="2" a="1"/>
  <c r="Q933" i="2" s="1"/>
  <c r="P1508" i="2" a="1"/>
  <c r="P1508" i="2" s="1"/>
  <c r="R1508" i="2" s="1"/>
  <c r="V1508" i="2" s="1"/>
  <c r="W1508" i="2" s="1"/>
  <c r="Q108" i="2" a="1"/>
  <c r="Q108" i="2" s="1"/>
  <c r="Q962" i="2" a="1"/>
  <c r="Q962" i="2" s="1"/>
  <c r="Q875" i="2" a="1"/>
  <c r="Q875" i="2" s="1"/>
  <c r="Q386" i="2" a="1"/>
  <c r="Q386" i="2" s="1"/>
  <c r="Q40" i="2" a="1"/>
  <c r="Q40" i="2" s="1"/>
  <c r="Q1028" i="2" a="1"/>
  <c r="Q1028" i="2" s="1"/>
  <c r="Q1738" i="2" a="1"/>
  <c r="Q1738" i="2" s="1"/>
  <c r="Q1050" i="2" a="1"/>
  <c r="Q1050" i="2" s="1"/>
  <c r="Q363" i="2" a="1"/>
  <c r="Q363" i="2" s="1"/>
  <c r="Q505" i="2" a="1"/>
  <c r="Q505" i="2" s="1"/>
  <c r="Q934" i="2" a="1"/>
  <c r="Q934" i="2" s="1"/>
  <c r="Q955" i="2" a="1"/>
  <c r="Q955" i="2" s="1"/>
  <c r="Q893" i="2" a="1"/>
  <c r="Q893" i="2" s="1"/>
  <c r="Q396" i="2" a="1"/>
  <c r="Q396" i="2" s="1"/>
  <c r="Q1713" i="2" a="1"/>
  <c r="Q1713" i="2" s="1"/>
  <c r="Q424" i="2" a="1"/>
  <c r="Q424" i="2" s="1"/>
  <c r="Q81" i="2" a="1"/>
  <c r="Q81" i="2" s="1"/>
  <c r="Q1688" i="2" a="1"/>
  <c r="Q1688" i="2" s="1"/>
  <c r="Q515" i="2" a="1"/>
  <c r="Q515" i="2" s="1"/>
  <c r="Q2044" i="2" a="1"/>
  <c r="Q2044" i="2" s="1"/>
  <c r="Q1023" i="2" a="1"/>
  <c r="Q1023" i="2" s="1"/>
  <c r="Q107" i="2" a="1"/>
  <c r="Q107" i="2" s="1"/>
  <c r="Q1008" i="2" a="1"/>
  <c r="Q1008" i="2" s="1"/>
  <c r="Q512" i="2" a="1"/>
  <c r="Q512" i="2" s="1"/>
  <c r="Q1749" i="2" a="1"/>
  <c r="Q1749" i="2" s="1"/>
  <c r="Q833" i="2" a="1"/>
  <c r="Q833" i="2" s="1"/>
  <c r="Q1379" i="2" a="1"/>
  <c r="Q1379" i="2" s="1"/>
  <c r="Q1054" i="2" a="1"/>
  <c r="Q1054" i="2" s="1"/>
  <c r="Q332" i="2" a="1"/>
  <c r="Q332" i="2" s="1"/>
  <c r="Q2043" i="2" a="1"/>
  <c r="Q2043" i="2" s="1"/>
  <c r="Q403" i="2" a="1"/>
  <c r="Q403" i="2" s="1"/>
  <c r="Q836" i="2" a="1"/>
  <c r="Q836" i="2" s="1"/>
  <c r="P1017" i="2" a="1"/>
  <c r="P1017" i="2" s="1"/>
  <c r="R1017" i="2" s="1"/>
  <c r="V1017" i="2" s="1"/>
  <c r="W1017" i="2" s="1"/>
  <c r="P1636" i="2" a="1"/>
  <c r="P1636" i="2" s="1"/>
  <c r="R1636" i="2" s="1"/>
  <c r="V1636" i="2" s="1"/>
  <c r="W1636" i="2" s="1"/>
  <c r="P833" i="2" a="1"/>
  <c r="P833" i="2" s="1"/>
  <c r="R833" i="2" s="1"/>
  <c r="V833" i="2" s="1"/>
  <c r="W833" i="2" s="1"/>
  <c r="P819" i="2" a="1"/>
  <c r="P819" i="2" s="1"/>
  <c r="R819" i="2" s="1"/>
  <c r="V819" i="2" s="1"/>
  <c r="W819" i="2" s="1"/>
  <c r="Q698" i="2" a="1"/>
  <c r="Q698" i="2" s="1"/>
  <c r="Q943" i="2" a="1"/>
  <c r="Q943" i="2" s="1"/>
  <c r="Q103" i="2" a="1"/>
  <c r="Q103" i="2" s="1"/>
  <c r="Q1045" i="2" a="1"/>
  <c r="Q1045" i="2" s="1"/>
  <c r="Q196" i="2" a="1"/>
  <c r="Q196" i="2" s="1"/>
  <c r="Q866" i="2" a="1"/>
  <c r="Q866" i="2" s="1"/>
  <c r="Q2026" i="2" a="1"/>
  <c r="Q2026" i="2" s="1"/>
  <c r="Q2037" i="2" a="1"/>
  <c r="Q2037" i="2" s="1"/>
  <c r="Q948" i="2" a="1"/>
  <c r="Q948" i="2" s="1"/>
  <c r="Q894" i="2" a="1"/>
  <c r="Q894" i="2" s="1"/>
  <c r="Q946" i="2" a="1"/>
  <c r="Q946" i="2" s="1"/>
  <c r="Q104" i="2" a="1"/>
  <c r="Q104" i="2" s="1"/>
  <c r="Q1043" i="2" a="1"/>
  <c r="Q1043" i="2" s="1"/>
  <c r="Q1706" i="2" a="1"/>
  <c r="Q1706" i="2" s="1"/>
  <c r="Q1044" i="2" a="1"/>
  <c r="Q1044" i="2" s="1"/>
  <c r="Q1751" i="2" a="1"/>
  <c r="Q1751" i="2" s="1"/>
  <c r="Q57" i="2" a="1"/>
  <c r="Q57" i="2" s="1"/>
  <c r="Q32" i="2" a="1"/>
  <c r="Q32" i="2" s="1"/>
  <c r="Q964" i="2" a="1"/>
  <c r="Q964" i="2" s="1"/>
  <c r="Q173" i="2" a="1"/>
  <c r="Q173" i="2" s="1"/>
  <c r="Q1745" i="2" a="1"/>
  <c r="Q1745" i="2" s="1"/>
  <c r="Q58" i="2" a="1"/>
  <c r="Q58" i="2" s="1"/>
  <c r="Q503" i="2" a="1"/>
  <c r="Q503" i="2" s="1"/>
  <c r="Q818" i="2" a="1"/>
  <c r="Q818" i="2" s="1"/>
  <c r="Q1030" i="2" a="1"/>
  <c r="Q1030" i="2" s="1"/>
  <c r="Q119" i="2" a="1"/>
  <c r="Q119" i="2" s="1"/>
  <c r="Q427" i="2" a="1"/>
  <c r="Q427" i="2" s="1"/>
  <c r="Q461" i="2" a="1"/>
  <c r="Q461" i="2" s="1"/>
  <c r="Q1715" i="2" a="1"/>
  <c r="Q1715" i="2" s="1"/>
  <c r="Q885" i="2" a="1"/>
  <c r="Q885" i="2" s="1"/>
  <c r="Q1039" i="2" a="1"/>
  <c r="Q1039" i="2" s="1"/>
  <c r="Q1689" i="2" a="1"/>
  <c r="Q1689" i="2" s="1"/>
  <c r="Q989" i="2" a="1"/>
  <c r="Q989" i="2" s="1"/>
  <c r="Q30" i="2" a="1"/>
  <c r="Q30" i="2" s="1"/>
  <c r="Q850" i="2" a="1"/>
  <c r="Q850" i="2" s="1"/>
  <c r="Q1389" i="2" a="1"/>
  <c r="Q1389" i="2" s="1"/>
  <c r="Q64" i="2" a="1"/>
  <c r="Q64" i="2" s="1"/>
  <c r="Q965" i="2" a="1"/>
  <c r="Q965" i="2" s="1"/>
  <c r="Q1020" i="2" a="1"/>
  <c r="Q1020" i="2" s="1"/>
  <c r="Q433" i="2" a="1"/>
  <c r="Q433" i="2" s="1"/>
  <c r="Q480" i="2" a="1"/>
  <c r="Q480" i="2" s="1"/>
  <c r="Q947" i="2" a="1"/>
  <c r="Q947" i="2" s="1"/>
  <c r="Q973" i="2" a="1"/>
  <c r="Q973" i="2" s="1"/>
  <c r="P1629" i="2" a="1"/>
  <c r="P1629" i="2" s="1"/>
  <c r="R1629" i="2" s="1"/>
  <c r="V1629" i="2" s="1"/>
  <c r="W1629" i="2" s="1"/>
  <c r="P1492" i="2" a="1"/>
  <c r="P1492" i="2" s="1"/>
  <c r="R1492" i="2" s="1"/>
  <c r="V1492" i="2" s="1"/>
  <c r="W1492" i="2" s="1"/>
  <c r="P1511" i="2" a="1"/>
  <c r="P1511" i="2" s="1"/>
  <c r="R1511" i="2" s="1"/>
  <c r="V1511" i="2" s="1"/>
  <c r="W1511" i="2" s="1"/>
  <c r="P799" i="2" a="1"/>
  <c r="P799" i="2" s="1"/>
  <c r="R799" i="2" s="1"/>
  <c r="V799" i="2" s="1"/>
  <c r="W799" i="2" s="1"/>
  <c r="P1567" i="2" a="1"/>
  <c r="P1567" i="2" s="1"/>
  <c r="R1567" i="2" s="1"/>
  <c r="V1567" i="2" s="1"/>
  <c r="W1567" i="2" s="1"/>
  <c r="Q679" i="2" a="1"/>
  <c r="Q679" i="2" s="1"/>
  <c r="Q1690" i="2" a="1"/>
  <c r="Q1690" i="2" s="1"/>
  <c r="Q50" i="2" a="1"/>
  <c r="Q50" i="2" s="1"/>
  <c r="Q521" i="2" a="1"/>
  <c r="Q521" i="2" s="1"/>
  <c r="Q2019" i="2" a="1"/>
  <c r="Q2019" i="2" s="1"/>
  <c r="Q862" i="2" a="1"/>
  <c r="Q862" i="2" s="1"/>
  <c r="Q426" i="2" a="1"/>
  <c r="Q426" i="2" s="1"/>
  <c r="Q87" i="2" a="1"/>
  <c r="Q87" i="2" s="1"/>
  <c r="Q514" i="2" a="1"/>
  <c r="Q514" i="2" s="1"/>
  <c r="Q930" i="2" a="1"/>
  <c r="Q930" i="2" s="1"/>
  <c r="Q867" i="2" a="1"/>
  <c r="Q867" i="2" s="1"/>
  <c r="Q535" i="2" a="1"/>
  <c r="Q535" i="2" s="1"/>
  <c r="Q884" i="2" a="1"/>
  <c r="Q884" i="2" s="1"/>
  <c r="Q190" i="2" a="1"/>
  <c r="Q190" i="2" s="1"/>
  <c r="Q197" i="2" a="1"/>
  <c r="Q197" i="2" s="1"/>
  <c r="Q2047" i="2" a="1"/>
  <c r="Q2047" i="2" s="1"/>
  <c r="Q513" i="2" a="1"/>
  <c r="Q513" i="2" s="1"/>
  <c r="Q406" i="2" a="1"/>
  <c r="Q406" i="2" s="1"/>
  <c r="Q1004" i="2" a="1"/>
  <c r="Q1004" i="2" s="1"/>
  <c r="Q99" i="2" a="1"/>
  <c r="Q99" i="2" s="1"/>
  <c r="Q1717" i="2" a="1"/>
  <c r="Q1717" i="2" s="1"/>
  <c r="Q529" i="2" a="1"/>
  <c r="Q529" i="2" s="1"/>
  <c r="Q1013" i="2" a="1"/>
  <c r="Q1013" i="2" s="1"/>
  <c r="Q183" i="2" a="1"/>
  <c r="Q183" i="2" s="1"/>
  <c r="Q118" i="2" a="1"/>
  <c r="Q118" i="2" s="1"/>
  <c r="Q27" i="2" a="1"/>
  <c r="Q27" i="2" s="1"/>
  <c r="Q1001" i="2" a="1"/>
  <c r="Q1001" i="2" s="1"/>
  <c r="Q1047" i="2" a="1"/>
  <c r="Q1047" i="2" s="1"/>
  <c r="Q319" i="2" a="1"/>
  <c r="Q319" i="2" s="1"/>
  <c r="Q823" i="2" a="1"/>
  <c r="Q823" i="2" s="1"/>
  <c r="Q421" i="2" a="1"/>
  <c r="Q421" i="2" s="1"/>
  <c r="Q888" i="2" a="1"/>
  <c r="Q888" i="2" s="1"/>
  <c r="Q1026" i="2" a="1"/>
  <c r="Q1026" i="2" s="1"/>
  <c r="Q335" i="2" a="1"/>
  <c r="Q335" i="2" s="1"/>
  <c r="Q85" i="2" a="1"/>
  <c r="Q85" i="2" s="1"/>
  <c r="Q1072" i="2" a="1"/>
  <c r="Q1072" i="2" s="1"/>
  <c r="Q1746" i="2" a="1"/>
  <c r="Q1746" i="2" s="1"/>
  <c r="Q82" i="2" a="1"/>
  <c r="Q82" i="2" s="1"/>
  <c r="Q1712" i="2" a="1"/>
  <c r="Q1712" i="2" s="1"/>
  <c r="Q1684" i="2" a="1"/>
  <c r="Q1684" i="2" s="1"/>
  <c r="Q509" i="2" a="1"/>
  <c r="Q509" i="2" s="1"/>
  <c r="Q526" i="2" a="1"/>
  <c r="Q526" i="2" s="1"/>
  <c r="P1477" i="2" a="1"/>
  <c r="P1477" i="2" s="1"/>
  <c r="R1477" i="2" s="1"/>
  <c r="V1477" i="2" s="1"/>
  <c r="W1477" i="2" s="1"/>
  <c r="P1471" i="2" a="1"/>
  <c r="P1471" i="2" s="1"/>
  <c r="R1471" i="2" s="1"/>
  <c r="V1471" i="2" s="1"/>
  <c r="W1471" i="2" s="1"/>
  <c r="P1448" i="2" a="1"/>
  <c r="P1448" i="2" s="1"/>
  <c r="R1448" i="2" s="1"/>
  <c r="V1448" i="2" s="1"/>
  <c r="W1448" i="2" s="1"/>
  <c r="P1001" i="2" a="1"/>
  <c r="P1001" i="2" s="1"/>
  <c r="R1001" i="2" s="1"/>
  <c r="V1001" i="2" s="1"/>
  <c r="W1001" i="2" s="1"/>
  <c r="P1469" i="2" a="1"/>
  <c r="P1469" i="2" s="1"/>
  <c r="R1469" i="2" s="1"/>
  <c r="V1469" i="2" s="1"/>
  <c r="W1469" i="2" s="1"/>
  <c r="P240" i="2" a="1"/>
  <c r="P240" i="2" s="1"/>
  <c r="R240" i="2" s="1"/>
  <c r="V240" i="2" s="1"/>
  <c r="W240" i="2" s="1"/>
  <c r="Q672" i="2" a="1"/>
  <c r="Q672" i="2" s="1"/>
  <c r="Q471" i="2" a="1"/>
  <c r="Q471" i="2" s="1"/>
  <c r="Q345" i="2" a="1"/>
  <c r="Q345" i="2" s="1"/>
  <c r="Q540" i="2" a="1"/>
  <c r="Q540" i="2" s="1"/>
  <c r="Q23" i="2" a="1"/>
  <c r="Q23" i="2" s="1"/>
  <c r="Q470" i="2" a="1"/>
  <c r="Q470" i="2" s="1"/>
  <c r="Q1058" i="2" a="1"/>
  <c r="Q1058" i="2" s="1"/>
  <c r="Q874" i="2" a="1"/>
  <c r="Q874" i="2" s="1"/>
  <c r="Q12" i="2" a="1"/>
  <c r="Q12" i="2" s="1"/>
  <c r="Q37" i="2" a="1"/>
  <c r="Q37" i="2" s="1"/>
  <c r="Q1490" i="2" a="1"/>
  <c r="Q1490" i="2" s="1"/>
  <c r="Q1014" i="2" a="1"/>
  <c r="Q1014" i="2" s="1"/>
  <c r="Q829" i="2" a="1"/>
  <c r="Q829" i="2" s="1"/>
  <c r="Q336" i="2" a="1"/>
  <c r="Q336" i="2" s="1"/>
  <c r="Q45" i="2" a="1"/>
  <c r="Q45" i="2" s="1"/>
  <c r="Q518" i="2" a="1"/>
  <c r="Q518" i="2" s="1"/>
  <c r="Q1059" i="2" a="1"/>
  <c r="Q1059" i="2" s="1"/>
  <c r="Q447" i="2" a="1"/>
  <c r="Q447" i="2" s="1"/>
  <c r="Q983" i="2" a="1"/>
  <c r="Q983" i="2" s="1"/>
  <c r="Q1694" i="2" a="1"/>
  <c r="Q1694" i="2" s="1"/>
  <c r="Q56" i="2" a="1"/>
  <c r="Q56" i="2" s="1"/>
  <c r="Q1010" i="2" a="1"/>
  <c r="Q1010" i="2" s="1"/>
  <c r="Q93" i="2" a="1"/>
  <c r="Q93" i="2" s="1"/>
  <c r="Q86" i="2" a="1"/>
  <c r="Q86" i="2" s="1"/>
  <c r="Q937" i="2" a="1"/>
  <c r="Q937" i="2" s="1"/>
  <c r="Q113" i="2" a="1"/>
  <c r="Q113" i="2" s="1"/>
  <c r="Q953" i="2" a="1"/>
  <c r="Q953" i="2" s="1"/>
  <c r="Q379" i="2" a="1"/>
  <c r="Q379" i="2" s="1"/>
  <c r="Q1060" i="2" a="1"/>
  <c r="Q1060" i="2" s="1"/>
  <c r="Q469" i="2" a="1"/>
  <c r="Q469" i="2" s="1"/>
  <c r="Q1040" i="2" a="1"/>
  <c r="Q1040" i="2" s="1"/>
  <c r="Q1061" i="2" a="1"/>
  <c r="Q1061" i="2" s="1"/>
  <c r="Q1632" i="2" a="1"/>
  <c r="Q1632" i="2" s="1"/>
  <c r="Q318" i="2" a="1"/>
  <c r="Q318" i="2" s="1"/>
  <c r="Q8" i="2" a="1"/>
  <c r="Q8" i="2" s="1"/>
  <c r="Q79" i="2" a="1"/>
  <c r="Q79" i="2" s="1"/>
  <c r="Q17" i="2" a="1"/>
  <c r="Q17" i="2" s="1"/>
  <c r="Q476" i="2" a="1"/>
  <c r="Q476" i="2" s="1"/>
  <c r="Q349" i="2" a="1"/>
  <c r="Q349" i="2" s="1"/>
  <c r="Q1736" i="2" a="1"/>
  <c r="Q1736" i="2" s="1"/>
  <c r="Q451" i="2" a="1"/>
  <c r="Q451" i="2" s="1"/>
  <c r="Q961" i="2" a="1"/>
  <c r="Q961" i="2" s="1"/>
  <c r="P955" i="2" a="1"/>
  <c r="P955" i="2" s="1"/>
  <c r="R955" i="2" s="1"/>
  <c r="V955" i="2" s="1"/>
  <c r="W955" i="2" s="1"/>
  <c r="P1653" i="2" a="1"/>
  <c r="P1653" i="2" s="1"/>
  <c r="R1653" i="2" s="1"/>
  <c r="V1653" i="2" s="1"/>
  <c r="W1653" i="2" s="1"/>
  <c r="P1447" i="2" a="1"/>
  <c r="P1447" i="2" s="1"/>
  <c r="R1447" i="2" s="1"/>
  <c r="V1447" i="2" s="1"/>
  <c r="W1447" i="2" s="1"/>
  <c r="P102" i="2" a="1"/>
  <c r="P102" i="2" s="1"/>
  <c r="R102" i="2" s="1"/>
  <c r="V102" i="2" s="1"/>
  <c r="W102" i="2" s="1"/>
  <c r="P107" i="2" a="1"/>
  <c r="P107" i="2" s="1"/>
  <c r="R107" i="2" s="1"/>
  <c r="V107" i="2" s="1"/>
  <c r="W107" i="2" s="1"/>
  <c r="P378" i="2" a="1"/>
  <c r="P378" i="2" s="1"/>
  <c r="R378" i="2" s="1"/>
  <c r="V378" i="2" s="1"/>
  <c r="W378" i="2" s="1"/>
  <c r="Q701" i="2" a="1"/>
  <c r="Q701" i="2" s="1"/>
  <c r="Q906" i="2" a="1"/>
  <c r="Q906" i="2" s="1"/>
  <c r="Q1571" i="2" a="1"/>
  <c r="Q1571" i="2" s="1"/>
  <c r="Q339" i="2" a="1"/>
  <c r="Q339" i="2" s="1"/>
  <c r="Q988" i="2" a="1"/>
  <c r="Q988" i="2" s="1"/>
  <c r="Q957" i="2" a="1"/>
  <c r="Q957" i="2" s="1"/>
  <c r="Q891" i="2" a="1"/>
  <c r="Q891" i="2" s="1"/>
  <c r="Q341" i="2" a="1"/>
  <c r="Q341" i="2" s="1"/>
  <c r="Q121" i="2" a="1"/>
  <c r="Q121" i="2" s="1"/>
  <c r="Q347" i="2" a="1"/>
  <c r="Q347" i="2" s="1"/>
  <c r="Q1710" i="2" a="1"/>
  <c r="Q1710" i="2" s="1"/>
  <c r="Q1070" i="2" a="1"/>
  <c r="Q1070" i="2" s="1"/>
  <c r="Q192" i="2" a="1"/>
  <c r="Q192" i="2" s="1"/>
  <c r="Q354" i="2" a="1"/>
  <c r="Q354" i="2" s="1"/>
  <c r="Q968" i="2" a="1"/>
  <c r="Q968" i="2" s="1"/>
  <c r="Q1467" i="2" a="1"/>
  <c r="Q1467" i="2" s="1"/>
  <c r="Q1711" i="2" a="1"/>
  <c r="Q1711" i="2" s="1"/>
  <c r="Q995" i="2" a="1"/>
  <c r="Q995" i="2" s="1"/>
  <c r="Q2046" i="2" a="1"/>
  <c r="Q2046" i="2" s="1"/>
  <c r="Q991" i="2" a="1"/>
  <c r="Q991" i="2" s="1"/>
  <c r="Q2045" i="2" a="1"/>
  <c r="Q2045" i="2" s="1"/>
  <c r="Q860" i="2" a="1"/>
  <c r="Q860" i="2" s="1"/>
  <c r="Q993" i="2" a="1"/>
  <c r="Q993" i="2" s="1"/>
  <c r="Q925" i="2" a="1"/>
  <c r="Q925" i="2" s="1"/>
  <c r="Q2028" i="2" a="1"/>
  <c r="Q2028" i="2" s="1"/>
  <c r="Q996" i="2" a="1"/>
  <c r="Q996" i="2" s="1"/>
  <c r="Q180" i="2" a="1"/>
  <c r="Q180" i="2" s="1"/>
  <c r="Q29" i="2" a="1"/>
  <c r="Q29" i="2" s="1"/>
  <c r="Q2010" i="2" a="1"/>
  <c r="Q2010" i="2" s="1"/>
  <c r="Q856" i="2" a="1"/>
  <c r="Q856" i="2" s="1"/>
  <c r="Q992" i="2" a="1"/>
  <c r="Q992" i="2" s="1"/>
  <c r="Q34" i="2" a="1"/>
  <c r="Q34" i="2" s="1"/>
  <c r="Q2020" i="2" a="1"/>
  <c r="Q2020" i="2" s="1"/>
  <c r="Q980" i="2" a="1"/>
  <c r="Q980" i="2" s="1"/>
  <c r="Q1716" i="2" a="1"/>
  <c r="Q1716" i="2" s="1"/>
  <c r="Q452" i="2" a="1"/>
  <c r="Q452" i="2" s="1"/>
  <c r="Q809" i="2" a="1"/>
  <c r="Q809" i="2" s="1"/>
  <c r="Q814" i="2" a="1"/>
  <c r="Q814" i="2" s="1"/>
  <c r="Q1022" i="2" a="1"/>
  <c r="Q1022" i="2" s="1"/>
  <c r="Q439" i="2" a="1"/>
  <c r="Q439" i="2" s="1"/>
  <c r="Q975" i="2" a="1"/>
  <c r="Q975" i="2" s="1"/>
  <c r="Q839" i="2" a="1"/>
  <c r="Q839" i="2" s="1"/>
  <c r="P2024" i="2" a="1"/>
  <c r="P2024" i="2" s="1"/>
  <c r="R2024" i="2" s="1"/>
  <c r="V2024" i="2" s="1"/>
  <c r="W2024" i="2" s="1"/>
  <c r="P1012" i="2" a="1"/>
  <c r="P1012" i="2" s="1"/>
  <c r="R1012" i="2" s="1"/>
  <c r="V1012" i="2" s="1"/>
  <c r="W1012" i="2" s="1"/>
  <c r="P1445" i="2" a="1"/>
  <c r="P1445" i="2" s="1"/>
  <c r="R1445" i="2" s="1"/>
  <c r="V1445" i="2" s="1"/>
  <c r="W1445" i="2" s="1"/>
  <c r="P874" i="2" a="1"/>
  <c r="P874" i="2" s="1"/>
  <c r="R874" i="2" s="1"/>
  <c r="V874" i="2" s="1"/>
  <c r="W874" i="2" s="1"/>
  <c r="P316" i="2" a="1"/>
  <c r="P316" i="2" s="1"/>
  <c r="R316" i="2" s="1"/>
  <c r="V316" i="2" s="1"/>
  <c r="W316" i="2" s="1"/>
  <c r="P473" i="2" a="1"/>
  <c r="P473" i="2" s="1"/>
  <c r="R473" i="2" s="1"/>
  <c r="V473" i="2" s="1"/>
  <c r="W473" i="2" s="1"/>
  <c r="P701" i="2" a="1"/>
  <c r="P701" i="2" s="1"/>
  <c r="R701" i="2" s="1"/>
  <c r="V701" i="2" s="1"/>
  <c r="W701" i="2" s="1"/>
  <c r="Q670" i="2" a="1"/>
  <c r="Q670" i="2" s="1"/>
  <c r="Q671" i="2" a="1"/>
  <c r="Q671" i="2" s="1"/>
  <c r="P11" i="2" a="1"/>
  <c r="P11" i="2" s="1"/>
  <c r="R11" i="2" s="1"/>
  <c r="V11" i="2" s="1"/>
  <c r="W11" i="2" s="1"/>
  <c r="P517" i="2" a="1"/>
  <c r="P517" i="2" s="1"/>
  <c r="R517" i="2" s="1"/>
  <c r="V517" i="2" s="1"/>
  <c r="W517" i="2" s="1"/>
  <c r="P1590" i="2" a="1"/>
  <c r="P1590" i="2" s="1"/>
  <c r="R1590" i="2" s="1"/>
  <c r="V1590" i="2" s="1"/>
  <c r="W1590" i="2" s="1"/>
  <c r="Q669" i="2" a="1"/>
  <c r="Q669" i="2" s="1"/>
  <c r="P1341" i="2" a="1"/>
  <c r="P1341" i="2" s="1"/>
  <c r="R1341" i="2" s="1"/>
  <c r="V1341" i="2" s="1"/>
  <c r="W1341" i="2" s="1"/>
  <c r="P957" i="2" a="1"/>
  <c r="P957" i="2" s="1"/>
  <c r="R957" i="2" s="1"/>
  <c r="V957" i="2" s="1"/>
  <c r="W957" i="2" s="1"/>
  <c r="P276" i="2" a="1"/>
  <c r="P276" i="2" s="1"/>
  <c r="R276" i="2" s="1"/>
  <c r="V276" i="2" s="1"/>
  <c r="W276" i="2" s="1"/>
  <c r="P673" i="2" a="1"/>
  <c r="P673" i="2" s="1"/>
  <c r="R673" i="2" s="1"/>
  <c r="V673" i="2" s="1"/>
  <c r="W673" i="2" s="1"/>
  <c r="P1085" i="2" a="1"/>
  <c r="P1085" i="2" s="1"/>
  <c r="R1085" i="2" s="1"/>
  <c r="V1085" i="2" s="1"/>
  <c r="W1085" i="2" s="1"/>
  <c r="P998" i="2" a="1"/>
  <c r="P998" i="2" s="1"/>
  <c r="R998" i="2" s="1"/>
  <c r="V998" i="2" s="1"/>
  <c r="W998" i="2" s="1"/>
  <c r="P1571" i="2" a="1"/>
  <c r="P1571" i="2" s="1"/>
  <c r="R1571" i="2" s="1"/>
  <c r="V1571" i="2" s="1"/>
  <c r="W1571" i="2" s="1"/>
  <c r="P33" i="2" a="1"/>
  <c r="P33" i="2" s="1"/>
  <c r="R33" i="2" s="1"/>
  <c r="V33" i="2" s="1"/>
  <c r="W33" i="2" s="1"/>
  <c r="P674" i="2" a="1"/>
  <c r="P674" i="2" s="1"/>
  <c r="R674" i="2" s="1"/>
  <c r="V674" i="2" s="1"/>
  <c r="W674" i="2" s="1"/>
  <c r="P891" i="2" a="1"/>
  <c r="P891" i="2" s="1"/>
  <c r="R891" i="2" s="1"/>
  <c r="V891" i="2" s="1"/>
  <c r="W891" i="2" s="1"/>
  <c r="P322" i="2" a="1"/>
  <c r="P322" i="2" s="1"/>
  <c r="R322" i="2" s="1"/>
  <c r="V322" i="2" s="1"/>
  <c r="W322" i="2" s="1"/>
  <c r="P671" i="2" a="1"/>
  <c r="P671" i="2" s="1"/>
  <c r="R671" i="2" s="1"/>
  <c r="V671" i="2" s="1"/>
  <c r="W671" i="2" s="1"/>
  <c r="P1171" i="2" a="1"/>
  <c r="P1171" i="2" s="1"/>
  <c r="R1171" i="2" s="1"/>
  <c r="V1171" i="2" s="1"/>
  <c r="W1171" i="2" s="1"/>
  <c r="P371" i="2" a="1"/>
  <c r="P371" i="2" s="1"/>
  <c r="R371" i="2" s="1"/>
  <c r="V371" i="2" s="1"/>
  <c r="W371" i="2" s="1"/>
  <c r="P1637" i="2" a="1"/>
  <c r="P1637" i="2" s="1"/>
  <c r="R1637" i="2" s="1"/>
  <c r="V1637" i="2" s="1"/>
  <c r="W1637" i="2" s="1"/>
  <c r="P670" i="2" a="1"/>
  <c r="P670" i="2" s="1"/>
  <c r="R670" i="2" s="1"/>
  <c r="V670" i="2" s="1"/>
  <c r="W670" i="2" s="1"/>
  <c r="P1443" i="2" a="1"/>
  <c r="P1443" i="2" s="1"/>
  <c r="R1443" i="2" s="1"/>
  <c r="V1443" i="2" s="1"/>
  <c r="W1443" i="2" s="1"/>
  <c r="P195" i="2" a="1"/>
  <c r="P195" i="2" s="1"/>
  <c r="R195" i="2" s="1"/>
  <c r="V195" i="2" s="1"/>
  <c r="W195" i="2" s="1"/>
  <c r="P89" i="2" a="1"/>
  <c r="P89" i="2" s="1"/>
  <c r="R89" i="2" s="1"/>
  <c r="V89" i="2" s="1"/>
  <c r="W89" i="2" s="1"/>
  <c r="P1288" i="2" a="1"/>
  <c r="P1288" i="2" s="1"/>
  <c r="R1288" i="2" s="1"/>
  <c r="V1288" i="2" s="1"/>
  <c r="W1288" i="2" s="1"/>
  <c r="P672" i="2" a="1"/>
  <c r="P672" i="2" s="1"/>
  <c r="R672" i="2" s="1"/>
  <c r="V672" i="2" s="1"/>
  <c r="W672" i="2" s="1"/>
  <c r="P1620" i="2" a="1"/>
  <c r="P1620" i="2" s="1"/>
  <c r="R1620" i="2" s="1"/>
  <c r="V1620" i="2" s="1"/>
  <c r="W1620" i="2" s="1"/>
  <c r="P534" i="2" a="1"/>
  <c r="P534" i="2" s="1"/>
  <c r="R534" i="2" s="1"/>
  <c r="V534" i="2" s="1"/>
  <c r="W534" i="2" s="1"/>
  <c r="P942" i="2" a="1"/>
  <c r="P942" i="2" s="1"/>
  <c r="R942" i="2" s="1"/>
  <c r="V942" i="2" s="1"/>
  <c r="W942" i="2" s="1"/>
  <c r="P1698" i="2" a="1"/>
  <c r="P1698" i="2" s="1"/>
  <c r="R1698" i="2" s="1"/>
  <c r="V1698" i="2" s="1"/>
  <c r="W1698" i="2" s="1"/>
  <c r="P669" i="2" a="1"/>
  <c r="P669" i="2" s="1"/>
  <c r="R669" i="2" s="1"/>
  <c r="V669" i="2" s="1"/>
  <c r="W669" i="2" s="1"/>
  <c r="P679" i="2" a="1"/>
  <c r="P679" i="2" s="1"/>
  <c r="R679" i="2" s="1"/>
  <c r="V679" i="2" s="1"/>
  <c r="W679" i="2" s="1"/>
  <c r="Q675" i="2" a="1"/>
  <c r="Q675" i="2" s="1"/>
  <c r="P110" i="2" a="1"/>
  <c r="P110" i="2" s="1"/>
  <c r="R110" i="2" s="1"/>
  <c r="V110" i="2" s="1"/>
  <c r="W110" i="2" s="1"/>
  <c r="Q674" i="2" a="1"/>
  <c r="Q674" i="2" s="1"/>
  <c r="P1249" i="2" a="1"/>
  <c r="P1249" i="2" s="1"/>
  <c r="R1249" i="2" s="1"/>
  <c r="V1249" i="2" s="1"/>
  <c r="W1249" i="2" s="1"/>
  <c r="Q673" i="2" a="1"/>
  <c r="Q673" i="2" s="1"/>
  <c r="P144" i="2" a="1"/>
  <c r="P144" i="2" s="1"/>
  <c r="R144" i="2" s="1"/>
  <c r="V144" i="2" s="1"/>
  <c r="W144" i="2" s="1"/>
  <c r="P979" i="2" a="1"/>
  <c r="P979" i="2" s="1"/>
  <c r="R979" i="2" s="1"/>
  <c r="V979" i="2" s="1"/>
  <c r="W979" i="2" s="1"/>
  <c r="P850" i="2" a="1"/>
  <c r="P850" i="2" s="1"/>
  <c r="R850" i="2" s="1"/>
  <c r="V850" i="2" s="1"/>
  <c r="W850" i="2" s="1"/>
  <c r="P675" i="2" a="1"/>
  <c r="P675" i="2" s="1"/>
  <c r="R675" i="2" s="1"/>
  <c r="V675" i="2" s="1"/>
  <c r="W675" i="2" s="1"/>
  <c r="Q677" i="2" a="1"/>
  <c r="Q677" i="2" s="1"/>
  <c r="Q676" i="2" a="1"/>
  <c r="Q676" i="2" s="1"/>
  <c r="P45" i="2" a="1"/>
  <c r="P45" i="2" s="1"/>
  <c r="R45" i="2" s="1"/>
  <c r="V45" i="2" s="1"/>
  <c r="W45" i="2" s="1"/>
  <c r="P676" i="2" a="1"/>
  <c r="P676" i="2" s="1"/>
  <c r="R676" i="2" s="1"/>
  <c r="V676" i="2" s="1"/>
  <c r="W676" i="2" s="1"/>
  <c r="P113" i="2" a="1"/>
  <c r="P113" i="2" s="1"/>
  <c r="R113" i="2" s="1"/>
  <c r="V113" i="2" s="1"/>
  <c r="W113" i="2" s="1"/>
  <c r="P677" i="2" a="1"/>
  <c r="P677" i="2" s="1"/>
  <c r="R677" i="2" s="1"/>
  <c r="V677" i="2" s="1"/>
  <c r="W677" i="2" s="1"/>
  <c r="Q678" i="2" a="1"/>
  <c r="Q678" i="2" s="1"/>
  <c r="P1130" i="2" a="1"/>
  <c r="P1130" i="2" s="1"/>
  <c r="R1130" i="2" s="1"/>
  <c r="V1130" i="2" s="1"/>
  <c r="W1130" i="2" s="1"/>
  <c r="P681" i="2" a="1"/>
  <c r="P681" i="2" s="1"/>
  <c r="R681" i="2" s="1"/>
  <c r="V681" i="2" s="1"/>
  <c r="W681" i="2" s="1"/>
  <c r="P823" i="2" a="1"/>
  <c r="P823" i="2" s="1"/>
  <c r="R823" i="2" s="1"/>
  <c r="V823" i="2" s="1"/>
  <c r="W823" i="2" s="1"/>
  <c r="P1715" i="2" a="1"/>
  <c r="P1715" i="2" s="1"/>
  <c r="R1715" i="2" s="1"/>
  <c r="V1715" i="2" s="1"/>
  <c r="W1715" i="2" s="1"/>
  <c r="P903" i="2" a="1"/>
  <c r="P903" i="2" s="1"/>
  <c r="R903" i="2" s="1"/>
  <c r="V903" i="2" s="1"/>
  <c r="W903" i="2" s="1"/>
  <c r="P447" i="2" a="1"/>
  <c r="P447" i="2" s="1"/>
  <c r="R447" i="2" s="1"/>
  <c r="V447" i="2" s="1"/>
  <c r="W447" i="2" s="1"/>
  <c r="P1057" i="2" a="1"/>
  <c r="P1057" i="2" s="1"/>
  <c r="R1057" i="2" s="1"/>
  <c r="V1057" i="2" s="1"/>
  <c r="W1057" i="2" s="1"/>
  <c r="P373" i="2" a="1"/>
  <c r="P373" i="2" s="1"/>
  <c r="R373" i="2" s="1"/>
  <c r="V373" i="2" s="1"/>
  <c r="W373" i="2" s="1"/>
  <c r="P1300" i="2" a="1"/>
  <c r="P1300" i="2" s="1"/>
  <c r="R1300" i="2" s="1"/>
  <c r="V1300" i="2" s="1"/>
  <c r="W1300" i="2" s="1"/>
  <c r="P751" i="2" a="1"/>
  <c r="P751" i="2" s="1"/>
  <c r="R751" i="2" s="1"/>
  <c r="V751" i="2" s="1"/>
  <c r="W751" i="2" s="1"/>
  <c r="P6" i="2" a="1"/>
  <c r="P6" i="2" s="1"/>
  <c r="R6" i="2" s="1"/>
  <c r="V6" i="2" s="1"/>
  <c r="W6" i="2" s="1"/>
  <c r="P1434" i="2" a="1"/>
  <c r="P1434" i="2" s="1"/>
  <c r="R1434" i="2" s="1"/>
  <c r="V1434" i="2" s="1"/>
  <c r="W1434" i="2" s="1"/>
  <c r="P468" i="2" a="1"/>
  <c r="P468" i="2" s="1"/>
  <c r="R468" i="2" s="1"/>
  <c r="V468" i="2" s="1"/>
  <c r="W468" i="2" s="1"/>
  <c r="P966" i="2" a="1"/>
  <c r="P966" i="2" s="1"/>
  <c r="R966" i="2" s="1"/>
  <c r="V966" i="2" s="1"/>
  <c r="W966" i="2" s="1"/>
  <c r="P1333" i="2" a="1"/>
  <c r="P1333" i="2" s="1"/>
  <c r="R1333" i="2" s="1"/>
  <c r="V1333" i="2" s="1"/>
  <c r="W1333" i="2" s="1"/>
  <c r="P1716" i="2" a="1"/>
  <c r="P1716" i="2" s="1"/>
  <c r="R1716" i="2" s="1"/>
  <c r="V1716" i="2" s="1"/>
  <c r="W1716" i="2" s="1"/>
  <c r="P1310" i="2" a="1"/>
  <c r="P1310" i="2" s="1"/>
  <c r="R1310" i="2" s="1"/>
  <c r="V1310" i="2" s="1"/>
  <c r="W1310" i="2" s="1"/>
  <c r="P838" i="2" a="1"/>
  <c r="P838" i="2" s="1"/>
  <c r="R838" i="2" s="1"/>
  <c r="V838" i="2" s="1"/>
  <c r="W838" i="2" s="1"/>
  <c r="P1713" i="2" a="1"/>
  <c r="P1713" i="2" s="1"/>
  <c r="R1713" i="2" s="1"/>
  <c r="V1713" i="2" s="1"/>
  <c r="W1713" i="2" s="1"/>
  <c r="P281" i="2" a="1"/>
  <c r="P281" i="2" s="1"/>
  <c r="R281" i="2" s="1"/>
  <c r="V281" i="2" s="1"/>
  <c r="W281" i="2" s="1"/>
  <c r="P1740" i="2" a="1"/>
  <c r="P1740" i="2" s="1"/>
  <c r="R1740" i="2" s="1"/>
  <c r="V1740" i="2" s="1"/>
  <c r="W1740" i="2" s="1"/>
  <c r="P361" i="2" a="1"/>
  <c r="P361" i="2" s="1"/>
  <c r="R361" i="2" s="1"/>
  <c r="V361" i="2" s="1"/>
  <c r="W361" i="2" s="1"/>
  <c r="P1556" i="2" a="1"/>
  <c r="P1556" i="2" s="1"/>
  <c r="R1556" i="2" s="1"/>
  <c r="V1556" i="2" s="1"/>
  <c r="W1556" i="2" s="1"/>
  <c r="P1494" i="2" a="1"/>
  <c r="P1494" i="2" s="1"/>
  <c r="R1494" i="2" s="1"/>
  <c r="V1494" i="2" s="1"/>
  <c r="W1494" i="2" s="1"/>
  <c r="P2025" i="2" a="1"/>
  <c r="P2025" i="2" s="1"/>
  <c r="R2025" i="2" s="1"/>
  <c r="V2025" i="2" s="1"/>
  <c r="W2025" i="2" s="1"/>
  <c r="P1601" i="2" a="1"/>
  <c r="P1601" i="2" s="1"/>
  <c r="R1601" i="2" s="1"/>
  <c r="V1601" i="2" s="1"/>
  <c r="W1601" i="2" s="1"/>
  <c r="P2026" i="2" a="1"/>
  <c r="P2026" i="2" s="1"/>
  <c r="R2026" i="2" s="1"/>
  <c r="V2026" i="2" s="1"/>
  <c r="W2026" i="2" s="1"/>
  <c r="P1570" i="2" a="1"/>
  <c r="P1570" i="2" s="1"/>
  <c r="R1570" i="2" s="1"/>
  <c r="V1570" i="2" s="1"/>
  <c r="W1570" i="2" s="1"/>
  <c r="P1421" i="2" a="1"/>
  <c r="P1421" i="2" s="1"/>
  <c r="R1421" i="2" s="1"/>
  <c r="V1421" i="2" s="1"/>
  <c r="W1421" i="2" s="1"/>
  <c r="P438" i="2" a="1"/>
  <c r="P438" i="2" s="1"/>
  <c r="R438" i="2" s="1"/>
  <c r="V438" i="2" s="1"/>
  <c r="W438" i="2" s="1"/>
  <c r="P847" i="2" a="1"/>
  <c r="P847" i="2" s="1"/>
  <c r="R847" i="2" s="1"/>
  <c r="V847" i="2" s="1"/>
  <c r="W847" i="2" s="1"/>
  <c r="P1656" i="2" a="1"/>
  <c r="P1656" i="2" s="1"/>
  <c r="R1656" i="2" s="1"/>
  <c r="V1656" i="2" s="1"/>
  <c r="W1656" i="2" s="1"/>
  <c r="P282" i="2" a="1"/>
  <c r="P282" i="2" s="1"/>
  <c r="R282" i="2" s="1"/>
  <c r="V282" i="2" s="1"/>
  <c r="W282" i="2" s="1"/>
  <c r="P1046" i="2" a="1"/>
  <c r="P1046" i="2" s="1"/>
  <c r="R1046" i="2" s="1"/>
  <c r="V1046" i="2" s="1"/>
  <c r="W1046" i="2" s="1"/>
  <c r="P1661" i="2" a="1"/>
  <c r="P1661" i="2" s="1"/>
  <c r="R1661" i="2" s="1"/>
  <c r="V1661" i="2" s="1"/>
  <c r="W1661" i="2" s="1"/>
  <c r="P1585" i="2" a="1"/>
  <c r="P1585" i="2" s="1"/>
  <c r="R1585" i="2" s="1"/>
  <c r="V1585" i="2" s="1"/>
  <c r="W1585" i="2" s="1"/>
  <c r="P56" i="2" a="1"/>
  <c r="P56" i="2" s="1"/>
  <c r="R56" i="2" s="1"/>
  <c r="V56" i="2" s="1"/>
  <c r="W56" i="2" s="1"/>
  <c r="P783" i="2" a="1"/>
  <c r="P783" i="2" s="1"/>
  <c r="R783" i="2" s="1"/>
  <c r="V783" i="2" s="1"/>
  <c r="W783" i="2" s="1"/>
  <c r="P2052" i="2" a="1"/>
  <c r="P2052" i="2" s="1"/>
  <c r="R2052" i="2" s="1"/>
  <c r="V2052" i="2" s="1"/>
  <c r="W2052" i="2" s="1"/>
  <c r="P364" i="2" a="1"/>
  <c r="P364" i="2" s="1"/>
  <c r="R364" i="2" s="1"/>
  <c r="V364" i="2" s="1"/>
  <c r="W364" i="2" s="1"/>
  <c r="P247" i="2" a="1"/>
  <c r="P247" i="2" s="1"/>
  <c r="R247" i="2" s="1"/>
  <c r="V247" i="2" s="1"/>
  <c r="W247" i="2" s="1"/>
  <c r="P1278" i="2" a="1"/>
  <c r="P1278" i="2" s="1"/>
  <c r="R1278" i="2" s="1"/>
  <c r="V1278" i="2" s="1"/>
  <c r="W1278" i="2" s="1"/>
  <c r="P21" i="2" a="1"/>
  <c r="P21" i="2" s="1"/>
  <c r="R21" i="2" s="1"/>
  <c r="V21" i="2" s="1"/>
  <c r="W21" i="2" s="1"/>
  <c r="P1741" i="2" a="1"/>
  <c r="P1741" i="2" s="1"/>
  <c r="R1741" i="2" s="1"/>
  <c r="V1741" i="2" s="1"/>
  <c r="W1741" i="2" s="1"/>
  <c r="P1011" i="2" a="1"/>
  <c r="P1011" i="2" s="1"/>
  <c r="R1011" i="2" s="1"/>
  <c r="V1011" i="2" s="1"/>
  <c r="W1011" i="2" s="1"/>
  <c r="P886" i="2" a="1"/>
  <c r="P886" i="2" s="1"/>
  <c r="R886" i="2" s="1"/>
  <c r="V886" i="2" s="1"/>
  <c r="W886" i="2" s="1"/>
  <c r="P1281" i="2" a="1"/>
  <c r="P1281" i="2" s="1"/>
  <c r="R1281" i="2" s="1"/>
  <c r="V1281" i="2" s="1"/>
  <c r="W1281" i="2" s="1"/>
  <c r="P300" i="2" a="1"/>
  <c r="P300" i="2" s="1"/>
  <c r="R300" i="2" s="1"/>
  <c r="V300" i="2" s="1"/>
  <c r="W300" i="2" s="1"/>
  <c r="P1577" i="2" a="1"/>
  <c r="P1577" i="2" s="1"/>
  <c r="R1577" i="2" s="1"/>
  <c r="V1577" i="2" s="1"/>
  <c r="W1577" i="2" s="1"/>
  <c r="P1526" i="2" a="1"/>
  <c r="P1526" i="2" s="1"/>
  <c r="R1526" i="2" s="1"/>
  <c r="V1526" i="2" s="1"/>
  <c r="W1526" i="2" s="1"/>
  <c r="P1495" i="2" a="1"/>
  <c r="P1495" i="2" s="1"/>
  <c r="R1495" i="2" s="1"/>
  <c r="V1495" i="2" s="1"/>
  <c r="W1495" i="2" s="1"/>
  <c r="P1198" i="2" a="1"/>
  <c r="P1198" i="2" s="1"/>
  <c r="R1198" i="2" s="1"/>
  <c r="V1198" i="2" s="1"/>
  <c r="W1198" i="2" s="1"/>
  <c r="P261" i="2" a="1"/>
  <c r="P261" i="2" s="1"/>
  <c r="R261" i="2" s="1"/>
  <c r="V261" i="2" s="1"/>
  <c r="W261" i="2" s="1"/>
  <c r="P20" i="2" a="1"/>
  <c r="P20" i="2" s="1"/>
  <c r="R20" i="2" s="1"/>
  <c r="V20" i="2" s="1"/>
  <c r="W20" i="2" s="1"/>
  <c r="P1301" i="2" a="1"/>
  <c r="P1301" i="2" s="1"/>
  <c r="R1301" i="2" s="1"/>
  <c r="V1301" i="2" s="1"/>
  <c r="W1301" i="2" s="1"/>
  <c r="P1223" i="2" a="1"/>
  <c r="P1223" i="2" s="1"/>
  <c r="R1223" i="2" s="1"/>
  <c r="V1223" i="2" s="1"/>
  <c r="W1223" i="2" s="1"/>
  <c r="P1063" i="2" a="1"/>
  <c r="P1063" i="2" s="1"/>
  <c r="R1063" i="2" s="1"/>
  <c r="V1063" i="2" s="1"/>
  <c r="W1063" i="2" s="1"/>
  <c r="P1005" i="2" a="1"/>
  <c r="P1005" i="2" s="1"/>
  <c r="R1005" i="2" s="1"/>
  <c r="V1005" i="2" s="1"/>
  <c r="W1005" i="2" s="1"/>
  <c r="P2042" i="2" a="1"/>
  <c r="P2042" i="2" s="1"/>
  <c r="R2042" i="2" s="1"/>
  <c r="V2042" i="2" s="1"/>
  <c r="W2042" i="2" s="1"/>
  <c r="P194" i="2" a="1"/>
  <c r="P194" i="2" s="1"/>
  <c r="R194" i="2" s="1"/>
  <c r="V194" i="2" s="1"/>
  <c r="W194" i="2" s="1"/>
  <c r="P914" i="2" a="1"/>
  <c r="P914" i="2" s="1"/>
  <c r="R914" i="2" s="1"/>
  <c r="V914" i="2" s="1"/>
  <c r="W914" i="2" s="1"/>
  <c r="P549" i="2" a="1"/>
  <c r="P549" i="2" s="1"/>
  <c r="R549" i="2" s="1"/>
  <c r="V549" i="2" s="1"/>
  <c r="W549" i="2" s="1"/>
  <c r="P512" i="2" a="1"/>
  <c r="P512" i="2" s="1"/>
  <c r="R512" i="2" s="1"/>
  <c r="V512" i="2" s="1"/>
  <c r="W512" i="2" s="1"/>
  <c r="P1028" i="2" a="1"/>
  <c r="P1028" i="2" s="1"/>
  <c r="R1028" i="2" s="1"/>
  <c r="V1028" i="2" s="1"/>
  <c r="W1028" i="2" s="1"/>
  <c r="P2045" i="2" a="1"/>
  <c r="P2045" i="2" s="1"/>
  <c r="R2045" i="2" s="1"/>
  <c r="V2045" i="2" s="1"/>
  <c r="W2045" i="2" s="1"/>
  <c r="P1311" i="2" a="1"/>
  <c r="P1311" i="2" s="1"/>
  <c r="R1311" i="2" s="1"/>
  <c r="V1311" i="2" s="1"/>
  <c r="W1311" i="2" s="1"/>
  <c r="P320" i="2" a="1"/>
  <c r="P320" i="2" s="1"/>
  <c r="R320" i="2" s="1"/>
  <c r="V320" i="2" s="1"/>
  <c r="W320" i="2" s="1"/>
  <c r="P1218" i="2" a="1"/>
  <c r="P1218" i="2" s="1"/>
  <c r="R1218" i="2" s="1"/>
  <c r="V1218" i="2" s="1"/>
  <c r="W1218" i="2" s="1"/>
  <c r="P189" i="2" a="1"/>
  <c r="P189" i="2" s="1"/>
  <c r="R189" i="2" s="1"/>
  <c r="V189" i="2" s="1"/>
  <c r="W189" i="2" s="1"/>
  <c r="P1106" i="2" a="1"/>
  <c r="P1106" i="2" s="1"/>
  <c r="R1106" i="2" s="1"/>
  <c r="V1106" i="2" s="1"/>
  <c r="W1106" i="2" s="1"/>
  <c r="P1004" i="2" a="1"/>
  <c r="P1004" i="2" s="1"/>
  <c r="R1004" i="2" s="1"/>
  <c r="V1004" i="2" s="1"/>
  <c r="W1004" i="2" s="1"/>
  <c r="P1353" i="2" a="1"/>
  <c r="P1353" i="2" s="1"/>
  <c r="R1353" i="2" s="1"/>
  <c r="V1353" i="2" s="1"/>
  <c r="W1353" i="2" s="1"/>
  <c r="P479" i="2" a="1"/>
  <c r="P479" i="2" s="1"/>
  <c r="R479" i="2" s="1"/>
  <c r="V479" i="2" s="1"/>
  <c r="W479" i="2" s="1"/>
  <c r="P192" i="2" a="1"/>
  <c r="P192" i="2" s="1"/>
  <c r="R192" i="2" s="1"/>
  <c r="V192" i="2" s="1"/>
  <c r="W192" i="2" s="1"/>
  <c r="P1465" i="2" a="1"/>
  <c r="P1465" i="2" s="1"/>
  <c r="R1465" i="2" s="1"/>
  <c r="V1465" i="2" s="1"/>
  <c r="W1465" i="2" s="1"/>
  <c r="P435" i="2" a="1"/>
  <c r="P435" i="2" s="1"/>
  <c r="R435" i="2" s="1"/>
  <c r="V435" i="2" s="1"/>
  <c r="W435" i="2" s="1"/>
  <c r="P1091" i="2" a="1"/>
  <c r="P1091" i="2" s="1"/>
  <c r="R1091" i="2" s="1"/>
  <c r="V1091" i="2" s="1"/>
  <c r="W1091" i="2" s="1"/>
  <c r="P1519" i="2" a="1"/>
  <c r="P1519" i="2" s="1"/>
  <c r="R1519" i="2" s="1"/>
  <c r="V1519" i="2" s="1"/>
  <c r="W1519" i="2" s="1"/>
  <c r="P381" i="2" a="1"/>
  <c r="P381" i="2" s="1"/>
  <c r="R381" i="2" s="1"/>
  <c r="V381" i="2" s="1"/>
  <c r="W381" i="2" s="1"/>
  <c r="P1066" i="2" a="1"/>
  <c r="P1066" i="2" s="1"/>
  <c r="R1066" i="2" s="1"/>
  <c r="V1066" i="2" s="1"/>
  <c r="W1066" i="2" s="1"/>
  <c r="P940" i="2" a="1"/>
  <c r="P940" i="2" s="1"/>
  <c r="R940" i="2" s="1"/>
  <c r="V940" i="2" s="1"/>
  <c r="W940" i="2" s="1"/>
  <c r="P1182" i="2" a="1"/>
  <c r="P1182" i="2" s="1"/>
  <c r="R1182" i="2" s="1"/>
  <c r="V1182" i="2" s="1"/>
  <c r="W1182" i="2" s="1"/>
  <c r="P442" i="2" a="1"/>
  <c r="P442" i="2" s="1"/>
  <c r="R442" i="2" s="1"/>
  <c r="V442" i="2" s="1"/>
  <c r="W442" i="2" s="1"/>
  <c r="P1746" i="2" a="1"/>
  <c r="P1746" i="2" s="1"/>
  <c r="R1746" i="2" s="1"/>
  <c r="V1746" i="2" s="1"/>
  <c r="W1746" i="2" s="1"/>
  <c r="P1061" i="2" a="1"/>
  <c r="P1061" i="2" s="1"/>
  <c r="R1061" i="2" s="1"/>
  <c r="V1061" i="2" s="1"/>
  <c r="W1061" i="2" s="1"/>
  <c r="P1468" i="2" a="1"/>
  <c r="P1468" i="2" s="1"/>
  <c r="R1468" i="2" s="1"/>
  <c r="V1468" i="2" s="1"/>
  <c r="W1468" i="2" s="1"/>
  <c r="P680" i="2" a="1"/>
  <c r="P680" i="2" s="1"/>
  <c r="R680" i="2" s="1"/>
  <c r="V680" i="2" s="1"/>
  <c r="W680" i="2" s="1"/>
  <c r="P859" i="2" a="1"/>
  <c r="P859" i="2" s="1"/>
  <c r="R859" i="2" s="1"/>
  <c r="V859" i="2" s="1"/>
  <c r="W859" i="2" s="1"/>
  <c r="P399" i="2" a="1"/>
  <c r="P399" i="2" s="1"/>
  <c r="R399" i="2" s="1"/>
  <c r="V399" i="2" s="1"/>
  <c r="W399" i="2" s="1"/>
  <c r="P1168" i="2" a="1"/>
  <c r="P1168" i="2" s="1"/>
  <c r="R1168" i="2" s="1"/>
  <c r="V1168" i="2" s="1"/>
  <c r="W1168" i="2" s="1"/>
  <c r="P503" i="2" a="1"/>
  <c r="P503" i="2" s="1"/>
  <c r="R503" i="2" s="1"/>
  <c r="V503" i="2" s="1"/>
  <c r="W503" i="2" s="1"/>
  <c r="P104" i="2" a="1"/>
  <c r="P104" i="2" s="1"/>
  <c r="R104" i="2" s="1"/>
  <c r="V104" i="2" s="1"/>
  <c r="W104" i="2" s="1"/>
  <c r="P1489" i="2" a="1"/>
  <c r="P1489" i="2" s="1"/>
  <c r="R1489" i="2" s="1"/>
  <c r="V1489" i="2" s="1"/>
  <c r="W1489" i="2" s="1"/>
  <c r="P995" i="2" a="1"/>
  <c r="P995" i="2" s="1"/>
  <c r="R995" i="2" s="1"/>
  <c r="V995" i="2" s="1"/>
  <c r="W995" i="2" s="1"/>
  <c r="P883" i="2" a="1"/>
  <c r="P883" i="2" s="1"/>
  <c r="R883" i="2" s="1"/>
  <c r="V883" i="2" s="1"/>
  <c r="W883" i="2" s="1"/>
  <c r="P1080" i="2" a="1"/>
  <c r="P1080" i="2" s="1"/>
  <c r="R1080" i="2" s="1"/>
  <c r="V1080" i="2" s="1"/>
  <c r="W1080" i="2" s="1"/>
  <c r="P1213" i="2" a="1"/>
  <c r="P1213" i="2" s="1"/>
  <c r="R1213" i="2" s="1"/>
  <c r="V1213" i="2" s="1"/>
  <c r="W1213" i="2" s="1"/>
  <c r="P415" i="2" a="1"/>
  <c r="P415" i="2" s="1"/>
  <c r="R415" i="2" s="1"/>
  <c r="V415" i="2" s="1"/>
  <c r="W415" i="2" s="1"/>
  <c r="P1596" i="2" a="1"/>
  <c r="P1596" i="2" s="1"/>
  <c r="R1596" i="2" s="1"/>
  <c r="V1596" i="2" s="1"/>
  <c r="W1596" i="2" s="1"/>
  <c r="P280" i="2" a="1"/>
  <c r="P280" i="2" s="1"/>
  <c r="R280" i="2" s="1"/>
  <c r="V280" i="2" s="1"/>
  <c r="W280" i="2" s="1"/>
  <c r="P253" i="2" a="1"/>
  <c r="P253" i="2" s="1"/>
  <c r="R253" i="2" s="1"/>
  <c r="V253" i="2" s="1"/>
  <c r="W253" i="2" s="1"/>
  <c r="P1515" i="2" a="1"/>
  <c r="P1515" i="2" s="1"/>
  <c r="R1515" i="2" s="1"/>
  <c r="V1515" i="2" s="1"/>
  <c r="W1515" i="2" s="1"/>
  <c r="P1483" i="2" a="1"/>
  <c r="P1483" i="2" s="1"/>
  <c r="R1483" i="2" s="1"/>
  <c r="V1483" i="2" s="1"/>
  <c r="W1483" i="2" s="1"/>
  <c r="P263" i="2" a="1"/>
  <c r="P263" i="2" s="1"/>
  <c r="R263" i="2" s="1"/>
  <c r="V263" i="2" s="1"/>
  <c r="W263" i="2" s="1"/>
  <c r="P1591" i="2" a="1"/>
  <c r="P1591" i="2" s="1"/>
  <c r="R1591" i="2" s="1"/>
  <c r="V1591" i="2" s="1"/>
  <c r="W1591" i="2" s="1"/>
  <c r="P828" i="2" a="1"/>
  <c r="P828" i="2" s="1"/>
  <c r="R828" i="2" s="1"/>
  <c r="V828" i="2" s="1"/>
  <c r="W828" i="2" s="1"/>
  <c r="P1609" i="2" a="1"/>
  <c r="P1609" i="2" s="1"/>
  <c r="R1609" i="2" s="1"/>
  <c r="V1609" i="2" s="1"/>
  <c r="W1609" i="2" s="1"/>
  <c r="P808" i="2" a="1"/>
  <c r="P808" i="2" s="1"/>
  <c r="R808" i="2" s="1"/>
  <c r="V808" i="2" s="1"/>
  <c r="W808" i="2" s="1"/>
  <c r="P919" i="2" a="1"/>
  <c r="P919" i="2" s="1"/>
  <c r="R919" i="2" s="1"/>
  <c r="V919" i="2" s="1"/>
  <c r="W919" i="2" s="1"/>
  <c r="P1640" i="2" a="1"/>
  <c r="P1640" i="2" s="1"/>
  <c r="R1640" i="2" s="1"/>
  <c r="V1640" i="2" s="1"/>
  <c r="W1640" i="2" s="1"/>
  <c r="P1521" i="2" a="1"/>
  <c r="P1521" i="2" s="1"/>
  <c r="R1521" i="2" s="1"/>
  <c r="V1521" i="2" s="1"/>
  <c r="W1521" i="2" s="1"/>
  <c r="P1597" i="2" a="1"/>
  <c r="P1597" i="2" s="1"/>
  <c r="R1597" i="2" s="1"/>
  <c r="V1597" i="2" s="1"/>
  <c r="W1597" i="2" s="1"/>
  <c r="P121" i="2" a="1"/>
  <c r="P121" i="2" s="1"/>
  <c r="R121" i="2" s="1"/>
  <c r="V121" i="2" s="1"/>
  <c r="W121" i="2" s="1"/>
  <c r="P1613" i="2" a="1"/>
  <c r="P1613" i="2" s="1"/>
  <c r="R1613" i="2" s="1"/>
  <c r="V1613" i="2" s="1"/>
  <c r="W1613" i="2" s="1"/>
  <c r="P97" i="2" a="1"/>
  <c r="P97" i="2" s="1"/>
  <c r="R97" i="2" s="1"/>
  <c r="V97" i="2" s="1"/>
  <c r="W97" i="2" s="1"/>
  <c r="P884" i="2" a="1"/>
  <c r="P884" i="2" s="1"/>
  <c r="R884" i="2" s="1"/>
  <c r="V884" i="2" s="1"/>
  <c r="W884" i="2" s="1"/>
  <c r="P776" i="2" a="1"/>
  <c r="P776" i="2" s="1"/>
  <c r="R776" i="2" s="1"/>
  <c r="V776" i="2" s="1"/>
  <c r="W776" i="2" s="1"/>
  <c r="P1292" i="2" a="1"/>
  <c r="P1292" i="2" s="1"/>
  <c r="R1292" i="2" s="1"/>
  <c r="V1292" i="2" s="1"/>
  <c r="W1292" i="2" s="1"/>
  <c r="P212" i="2" a="1"/>
  <c r="P212" i="2" s="1"/>
  <c r="R212" i="2" s="1"/>
  <c r="V212" i="2" s="1"/>
  <c r="W212" i="2" s="1"/>
  <c r="P1227" i="2" a="1"/>
  <c r="P1227" i="2" s="1"/>
  <c r="R1227" i="2" s="1"/>
  <c r="V1227" i="2" s="1"/>
  <c r="W1227" i="2" s="1"/>
  <c r="P1381" i="2" a="1"/>
  <c r="P1381" i="2" s="1"/>
  <c r="R1381" i="2" s="1"/>
  <c r="V1381" i="2" s="1"/>
  <c r="W1381" i="2" s="1"/>
  <c r="P61" i="2" a="1"/>
  <c r="P61" i="2" s="1"/>
  <c r="R61" i="2" s="1"/>
  <c r="V61" i="2" s="1"/>
  <c r="W61" i="2" s="1"/>
  <c r="P19" i="2" a="1"/>
  <c r="P19" i="2" s="1"/>
  <c r="R19" i="2" s="1"/>
  <c r="V19" i="2" s="1"/>
  <c r="W19" i="2" s="1"/>
  <c r="P214" i="2" a="1"/>
  <c r="P214" i="2" s="1"/>
  <c r="R214" i="2" s="1"/>
  <c r="V214" i="2" s="1"/>
  <c r="W214" i="2" s="1"/>
  <c r="P197" i="2" a="1"/>
  <c r="P197" i="2" s="1"/>
  <c r="R197" i="2" s="1"/>
  <c r="V197" i="2" s="1"/>
  <c r="W197" i="2" s="1"/>
  <c r="P1263" i="2" a="1"/>
  <c r="P1263" i="2" s="1"/>
  <c r="R1263" i="2" s="1"/>
  <c r="V1263" i="2" s="1"/>
  <c r="W1263" i="2" s="1"/>
  <c r="P1074" i="2" a="1"/>
  <c r="P1074" i="2" s="1"/>
  <c r="R1074" i="2" s="1"/>
  <c r="V1074" i="2" s="1"/>
  <c r="W1074" i="2" s="1"/>
  <c r="P519" i="2" a="1"/>
  <c r="P519" i="2" s="1"/>
  <c r="R519" i="2" s="1"/>
  <c r="V519" i="2" s="1"/>
  <c r="W519" i="2" s="1"/>
  <c r="P452" i="2" a="1"/>
  <c r="P452" i="2" s="1"/>
  <c r="R452" i="2" s="1"/>
  <c r="V452" i="2" s="1"/>
  <c r="W452" i="2" s="1"/>
  <c r="P1541" i="2" a="1"/>
  <c r="P1541" i="2" s="1"/>
  <c r="R1541" i="2" s="1"/>
  <c r="V1541" i="2" s="1"/>
  <c r="W1541" i="2" s="1"/>
  <c r="P8" i="2" a="1"/>
  <c r="P8" i="2" s="1"/>
  <c r="R8" i="2" s="1"/>
  <c r="V8" i="2" s="1"/>
  <c r="W8" i="2" s="1"/>
  <c r="P876" i="2" a="1"/>
  <c r="P876" i="2" s="1"/>
  <c r="R876" i="2" s="1"/>
  <c r="V876" i="2" s="1"/>
  <c r="W876" i="2" s="1"/>
  <c r="P1662" i="2" a="1"/>
  <c r="P1662" i="2" s="1"/>
  <c r="R1662" i="2" s="1"/>
  <c r="V1662" i="2" s="1"/>
  <c r="W1662" i="2" s="1"/>
  <c r="P941" i="2" a="1"/>
  <c r="P941" i="2" s="1"/>
  <c r="R941" i="2" s="1"/>
  <c r="V941" i="2" s="1"/>
  <c r="W941" i="2" s="1"/>
  <c r="P918" i="2" a="1"/>
  <c r="P918" i="2" s="1"/>
  <c r="R918" i="2" s="1"/>
  <c r="V918" i="2" s="1"/>
  <c r="W918" i="2" s="1"/>
  <c r="P1543" i="2" a="1"/>
  <c r="P1543" i="2" s="1"/>
  <c r="R1543" i="2" s="1"/>
  <c r="V1543" i="2" s="1"/>
  <c r="W1543" i="2" s="1"/>
  <c r="P1453" i="2" a="1"/>
  <c r="P1453" i="2" s="1"/>
  <c r="R1453" i="2" s="1"/>
  <c r="V1453" i="2" s="1"/>
  <c r="W1453" i="2" s="1"/>
  <c r="P1088" i="2" a="1"/>
  <c r="P1088" i="2" s="1"/>
  <c r="R1088" i="2" s="1"/>
  <c r="V1088" i="2" s="1"/>
  <c r="W1088" i="2" s="1"/>
  <c r="P70" i="2" a="1"/>
  <c r="P70" i="2" s="1"/>
  <c r="R70" i="2" s="1"/>
  <c r="V70" i="2" s="1"/>
  <c r="W70" i="2" s="1"/>
  <c r="P803" i="2" a="1"/>
  <c r="P803" i="2" s="1"/>
  <c r="R803" i="2" s="1"/>
  <c r="V803" i="2" s="1"/>
  <c r="W803" i="2" s="1"/>
  <c r="P2067" i="2" a="1"/>
  <c r="P2067" i="2" s="1"/>
  <c r="R2067" i="2" s="1"/>
  <c r="V2067" i="2" s="1"/>
  <c r="W2067" i="2" s="1"/>
  <c r="P1372" i="2" a="1"/>
  <c r="P1372" i="2" s="1"/>
  <c r="R1372" i="2" s="1"/>
  <c r="V1372" i="2" s="1"/>
  <c r="W1372" i="2" s="1"/>
  <c r="P181" i="2" a="1"/>
  <c r="P181" i="2" s="1"/>
  <c r="R181" i="2" s="1"/>
  <c r="V181" i="2" s="1"/>
  <c r="W181" i="2" s="1"/>
  <c r="P1578" i="2" a="1"/>
  <c r="P1578" i="2" s="1"/>
  <c r="R1578" i="2" s="1"/>
  <c r="V1578" i="2" s="1"/>
  <c r="W1578" i="2" s="1"/>
  <c r="P1530" i="2" a="1"/>
  <c r="P1530" i="2" s="1"/>
  <c r="R1530" i="2" s="1"/>
  <c r="V1530" i="2" s="1"/>
  <c r="W1530" i="2" s="1"/>
  <c r="P420" i="2" a="1"/>
  <c r="P420" i="2" s="1"/>
  <c r="R420" i="2" s="1"/>
  <c r="V420" i="2" s="1"/>
  <c r="W420" i="2" s="1"/>
  <c r="P1475" i="2" a="1"/>
  <c r="P1475" i="2" s="1"/>
  <c r="R1475" i="2" s="1"/>
  <c r="V1475" i="2" s="1"/>
  <c r="W1475" i="2" s="1"/>
  <c r="P869" i="2" a="1"/>
  <c r="P869" i="2" s="1"/>
  <c r="R869" i="2" s="1"/>
  <c r="V869" i="2" s="1"/>
  <c r="W869" i="2" s="1"/>
  <c r="P304" i="2" a="1"/>
  <c r="P304" i="2" s="1"/>
  <c r="R304" i="2" s="1"/>
  <c r="V304" i="2" s="1"/>
  <c r="W304" i="2" s="1"/>
  <c r="P86" i="2" a="1"/>
  <c r="P86" i="2" s="1"/>
  <c r="R86" i="2" s="1"/>
  <c r="V86" i="2" s="1"/>
  <c r="W86" i="2" s="1"/>
  <c r="P392" i="2" a="1"/>
  <c r="P392" i="2" s="1"/>
  <c r="R392" i="2" s="1"/>
  <c r="V392" i="2" s="1"/>
  <c r="W392" i="2" s="1"/>
  <c r="P1336" i="2" a="1"/>
  <c r="P1336" i="2" s="1"/>
  <c r="R1336" i="2" s="1"/>
  <c r="V1336" i="2" s="1"/>
  <c r="W1336" i="2" s="1"/>
  <c r="P2033" i="2" a="1"/>
  <c r="P2033" i="2" s="1"/>
  <c r="R2033" i="2" s="1"/>
  <c r="V2033" i="2" s="1"/>
  <c r="W2033" i="2" s="1"/>
  <c r="P1062" i="2" a="1"/>
  <c r="P1062" i="2" s="1"/>
  <c r="R1062" i="2" s="1"/>
  <c r="V1062" i="2" s="1"/>
  <c r="W1062" i="2" s="1"/>
  <c r="P789" i="2" a="1"/>
  <c r="P789" i="2" s="1"/>
  <c r="R789" i="2" s="1"/>
  <c r="V789" i="2" s="1"/>
  <c r="W789" i="2" s="1"/>
  <c r="P518" i="2" a="1"/>
  <c r="P518" i="2" s="1"/>
  <c r="R518" i="2" s="1"/>
  <c r="V518" i="2" s="1"/>
  <c r="W518" i="2" s="1"/>
  <c r="P84" i="2" a="1"/>
  <c r="P84" i="2" s="1"/>
  <c r="R84" i="2" s="1"/>
  <c r="V84" i="2" s="1"/>
  <c r="W84" i="2" s="1"/>
  <c r="P1105" i="2" a="1"/>
  <c r="P1105" i="2" s="1"/>
  <c r="R1105" i="2" s="1"/>
  <c r="V1105" i="2" s="1"/>
  <c r="W1105" i="2" s="1"/>
  <c r="P1110" i="2" a="1"/>
  <c r="P1110" i="2" s="1"/>
  <c r="R1110" i="2" s="1"/>
  <c r="V1110" i="2" s="1"/>
  <c r="W1110" i="2" s="1"/>
  <c r="P227" i="2" a="1"/>
  <c r="P227" i="2" s="1"/>
  <c r="R227" i="2" s="1"/>
  <c r="V227" i="2" s="1"/>
  <c r="W227" i="2" s="1"/>
  <c r="P1669" i="2" a="1"/>
  <c r="P1669" i="2" s="1"/>
  <c r="R1669" i="2" s="1"/>
  <c r="V1669" i="2" s="1"/>
  <c r="W1669" i="2" s="1"/>
  <c r="P140" i="2" a="1"/>
  <c r="P140" i="2" s="1"/>
  <c r="R140" i="2" s="1"/>
  <c r="V140" i="2" s="1"/>
  <c r="W140" i="2" s="1"/>
  <c r="P63" i="2" a="1"/>
  <c r="P63" i="2" s="1"/>
  <c r="R63" i="2" s="1"/>
  <c r="V63" i="2" s="1"/>
  <c r="W63" i="2" s="1"/>
  <c r="P1467" i="2" a="1"/>
  <c r="P1467" i="2" s="1"/>
  <c r="R1467" i="2" s="1"/>
  <c r="V1467" i="2" s="1"/>
  <c r="W1467" i="2" s="1"/>
  <c r="P1642" i="2" a="1"/>
  <c r="P1642" i="2" s="1"/>
  <c r="R1642" i="2" s="1"/>
  <c r="V1642" i="2" s="1"/>
  <c r="W1642" i="2" s="1"/>
  <c r="P1006" i="2" a="1"/>
  <c r="P1006" i="2" s="1"/>
  <c r="R1006" i="2" s="1"/>
  <c r="V1006" i="2" s="1"/>
  <c r="W1006" i="2" s="1"/>
  <c r="P23" i="2" a="1"/>
  <c r="P23" i="2" s="1"/>
  <c r="R23" i="2" s="1"/>
  <c r="V23" i="2" s="1"/>
  <c r="W23" i="2" s="1"/>
  <c r="P1245" i="2" a="1"/>
  <c r="P1245" i="2" s="1"/>
  <c r="R1245" i="2" s="1"/>
  <c r="V1245" i="2" s="1"/>
  <c r="W1245" i="2" s="1"/>
  <c r="P1269" i="2" a="1"/>
  <c r="P1269" i="2" s="1"/>
  <c r="R1269" i="2" s="1"/>
  <c r="V1269" i="2" s="1"/>
  <c r="W1269" i="2" s="1"/>
  <c r="P1455" i="2" a="1"/>
  <c r="P1455" i="2" s="1"/>
  <c r="R1455" i="2" s="1"/>
  <c r="V1455" i="2" s="1"/>
  <c r="W1455" i="2" s="1"/>
  <c r="Q680" i="2" a="1"/>
  <c r="Q680" i="2" s="1"/>
  <c r="P1532" i="2" a="1"/>
  <c r="P1532" i="2" s="1"/>
  <c r="R1532" i="2" s="1"/>
  <c r="V1532" i="2" s="1"/>
  <c r="W1532" i="2" s="1"/>
  <c r="P1246" i="2" a="1"/>
  <c r="P1246" i="2" s="1"/>
  <c r="R1246" i="2" s="1"/>
  <c r="V1246" i="2" s="1"/>
  <c r="W1246" i="2" s="1"/>
  <c r="P1007" i="2" a="1"/>
  <c r="P1007" i="2" s="1"/>
  <c r="R1007" i="2" s="1"/>
  <c r="V1007" i="2" s="1"/>
  <c r="W1007" i="2" s="1"/>
  <c r="P390" i="2" a="1"/>
  <c r="P390" i="2" s="1"/>
  <c r="R390" i="2" s="1"/>
  <c r="V390" i="2" s="1"/>
  <c r="W390" i="2" s="1"/>
  <c r="P248" i="2" a="1"/>
  <c r="P248" i="2" s="1"/>
  <c r="R248" i="2" s="1"/>
  <c r="V248" i="2" s="1"/>
  <c r="W248" i="2" s="1"/>
  <c r="P1345" i="2" a="1"/>
  <c r="P1345" i="2" s="1"/>
  <c r="R1345" i="2" s="1"/>
  <c r="V1345" i="2" s="1"/>
  <c r="W1345" i="2" s="1"/>
  <c r="P1366" i="2" a="1"/>
  <c r="P1366" i="2" s="1"/>
  <c r="R1366" i="2" s="1"/>
  <c r="V1366" i="2" s="1"/>
  <c r="W1366" i="2" s="1"/>
  <c r="P523" i="2" a="1"/>
  <c r="P523" i="2" s="1"/>
  <c r="R523" i="2" s="1"/>
  <c r="V523" i="2" s="1"/>
  <c r="W523" i="2" s="1"/>
  <c r="P951" i="2" a="1"/>
  <c r="P951" i="2" s="1"/>
  <c r="R951" i="2" s="1"/>
  <c r="V951" i="2" s="1"/>
  <c r="W951" i="2" s="1"/>
  <c r="P1116" i="2" a="1"/>
  <c r="P1116" i="2" s="1"/>
  <c r="R1116" i="2" s="1"/>
  <c r="V1116" i="2" s="1"/>
  <c r="W1116" i="2" s="1"/>
  <c r="P887" i="2" a="1"/>
  <c r="P887" i="2" s="1"/>
  <c r="R887" i="2" s="1"/>
  <c r="V887" i="2" s="1"/>
  <c r="W887" i="2" s="1"/>
  <c r="P1140" i="2" a="1"/>
  <c r="P1140" i="2" s="1"/>
  <c r="R1140" i="2" s="1"/>
  <c r="V1140" i="2" s="1"/>
  <c r="W1140" i="2" s="1"/>
  <c r="P188" i="2" a="1"/>
  <c r="P188" i="2" s="1"/>
  <c r="R188" i="2" s="1"/>
  <c r="V188" i="2" s="1"/>
  <c r="W188" i="2" s="1"/>
  <c r="P923" i="2" a="1"/>
  <c r="P923" i="2" s="1"/>
  <c r="R923" i="2" s="1"/>
  <c r="V923" i="2" s="1"/>
  <c r="W923" i="2" s="1"/>
  <c r="P1560" i="2" a="1"/>
  <c r="P1560" i="2" s="1"/>
  <c r="R1560" i="2" s="1"/>
  <c r="V1560" i="2" s="1"/>
  <c r="W1560" i="2" s="1"/>
  <c r="P394" i="2" a="1"/>
  <c r="P394" i="2" s="1"/>
  <c r="R394" i="2" s="1"/>
  <c r="V394" i="2" s="1"/>
  <c r="W394" i="2" s="1"/>
  <c r="P1628" i="2" a="1"/>
  <c r="P1628" i="2" s="1"/>
  <c r="R1628" i="2" s="1"/>
  <c r="V1628" i="2" s="1"/>
  <c r="W1628" i="2" s="1"/>
  <c r="P1406" i="2" a="1"/>
  <c r="P1406" i="2" s="1"/>
  <c r="R1406" i="2" s="1"/>
  <c r="V1406" i="2" s="1"/>
  <c r="W1406" i="2" s="1"/>
  <c r="P1344" i="2" a="1"/>
  <c r="P1344" i="2" s="1"/>
  <c r="R1344" i="2" s="1"/>
  <c r="V1344" i="2" s="1"/>
  <c r="W1344" i="2" s="1"/>
  <c r="P1319" i="2" a="1"/>
  <c r="P1319" i="2" s="1"/>
  <c r="R1319" i="2" s="1"/>
  <c r="V1319" i="2" s="1"/>
  <c r="W1319" i="2" s="1"/>
  <c r="P773" i="2" a="1"/>
  <c r="P773" i="2" s="1"/>
  <c r="R773" i="2" s="1"/>
  <c r="V773" i="2" s="1"/>
  <c r="W773" i="2" s="1"/>
  <c r="P989" i="2" a="1"/>
  <c r="P989" i="2" s="1"/>
  <c r="R989" i="2" s="1"/>
  <c r="V989" i="2" s="1"/>
  <c r="W989" i="2" s="1"/>
  <c r="P398" i="2" a="1"/>
  <c r="P398" i="2" s="1"/>
  <c r="R398" i="2" s="1"/>
  <c r="V398" i="2" s="1"/>
  <c r="W398" i="2" s="1"/>
  <c r="P877" i="2" a="1"/>
  <c r="P877" i="2" s="1"/>
  <c r="R877" i="2" s="1"/>
  <c r="V877" i="2" s="1"/>
  <c r="W877" i="2" s="1"/>
  <c r="P807" i="2" a="1"/>
  <c r="P807" i="2" s="1"/>
  <c r="R807" i="2" s="1"/>
  <c r="V807" i="2" s="1"/>
  <c r="W807" i="2" s="1"/>
  <c r="P1257" i="2" a="1"/>
  <c r="P1257" i="2" s="1"/>
  <c r="R1257" i="2" s="1"/>
  <c r="V1257" i="2" s="1"/>
  <c r="W1257" i="2" s="1"/>
  <c r="P1082" i="2" a="1"/>
  <c r="P1082" i="2" s="1"/>
  <c r="R1082" i="2" s="1"/>
  <c r="V1082" i="2" s="1"/>
  <c r="W1082" i="2" s="1"/>
  <c r="P745" i="2" a="1"/>
  <c r="P745" i="2" s="1"/>
  <c r="R745" i="2" s="1"/>
  <c r="V745" i="2" s="1"/>
  <c r="W745" i="2" s="1"/>
  <c r="P116" i="2" a="1"/>
  <c r="P116" i="2" s="1"/>
  <c r="R116" i="2" s="1"/>
  <c r="V116" i="2" s="1"/>
  <c r="W116" i="2" s="1"/>
  <c r="P1390" i="2" a="1"/>
  <c r="P1390" i="2" s="1"/>
  <c r="R1390" i="2" s="1"/>
  <c r="V1390" i="2" s="1"/>
  <c r="W1390" i="2" s="1"/>
  <c r="P1565" i="2" a="1"/>
  <c r="P1565" i="2" s="1"/>
  <c r="R1565" i="2" s="1"/>
  <c r="V1565" i="2" s="1"/>
  <c r="W1565" i="2" s="1"/>
  <c r="P1562" i="2" a="1"/>
  <c r="P1562" i="2" s="1"/>
  <c r="R1562" i="2" s="1"/>
  <c r="V1562" i="2" s="1"/>
  <c r="W1562" i="2" s="1"/>
  <c r="P977" i="2" a="1"/>
  <c r="P977" i="2" s="1"/>
  <c r="R977" i="2" s="1"/>
  <c r="V977" i="2" s="1"/>
  <c r="W977" i="2" s="1"/>
  <c r="P1739" i="2" a="1"/>
  <c r="P1739" i="2" s="1"/>
  <c r="R1739" i="2" s="1"/>
  <c r="V1739" i="2" s="1"/>
  <c r="W1739" i="2" s="1"/>
  <c r="P1165" i="2" a="1"/>
  <c r="P1165" i="2" s="1"/>
  <c r="R1165" i="2" s="1"/>
  <c r="V1165" i="2" s="1"/>
  <c r="W1165" i="2" s="1"/>
  <c r="P1432" i="2" a="1"/>
  <c r="P1432" i="2" s="1"/>
  <c r="R1432" i="2" s="1"/>
  <c r="V1432" i="2" s="1"/>
  <c r="W1432" i="2" s="1"/>
  <c r="P767" i="2" a="1"/>
  <c r="P767" i="2" s="1"/>
  <c r="R767" i="2" s="1"/>
  <c r="V767" i="2" s="1"/>
  <c r="W767" i="2" s="1"/>
  <c r="P363" i="2" a="1"/>
  <c r="P363" i="2" s="1"/>
  <c r="R363" i="2" s="1"/>
  <c r="V363" i="2" s="1"/>
  <c r="W363" i="2" s="1"/>
  <c r="P961" i="2" a="1"/>
  <c r="P961" i="2" s="1"/>
  <c r="R961" i="2" s="1"/>
  <c r="V961" i="2" s="1"/>
  <c r="W961" i="2" s="1"/>
  <c r="P404" i="2" a="1"/>
  <c r="P404" i="2" s="1"/>
  <c r="R404" i="2" s="1"/>
  <c r="V404" i="2" s="1"/>
  <c r="W404" i="2" s="1"/>
  <c r="P323" i="2" a="1"/>
  <c r="P323" i="2" s="1"/>
  <c r="R323" i="2" s="1"/>
  <c r="V323" i="2" s="1"/>
  <c r="W323" i="2" s="1"/>
  <c r="P79" i="2" a="1"/>
  <c r="P79" i="2" s="1"/>
  <c r="R79" i="2" s="1"/>
  <c r="V79" i="2" s="1"/>
  <c r="W79" i="2" s="1"/>
  <c r="P1527" i="2" a="1"/>
  <c r="P1527" i="2" s="1"/>
  <c r="R1527" i="2" s="1"/>
  <c r="V1527" i="2" s="1"/>
  <c r="W1527" i="2" s="1"/>
  <c r="P487" i="2" a="1"/>
  <c r="P487" i="2" s="1"/>
  <c r="R487" i="2" s="1"/>
  <c r="V487" i="2" s="1"/>
  <c r="W487" i="2" s="1"/>
  <c r="P67" i="2" a="1"/>
  <c r="P67" i="2" s="1"/>
  <c r="R67" i="2" s="1"/>
  <c r="V67" i="2" s="1"/>
  <c r="W67" i="2" s="1"/>
  <c r="P1231" i="2" a="1"/>
  <c r="P1231" i="2" s="1"/>
  <c r="R1231" i="2" s="1"/>
  <c r="V1231" i="2" s="1"/>
  <c r="W1231" i="2" s="1"/>
  <c r="P798" i="2" a="1"/>
  <c r="P798" i="2" s="1"/>
  <c r="R798" i="2" s="1"/>
  <c r="V798" i="2" s="1"/>
  <c r="W798" i="2" s="1"/>
  <c r="P1544" i="2" a="1"/>
  <c r="P1544" i="2" s="1"/>
  <c r="R1544" i="2" s="1"/>
  <c r="V1544" i="2" s="1"/>
  <c r="W1544" i="2" s="1"/>
  <c r="P1143" i="2" a="1"/>
  <c r="P1143" i="2" s="1"/>
  <c r="R1143" i="2" s="1"/>
  <c r="V1143" i="2" s="1"/>
  <c r="W1143" i="2" s="1"/>
  <c r="P630" i="2" a="1"/>
  <c r="P630" i="2" s="1"/>
  <c r="R630" i="2" s="1"/>
  <c r="V630" i="2" s="1"/>
  <c r="W630" i="2" s="1"/>
  <c r="P2040" i="2" a="1"/>
  <c r="P2040" i="2" s="1"/>
  <c r="R2040" i="2" s="1"/>
  <c r="V2040" i="2" s="1"/>
  <c r="W2040" i="2" s="1"/>
  <c r="P875" i="2" a="1"/>
  <c r="P875" i="2" s="1"/>
  <c r="R875" i="2" s="1"/>
  <c r="V875" i="2" s="1"/>
  <c r="W875" i="2" s="1"/>
  <c r="P1002" i="2" a="1"/>
  <c r="P1002" i="2" s="1"/>
  <c r="R1002" i="2" s="1"/>
  <c r="V1002" i="2" s="1"/>
  <c r="W1002" i="2" s="1"/>
  <c r="P1089" i="2" a="1"/>
  <c r="P1089" i="2" s="1"/>
  <c r="R1089" i="2" s="1"/>
  <c r="V1089" i="2" s="1"/>
  <c r="W1089" i="2" s="1"/>
  <c r="P516" i="2" a="1"/>
  <c r="P516" i="2" s="1"/>
  <c r="R516" i="2" s="1"/>
  <c r="V516" i="2" s="1"/>
  <c r="W516" i="2" s="1"/>
  <c r="P1187" i="2" a="1"/>
  <c r="P1187" i="2" s="1"/>
  <c r="R1187" i="2" s="1"/>
  <c r="V1187" i="2" s="1"/>
  <c r="W1187" i="2" s="1"/>
  <c r="P294" i="2" a="1"/>
  <c r="P294" i="2" s="1"/>
  <c r="R294" i="2" s="1"/>
  <c r="V294" i="2" s="1"/>
  <c r="W294" i="2" s="1"/>
  <c r="P864" i="2" a="1"/>
  <c r="P864" i="2" s="1"/>
  <c r="R864" i="2" s="1"/>
  <c r="V864" i="2" s="1"/>
  <c r="W864" i="2" s="1"/>
  <c r="P1451" i="2" a="1"/>
  <c r="P1451" i="2" s="1"/>
  <c r="R1451" i="2" s="1"/>
  <c r="V1451" i="2" s="1"/>
  <c r="W1451" i="2" s="1"/>
  <c r="P2044" i="2" a="1"/>
  <c r="P2044" i="2" s="1"/>
  <c r="R2044" i="2" s="1"/>
  <c r="V2044" i="2" s="1"/>
  <c r="W2044" i="2" s="1"/>
  <c r="P92" i="2" a="1"/>
  <c r="P92" i="2" s="1"/>
  <c r="R92" i="2" s="1"/>
  <c r="V92" i="2" s="1"/>
  <c r="W92" i="2" s="1"/>
  <c r="P48" i="2" a="1"/>
  <c r="P48" i="2" s="1"/>
  <c r="R48" i="2" s="1"/>
  <c r="V48" i="2" s="1"/>
  <c r="W48" i="2" s="1"/>
  <c r="P183" i="2" a="1"/>
  <c r="P183" i="2" s="1"/>
  <c r="R183" i="2" s="1"/>
  <c r="V183" i="2" s="1"/>
  <c r="W183" i="2" s="1"/>
  <c r="P1474" i="2" a="1"/>
  <c r="P1474" i="2" s="1"/>
  <c r="R1474" i="2" s="1"/>
  <c r="V1474" i="2" s="1"/>
  <c r="W1474" i="2" s="1"/>
  <c r="P1196" i="2" a="1"/>
  <c r="P1196" i="2" s="1"/>
  <c r="R1196" i="2" s="1"/>
  <c r="V1196" i="2" s="1"/>
  <c r="W1196" i="2" s="1"/>
  <c r="P1400" i="2" a="1"/>
  <c r="P1400" i="2" s="1"/>
  <c r="R1400" i="2" s="1"/>
  <c r="V1400" i="2" s="1"/>
  <c r="W1400" i="2" s="1"/>
  <c r="P1159" i="2" a="1"/>
  <c r="P1159" i="2" s="1"/>
  <c r="R1159" i="2" s="1"/>
  <c r="V1159" i="2" s="1"/>
  <c r="W1159" i="2" s="1"/>
  <c r="P172" i="2" a="1"/>
  <c r="P172" i="2" s="1"/>
  <c r="R172" i="2" s="1"/>
  <c r="V172" i="2" s="1"/>
  <c r="W172" i="2" s="1"/>
  <c r="P1056" i="2" a="1"/>
  <c r="P1056" i="2" s="1"/>
  <c r="R1056" i="2" s="1"/>
  <c r="V1056" i="2" s="1"/>
  <c r="W1056" i="2" s="1"/>
  <c r="P236" i="2" a="1"/>
  <c r="P236" i="2" s="1"/>
  <c r="R236" i="2" s="1"/>
  <c r="V236" i="2" s="1"/>
  <c r="W236" i="2" s="1"/>
  <c r="P44" i="2" a="1"/>
  <c r="P44" i="2" s="1"/>
  <c r="R44" i="2" s="1"/>
  <c r="V44" i="2" s="1"/>
  <c r="W44" i="2" s="1"/>
  <c r="P1689" i="2" a="1"/>
  <c r="P1689" i="2" s="1"/>
  <c r="R1689" i="2" s="1"/>
  <c r="V1689" i="2" s="1"/>
  <c r="W1689" i="2" s="1"/>
  <c r="P985" i="2" a="1"/>
  <c r="P985" i="2" s="1"/>
  <c r="R985" i="2" s="1"/>
  <c r="V985" i="2" s="1"/>
  <c r="W985" i="2" s="1"/>
  <c r="P1034" i="2" a="1"/>
  <c r="P1034" i="2" s="1"/>
  <c r="R1034" i="2" s="1"/>
  <c r="V1034" i="2" s="1"/>
  <c r="W1034" i="2" s="1"/>
  <c r="P367" i="2" a="1"/>
  <c r="P367" i="2" s="1"/>
  <c r="R367" i="2" s="1"/>
  <c r="V367" i="2" s="1"/>
  <c r="W367" i="2" s="1"/>
  <c r="P1706" i="2" a="1"/>
  <c r="P1706" i="2" s="1"/>
  <c r="R1706" i="2" s="1"/>
  <c r="V1706" i="2" s="1"/>
  <c r="W1706" i="2" s="1"/>
  <c r="P763" i="2" a="1"/>
  <c r="P763" i="2" s="1"/>
  <c r="R763" i="2" s="1"/>
  <c r="V763" i="2" s="1"/>
  <c r="W763" i="2" s="1"/>
  <c r="P791" i="2" a="1"/>
  <c r="P791" i="2" s="1"/>
  <c r="R791" i="2" s="1"/>
  <c r="V791" i="2" s="1"/>
  <c r="W791" i="2" s="1"/>
  <c r="P142" i="2" a="1"/>
  <c r="P142" i="2" s="1"/>
  <c r="R142" i="2" s="1"/>
  <c r="V142" i="2" s="1"/>
  <c r="W142" i="2" s="1"/>
  <c r="P328" i="2" a="1"/>
  <c r="P328" i="2" s="1"/>
  <c r="R328" i="2" s="1"/>
  <c r="V328" i="2" s="1"/>
  <c r="W328" i="2" s="1"/>
  <c r="P2037" i="2" a="1"/>
  <c r="P2037" i="2" s="1"/>
  <c r="R2037" i="2" s="1"/>
  <c r="V2037" i="2" s="1"/>
  <c r="W2037" i="2" s="1"/>
  <c r="P1047" i="2" a="1"/>
  <c r="P1047" i="2" s="1"/>
  <c r="R1047" i="2" s="1"/>
  <c r="V1047" i="2" s="1"/>
  <c r="W1047" i="2" s="1"/>
  <c r="P1457" i="2" a="1"/>
  <c r="P1457" i="2" s="1"/>
  <c r="R1457" i="2" s="1"/>
  <c r="V1457" i="2" s="1"/>
  <c r="W1457" i="2" s="1"/>
  <c r="Q681" i="2" a="1"/>
  <c r="Q681" i="2" s="1"/>
  <c r="P1226" i="2" a="1"/>
  <c r="P1226" i="2" s="1"/>
  <c r="R1226" i="2" s="1"/>
  <c r="V1226" i="2" s="1"/>
  <c r="W1226" i="2" s="1"/>
  <c r="P456" i="2" a="1"/>
  <c r="P456" i="2" s="1"/>
  <c r="R456" i="2" s="1"/>
  <c r="V456" i="2" s="1"/>
  <c r="W456" i="2" s="1"/>
  <c r="P944" i="2" a="1"/>
  <c r="P944" i="2" s="1"/>
  <c r="R944" i="2" s="1"/>
  <c r="V944" i="2" s="1"/>
  <c r="W944" i="2" s="1"/>
  <c r="P1152" i="2" a="1"/>
  <c r="P1152" i="2" s="1"/>
  <c r="R1152" i="2" s="1"/>
  <c r="V1152" i="2" s="1"/>
  <c r="W1152" i="2" s="1"/>
  <c r="P1049" i="2" a="1"/>
  <c r="P1049" i="2" s="1"/>
  <c r="R1049" i="2" s="1"/>
  <c r="V1049" i="2" s="1"/>
  <c r="W1049" i="2" s="1"/>
  <c r="P1672" i="2" a="1"/>
  <c r="P1672" i="2" s="1"/>
  <c r="R1672" i="2" s="1"/>
  <c r="V1672" i="2" s="1"/>
  <c r="W1672" i="2" s="1"/>
  <c r="P406" i="2" a="1"/>
  <c r="P406" i="2" s="1"/>
  <c r="R406" i="2" s="1"/>
  <c r="V406" i="2" s="1"/>
  <c r="W406" i="2" s="1"/>
  <c r="P2020" i="2" a="1"/>
  <c r="P2020" i="2" s="1"/>
  <c r="R2020" i="2" s="1"/>
  <c r="V2020" i="2" s="1"/>
  <c r="W2020" i="2" s="1"/>
  <c r="P220" i="2" a="1"/>
  <c r="P220" i="2" s="1"/>
  <c r="R220" i="2" s="1"/>
  <c r="V220" i="2" s="1"/>
  <c r="W220" i="2" s="1"/>
  <c r="P25" i="2" a="1"/>
  <c r="P25" i="2" s="1"/>
  <c r="R25" i="2" s="1"/>
  <c r="V25" i="2" s="1"/>
  <c r="W25" i="2" s="1"/>
  <c r="P160" i="2" a="1"/>
  <c r="P160" i="2" s="1"/>
  <c r="R160" i="2" s="1"/>
  <c r="V160" i="2" s="1"/>
  <c r="W160" i="2" s="1"/>
  <c r="P365" i="2" a="1"/>
  <c r="P365" i="2" s="1"/>
  <c r="R365" i="2" s="1"/>
  <c r="V365" i="2" s="1"/>
  <c r="W365" i="2" s="1"/>
  <c r="P332" i="2" a="1"/>
  <c r="P332" i="2" s="1"/>
  <c r="R332" i="2" s="1"/>
  <c r="V332" i="2" s="1"/>
  <c r="W332" i="2" s="1"/>
  <c r="P255" i="2" a="1"/>
  <c r="P255" i="2" s="1"/>
  <c r="R255" i="2" s="1"/>
  <c r="V255" i="2" s="1"/>
  <c r="W255" i="2" s="1"/>
  <c r="P384" i="2" a="1"/>
  <c r="P384" i="2" s="1"/>
  <c r="R384" i="2" s="1"/>
  <c r="V384" i="2" s="1"/>
  <c r="W384" i="2" s="1"/>
  <c r="P1367" i="2" a="1"/>
  <c r="P1367" i="2" s="1"/>
  <c r="R1367" i="2" s="1"/>
  <c r="V1367" i="2" s="1"/>
  <c r="W1367" i="2" s="1"/>
  <c r="P1493" i="2" a="1"/>
  <c r="P1493" i="2" s="1"/>
  <c r="R1493" i="2" s="1"/>
  <c r="V1493" i="2" s="1"/>
  <c r="W1493" i="2" s="1"/>
  <c r="P350" i="2" a="1"/>
  <c r="P350" i="2" s="1"/>
  <c r="R350" i="2" s="1"/>
  <c r="V350" i="2" s="1"/>
  <c r="W350" i="2" s="1"/>
  <c r="P754" i="2" a="1"/>
  <c r="P754" i="2" s="1"/>
  <c r="R754" i="2" s="1"/>
  <c r="V754" i="2" s="1"/>
  <c r="W754" i="2" s="1"/>
  <c r="P1524" i="2" a="1"/>
  <c r="P1524" i="2" s="1"/>
  <c r="R1524" i="2" s="1"/>
  <c r="V1524" i="2" s="1"/>
  <c r="W1524" i="2" s="1"/>
  <c r="P1603" i="2" a="1"/>
  <c r="P1603" i="2" s="1"/>
  <c r="R1603" i="2" s="1"/>
  <c r="V1603" i="2" s="1"/>
  <c r="W1603" i="2" s="1"/>
  <c r="P1142" i="2" a="1"/>
  <c r="P1142" i="2" s="1"/>
  <c r="R1142" i="2" s="1"/>
  <c r="V1142" i="2" s="1"/>
  <c r="W1142" i="2" s="1"/>
  <c r="P494" i="2" a="1"/>
  <c r="P494" i="2" s="1"/>
  <c r="R494" i="2" s="1"/>
  <c r="V494" i="2" s="1"/>
  <c r="W494" i="2" s="1"/>
  <c r="P1354" i="2" a="1"/>
  <c r="P1354" i="2" s="1"/>
  <c r="R1354" i="2" s="1"/>
  <c r="V1354" i="2" s="1"/>
  <c r="W1354" i="2" s="1"/>
  <c r="P1576" i="2" a="1"/>
  <c r="P1576" i="2" s="1"/>
  <c r="R1576" i="2" s="1"/>
  <c r="V1576" i="2" s="1"/>
  <c r="W1576" i="2" s="1"/>
  <c r="P901" i="2" a="1"/>
  <c r="P901" i="2" s="1"/>
  <c r="R901" i="2" s="1"/>
  <c r="V901" i="2" s="1"/>
  <c r="W901" i="2" s="1"/>
  <c r="P1425" i="2" a="1"/>
  <c r="P1425" i="2" s="1"/>
  <c r="R1425" i="2" s="1"/>
  <c r="V1425" i="2" s="1"/>
  <c r="W1425" i="2" s="1"/>
  <c r="P430" i="2" a="1"/>
  <c r="P430" i="2" s="1"/>
  <c r="R430" i="2" s="1"/>
  <c r="V430" i="2" s="1"/>
  <c r="W430" i="2" s="1"/>
  <c r="P234" i="2" a="1"/>
  <c r="P234" i="2" s="1"/>
  <c r="R234" i="2" s="1"/>
  <c r="V234" i="2" s="1"/>
  <c r="W234" i="2" s="1"/>
  <c r="P1523" i="2" a="1"/>
  <c r="P1523" i="2" s="1"/>
  <c r="R1523" i="2" s="1"/>
  <c r="V1523" i="2" s="1"/>
  <c r="W1523" i="2" s="1"/>
  <c r="P1488" i="2" a="1"/>
  <c r="P1488" i="2" s="1"/>
  <c r="R1488" i="2" s="1"/>
  <c r="V1488" i="2" s="1"/>
  <c r="W1488" i="2" s="1"/>
  <c r="P766" i="2" a="1"/>
  <c r="P766" i="2" s="1"/>
  <c r="R766" i="2" s="1"/>
  <c r="V766" i="2" s="1"/>
  <c r="W766" i="2" s="1"/>
  <c r="P1368" i="2" a="1"/>
  <c r="P1368" i="2" s="1"/>
  <c r="R1368" i="2" s="1"/>
  <c r="V1368" i="2" s="1"/>
  <c r="W1368" i="2" s="1"/>
  <c r="P454" i="2" a="1"/>
  <c r="P454" i="2" s="1"/>
  <c r="R454" i="2" s="1"/>
  <c r="V454" i="2" s="1"/>
  <c r="W454" i="2" s="1"/>
  <c r="P71" i="2" a="1"/>
  <c r="P71" i="2" s="1"/>
  <c r="R71" i="2" s="1"/>
  <c r="V71" i="2" s="1"/>
  <c r="W71" i="2" s="1"/>
  <c r="P1433" i="2" a="1"/>
  <c r="P1433" i="2" s="1"/>
  <c r="R1433" i="2" s="1"/>
  <c r="V1433" i="2" s="1"/>
  <c r="W1433" i="2" s="1"/>
  <c r="P1237" i="2" a="1"/>
  <c r="P1237" i="2" s="1"/>
  <c r="R1237" i="2" s="1"/>
  <c r="V1237" i="2" s="1"/>
  <c r="W1237" i="2" s="1"/>
  <c r="P1377" i="2" a="1"/>
  <c r="P1377" i="2" s="1"/>
  <c r="R1377" i="2" s="1"/>
  <c r="V1377" i="2" s="1"/>
  <c r="W1377" i="2" s="1"/>
  <c r="P29" i="2" a="1"/>
  <c r="P29" i="2" s="1"/>
  <c r="R29" i="2" s="1"/>
  <c r="V29" i="2" s="1"/>
  <c r="W29" i="2" s="1"/>
  <c r="P1276" i="2" a="1"/>
  <c r="P1276" i="2" s="1"/>
  <c r="R1276" i="2" s="1"/>
  <c r="V1276" i="2" s="1"/>
  <c r="W1276" i="2" s="1"/>
  <c r="P310" i="2" a="1"/>
  <c r="P310" i="2" s="1"/>
  <c r="R310" i="2" s="1"/>
  <c r="V310" i="2" s="1"/>
  <c r="W310" i="2" s="1"/>
  <c r="P1072" i="2" a="1"/>
  <c r="P1072" i="2" s="1"/>
  <c r="R1072" i="2" s="1"/>
  <c r="V1072" i="2" s="1"/>
  <c r="W1072" i="2" s="1"/>
  <c r="P1320" i="2" a="1"/>
  <c r="P1320" i="2" s="1"/>
  <c r="R1320" i="2" s="1"/>
  <c r="V1320" i="2" s="1"/>
  <c r="W1320" i="2" s="1"/>
  <c r="P499" i="2" a="1"/>
  <c r="P499" i="2" s="1"/>
  <c r="R499" i="2" s="1"/>
  <c r="V499" i="2" s="1"/>
  <c r="W499" i="2" s="1"/>
  <c r="P445" i="2" a="1"/>
  <c r="P445" i="2" s="1"/>
  <c r="R445" i="2" s="1"/>
  <c r="V445" i="2" s="1"/>
  <c r="W445" i="2" s="1"/>
  <c r="P274" i="2" a="1"/>
  <c r="P274" i="2" s="1"/>
  <c r="R274" i="2" s="1"/>
  <c r="V274" i="2" s="1"/>
  <c r="W274" i="2" s="1"/>
  <c r="P1208" i="2" a="1"/>
  <c r="P1208" i="2" s="1"/>
  <c r="R1208" i="2" s="1"/>
  <c r="V1208" i="2" s="1"/>
  <c r="W1208" i="2" s="1"/>
  <c r="P510" i="2" a="1"/>
  <c r="P510" i="2" s="1"/>
  <c r="R510" i="2" s="1"/>
  <c r="V510" i="2" s="1"/>
  <c r="W510" i="2" s="1"/>
  <c r="P1029" i="2" a="1"/>
  <c r="P1029" i="2" s="1"/>
  <c r="R1029" i="2" s="1"/>
  <c r="V1029" i="2" s="1"/>
  <c r="W1029" i="2" s="1"/>
  <c r="P15" i="2" a="1"/>
  <c r="P15" i="2" s="1"/>
  <c r="R15" i="2" s="1"/>
  <c r="V15" i="2" s="1"/>
  <c r="W15" i="2" s="1"/>
  <c r="P1510" i="2" a="1"/>
  <c r="P1510" i="2" s="1"/>
  <c r="R1510" i="2" s="1"/>
  <c r="V1510" i="2" s="1"/>
  <c r="W1510" i="2" s="1"/>
  <c r="P268" i="2" a="1"/>
  <c r="P268" i="2" s="1"/>
  <c r="R268" i="2" s="1"/>
  <c r="V268" i="2" s="1"/>
  <c r="W268" i="2" s="1"/>
  <c r="P1185" i="2" a="1"/>
  <c r="P1185" i="2" s="1"/>
  <c r="R1185" i="2" s="1"/>
  <c r="V1185" i="2" s="1"/>
  <c r="W1185" i="2" s="1"/>
  <c r="P1273" i="2" a="1"/>
  <c r="P1273" i="2" s="1"/>
  <c r="R1273" i="2" s="1"/>
  <c r="V1273" i="2" s="1"/>
  <c r="W1273" i="2" s="1"/>
  <c r="P1275" i="2" a="1"/>
  <c r="P1275" i="2" s="1"/>
  <c r="R1275" i="2" s="1"/>
  <c r="V1275" i="2" s="1"/>
  <c r="W1275" i="2" s="1"/>
  <c r="P306" i="2" a="1"/>
  <c r="P306" i="2" s="1"/>
  <c r="R306" i="2" s="1"/>
  <c r="V306" i="2" s="1"/>
  <c r="W306" i="2" s="1"/>
  <c r="P1478" i="2" a="1"/>
  <c r="P1478" i="2" s="1"/>
  <c r="R1478" i="2" s="1"/>
  <c r="V1478" i="2" s="1"/>
  <c r="W1478" i="2" s="1"/>
  <c r="P291" i="2" a="1"/>
  <c r="P291" i="2" s="1"/>
  <c r="R291" i="2" s="1"/>
  <c r="V291" i="2" s="1"/>
  <c r="W291" i="2" s="1"/>
  <c r="P1186" i="2" a="1"/>
  <c r="P1186" i="2" s="1"/>
  <c r="R1186" i="2" s="1"/>
  <c r="V1186" i="2" s="1"/>
  <c r="W1186" i="2" s="1"/>
  <c r="P1194" i="2" a="1"/>
  <c r="P1194" i="2" s="1"/>
  <c r="R1194" i="2" s="1"/>
  <c r="V1194" i="2" s="1"/>
  <c r="W1194" i="2" s="1"/>
  <c r="P330" i="2" a="1"/>
  <c r="P330" i="2" s="1"/>
  <c r="R330" i="2" s="1"/>
  <c r="V330" i="2" s="1"/>
  <c r="W330" i="2" s="1"/>
  <c r="P762" i="2" a="1"/>
  <c r="P762" i="2" s="1"/>
  <c r="R762" i="2" s="1"/>
  <c r="V762" i="2" s="1"/>
  <c r="W762" i="2" s="1"/>
  <c r="P1090" i="2" a="1"/>
  <c r="P1090" i="2" s="1"/>
  <c r="R1090" i="2" s="1"/>
  <c r="V1090" i="2" s="1"/>
  <c r="W1090" i="2" s="1"/>
  <c r="P225" i="2" a="1"/>
  <c r="P225" i="2" s="1"/>
  <c r="R225" i="2" s="1"/>
  <c r="V225" i="2" s="1"/>
  <c r="W225" i="2" s="1"/>
  <c r="P13" i="2" a="1"/>
  <c r="P13" i="2" s="1"/>
  <c r="R13" i="2" s="1"/>
  <c r="V13" i="2" s="1"/>
  <c r="W13" i="2" s="1"/>
  <c r="P1452" i="2" a="1"/>
  <c r="P1452" i="2" s="1"/>
  <c r="R1452" i="2" s="1"/>
  <c r="V1452" i="2" s="1"/>
  <c r="W1452" i="2" s="1"/>
  <c r="P1253" i="2" a="1"/>
  <c r="P1253" i="2" s="1"/>
  <c r="R1253" i="2" s="1"/>
  <c r="V1253" i="2" s="1"/>
  <c r="W1253" i="2" s="1"/>
  <c r="P287" i="2" a="1"/>
  <c r="P287" i="2" s="1"/>
  <c r="R287" i="2" s="1"/>
  <c r="V287" i="2" s="1"/>
  <c r="W287" i="2" s="1"/>
  <c r="P296" i="2" a="1"/>
  <c r="P296" i="2" s="1"/>
  <c r="R296" i="2" s="1"/>
  <c r="V296" i="2" s="1"/>
  <c r="W296" i="2" s="1"/>
  <c r="P1157" i="2" a="1"/>
  <c r="P1157" i="2" s="1"/>
  <c r="R1157" i="2" s="1"/>
  <c r="V1157" i="2" s="1"/>
  <c r="W1157" i="2" s="1"/>
  <c r="P344" i="2" a="1"/>
  <c r="P344" i="2" s="1"/>
  <c r="R344" i="2" s="1"/>
  <c r="V344" i="2" s="1"/>
  <c r="W344" i="2" s="1"/>
  <c r="P792" i="2" a="1"/>
  <c r="P792" i="2" s="1"/>
  <c r="R792" i="2" s="1"/>
  <c r="V792" i="2" s="1"/>
  <c r="W792" i="2" s="1"/>
  <c r="P218" i="2" a="1"/>
  <c r="P218" i="2" s="1"/>
  <c r="R218" i="2" s="1"/>
  <c r="V218" i="2" s="1"/>
  <c r="W218" i="2" s="1"/>
  <c r="P95" i="2" a="1"/>
  <c r="P95" i="2" s="1"/>
  <c r="R95" i="2" s="1"/>
  <c r="V95" i="2" s="1"/>
  <c r="W95" i="2" s="1"/>
  <c r="P141" i="2" a="1"/>
  <c r="P141" i="2" s="1"/>
  <c r="R141" i="2" s="1"/>
  <c r="V141" i="2" s="1"/>
  <c r="W141" i="2" s="1"/>
  <c r="P175" i="2" a="1"/>
  <c r="P175" i="2" s="1"/>
  <c r="R175" i="2" s="1"/>
  <c r="V175" i="2" s="1"/>
  <c r="W175" i="2" s="1"/>
  <c r="P1472" i="2" a="1"/>
  <c r="P1472" i="2" s="1"/>
  <c r="R1472" i="2" s="1"/>
  <c r="V1472" i="2" s="1"/>
  <c r="W1472" i="2" s="1"/>
  <c r="P342" i="2" a="1"/>
  <c r="P342" i="2" s="1"/>
  <c r="R342" i="2" s="1"/>
  <c r="V342" i="2" s="1"/>
  <c r="W342" i="2" s="1"/>
  <c r="P1043" i="2" a="1"/>
  <c r="P1043" i="2" s="1"/>
  <c r="R1043" i="2" s="1"/>
  <c r="V1043" i="2" s="1"/>
  <c r="W1043" i="2" s="1"/>
  <c r="P912" i="2" a="1"/>
  <c r="P912" i="2" s="1"/>
  <c r="R912" i="2" s="1"/>
  <c r="V912" i="2" s="1"/>
  <c r="W912" i="2" s="1"/>
  <c r="P1683" i="2" a="1"/>
  <c r="P1683" i="2" s="1"/>
  <c r="R1683" i="2" s="1"/>
  <c r="V1683" i="2" s="1"/>
  <c r="W1683" i="2" s="1"/>
  <c r="P544" i="2" a="1"/>
  <c r="P544" i="2" s="1"/>
  <c r="R544" i="2" s="1"/>
  <c r="V544" i="2" s="1"/>
  <c r="W544" i="2" s="1"/>
  <c r="P999" i="2" a="1"/>
  <c r="P999" i="2" s="1"/>
  <c r="R999" i="2" s="1"/>
  <c r="V999" i="2" s="1"/>
  <c r="W999" i="2" s="1"/>
  <c r="P2" i="2" a="1"/>
  <c r="P2" i="2" s="1"/>
  <c r="P682" i="2" a="1"/>
  <c r="P682" i="2" s="1"/>
  <c r="R682" i="2" s="1"/>
  <c r="V682" i="2" s="1"/>
  <c r="W682" i="2" s="1"/>
  <c r="P1580" i="2" a="1"/>
  <c r="P1580" i="2" s="1"/>
  <c r="R1580" i="2" s="1"/>
  <c r="V1580" i="2" s="1"/>
  <c r="W1580" i="2" s="1"/>
  <c r="P900" i="2" a="1"/>
  <c r="P900" i="2" s="1"/>
  <c r="R900" i="2" s="1"/>
  <c r="V900" i="2" s="1"/>
  <c r="W900" i="2" s="1"/>
  <c r="P1271" i="2" a="1"/>
  <c r="P1271" i="2" s="1"/>
  <c r="R1271" i="2" s="1"/>
  <c r="V1271" i="2" s="1"/>
  <c r="W1271" i="2" s="1"/>
  <c r="P333" i="2" a="1"/>
  <c r="P333" i="2" s="1"/>
  <c r="R333" i="2" s="1"/>
  <c r="V333" i="2" s="1"/>
  <c r="W333" i="2" s="1"/>
  <c r="P379" i="2" a="1"/>
  <c r="P379" i="2" s="1"/>
  <c r="R379" i="2" s="1"/>
  <c r="V379" i="2" s="1"/>
  <c r="W379" i="2" s="1"/>
  <c r="P1745" i="2" a="1"/>
  <c r="P1745" i="2" s="1"/>
  <c r="R1745" i="2" s="1"/>
  <c r="V1745" i="2" s="1"/>
  <c r="W1745" i="2" s="1"/>
  <c r="P39" i="2" a="1"/>
  <c r="P39" i="2" s="1"/>
  <c r="R39" i="2" s="1"/>
  <c r="V39" i="2" s="1"/>
  <c r="W39" i="2" s="1"/>
  <c r="P1097" i="2" a="1"/>
  <c r="P1097" i="2" s="1"/>
  <c r="R1097" i="2" s="1"/>
  <c r="V1097" i="2" s="1"/>
  <c r="W1097" i="2" s="1"/>
  <c r="P967" i="2" a="1"/>
  <c r="P967" i="2" s="1"/>
  <c r="R967" i="2" s="1"/>
  <c r="V967" i="2" s="1"/>
  <c r="W967" i="2" s="1"/>
  <c r="P1691" i="2" a="1"/>
  <c r="P1691" i="2" s="1"/>
  <c r="R1691" i="2" s="1"/>
  <c r="V1691" i="2" s="1"/>
  <c r="W1691" i="2" s="1"/>
  <c r="P757" i="2" a="1"/>
  <c r="P757" i="2" s="1"/>
  <c r="R757" i="2" s="1"/>
  <c r="V757" i="2" s="1"/>
  <c r="W757" i="2" s="1"/>
  <c r="P275" i="2" a="1"/>
  <c r="P275" i="2" s="1"/>
  <c r="R275" i="2" s="1"/>
  <c r="V275" i="2" s="1"/>
  <c r="W275" i="2" s="1"/>
  <c r="P302" i="2" a="1"/>
  <c r="P302" i="2" s="1"/>
  <c r="R302" i="2" s="1"/>
  <c r="V302" i="2" s="1"/>
  <c r="W302" i="2" s="1"/>
  <c r="P926" i="2" a="1"/>
  <c r="P926" i="2" s="1"/>
  <c r="R926" i="2" s="1"/>
  <c r="V926" i="2" s="1"/>
  <c r="W926" i="2" s="1"/>
  <c r="P432" i="2" a="1"/>
  <c r="P432" i="2" s="1"/>
  <c r="R432" i="2" s="1"/>
  <c r="V432" i="2" s="1"/>
  <c r="W432" i="2" s="1"/>
  <c r="P1675" i="2" a="1"/>
  <c r="P1675" i="2" s="1"/>
  <c r="R1675" i="2" s="1"/>
  <c r="V1675" i="2" s="1"/>
  <c r="W1675" i="2" s="1"/>
  <c r="P1386" i="2" a="1"/>
  <c r="P1386" i="2" s="1"/>
  <c r="R1386" i="2" s="1"/>
  <c r="V1386" i="2" s="1"/>
  <c r="W1386" i="2" s="1"/>
  <c r="P375" i="2" a="1"/>
  <c r="P375" i="2" s="1"/>
  <c r="R375" i="2" s="1"/>
  <c r="V375" i="2" s="1"/>
  <c r="W375" i="2" s="1"/>
  <c r="P1588" i="2" a="1"/>
  <c r="P1588" i="2" s="1"/>
  <c r="R1588" i="2" s="1"/>
  <c r="V1588" i="2" s="1"/>
  <c r="W1588" i="2" s="1"/>
  <c r="P337" i="2" a="1"/>
  <c r="P337" i="2" s="1"/>
  <c r="R337" i="2" s="1"/>
  <c r="V337" i="2" s="1"/>
  <c r="W337" i="2" s="1"/>
  <c r="P1070" i="2" a="1"/>
  <c r="P1070" i="2" s="1"/>
  <c r="R1070" i="2" s="1"/>
  <c r="V1070" i="2" s="1"/>
  <c r="W1070" i="2" s="1"/>
  <c r="P2061" i="2" a="1"/>
  <c r="P2061" i="2" s="1"/>
  <c r="R2061" i="2" s="1"/>
  <c r="V2061" i="2" s="1"/>
  <c r="W2061" i="2" s="1"/>
  <c r="P85" i="2" a="1"/>
  <c r="P85" i="2" s="1"/>
  <c r="R85" i="2" s="1"/>
  <c r="V85" i="2" s="1"/>
  <c r="W85" i="2" s="1"/>
  <c r="P810" i="2" a="1"/>
  <c r="P810" i="2" s="1"/>
  <c r="R810" i="2" s="1"/>
  <c r="V810" i="2" s="1"/>
  <c r="W810" i="2" s="1"/>
  <c r="P187" i="2" a="1"/>
  <c r="P187" i="2" s="1"/>
  <c r="R187" i="2" s="1"/>
  <c r="V187" i="2" s="1"/>
  <c r="W187" i="2" s="1"/>
  <c r="P2011" i="2" a="1"/>
  <c r="P2011" i="2" s="1"/>
  <c r="R2011" i="2" s="1"/>
  <c r="V2011" i="2" s="1"/>
  <c r="W2011" i="2" s="1"/>
  <c r="P88" i="2" a="1"/>
  <c r="P88" i="2" s="1"/>
  <c r="R88" i="2" s="1"/>
  <c r="V88" i="2" s="1"/>
  <c r="W88" i="2" s="1"/>
  <c r="P1631" i="2" a="1"/>
  <c r="P1631" i="2" s="1"/>
  <c r="R1631" i="2" s="1"/>
  <c r="V1631" i="2" s="1"/>
  <c r="W1631" i="2" s="1"/>
  <c r="P346" i="2" a="1"/>
  <c r="P346" i="2" s="1"/>
  <c r="R346" i="2" s="1"/>
  <c r="V346" i="2" s="1"/>
  <c r="W346" i="2" s="1"/>
  <c r="P1219" i="2" a="1"/>
  <c r="P1219" i="2" s="1"/>
  <c r="R1219" i="2" s="1"/>
  <c r="V1219" i="2" s="1"/>
  <c r="W1219" i="2" s="1"/>
  <c r="P90" i="2" a="1"/>
  <c r="P90" i="2" s="1"/>
  <c r="R90" i="2" s="1"/>
  <c r="V90" i="2" s="1"/>
  <c r="W90" i="2" s="1"/>
  <c r="P1518" i="2" a="1"/>
  <c r="P1518" i="2" s="1"/>
  <c r="R1518" i="2" s="1"/>
  <c r="V1518" i="2" s="1"/>
  <c r="W1518" i="2" s="1"/>
  <c r="P331" i="2" a="1"/>
  <c r="P331" i="2" s="1"/>
  <c r="R331" i="2" s="1"/>
  <c r="V331" i="2" s="1"/>
  <c r="W331" i="2" s="1"/>
  <c r="P98" i="2" a="1"/>
  <c r="P98" i="2" s="1"/>
  <c r="R98" i="2" s="1"/>
  <c r="V98" i="2" s="1"/>
  <c r="W98" i="2" s="1"/>
  <c r="P1552" i="2" a="1"/>
  <c r="P1552" i="2" s="1"/>
  <c r="R1552" i="2" s="1"/>
  <c r="V1552" i="2" s="1"/>
  <c r="W1552" i="2" s="1"/>
  <c r="P353" i="2" a="1"/>
  <c r="P353" i="2" s="1"/>
  <c r="R353" i="2" s="1"/>
  <c r="V353" i="2" s="1"/>
  <c r="W353" i="2" s="1"/>
  <c r="P829" i="2" a="1"/>
  <c r="P829" i="2" s="1"/>
  <c r="R829" i="2" s="1"/>
  <c r="V829" i="2" s="1"/>
  <c r="W829" i="2" s="1"/>
  <c r="P1154" i="2" a="1"/>
  <c r="P1154" i="2" s="1"/>
  <c r="R1154" i="2" s="1"/>
  <c r="V1154" i="2" s="1"/>
  <c r="W1154" i="2" s="1"/>
  <c r="P118" i="2" a="1"/>
  <c r="P118" i="2" s="1"/>
  <c r="R118" i="2" s="1"/>
  <c r="V118" i="2" s="1"/>
  <c r="W118" i="2" s="1"/>
  <c r="P1499" i="2" a="1"/>
  <c r="P1499" i="2" s="1"/>
  <c r="R1499" i="2" s="1"/>
  <c r="V1499" i="2" s="1"/>
  <c r="W1499" i="2" s="1"/>
  <c r="P1252" i="2" a="1"/>
  <c r="P1252" i="2" s="1"/>
  <c r="R1252" i="2" s="1"/>
  <c r="V1252" i="2" s="1"/>
  <c r="W1252" i="2" s="1"/>
  <c r="P1141" i="2" a="1"/>
  <c r="P1141" i="2" s="1"/>
  <c r="R1141" i="2" s="1"/>
  <c r="V1141" i="2" s="1"/>
  <c r="W1141" i="2" s="1"/>
  <c r="P1412" i="2" a="1"/>
  <c r="P1412" i="2" s="1"/>
  <c r="R1412" i="2" s="1"/>
  <c r="V1412" i="2" s="1"/>
  <c r="W1412" i="2" s="1"/>
  <c r="P802" i="2" a="1"/>
  <c r="P802" i="2" s="1"/>
  <c r="R802" i="2" s="1"/>
  <c r="V802" i="2" s="1"/>
  <c r="W802" i="2" s="1"/>
  <c r="P520" i="2" a="1"/>
  <c r="P520" i="2" s="1"/>
  <c r="R520" i="2" s="1"/>
  <c r="V520" i="2" s="1"/>
  <c r="W520" i="2" s="1"/>
  <c r="P368" i="2" a="1"/>
  <c r="P368" i="2" s="1"/>
  <c r="R368" i="2" s="1"/>
  <c r="V368" i="2" s="1"/>
  <c r="W368" i="2" s="1"/>
  <c r="P958" i="2" a="1"/>
  <c r="P958" i="2" s="1"/>
  <c r="R958" i="2" s="1"/>
  <c r="V958" i="2" s="1"/>
  <c r="W958" i="2" s="1"/>
  <c r="P1522" i="2" a="1"/>
  <c r="P1522" i="2" s="1"/>
  <c r="R1522" i="2" s="1"/>
  <c r="V1522" i="2" s="1"/>
  <c r="W1522" i="2" s="1"/>
  <c r="P959" i="2" a="1"/>
  <c r="P959" i="2" s="1"/>
  <c r="R959" i="2" s="1"/>
  <c r="V959" i="2" s="1"/>
  <c r="W959" i="2" s="1"/>
  <c r="P1699" i="2" a="1"/>
  <c r="P1699" i="2" s="1"/>
  <c r="R1699" i="2" s="1"/>
  <c r="V1699" i="2" s="1"/>
  <c r="W1699" i="2" s="1"/>
  <c r="P159" i="2" a="1"/>
  <c r="P159" i="2" s="1"/>
  <c r="R159" i="2" s="1"/>
  <c r="V159" i="2" s="1"/>
  <c r="W159" i="2" s="1"/>
  <c r="P1533" i="2" a="1"/>
  <c r="P1533" i="2" s="1"/>
  <c r="R1533" i="2" s="1"/>
  <c r="V1533" i="2" s="1"/>
  <c r="W1533" i="2" s="1"/>
  <c r="P158" i="2" a="1"/>
  <c r="P158" i="2" s="1"/>
  <c r="R158" i="2" s="1"/>
  <c r="V158" i="2" s="1"/>
  <c r="W158" i="2" s="1"/>
  <c r="P109" i="2" a="1"/>
  <c r="P109" i="2" s="1"/>
  <c r="R109" i="2" s="1"/>
  <c r="V109" i="2" s="1"/>
  <c r="W109" i="2" s="1"/>
  <c r="P1491" i="2" a="1"/>
  <c r="P1491" i="2" s="1"/>
  <c r="R1491" i="2" s="1"/>
  <c r="V1491" i="2" s="1"/>
  <c r="W1491" i="2" s="1"/>
  <c r="P1710" i="2" a="1"/>
  <c r="P1710" i="2" s="1"/>
  <c r="R1710" i="2" s="1"/>
  <c r="V1710" i="2" s="1"/>
  <c r="W1710" i="2" s="1"/>
  <c r="P550" i="2" a="1"/>
  <c r="P550" i="2" s="1"/>
  <c r="R550" i="2" s="1"/>
  <c r="V550" i="2" s="1"/>
  <c r="W550" i="2" s="1"/>
  <c r="P506" i="2" a="1"/>
  <c r="P506" i="2" s="1"/>
  <c r="R506" i="2" s="1"/>
  <c r="V506" i="2" s="1"/>
  <c r="W506" i="2" s="1"/>
  <c r="P1053" i="2" a="1"/>
  <c r="P1053" i="2" s="1"/>
  <c r="R1053" i="2" s="1"/>
  <c r="V1053" i="2" s="1"/>
  <c r="W1053" i="2" s="1"/>
  <c r="P411" i="2" a="1"/>
  <c r="P411" i="2" s="1"/>
  <c r="R411" i="2" s="1"/>
  <c r="V411" i="2" s="1"/>
  <c r="W411" i="2" s="1"/>
  <c r="P16" i="2" a="1"/>
  <c r="P16" i="2" s="1"/>
  <c r="R16" i="2" s="1"/>
  <c r="V16" i="2" s="1"/>
  <c r="W16" i="2" s="1"/>
  <c r="P1690" i="2" a="1"/>
  <c r="P1690" i="2" s="1"/>
  <c r="R1690" i="2" s="1"/>
  <c r="V1690" i="2" s="1"/>
  <c r="W1690" i="2" s="1"/>
  <c r="P1107" i="2" a="1"/>
  <c r="P1107" i="2" s="1"/>
  <c r="R1107" i="2" s="1"/>
  <c r="V1107" i="2" s="1"/>
  <c r="W1107" i="2" s="1"/>
  <c r="P1075" i="2" a="1"/>
  <c r="P1075" i="2" s="1"/>
  <c r="R1075" i="2" s="1"/>
  <c r="V1075" i="2" s="1"/>
  <c r="W1075" i="2" s="1"/>
  <c r="P1183" i="2" a="1"/>
  <c r="P1183" i="2" s="1"/>
  <c r="R1183" i="2" s="1"/>
  <c r="V1183" i="2" s="1"/>
  <c r="W1183" i="2" s="1"/>
  <c r="P152" i="2" a="1"/>
  <c r="P152" i="2" s="1"/>
  <c r="R152" i="2" s="1"/>
  <c r="V152" i="2" s="1"/>
  <c r="W152" i="2" s="1"/>
  <c r="P780" i="2" a="1"/>
  <c r="P780" i="2" s="1"/>
  <c r="R780" i="2" s="1"/>
  <c r="V780" i="2" s="1"/>
  <c r="W780" i="2" s="1"/>
  <c r="P1054" i="2" a="1"/>
  <c r="P1054" i="2" s="1"/>
  <c r="R1054" i="2" s="1"/>
  <c r="V1054" i="2" s="1"/>
  <c r="W1054" i="2" s="1"/>
  <c r="P356" i="2" a="1"/>
  <c r="P356" i="2" s="1"/>
  <c r="R356" i="2" s="1"/>
  <c r="V356" i="2" s="1"/>
  <c r="W356" i="2" s="1"/>
  <c r="P349" i="2" a="1"/>
  <c r="P349" i="2" s="1"/>
  <c r="R349" i="2" s="1"/>
  <c r="V349" i="2" s="1"/>
  <c r="W349" i="2" s="1"/>
  <c r="P382" i="2" a="1"/>
  <c r="P382" i="2" s="1"/>
  <c r="R382" i="2" s="1"/>
  <c r="V382" i="2" s="1"/>
  <c r="W382" i="2" s="1"/>
  <c r="P1299" i="2" a="1"/>
  <c r="P1299" i="2" s="1"/>
  <c r="R1299" i="2" s="1"/>
  <c r="V1299" i="2" s="1"/>
  <c r="W1299" i="2" s="1"/>
  <c r="P1314" i="2" a="1"/>
  <c r="P1314" i="2" s="1"/>
  <c r="R1314" i="2" s="1"/>
  <c r="V1314" i="2" s="1"/>
  <c r="W1314" i="2" s="1"/>
  <c r="P852" i="2" a="1"/>
  <c r="P852" i="2" s="1"/>
  <c r="R852" i="2" s="1"/>
  <c r="V852" i="2" s="1"/>
  <c r="W852" i="2" s="1"/>
  <c r="P1095" i="2" a="1"/>
  <c r="P1095" i="2" s="1"/>
  <c r="R1095" i="2" s="1"/>
  <c r="V1095" i="2" s="1"/>
  <c r="W1095" i="2" s="1"/>
  <c r="P1178" i="2" a="1"/>
  <c r="P1178" i="2" s="1"/>
  <c r="R1178" i="2" s="1"/>
  <c r="V1178" i="2" s="1"/>
  <c r="W1178" i="2" s="1"/>
  <c r="P1050" i="2" a="1"/>
  <c r="P1050" i="2" s="1"/>
  <c r="R1050" i="2" s="1"/>
  <c r="V1050" i="2" s="1"/>
  <c r="W1050" i="2" s="1"/>
  <c r="P1048" i="2" a="1"/>
  <c r="P1048" i="2" s="1"/>
  <c r="R1048" i="2" s="1"/>
  <c r="V1048" i="2" s="1"/>
  <c r="W1048" i="2" s="1"/>
  <c r="P832" i="2" a="1"/>
  <c r="P832" i="2" s="1"/>
  <c r="R832" i="2" s="1"/>
  <c r="V832" i="2" s="1"/>
  <c r="W832" i="2" s="1"/>
  <c r="P1737" i="2" a="1"/>
  <c r="P1737" i="2" s="1"/>
  <c r="R1737" i="2" s="1"/>
  <c r="V1737" i="2" s="1"/>
  <c r="W1737" i="2" s="1"/>
  <c r="P749" i="2" a="1"/>
  <c r="P749" i="2" s="1"/>
  <c r="R749" i="2" s="1"/>
  <c r="V749" i="2" s="1"/>
  <c r="W749" i="2" s="1"/>
  <c r="P530" i="2" a="1"/>
  <c r="P530" i="2" s="1"/>
  <c r="R530" i="2" s="1"/>
  <c r="V530" i="2" s="1"/>
  <c r="W530" i="2" s="1"/>
  <c r="P1459" i="2" a="1"/>
  <c r="P1459" i="2" s="1"/>
  <c r="R1459" i="2" s="1"/>
  <c r="V1459" i="2" s="1"/>
  <c r="W1459" i="2" s="1"/>
  <c r="P139" i="2" a="1"/>
  <c r="P139" i="2" s="1"/>
  <c r="R139" i="2" s="1"/>
  <c r="V139" i="2" s="1"/>
  <c r="W139" i="2" s="1"/>
  <c r="Q682" i="2" a="1"/>
  <c r="Q682" i="2" s="1"/>
  <c r="P1557" i="2" a="1"/>
  <c r="P1557" i="2" s="1"/>
  <c r="R1557" i="2" s="1"/>
  <c r="V1557" i="2" s="1"/>
  <c r="W1557" i="2" s="1"/>
  <c r="P416" i="2" a="1"/>
  <c r="P416" i="2" s="1"/>
  <c r="R416" i="2" s="1"/>
  <c r="V416" i="2" s="1"/>
  <c r="W416" i="2" s="1"/>
  <c r="P176" i="2" a="1"/>
  <c r="P176" i="2" s="1"/>
  <c r="R176" i="2" s="1"/>
  <c r="V176" i="2" s="1"/>
  <c r="W176" i="2" s="1"/>
  <c r="P1113" i="2" a="1"/>
  <c r="P1113" i="2" s="1"/>
  <c r="R1113" i="2" s="1"/>
  <c r="V1113" i="2" s="1"/>
  <c r="W1113" i="2" s="1"/>
  <c r="P1410" i="2" a="1"/>
  <c r="P1410" i="2" s="1"/>
  <c r="R1410" i="2" s="1"/>
  <c r="V1410" i="2" s="1"/>
  <c r="W1410" i="2" s="1"/>
  <c r="P1568" i="2" a="1"/>
  <c r="P1568" i="2" s="1"/>
  <c r="R1568" i="2" s="1"/>
  <c r="V1568" i="2" s="1"/>
  <c r="W1568" i="2" s="1"/>
  <c r="P1251" i="2" a="1"/>
  <c r="P1251" i="2" s="1"/>
  <c r="R1251" i="2" s="1"/>
  <c r="V1251" i="2" s="1"/>
  <c r="W1251" i="2" s="1"/>
  <c r="P1554" i="2" a="1"/>
  <c r="P1554" i="2" s="1"/>
  <c r="R1554" i="2" s="1"/>
  <c r="V1554" i="2" s="1"/>
  <c r="W1554" i="2" s="1"/>
  <c r="P376" i="2" a="1"/>
  <c r="P376" i="2" s="1"/>
  <c r="R376" i="2" s="1"/>
  <c r="V376" i="2" s="1"/>
  <c r="W376" i="2" s="1"/>
  <c r="P525" i="2" a="1"/>
  <c r="P525" i="2" s="1"/>
  <c r="R525" i="2" s="1"/>
  <c r="V525" i="2" s="1"/>
  <c r="W525" i="2" s="1"/>
  <c r="P1595" i="2" a="1"/>
  <c r="P1595" i="2" s="1"/>
  <c r="R1595" i="2" s="1"/>
  <c r="V1595" i="2" s="1"/>
  <c r="W1595" i="2" s="1"/>
  <c r="P1525" i="2" a="1"/>
  <c r="P1525" i="2" s="1"/>
  <c r="R1525" i="2" s="1"/>
  <c r="V1525" i="2" s="1"/>
  <c r="W1525" i="2" s="1"/>
  <c r="P66" i="2" a="1"/>
  <c r="P66" i="2" s="1"/>
  <c r="R66" i="2" s="1"/>
  <c r="V66" i="2" s="1"/>
  <c r="W66" i="2" s="1"/>
  <c r="P493" i="2" a="1"/>
  <c r="P493" i="2" s="1"/>
  <c r="R493" i="2" s="1"/>
  <c r="V493" i="2" s="1"/>
  <c r="W493" i="2" s="1"/>
  <c r="P1351" i="2" a="1"/>
  <c r="P1351" i="2" s="1"/>
  <c r="R1351" i="2" s="1"/>
  <c r="V1351" i="2" s="1"/>
  <c r="W1351" i="2" s="1"/>
  <c r="P1743" i="2" a="1"/>
  <c r="P1743" i="2" s="1"/>
  <c r="R1743" i="2" s="1"/>
  <c r="V1743" i="2" s="1"/>
  <c r="W1743" i="2" s="1"/>
  <c r="P1579" i="2" a="1"/>
  <c r="P1579" i="2" s="1"/>
  <c r="R1579" i="2" s="1"/>
  <c r="V1579" i="2" s="1"/>
  <c r="W1579" i="2" s="1"/>
  <c r="P862" i="2" a="1"/>
  <c r="P862" i="2" s="1"/>
  <c r="R862" i="2" s="1"/>
  <c r="V862" i="2" s="1"/>
  <c r="W862" i="2" s="1"/>
  <c r="P1302" i="2" a="1"/>
  <c r="P1302" i="2" s="1"/>
  <c r="R1302" i="2" s="1"/>
  <c r="V1302" i="2" s="1"/>
  <c r="W1302" i="2" s="1"/>
  <c r="P426" i="2" a="1"/>
  <c r="P426" i="2" s="1"/>
  <c r="R426" i="2" s="1"/>
  <c r="V426" i="2" s="1"/>
  <c r="W426" i="2" s="1"/>
  <c r="P774" i="2" a="1"/>
  <c r="P774" i="2" s="1"/>
  <c r="R774" i="2" s="1"/>
  <c r="V774" i="2" s="1"/>
  <c r="W774" i="2" s="1"/>
  <c r="P1548" i="2" a="1"/>
  <c r="P1548" i="2" s="1"/>
  <c r="R1548" i="2" s="1"/>
  <c r="V1548" i="2" s="1"/>
  <c r="W1548" i="2" s="1"/>
  <c r="P1430" i="2" a="1"/>
  <c r="P1430" i="2" s="1"/>
  <c r="R1430" i="2" s="1"/>
  <c r="V1430" i="2" s="1"/>
  <c r="W1430" i="2" s="1"/>
  <c r="P347" i="2" a="1"/>
  <c r="P347" i="2" s="1"/>
  <c r="R347" i="2" s="1"/>
  <c r="V347" i="2" s="1"/>
  <c r="W347" i="2" s="1"/>
  <c r="P407" i="2" a="1"/>
  <c r="P407" i="2" s="1"/>
  <c r="R407" i="2" s="1"/>
  <c r="V407" i="2" s="1"/>
  <c r="W407" i="2" s="1"/>
  <c r="P12" i="2" a="1"/>
  <c r="P12" i="2" s="1"/>
  <c r="R12" i="2" s="1"/>
  <c r="V12" i="2" s="1"/>
  <c r="W12" i="2" s="1"/>
  <c r="P1172" i="2" a="1"/>
  <c r="P1172" i="2" s="1"/>
  <c r="R1172" i="2" s="1"/>
  <c r="V1172" i="2" s="1"/>
  <c r="W1172" i="2" s="1"/>
  <c r="P1575" i="2" a="1"/>
  <c r="P1575" i="2" s="1"/>
  <c r="R1575" i="2" s="1"/>
  <c r="V1575" i="2" s="1"/>
  <c r="W1575" i="2" s="1"/>
  <c r="P972" i="2" a="1"/>
  <c r="P972" i="2" s="1"/>
  <c r="R972" i="2" s="1"/>
  <c r="V972" i="2" s="1"/>
  <c r="W972" i="2" s="1"/>
  <c r="P934" i="2" a="1"/>
  <c r="P934" i="2" s="1"/>
  <c r="R934" i="2" s="1"/>
  <c r="V934" i="2" s="1"/>
  <c r="W934" i="2" s="1"/>
  <c r="P1531" i="2" a="1"/>
  <c r="P1531" i="2" s="1"/>
  <c r="R1531" i="2" s="1"/>
  <c r="V1531" i="2" s="1"/>
  <c r="W1531" i="2" s="1"/>
  <c r="P1693" i="2" a="1"/>
  <c r="P1693" i="2" s="1"/>
  <c r="R1693" i="2" s="1"/>
  <c r="V1693" i="2" s="1"/>
  <c r="W1693" i="2" s="1"/>
  <c r="P770" i="2" a="1"/>
  <c r="P770" i="2" s="1"/>
  <c r="R770" i="2" s="1"/>
  <c r="V770" i="2" s="1"/>
  <c r="W770" i="2" s="1"/>
  <c r="P1605" i="2" a="1"/>
  <c r="P1605" i="2" s="1"/>
  <c r="R1605" i="2" s="1"/>
  <c r="V1605" i="2" s="1"/>
  <c r="W1605" i="2" s="1"/>
  <c r="P866" i="2" a="1"/>
  <c r="P866" i="2" s="1"/>
  <c r="R866" i="2" s="1"/>
  <c r="V866" i="2" s="1"/>
  <c r="W866" i="2" s="1"/>
  <c r="P2009" i="2" a="1"/>
  <c r="P2009" i="2" s="1"/>
  <c r="R2009" i="2" s="1"/>
  <c r="V2009" i="2" s="1"/>
  <c r="W2009" i="2" s="1"/>
  <c r="P105" i="2" a="1"/>
  <c r="P105" i="2" s="1"/>
  <c r="R105" i="2" s="1"/>
  <c r="V105" i="2" s="1"/>
  <c r="W105" i="2" s="1"/>
  <c r="P408" i="2" a="1"/>
  <c r="P408" i="2" s="1"/>
  <c r="R408" i="2" s="1"/>
  <c r="V408" i="2" s="1"/>
  <c r="W408" i="2" s="1"/>
  <c r="P1407" i="2" a="1"/>
  <c r="P1407" i="2" s="1"/>
  <c r="R1407" i="2" s="1"/>
  <c r="V1407" i="2" s="1"/>
  <c r="W1407" i="2" s="1"/>
  <c r="P1347" i="2" a="1"/>
  <c r="P1347" i="2" s="1"/>
  <c r="R1347" i="2" s="1"/>
  <c r="V1347" i="2" s="1"/>
  <c r="W1347" i="2" s="1"/>
  <c r="P389" i="2" a="1"/>
  <c r="P389" i="2" s="1"/>
  <c r="R389" i="2" s="1"/>
  <c r="V389" i="2" s="1"/>
  <c r="W389" i="2" s="1"/>
  <c r="P1024" i="2" a="1"/>
  <c r="P1024" i="2" s="1"/>
  <c r="R1024" i="2" s="1"/>
  <c r="V1024" i="2" s="1"/>
  <c r="W1024" i="2" s="1"/>
  <c r="P1574" i="2" a="1"/>
  <c r="P1574" i="2" s="1"/>
  <c r="R1574" i="2" s="1"/>
  <c r="V1574" i="2" s="1"/>
  <c r="W1574" i="2" s="1"/>
  <c r="P1529" i="2" a="1"/>
  <c r="P1529" i="2" s="1"/>
  <c r="R1529" i="2" s="1"/>
  <c r="V1529" i="2" s="1"/>
  <c r="W1529" i="2" s="1"/>
  <c r="P933" i="2" a="1"/>
  <c r="P933" i="2" s="1"/>
  <c r="R933" i="2" s="1"/>
  <c r="V933" i="2" s="1"/>
  <c r="W933" i="2" s="1"/>
  <c r="P1214" i="2" a="1"/>
  <c r="P1214" i="2" s="1"/>
  <c r="R1214" i="2" s="1"/>
  <c r="V1214" i="2" s="1"/>
  <c r="W1214" i="2" s="1"/>
  <c r="P893" i="2" a="1"/>
  <c r="P893" i="2" s="1"/>
  <c r="R893" i="2" s="1"/>
  <c r="V893" i="2" s="1"/>
  <c r="W893" i="2" s="1"/>
  <c r="P1426" i="2" a="1"/>
  <c r="P1426" i="2" s="1"/>
  <c r="R1426" i="2" s="1"/>
  <c r="V1426" i="2" s="1"/>
  <c r="W1426" i="2" s="1"/>
  <c r="P1327" i="2" a="1"/>
  <c r="P1327" i="2" s="1"/>
  <c r="R1327" i="2" s="1"/>
  <c r="V1327" i="2" s="1"/>
  <c r="W1327" i="2" s="1"/>
  <c r="P18" i="2" a="1"/>
  <c r="P18" i="2" s="1"/>
  <c r="R18" i="2" s="1"/>
  <c r="V18" i="2" s="1"/>
  <c r="W18" i="2" s="1"/>
  <c r="P405" i="2" a="1"/>
  <c r="P405" i="2" s="1"/>
  <c r="R405" i="2" s="1"/>
  <c r="V405" i="2" s="1"/>
  <c r="W405" i="2" s="1"/>
  <c r="P1371" i="2" a="1"/>
  <c r="P1371" i="2" s="1"/>
  <c r="R1371" i="2" s="1"/>
  <c r="V1371" i="2" s="1"/>
  <c r="W1371" i="2" s="1"/>
  <c r="P1742" i="2" a="1"/>
  <c r="P1742" i="2" s="1"/>
  <c r="R1742" i="2" s="1"/>
  <c r="V1742" i="2" s="1"/>
  <c r="W1742" i="2" s="1"/>
  <c r="P1293" i="2" a="1"/>
  <c r="P1293" i="2" s="1"/>
  <c r="R1293" i="2" s="1"/>
  <c r="V1293" i="2" s="1"/>
  <c r="W1293" i="2" s="1"/>
  <c r="P1678" i="2" a="1"/>
  <c r="P1678" i="2" s="1"/>
  <c r="R1678" i="2" s="1"/>
  <c r="V1678" i="2" s="1"/>
  <c r="W1678" i="2" s="1"/>
  <c r="P1067" i="2" a="1"/>
  <c r="P1067" i="2" s="1"/>
  <c r="R1067" i="2" s="1"/>
  <c r="V1067" i="2" s="1"/>
  <c r="W1067" i="2" s="1"/>
  <c r="P1461" i="2" a="1"/>
  <c r="P1461" i="2" s="1"/>
  <c r="R1461" i="2" s="1"/>
  <c r="V1461" i="2" s="1"/>
  <c r="W1461" i="2" s="1"/>
  <c r="P1379" i="2" a="1"/>
  <c r="P1379" i="2" s="1"/>
  <c r="R1379" i="2" s="1"/>
  <c r="V1379" i="2" s="1"/>
  <c r="W1379" i="2" s="1"/>
  <c r="P1117" i="2" a="1"/>
  <c r="P1117" i="2" s="1"/>
  <c r="R1117" i="2" s="1"/>
  <c r="V1117" i="2" s="1"/>
  <c r="W1117" i="2" s="1"/>
  <c r="P1479" i="2" a="1"/>
  <c r="P1479" i="2" s="1"/>
  <c r="R1479" i="2" s="1"/>
  <c r="V1479" i="2" s="1"/>
  <c r="W1479" i="2" s="1"/>
  <c r="P1501" i="2" a="1"/>
  <c r="P1501" i="2" s="1"/>
  <c r="R1501" i="2" s="1"/>
  <c r="V1501" i="2" s="1"/>
  <c r="W1501" i="2" s="1"/>
  <c r="P182" i="2" a="1"/>
  <c r="P182" i="2" s="1"/>
  <c r="R182" i="2" s="1"/>
  <c r="V182" i="2" s="1"/>
  <c r="W182" i="2" s="1"/>
  <c r="P262" i="2" a="1"/>
  <c r="P262" i="2" s="1"/>
  <c r="R262" i="2" s="1"/>
  <c r="V262" i="2" s="1"/>
  <c r="W262" i="2" s="1"/>
  <c r="P357" i="2" a="1"/>
  <c r="P357" i="2" s="1"/>
  <c r="R357" i="2" s="1"/>
  <c r="V357" i="2" s="1"/>
  <c r="W357" i="2" s="1"/>
  <c r="P78" i="2" a="1"/>
  <c r="P78" i="2" s="1"/>
  <c r="R78" i="2" s="1"/>
  <c r="V78" i="2" s="1"/>
  <c r="W78" i="2" s="1"/>
  <c r="P1020" i="2" a="1"/>
  <c r="P1020" i="2" s="1"/>
  <c r="R1020" i="2" s="1"/>
  <c r="V1020" i="2" s="1"/>
  <c r="W1020" i="2" s="1"/>
  <c r="P939" i="2" a="1"/>
  <c r="P939" i="2" s="1"/>
  <c r="R939" i="2" s="1"/>
  <c r="V939" i="2" s="1"/>
  <c r="W939" i="2" s="1"/>
  <c r="P148" i="2" a="1"/>
  <c r="P148" i="2" s="1"/>
  <c r="R148" i="2" s="1"/>
  <c r="V148" i="2" s="1"/>
  <c r="W148" i="2" s="1"/>
  <c r="P427" i="2" a="1"/>
  <c r="P427" i="2" s="1"/>
  <c r="R427" i="2" s="1"/>
  <c r="V427" i="2" s="1"/>
  <c r="W427" i="2" s="1"/>
  <c r="P2016" i="2" a="1"/>
  <c r="P2016" i="2" s="1"/>
  <c r="R2016" i="2" s="1"/>
  <c r="V2016" i="2" s="1"/>
  <c r="W2016" i="2" s="1"/>
  <c r="P844" i="2" a="1"/>
  <c r="P844" i="2" s="1"/>
  <c r="R844" i="2" s="1"/>
  <c r="V844" i="2" s="1"/>
  <c r="W844" i="2" s="1"/>
  <c r="P895" i="2" a="1"/>
  <c r="P895" i="2" s="1"/>
  <c r="R895" i="2" s="1"/>
  <c r="V895" i="2" s="1"/>
  <c r="W895" i="2" s="1"/>
  <c r="P72" i="2" a="1"/>
  <c r="P72" i="2" s="1"/>
  <c r="R72" i="2" s="1"/>
  <c r="V72" i="2" s="1"/>
  <c r="W72" i="2" s="1"/>
  <c r="P1209" i="2" a="1"/>
  <c r="P1209" i="2" s="1"/>
  <c r="R1209" i="2" s="1"/>
  <c r="V1209" i="2" s="1"/>
  <c r="W1209" i="2" s="1"/>
  <c r="P537" i="2" a="1"/>
  <c r="P537" i="2" s="1"/>
  <c r="R537" i="2" s="1"/>
  <c r="V537" i="2" s="1"/>
  <c r="W537" i="2" s="1"/>
  <c r="P167" i="2" a="1"/>
  <c r="P167" i="2" s="1"/>
  <c r="R167" i="2" s="1"/>
  <c r="V167" i="2" s="1"/>
  <c r="W167" i="2" s="1"/>
  <c r="P2036" i="2" a="1"/>
  <c r="P2036" i="2" s="1"/>
  <c r="R2036" i="2" s="1"/>
  <c r="V2036" i="2" s="1"/>
  <c r="W2036" i="2" s="1"/>
  <c r="P1272" i="2" a="1"/>
  <c r="P1272" i="2" s="1"/>
  <c r="R1272" i="2" s="1"/>
  <c r="V1272" i="2" s="1"/>
  <c r="W1272" i="2" s="1"/>
  <c r="P1291" i="2" a="1"/>
  <c r="P1291" i="2" s="1"/>
  <c r="R1291" i="2" s="1"/>
  <c r="V1291" i="2" s="1"/>
  <c r="W1291" i="2" s="1"/>
  <c r="P303" i="2" a="1"/>
  <c r="P303" i="2" s="1"/>
  <c r="R303" i="2" s="1"/>
  <c r="V303" i="2" s="1"/>
  <c r="W303" i="2" s="1"/>
  <c r="P1338" i="2" a="1"/>
  <c r="P1338" i="2" s="1"/>
  <c r="R1338" i="2" s="1"/>
  <c r="V1338" i="2" s="1"/>
  <c r="W1338" i="2" s="1"/>
  <c r="P492" i="2" a="1"/>
  <c r="P492" i="2" s="1"/>
  <c r="R492" i="2" s="1"/>
  <c r="V492" i="2" s="1"/>
  <c r="W492" i="2" s="1"/>
  <c r="P953" i="2" a="1"/>
  <c r="P953" i="2" s="1"/>
  <c r="R953" i="2" s="1"/>
  <c r="V953" i="2" s="1"/>
  <c r="W953" i="2" s="1"/>
  <c r="P746" i="2" a="1"/>
  <c r="P746" i="2" s="1"/>
  <c r="R746" i="2" s="1"/>
  <c r="V746" i="2" s="1"/>
  <c r="W746" i="2" s="1"/>
  <c r="Q683" i="2" a="1"/>
  <c r="Q683" i="2" s="1"/>
  <c r="P908" i="2" a="1"/>
  <c r="P908" i="2" s="1"/>
  <c r="R908" i="2" s="1"/>
  <c r="V908" i="2" s="1"/>
  <c r="W908" i="2" s="1"/>
  <c r="P1203" i="2" a="1"/>
  <c r="P1203" i="2" s="1"/>
  <c r="R1203" i="2" s="1"/>
  <c r="V1203" i="2" s="1"/>
  <c r="W1203" i="2" s="1"/>
  <c r="P313" i="2" a="1"/>
  <c r="P313" i="2" s="1"/>
  <c r="R313" i="2" s="1"/>
  <c r="V313" i="2" s="1"/>
  <c r="W313" i="2" s="1"/>
  <c r="P1598" i="2" a="1"/>
  <c r="P1598" i="2" s="1"/>
  <c r="R1598" i="2" s="1"/>
  <c r="V1598" i="2" s="1"/>
  <c r="W1598" i="2" s="1"/>
  <c r="P1242" i="2" a="1"/>
  <c r="P1242" i="2" s="1"/>
  <c r="R1242" i="2" s="1"/>
  <c r="V1242" i="2" s="1"/>
  <c r="W1242" i="2" s="1"/>
  <c r="P1551" i="2" a="1"/>
  <c r="P1551" i="2" s="1"/>
  <c r="R1551" i="2" s="1"/>
  <c r="V1551" i="2" s="1"/>
  <c r="W1551" i="2" s="1"/>
  <c r="P932" i="2" a="1"/>
  <c r="P932" i="2" s="1"/>
  <c r="R932" i="2" s="1"/>
  <c r="V932" i="2" s="1"/>
  <c r="W932" i="2" s="1"/>
  <c r="P311" i="2" a="1"/>
  <c r="P311" i="2" s="1"/>
  <c r="R311" i="2" s="1"/>
  <c r="V311" i="2" s="1"/>
  <c r="W311" i="2" s="1"/>
  <c r="P543" i="2" a="1"/>
  <c r="P543" i="2" s="1"/>
  <c r="R543" i="2" s="1"/>
  <c r="V543" i="2" s="1"/>
  <c r="W543" i="2" s="1"/>
  <c r="P324" i="2" a="1"/>
  <c r="P324" i="2" s="1"/>
  <c r="R324" i="2" s="1"/>
  <c r="V324" i="2" s="1"/>
  <c r="W324" i="2" s="1"/>
  <c r="P1019" i="2" a="1"/>
  <c r="P1019" i="2" s="1"/>
  <c r="R1019" i="2" s="1"/>
  <c r="V1019" i="2" s="1"/>
  <c r="W1019" i="2" s="1"/>
  <c r="P1553" i="2" a="1"/>
  <c r="P1553" i="2" s="1"/>
  <c r="R1553" i="2" s="1"/>
  <c r="V1553" i="2" s="1"/>
  <c r="W1553" i="2" s="1"/>
  <c r="P1411" i="2" a="1"/>
  <c r="P1411" i="2" s="1"/>
  <c r="R1411" i="2" s="1"/>
  <c r="V1411" i="2" s="1"/>
  <c r="W1411" i="2" s="1"/>
  <c r="P1429" i="2" a="1"/>
  <c r="P1429" i="2" s="1"/>
  <c r="R1429" i="2" s="1"/>
  <c r="V1429" i="2" s="1"/>
  <c r="W1429" i="2" s="1"/>
  <c r="P747" i="2" a="1"/>
  <c r="P747" i="2" s="1"/>
  <c r="R747" i="2" s="1"/>
  <c r="V747" i="2" s="1"/>
  <c r="W747" i="2" s="1"/>
  <c r="P1647" i="2" a="1"/>
  <c r="P1647" i="2" s="1"/>
  <c r="R1647" i="2" s="1"/>
  <c r="V1647" i="2" s="1"/>
  <c r="W1647" i="2" s="1"/>
  <c r="P848" i="2" a="1"/>
  <c r="P848" i="2" s="1"/>
  <c r="R848" i="2" s="1"/>
  <c r="V848" i="2" s="1"/>
  <c r="W848" i="2" s="1"/>
  <c r="P962" i="2" a="1"/>
  <c r="P962" i="2" s="1"/>
  <c r="R962" i="2" s="1"/>
  <c r="V962" i="2" s="1"/>
  <c r="W962" i="2" s="1"/>
  <c r="P269" i="2" a="1"/>
  <c r="P269" i="2" s="1"/>
  <c r="R269" i="2" s="1"/>
  <c r="V269" i="2" s="1"/>
  <c r="W269" i="2" s="1"/>
  <c r="P233" i="2" a="1"/>
  <c r="P233" i="2" s="1"/>
  <c r="R233" i="2" s="1"/>
  <c r="V233" i="2" s="1"/>
  <c r="W233" i="2" s="1"/>
  <c r="P1634" i="2" a="1"/>
  <c r="P1634" i="2" s="1"/>
  <c r="R1634" i="2" s="1"/>
  <c r="V1634" i="2" s="1"/>
  <c r="W1634" i="2" s="1"/>
  <c r="P1639" i="2" a="1"/>
  <c r="P1639" i="2" s="1"/>
  <c r="R1639" i="2" s="1"/>
  <c r="V1639" i="2" s="1"/>
  <c r="W1639" i="2" s="1"/>
  <c r="P1145" i="2" a="1"/>
  <c r="P1145" i="2" s="1"/>
  <c r="R1145" i="2" s="1"/>
  <c r="V1145" i="2" s="1"/>
  <c r="W1145" i="2" s="1"/>
  <c r="P915" i="2" a="1"/>
  <c r="P915" i="2" s="1"/>
  <c r="R915" i="2" s="1"/>
  <c r="V915" i="2" s="1"/>
  <c r="W915" i="2" s="1"/>
  <c r="P1303" i="2" a="1"/>
  <c r="P1303" i="2" s="1"/>
  <c r="R1303" i="2" s="1"/>
  <c r="V1303" i="2" s="1"/>
  <c r="W1303" i="2" s="1"/>
  <c r="P812" i="2" a="1"/>
  <c r="P812" i="2" s="1"/>
  <c r="R812" i="2" s="1"/>
  <c r="V812" i="2" s="1"/>
  <c r="W812" i="2" s="1"/>
  <c r="P1657" i="2" a="1"/>
  <c r="P1657" i="2" s="1"/>
  <c r="R1657" i="2" s="1"/>
  <c r="V1657" i="2" s="1"/>
  <c r="W1657" i="2" s="1"/>
  <c r="P1228" i="2" a="1"/>
  <c r="P1228" i="2" s="1"/>
  <c r="R1228" i="2" s="1"/>
  <c r="V1228" i="2" s="1"/>
  <c r="W1228" i="2" s="1"/>
  <c r="P73" i="2" a="1"/>
  <c r="P73" i="2" s="1"/>
  <c r="R73" i="2" s="1"/>
  <c r="V73" i="2" s="1"/>
  <c r="W73" i="2" s="1"/>
  <c r="P1256" i="2" a="1"/>
  <c r="P1256" i="2" s="1"/>
  <c r="R1256" i="2" s="1"/>
  <c r="V1256" i="2" s="1"/>
  <c r="W1256" i="2" s="1"/>
  <c r="P59" i="2" a="1"/>
  <c r="P59" i="2" s="1"/>
  <c r="R59" i="2" s="1"/>
  <c r="V59" i="2" s="1"/>
  <c r="W59" i="2" s="1"/>
  <c r="P315" i="2" a="1"/>
  <c r="P315" i="2" s="1"/>
  <c r="R315" i="2" s="1"/>
  <c r="V315" i="2" s="1"/>
  <c r="W315" i="2" s="1"/>
  <c r="P815" i="2" a="1"/>
  <c r="P815" i="2" s="1"/>
  <c r="R815" i="2" s="1"/>
  <c r="V815" i="2" s="1"/>
  <c r="W815" i="2" s="1"/>
  <c r="P1497" i="2" a="1"/>
  <c r="P1497" i="2" s="1"/>
  <c r="R1497" i="2" s="1"/>
  <c r="V1497" i="2" s="1"/>
  <c r="W1497" i="2" s="1"/>
  <c r="P178" i="2" a="1"/>
  <c r="P178" i="2" s="1"/>
  <c r="R178" i="2" s="1"/>
  <c r="V178" i="2" s="1"/>
  <c r="W178" i="2" s="1"/>
  <c r="P1635" i="2" a="1"/>
  <c r="P1635" i="2" s="1"/>
  <c r="R1635" i="2" s="1"/>
  <c r="V1635" i="2" s="1"/>
  <c r="W1635" i="2" s="1"/>
  <c r="P1135" i="2" a="1"/>
  <c r="P1135" i="2" s="1"/>
  <c r="R1135" i="2" s="1"/>
  <c r="V1135" i="2" s="1"/>
  <c r="W1135" i="2" s="1"/>
  <c r="P1382" i="2" a="1"/>
  <c r="P1382" i="2" s="1"/>
  <c r="R1382" i="2" s="1"/>
  <c r="V1382" i="2" s="1"/>
  <c r="W1382" i="2" s="1"/>
  <c r="P1542" i="2" a="1"/>
  <c r="P1542" i="2" s="1"/>
  <c r="R1542" i="2" s="1"/>
  <c r="V1542" i="2" s="1"/>
  <c r="W1542" i="2" s="1"/>
  <c r="P198" i="2" a="1"/>
  <c r="P198" i="2" s="1"/>
  <c r="R198" i="2" s="1"/>
  <c r="V198" i="2" s="1"/>
  <c r="W198" i="2" s="1"/>
  <c r="P1558" i="2" a="1"/>
  <c r="P1558" i="2" s="1"/>
  <c r="R1558" i="2" s="1"/>
  <c r="V1558" i="2" s="1"/>
  <c r="W1558" i="2" s="1"/>
  <c r="P1122" i="2" a="1"/>
  <c r="P1122" i="2" s="1"/>
  <c r="R1122" i="2" s="1"/>
  <c r="V1122" i="2" s="1"/>
  <c r="W1122" i="2" s="1"/>
  <c r="P1144" i="2" a="1"/>
  <c r="P1144" i="2" s="1"/>
  <c r="R1144" i="2" s="1"/>
  <c r="V1144" i="2" s="1"/>
  <c r="W1144" i="2" s="1"/>
  <c r="P956" i="2" a="1"/>
  <c r="P956" i="2" s="1"/>
  <c r="R956" i="2" s="1"/>
  <c r="V956" i="2" s="1"/>
  <c r="W956" i="2" s="1"/>
  <c r="P868" i="2" a="1"/>
  <c r="P868" i="2" s="1"/>
  <c r="R868" i="2" s="1"/>
  <c r="V868" i="2" s="1"/>
  <c r="W868" i="2" s="1"/>
  <c r="P412" i="2" a="1"/>
  <c r="P412" i="2" s="1"/>
  <c r="R412" i="2" s="1"/>
  <c r="V412" i="2" s="1"/>
  <c r="W412" i="2" s="1"/>
  <c r="P1604" i="2" a="1"/>
  <c r="P1604" i="2" s="1"/>
  <c r="R1604" i="2" s="1"/>
  <c r="V1604" i="2" s="1"/>
  <c r="W1604" i="2" s="1"/>
  <c r="P813" i="2" a="1"/>
  <c r="P813" i="2" s="1"/>
  <c r="R813" i="2" s="1"/>
  <c r="V813" i="2" s="1"/>
  <c r="W813" i="2" s="1"/>
  <c r="P1174" i="2" a="1"/>
  <c r="P1174" i="2" s="1"/>
  <c r="R1174" i="2" s="1"/>
  <c r="V1174" i="2" s="1"/>
  <c r="W1174" i="2" s="1"/>
  <c r="P1015" i="2" a="1"/>
  <c r="P1015" i="2" s="1"/>
  <c r="R1015" i="2" s="1"/>
  <c r="V1015" i="2" s="1"/>
  <c r="W1015" i="2" s="1"/>
  <c r="P259" i="2" a="1"/>
  <c r="P259" i="2" s="1"/>
  <c r="R259" i="2" s="1"/>
  <c r="V259" i="2" s="1"/>
  <c r="W259" i="2" s="1"/>
  <c r="P1627" i="2" a="1"/>
  <c r="P1627" i="2" s="1"/>
  <c r="R1627" i="2" s="1"/>
  <c r="V1627" i="2" s="1"/>
  <c r="W1627" i="2" s="1"/>
  <c r="P857" i="2" a="1"/>
  <c r="P857" i="2" s="1"/>
  <c r="R857" i="2" s="1"/>
  <c r="V857" i="2" s="1"/>
  <c r="W857" i="2" s="1"/>
  <c r="P1055" i="2" a="1"/>
  <c r="P1055" i="2" s="1"/>
  <c r="R1055" i="2" s="1"/>
  <c r="V1055" i="2" s="1"/>
  <c r="W1055" i="2" s="1"/>
  <c r="P1052" i="2" a="1"/>
  <c r="P1052" i="2" s="1"/>
  <c r="R1052" i="2" s="1"/>
  <c r="V1052" i="2" s="1"/>
  <c r="W1052" i="2" s="1"/>
  <c r="P400" i="2" a="1"/>
  <c r="P400" i="2" s="1"/>
  <c r="R400" i="2" s="1"/>
  <c r="V400" i="2" s="1"/>
  <c r="W400" i="2" s="1"/>
  <c r="P1470" i="2" a="1"/>
  <c r="P1470" i="2" s="1"/>
  <c r="R1470" i="2" s="1"/>
  <c r="V1470" i="2" s="1"/>
  <c r="W1470" i="2" s="1"/>
  <c r="P1098" i="2" a="1"/>
  <c r="P1098" i="2" s="1"/>
  <c r="R1098" i="2" s="1"/>
  <c r="V1098" i="2" s="1"/>
  <c r="W1098" i="2" s="1"/>
  <c r="P849" i="2" a="1"/>
  <c r="P849" i="2" s="1"/>
  <c r="R849" i="2" s="1"/>
  <c r="V849" i="2" s="1"/>
  <c r="W849" i="2" s="1"/>
  <c r="P1304" i="2" a="1"/>
  <c r="P1304" i="2" s="1"/>
  <c r="R1304" i="2" s="1"/>
  <c r="V1304" i="2" s="1"/>
  <c r="W1304" i="2" s="1"/>
  <c r="P524" i="2" a="1"/>
  <c r="P524" i="2" s="1"/>
  <c r="R524" i="2" s="1"/>
  <c r="V524" i="2" s="1"/>
  <c r="W524" i="2" s="1"/>
  <c r="P1118" i="2" a="1"/>
  <c r="P1118" i="2" s="1"/>
  <c r="R1118" i="2" s="1"/>
  <c r="V1118" i="2" s="1"/>
  <c r="W1118" i="2" s="1"/>
  <c r="P2035" i="2" a="1"/>
  <c r="P2035" i="2" s="1"/>
  <c r="R2035" i="2" s="1"/>
  <c r="V2035" i="2" s="1"/>
  <c r="W2035" i="2" s="1"/>
  <c r="P1216" i="2" a="1"/>
  <c r="P1216" i="2" s="1"/>
  <c r="R1216" i="2" s="1"/>
  <c r="V1216" i="2" s="1"/>
  <c r="W1216" i="2" s="1"/>
  <c r="P1280" i="2" a="1"/>
  <c r="P1280" i="2" s="1"/>
  <c r="R1280" i="2" s="1"/>
  <c r="V1280" i="2" s="1"/>
  <c r="W1280" i="2" s="1"/>
  <c r="P878" i="2" a="1"/>
  <c r="P878" i="2" s="1"/>
  <c r="R878" i="2" s="1"/>
  <c r="V878" i="2" s="1"/>
  <c r="W878" i="2" s="1"/>
  <c r="P76" i="2" a="1"/>
  <c r="P76" i="2" s="1"/>
  <c r="R76" i="2" s="1"/>
  <c r="V76" i="2" s="1"/>
  <c r="W76" i="2" s="1"/>
  <c r="P150" i="2" a="1"/>
  <c r="P150" i="2" s="1"/>
  <c r="R150" i="2" s="1"/>
  <c r="V150" i="2" s="1"/>
  <c r="W150" i="2" s="1"/>
  <c r="P752" i="2" a="1"/>
  <c r="P752" i="2" s="1"/>
  <c r="R752" i="2" s="1"/>
  <c r="V752" i="2" s="1"/>
  <c r="W752" i="2" s="1"/>
  <c r="P449" i="2" a="1"/>
  <c r="P449" i="2" s="1"/>
  <c r="R449" i="2" s="1"/>
  <c r="V449" i="2" s="1"/>
  <c r="W449" i="2" s="1"/>
  <c r="P1503" i="2" a="1"/>
  <c r="P1503" i="2" s="1"/>
  <c r="R1503" i="2" s="1"/>
  <c r="V1503" i="2" s="1"/>
  <c r="W1503" i="2" s="1"/>
  <c r="P1330" i="2" a="1"/>
  <c r="P1330" i="2" s="1"/>
  <c r="R1330" i="2" s="1"/>
  <c r="V1330" i="2" s="1"/>
  <c r="W1330" i="2" s="1"/>
  <c r="P402" i="2" a="1"/>
  <c r="P402" i="2" s="1"/>
  <c r="R402" i="2" s="1"/>
  <c r="V402" i="2" s="1"/>
  <c r="W402" i="2" s="1"/>
  <c r="P1651" i="2" a="1"/>
  <c r="P1651" i="2" s="1"/>
  <c r="R1651" i="2" s="1"/>
  <c r="V1651" i="2" s="1"/>
  <c r="W1651" i="2" s="1"/>
  <c r="P440" i="2" a="1"/>
  <c r="P440" i="2" s="1"/>
  <c r="R440" i="2" s="1"/>
  <c r="V440" i="2" s="1"/>
  <c r="W440" i="2" s="1"/>
  <c r="P788" i="2" a="1"/>
  <c r="P788" i="2" s="1"/>
  <c r="R788" i="2" s="1"/>
  <c r="V788" i="2" s="1"/>
  <c r="W788" i="2" s="1"/>
  <c r="P2049" i="2" a="1"/>
  <c r="P2049" i="2" s="1"/>
  <c r="R2049" i="2" s="1"/>
  <c r="V2049" i="2" s="1"/>
  <c r="W2049" i="2" s="1"/>
  <c r="P1068" i="2" a="1"/>
  <c r="P1068" i="2" s="1"/>
  <c r="R1068" i="2" s="1"/>
  <c r="V1068" i="2" s="1"/>
  <c r="W1068" i="2" s="1"/>
  <c r="P146" i="2" a="1"/>
  <c r="P146" i="2" s="1"/>
  <c r="R146" i="2" s="1"/>
  <c r="V146" i="2" s="1"/>
  <c r="W146" i="2" s="1"/>
  <c r="P34" i="2" a="1"/>
  <c r="P34" i="2" s="1"/>
  <c r="R34" i="2" s="1"/>
  <c r="V34" i="2" s="1"/>
  <c r="W34" i="2" s="1"/>
  <c r="P2023" i="2" a="1"/>
  <c r="P2023" i="2" s="1"/>
  <c r="R2023" i="2" s="1"/>
  <c r="V2023" i="2" s="1"/>
  <c r="W2023" i="2" s="1"/>
  <c r="P784" i="2" a="1"/>
  <c r="P784" i="2" s="1"/>
  <c r="R784" i="2" s="1"/>
  <c r="V784" i="2" s="1"/>
  <c r="W784" i="2" s="1"/>
  <c r="P288" i="2" a="1"/>
  <c r="P288" i="2" s="1"/>
  <c r="R288" i="2" s="1"/>
  <c r="V288" i="2" s="1"/>
  <c r="W288" i="2" s="1"/>
  <c r="P683" i="2" a="1"/>
  <c r="P683" i="2" s="1"/>
  <c r="R683" i="2" s="1"/>
  <c r="V683" i="2" s="1"/>
  <c r="W683" i="2" s="1"/>
  <c r="P1513" i="2" a="1"/>
  <c r="P1513" i="2" s="1"/>
  <c r="R1513" i="2" s="1"/>
  <c r="V1513" i="2" s="1"/>
  <c r="W1513" i="2" s="1"/>
  <c r="P397" i="2" a="1"/>
  <c r="P397" i="2" s="1"/>
  <c r="R397" i="2" s="1"/>
  <c r="V397" i="2" s="1"/>
  <c r="W397" i="2" s="1"/>
  <c r="P1248" i="2" a="1"/>
  <c r="P1248" i="2" s="1"/>
  <c r="R1248" i="2" s="1"/>
  <c r="V1248" i="2" s="1"/>
  <c r="W1248" i="2" s="1"/>
  <c r="P242" i="2" a="1"/>
  <c r="P242" i="2" s="1"/>
  <c r="R242" i="2" s="1"/>
  <c r="V242" i="2" s="1"/>
  <c r="W242" i="2" s="1"/>
  <c r="P461" i="2" a="1"/>
  <c r="P461" i="2" s="1"/>
  <c r="R461" i="2" s="1"/>
  <c r="V461" i="2" s="1"/>
  <c r="W461" i="2" s="1"/>
  <c r="P756" i="2" a="1"/>
  <c r="P756" i="2" s="1"/>
  <c r="R756" i="2" s="1"/>
  <c r="V756" i="2" s="1"/>
  <c r="W756" i="2" s="1"/>
  <c r="P541" i="2" a="1"/>
  <c r="P541" i="2" s="1"/>
  <c r="R541" i="2" s="1"/>
  <c r="V541" i="2" s="1"/>
  <c r="W541" i="2" s="1"/>
  <c r="P1617" i="2" a="1"/>
  <c r="P1617" i="2" s="1"/>
  <c r="R1617" i="2" s="1"/>
  <c r="V1617" i="2" s="1"/>
  <c r="W1617" i="2" s="1"/>
  <c r="P1099" i="2" a="1"/>
  <c r="P1099" i="2" s="1"/>
  <c r="R1099" i="2" s="1"/>
  <c r="V1099" i="2" s="1"/>
  <c r="W1099" i="2" s="1"/>
  <c r="P396" i="2" a="1"/>
  <c r="P396" i="2" s="1"/>
  <c r="R396" i="2" s="1"/>
  <c r="V396" i="2" s="1"/>
  <c r="W396" i="2" s="1"/>
  <c r="P387" i="2" a="1"/>
  <c r="P387" i="2" s="1"/>
  <c r="R387" i="2" s="1"/>
  <c r="V387" i="2" s="1"/>
  <c r="W387" i="2" s="1"/>
  <c r="P162" i="2" a="1"/>
  <c r="P162" i="2" s="1"/>
  <c r="R162" i="2" s="1"/>
  <c r="V162" i="2" s="1"/>
  <c r="W162" i="2" s="1"/>
  <c r="P251" i="2" a="1"/>
  <c r="P251" i="2" s="1"/>
  <c r="R251" i="2" s="1"/>
  <c r="V251" i="2" s="1"/>
  <c r="W251" i="2" s="1"/>
  <c r="P856" i="2" a="1"/>
  <c r="P856" i="2" s="1"/>
  <c r="R856" i="2" s="1"/>
  <c r="V856" i="2" s="1"/>
  <c r="W856" i="2" s="1"/>
  <c r="P1692" i="2" a="1"/>
  <c r="P1692" i="2" s="1"/>
  <c r="R1692" i="2" s="1"/>
  <c r="V1692" i="2" s="1"/>
  <c r="W1692" i="2" s="1"/>
  <c r="P1482" i="2" a="1"/>
  <c r="P1482" i="2" s="1"/>
  <c r="R1482" i="2" s="1"/>
  <c r="V1482" i="2" s="1"/>
  <c r="W1482" i="2" s="1"/>
  <c r="P927" i="2" a="1"/>
  <c r="P927" i="2" s="1"/>
  <c r="R927" i="2" s="1"/>
  <c r="V927" i="2" s="1"/>
  <c r="W927" i="2" s="1"/>
  <c r="P1003" i="2" a="1"/>
  <c r="P1003" i="2" s="1"/>
  <c r="R1003" i="2" s="1"/>
  <c r="V1003" i="2" s="1"/>
  <c r="W1003" i="2" s="1"/>
  <c r="P1335" i="2" a="1"/>
  <c r="P1335" i="2" s="1"/>
  <c r="R1335" i="2" s="1"/>
  <c r="V1335" i="2" s="1"/>
  <c r="W1335" i="2" s="1"/>
  <c r="P2014" i="2" a="1"/>
  <c r="P2014" i="2" s="1"/>
  <c r="R2014" i="2" s="1"/>
  <c r="V2014" i="2" s="1"/>
  <c r="W2014" i="2" s="1"/>
  <c r="P1389" i="2" a="1"/>
  <c r="P1389" i="2" s="1"/>
  <c r="R1389" i="2" s="1"/>
  <c r="V1389" i="2" s="1"/>
  <c r="W1389" i="2" s="1"/>
  <c r="P1415" i="2" a="1"/>
  <c r="P1415" i="2" s="1"/>
  <c r="R1415" i="2" s="1"/>
  <c r="V1415" i="2" s="1"/>
  <c r="W1415" i="2" s="1"/>
  <c r="P1667" i="2" a="1"/>
  <c r="P1667" i="2" s="1"/>
  <c r="R1667" i="2" s="1"/>
  <c r="V1667" i="2" s="1"/>
  <c r="W1667" i="2" s="1"/>
  <c r="P37" i="2" a="1"/>
  <c r="P37" i="2" s="1"/>
  <c r="R37" i="2" s="1"/>
  <c r="V37" i="2" s="1"/>
  <c r="W37" i="2" s="1"/>
  <c r="P186" i="2" a="1"/>
  <c r="P186" i="2" s="1"/>
  <c r="R186" i="2" s="1"/>
  <c r="V186" i="2" s="1"/>
  <c r="W186" i="2" s="1"/>
  <c r="P1404" i="2" a="1"/>
  <c r="P1404" i="2" s="1"/>
  <c r="R1404" i="2" s="1"/>
  <c r="V1404" i="2" s="1"/>
  <c r="W1404" i="2" s="1"/>
  <c r="P546" i="2" a="1"/>
  <c r="P546" i="2" s="1"/>
  <c r="R546" i="2" s="1"/>
  <c r="V546" i="2" s="1"/>
  <c r="W546" i="2" s="1"/>
  <c r="P1308" i="2" a="1"/>
  <c r="P1308" i="2" s="1"/>
  <c r="R1308" i="2" s="1"/>
  <c r="V1308" i="2" s="1"/>
  <c r="W1308" i="2" s="1"/>
  <c r="P467" i="2" a="1"/>
  <c r="P467" i="2" s="1"/>
  <c r="R467" i="2" s="1"/>
  <c r="V467" i="2" s="1"/>
  <c r="W467" i="2" s="1"/>
  <c r="P1397" i="2" a="1"/>
  <c r="P1397" i="2" s="1"/>
  <c r="R1397" i="2" s="1"/>
  <c r="V1397" i="2" s="1"/>
  <c r="W1397" i="2" s="1"/>
  <c r="P1032" i="2" a="1"/>
  <c r="P1032" i="2" s="1"/>
  <c r="R1032" i="2" s="1"/>
  <c r="V1032" i="2" s="1"/>
  <c r="W1032" i="2" s="1"/>
  <c r="P949" i="2" a="1"/>
  <c r="P949" i="2" s="1"/>
  <c r="R949" i="2" s="1"/>
  <c r="V949" i="2" s="1"/>
  <c r="W949" i="2" s="1"/>
  <c r="P909" i="2" a="1"/>
  <c r="P909" i="2" s="1"/>
  <c r="R909" i="2" s="1"/>
  <c r="V909" i="2" s="1"/>
  <c r="W909" i="2" s="1"/>
  <c r="P970" i="2" a="1"/>
  <c r="P970" i="2" s="1"/>
  <c r="R970" i="2" s="1"/>
  <c r="V970" i="2" s="1"/>
  <c r="W970" i="2" s="1"/>
  <c r="P1538" i="2" a="1"/>
  <c r="P1538" i="2" s="1"/>
  <c r="R1538" i="2" s="1"/>
  <c r="V1538" i="2" s="1"/>
  <c r="W1538" i="2" s="1"/>
  <c r="P1199" i="2" a="1"/>
  <c r="P1199" i="2" s="1"/>
  <c r="R1199" i="2" s="1"/>
  <c r="V1199" i="2" s="1"/>
  <c r="W1199" i="2" s="1"/>
  <c r="P854" i="2" a="1"/>
  <c r="P854" i="2" s="1"/>
  <c r="R854" i="2" s="1"/>
  <c r="V854" i="2" s="1"/>
  <c r="W854" i="2" s="1"/>
  <c r="P1016" i="2" a="1"/>
  <c r="P1016" i="2" s="1"/>
  <c r="R1016" i="2" s="1"/>
  <c r="V1016" i="2" s="1"/>
  <c r="W1016" i="2" s="1"/>
  <c r="P1315" i="2" a="1"/>
  <c r="P1315" i="2" s="1"/>
  <c r="R1315" i="2" s="1"/>
  <c r="V1315" i="2" s="1"/>
  <c r="W1315" i="2" s="1"/>
  <c r="P184" i="2" a="1"/>
  <c r="P184" i="2" s="1"/>
  <c r="R184" i="2" s="1"/>
  <c r="V184" i="2" s="1"/>
  <c r="W184" i="2" s="1"/>
  <c r="P1695" i="2" a="1"/>
  <c r="P1695" i="2" s="1"/>
  <c r="R1695" i="2" s="1"/>
  <c r="V1695" i="2" s="1"/>
  <c r="W1695" i="2" s="1"/>
  <c r="P950" i="2" a="1"/>
  <c r="P950" i="2" s="1"/>
  <c r="R950" i="2" s="1"/>
  <c r="V950" i="2" s="1"/>
  <c r="W950" i="2" s="1"/>
  <c r="P1316" i="2" a="1"/>
  <c r="P1316" i="2" s="1"/>
  <c r="R1316" i="2" s="1"/>
  <c r="V1316" i="2" s="1"/>
  <c r="W1316" i="2" s="1"/>
  <c r="P354" i="2" a="1"/>
  <c r="P354" i="2" s="1"/>
  <c r="R354" i="2" s="1"/>
  <c r="V354" i="2" s="1"/>
  <c r="W354" i="2" s="1"/>
  <c r="P748" i="2" a="1"/>
  <c r="P748" i="2" s="1"/>
  <c r="R748" i="2" s="1"/>
  <c r="V748" i="2" s="1"/>
  <c r="W748" i="2" s="1"/>
  <c r="P106" i="2" a="1"/>
  <c r="P106" i="2" s="1"/>
  <c r="R106" i="2" s="1"/>
  <c r="V106" i="2" s="1"/>
  <c r="W106" i="2" s="1"/>
  <c r="P1307" i="2" a="1"/>
  <c r="P1307" i="2" s="1"/>
  <c r="R1307" i="2" s="1"/>
  <c r="V1307" i="2" s="1"/>
  <c r="W1307" i="2" s="1"/>
  <c r="P22" i="2" a="1"/>
  <c r="P22" i="2" s="1"/>
  <c r="R22" i="2" s="1"/>
  <c r="V22" i="2" s="1"/>
  <c r="W22" i="2" s="1"/>
  <c r="P3" i="2" a="1"/>
  <c r="P3" i="2" s="1"/>
  <c r="R3" i="2" s="1"/>
  <c r="V3" i="2" s="1"/>
  <c r="W3" i="2" s="1"/>
  <c r="P1458" i="2" a="1"/>
  <c r="P1458" i="2" s="1"/>
  <c r="R1458" i="2" s="1"/>
  <c r="V1458" i="2" s="1"/>
  <c r="W1458" i="2" s="1"/>
  <c r="P2041" i="2" a="1"/>
  <c r="P2041" i="2" s="1"/>
  <c r="R2041" i="2" s="1"/>
  <c r="V2041" i="2" s="1"/>
  <c r="W2041" i="2" s="1"/>
  <c r="P409" i="2" a="1"/>
  <c r="P409" i="2" s="1"/>
  <c r="R409" i="2" s="1"/>
  <c r="V409" i="2" s="1"/>
  <c r="W409" i="2" s="1"/>
  <c r="P1064" i="2" a="1"/>
  <c r="P1064" i="2" s="1"/>
  <c r="R1064" i="2" s="1"/>
  <c r="V1064" i="2" s="1"/>
  <c r="W1064" i="2" s="1"/>
  <c r="P1221" i="2" a="1"/>
  <c r="P1221" i="2" s="1"/>
  <c r="R1221" i="2" s="1"/>
  <c r="V1221" i="2" s="1"/>
  <c r="W1221" i="2" s="1"/>
  <c r="P4" i="2" a="1"/>
  <c r="P4" i="2" s="1"/>
  <c r="R4" i="2" s="1"/>
  <c r="V4" i="2" s="1"/>
  <c r="W4" i="2" s="1"/>
  <c r="P1612" i="2" a="1"/>
  <c r="P1612" i="2" s="1"/>
  <c r="R1612" i="2" s="1"/>
  <c r="V1612" i="2" s="1"/>
  <c r="W1612" i="2" s="1"/>
  <c r="P2046" i="2" a="1"/>
  <c r="P2046" i="2" s="1"/>
  <c r="R2046" i="2" s="1"/>
  <c r="V2046" i="2" s="1"/>
  <c r="W2046" i="2" s="1"/>
  <c r="P1081" i="2" a="1"/>
  <c r="P1081" i="2" s="1"/>
  <c r="R1081" i="2" s="1"/>
  <c r="V1081" i="2" s="1"/>
  <c r="W1081" i="2" s="1"/>
  <c r="P1247" i="2" a="1"/>
  <c r="P1247" i="2" s="1"/>
  <c r="R1247" i="2" s="1"/>
  <c r="V1247" i="2" s="1"/>
  <c r="W1247" i="2" s="1"/>
  <c r="P169" i="2" a="1"/>
  <c r="P169" i="2" s="1"/>
  <c r="R169" i="2" s="1"/>
  <c r="V169" i="2" s="1"/>
  <c r="W169" i="2" s="1"/>
  <c r="P1423" i="2" a="1"/>
  <c r="P1423" i="2" s="1"/>
  <c r="R1423" i="2" s="1"/>
  <c r="V1423" i="2" s="1"/>
  <c r="W1423" i="2" s="1"/>
  <c r="P916" i="2" a="1"/>
  <c r="P916" i="2" s="1"/>
  <c r="R916" i="2" s="1"/>
  <c r="V916" i="2" s="1"/>
  <c r="W916" i="2" s="1"/>
  <c r="P1608" i="2" a="1"/>
  <c r="P1608" i="2" s="1"/>
  <c r="R1608" i="2" s="1"/>
  <c r="V1608" i="2" s="1"/>
  <c r="W1608" i="2" s="1"/>
  <c r="P1376" i="2" a="1"/>
  <c r="P1376" i="2" s="1"/>
  <c r="R1376" i="2" s="1"/>
  <c r="V1376" i="2" s="1"/>
  <c r="W1376" i="2" s="1"/>
  <c r="P305" i="2" a="1"/>
  <c r="P305" i="2" s="1"/>
  <c r="R305" i="2" s="1"/>
  <c r="V305" i="2" s="1"/>
  <c r="W305" i="2" s="1"/>
  <c r="P1594" i="2" a="1"/>
  <c r="P1594" i="2" s="1"/>
  <c r="R1594" i="2" s="1"/>
  <c r="V1594" i="2" s="1"/>
  <c r="W1594" i="2" s="1"/>
  <c r="P77" i="2" a="1"/>
  <c r="P77" i="2" s="1"/>
  <c r="R77" i="2" s="1"/>
  <c r="V77" i="2" s="1"/>
  <c r="W77" i="2" s="1"/>
  <c r="P1192" i="2" a="1"/>
  <c r="P1192" i="2" s="1"/>
  <c r="R1192" i="2" s="1"/>
  <c r="V1192" i="2" s="1"/>
  <c r="W1192" i="2" s="1"/>
  <c r="P308" i="2" a="1"/>
  <c r="P308" i="2" s="1"/>
  <c r="R308" i="2" s="1"/>
  <c r="V308" i="2" s="1"/>
  <c r="W308" i="2" s="1"/>
  <c r="P256" i="2" a="1"/>
  <c r="P256" i="2" s="1"/>
  <c r="R256" i="2" s="1"/>
  <c r="V256" i="2" s="1"/>
  <c r="W256" i="2" s="1"/>
  <c r="P928" i="2" a="1"/>
  <c r="P928" i="2" s="1"/>
  <c r="R928" i="2" s="1"/>
  <c r="V928" i="2" s="1"/>
  <c r="W928" i="2" s="1"/>
  <c r="P301" i="2" a="1"/>
  <c r="P301" i="2" s="1"/>
  <c r="R301" i="2" s="1"/>
  <c r="V301" i="2" s="1"/>
  <c r="W301" i="2" s="1"/>
  <c r="P1409" i="2" a="1"/>
  <c r="P1409" i="2" s="1"/>
  <c r="R1409" i="2" s="1"/>
  <c r="V1409" i="2" s="1"/>
  <c r="W1409" i="2" s="1"/>
  <c r="P879" i="2" a="1"/>
  <c r="P879" i="2" s="1"/>
  <c r="R879" i="2" s="1"/>
  <c r="V879" i="2" s="1"/>
  <c r="W879" i="2" s="1"/>
  <c r="P1383" i="2" a="1"/>
  <c r="P1383" i="2" s="1"/>
  <c r="R1383" i="2" s="1"/>
  <c r="V1383" i="2" s="1"/>
  <c r="W1383" i="2" s="1"/>
  <c r="P804" i="2" a="1"/>
  <c r="P804" i="2" s="1"/>
  <c r="R804" i="2" s="1"/>
  <c r="V804" i="2" s="1"/>
  <c r="W804" i="2" s="1"/>
  <c r="P2068" i="2" a="1"/>
  <c r="P2068" i="2" s="1"/>
  <c r="R2068" i="2" s="1"/>
  <c r="V2068" i="2" s="1"/>
  <c r="W2068" i="2" s="1"/>
  <c r="P1498" i="2" a="1"/>
  <c r="P1498" i="2" s="1"/>
  <c r="R1498" i="2" s="1"/>
  <c r="V1498" i="2" s="1"/>
  <c r="W1498" i="2" s="1"/>
  <c r="P446" i="2" a="1"/>
  <c r="P446" i="2" s="1"/>
  <c r="R446" i="2" s="1"/>
  <c r="V446" i="2" s="1"/>
  <c r="W446" i="2" s="1"/>
  <c r="P1701" i="2" a="1"/>
  <c r="P1701" i="2" s="1"/>
  <c r="R1701" i="2" s="1"/>
  <c r="V1701" i="2" s="1"/>
  <c r="W1701" i="2" s="1"/>
  <c r="P809" i="2" a="1"/>
  <c r="P809" i="2" s="1"/>
  <c r="R809" i="2" s="1"/>
  <c r="V809" i="2" s="1"/>
  <c r="W809" i="2" s="1"/>
  <c r="P547" i="2" a="1"/>
  <c r="P547" i="2" s="1"/>
  <c r="R547" i="2" s="1"/>
  <c r="V547" i="2" s="1"/>
  <c r="W547" i="2" s="1"/>
  <c r="P805" i="2" a="1"/>
  <c r="P805" i="2" s="1"/>
  <c r="R805" i="2" s="1"/>
  <c r="V805" i="2" s="1"/>
  <c r="W805" i="2" s="1"/>
  <c r="P1150" i="2" a="1"/>
  <c r="P1150" i="2" s="1"/>
  <c r="R1150" i="2" s="1"/>
  <c r="V1150" i="2" s="1"/>
  <c r="W1150" i="2" s="1"/>
  <c r="P684" i="2" a="1"/>
  <c r="P684" i="2" s="1"/>
  <c r="R684" i="2" s="1"/>
  <c r="V684" i="2" s="1"/>
  <c r="W684" i="2" s="1"/>
  <c r="P42" i="2" a="1"/>
  <c r="P42" i="2" s="1"/>
  <c r="R42" i="2" s="1"/>
  <c r="V42" i="2" s="1"/>
  <c r="W42" i="2" s="1"/>
  <c r="P1385" i="2" a="1"/>
  <c r="P1385" i="2" s="1"/>
  <c r="R1385" i="2" s="1"/>
  <c r="V1385" i="2" s="1"/>
  <c r="W1385" i="2" s="1"/>
  <c r="P1060" i="2" a="1"/>
  <c r="P1060" i="2" s="1"/>
  <c r="R1060" i="2" s="1"/>
  <c r="V1060" i="2" s="1"/>
  <c r="W1060" i="2" s="1"/>
  <c r="P1388" i="2" a="1"/>
  <c r="P1388" i="2" s="1"/>
  <c r="R1388" i="2" s="1"/>
  <c r="V1388" i="2" s="1"/>
  <c r="W1388" i="2" s="1"/>
  <c r="P101" i="2" a="1"/>
  <c r="P101" i="2" s="1"/>
  <c r="R101" i="2" s="1"/>
  <c r="V101" i="2" s="1"/>
  <c r="W101" i="2" s="1"/>
  <c r="P1277" i="2" a="1"/>
  <c r="P1277" i="2" s="1"/>
  <c r="R1277" i="2" s="1"/>
  <c r="V1277" i="2" s="1"/>
  <c r="W1277" i="2" s="1"/>
  <c r="P1374" i="2" a="1"/>
  <c r="P1374" i="2" s="1"/>
  <c r="R1374" i="2" s="1"/>
  <c r="V1374" i="2" s="1"/>
  <c r="W1374" i="2" s="1"/>
  <c r="P1240" i="2" a="1"/>
  <c r="P1240" i="2" s="1"/>
  <c r="R1240" i="2" s="1"/>
  <c r="V1240" i="2" s="1"/>
  <c r="W1240" i="2" s="1"/>
  <c r="P91" i="2" a="1"/>
  <c r="P91" i="2" s="1"/>
  <c r="R91" i="2" s="1"/>
  <c r="V91" i="2" s="1"/>
  <c r="W91" i="2" s="1"/>
  <c r="P1707" i="2" a="1"/>
  <c r="P1707" i="2" s="1"/>
  <c r="R1707" i="2" s="1"/>
  <c r="V1707" i="2" s="1"/>
  <c r="W1707" i="2" s="1"/>
  <c r="P1121" i="2" a="1"/>
  <c r="P1121" i="2" s="1"/>
  <c r="R1121" i="2" s="1"/>
  <c r="V1121" i="2" s="1"/>
  <c r="W1121" i="2" s="1"/>
  <c r="P816" i="2" a="1"/>
  <c r="P816" i="2" s="1"/>
  <c r="R816" i="2" s="1"/>
  <c r="V816" i="2" s="1"/>
  <c r="W816" i="2" s="1"/>
  <c r="P1414" i="2" a="1"/>
  <c r="P1414" i="2" s="1"/>
  <c r="R1414" i="2" s="1"/>
  <c r="V1414" i="2" s="1"/>
  <c r="W1414" i="2" s="1"/>
  <c r="P984" i="2" a="1"/>
  <c r="P984" i="2" s="1"/>
  <c r="R984" i="2" s="1"/>
  <c r="V984" i="2" s="1"/>
  <c r="W984" i="2" s="1"/>
  <c r="P2029" i="2" a="1"/>
  <c r="P2029" i="2" s="1"/>
  <c r="R2029" i="2" s="1"/>
  <c r="V2029" i="2" s="1"/>
  <c r="W2029" i="2" s="1"/>
  <c r="P1370" i="2" a="1"/>
  <c r="P1370" i="2" s="1"/>
  <c r="R1370" i="2" s="1"/>
  <c r="V1370" i="2" s="1"/>
  <c r="W1370" i="2" s="1"/>
  <c r="P1694" i="2" a="1"/>
  <c r="P1694" i="2" s="1"/>
  <c r="R1694" i="2" s="1"/>
  <c r="V1694" i="2" s="1"/>
  <c r="W1694" i="2" s="1"/>
  <c r="P1419" i="2" a="1"/>
  <c r="P1419" i="2" s="1"/>
  <c r="R1419" i="2" s="1"/>
  <c r="V1419" i="2" s="1"/>
  <c r="W1419" i="2" s="1"/>
  <c r="P1134" i="2" a="1"/>
  <c r="P1134" i="2" s="1"/>
  <c r="R1134" i="2" s="1"/>
  <c r="V1134" i="2" s="1"/>
  <c r="W1134" i="2" s="1"/>
  <c r="P2054" i="2" a="1"/>
  <c r="P2054" i="2" s="1"/>
  <c r="R2054" i="2" s="1"/>
  <c r="V2054" i="2" s="1"/>
  <c r="W2054" i="2" s="1"/>
  <c r="P1748" i="2" a="1"/>
  <c r="P1748" i="2" s="1"/>
  <c r="R1748" i="2" s="1"/>
  <c r="V1748" i="2" s="1"/>
  <c r="W1748" i="2" s="1"/>
  <c r="P1417" i="2" a="1"/>
  <c r="P1417" i="2" s="1"/>
  <c r="R1417" i="2" s="1"/>
  <c r="V1417" i="2" s="1"/>
  <c r="W1417" i="2" s="1"/>
  <c r="P314" i="2" a="1"/>
  <c r="P314" i="2" s="1"/>
  <c r="R314" i="2" s="1"/>
  <c r="V314" i="2" s="1"/>
  <c r="W314" i="2" s="1"/>
  <c r="P930" i="2" a="1"/>
  <c r="P930" i="2" s="1"/>
  <c r="R930" i="2" s="1"/>
  <c r="V930" i="2" s="1"/>
  <c r="W930" i="2" s="1"/>
  <c r="P1041" i="2" a="1"/>
  <c r="P1041" i="2" s="1"/>
  <c r="R1041" i="2" s="1"/>
  <c r="V1041" i="2" s="1"/>
  <c r="W1041" i="2" s="1"/>
  <c r="P800" i="2" a="1"/>
  <c r="P800" i="2" s="1"/>
  <c r="R800" i="2" s="1"/>
  <c r="V800" i="2" s="1"/>
  <c r="W800" i="2" s="1"/>
  <c r="P1175" i="2" a="1"/>
  <c r="P1175" i="2" s="1"/>
  <c r="R1175" i="2" s="1"/>
  <c r="V1175" i="2" s="1"/>
  <c r="W1175" i="2" s="1"/>
  <c r="P1645" i="2" a="1"/>
  <c r="P1645" i="2" s="1"/>
  <c r="R1645" i="2" s="1"/>
  <c r="V1645" i="2" s="1"/>
  <c r="W1645" i="2" s="1"/>
  <c r="P1325" i="2" a="1"/>
  <c r="P1325" i="2" s="1"/>
  <c r="R1325" i="2" s="1"/>
  <c r="V1325" i="2" s="1"/>
  <c r="W1325" i="2" s="1"/>
  <c r="P1399" i="2" a="1"/>
  <c r="P1399" i="2" s="1"/>
  <c r="R1399" i="2" s="1"/>
  <c r="V1399" i="2" s="1"/>
  <c r="W1399" i="2" s="1"/>
  <c r="P1679" i="2" a="1"/>
  <c r="P1679" i="2" s="1"/>
  <c r="R1679" i="2" s="1"/>
  <c r="V1679" i="2" s="1"/>
  <c r="W1679" i="2" s="1"/>
  <c r="P1709" i="2" a="1"/>
  <c r="P1709" i="2" s="1"/>
  <c r="R1709" i="2" s="1"/>
  <c r="V1709" i="2" s="1"/>
  <c r="W1709" i="2" s="1"/>
  <c r="P2055" i="2" a="1"/>
  <c r="P2055" i="2" s="1"/>
  <c r="R2055" i="2" s="1"/>
  <c r="V2055" i="2" s="1"/>
  <c r="W2055" i="2" s="1"/>
  <c r="P1394" i="2" a="1"/>
  <c r="P1394" i="2" s="1"/>
  <c r="R1394" i="2" s="1"/>
  <c r="V1394" i="2" s="1"/>
  <c r="W1394" i="2" s="1"/>
  <c r="P1170" i="2" a="1"/>
  <c r="P1170" i="2" s="1"/>
  <c r="R1170" i="2" s="1"/>
  <c r="V1170" i="2" s="1"/>
  <c r="W1170" i="2" s="1"/>
  <c r="P540" i="2" a="1"/>
  <c r="P540" i="2" s="1"/>
  <c r="R540" i="2" s="1"/>
  <c r="V540" i="2" s="1"/>
  <c r="W540" i="2" s="1"/>
  <c r="P1120" i="2" a="1"/>
  <c r="P1120" i="2" s="1"/>
  <c r="R1120" i="2" s="1"/>
  <c r="V1120" i="2" s="1"/>
  <c r="W1120" i="2" s="1"/>
  <c r="P1268" i="2" a="1"/>
  <c r="P1268" i="2" s="1"/>
  <c r="R1268" i="2" s="1"/>
  <c r="V1268" i="2" s="1"/>
  <c r="W1268" i="2" s="1"/>
  <c r="P1718" i="2" a="1"/>
  <c r="P1718" i="2" s="1"/>
  <c r="R1718" i="2" s="1"/>
  <c r="V1718" i="2" s="1"/>
  <c r="W1718" i="2" s="1"/>
  <c r="P1217" i="2" a="1"/>
  <c r="P1217" i="2" s="1"/>
  <c r="R1217" i="2" s="1"/>
  <c r="V1217" i="2" s="1"/>
  <c r="W1217" i="2" s="1"/>
  <c r="P241" i="2" a="1"/>
  <c r="P241" i="2" s="1"/>
  <c r="R241" i="2" s="1"/>
  <c r="V241" i="2" s="1"/>
  <c r="W241" i="2" s="1"/>
  <c r="P1395" i="2" a="1"/>
  <c r="P1395" i="2" s="1"/>
  <c r="R1395" i="2" s="1"/>
  <c r="V1395" i="2" s="1"/>
  <c r="W1395" i="2" s="1"/>
  <c r="P1287" i="2" a="1"/>
  <c r="P1287" i="2" s="1"/>
  <c r="R1287" i="2" s="1"/>
  <c r="V1287" i="2" s="1"/>
  <c r="W1287" i="2" s="1"/>
  <c r="P480" i="2" a="1"/>
  <c r="P480" i="2" s="1"/>
  <c r="R480" i="2" s="1"/>
  <c r="V480" i="2" s="1"/>
  <c r="W480" i="2" s="1"/>
  <c r="P664" i="2" a="1"/>
  <c r="P664" i="2" s="1"/>
  <c r="R664" i="2" s="1"/>
  <c r="V664" i="2" s="1"/>
  <c r="W664" i="2" s="1"/>
  <c r="P1380" i="2" a="1"/>
  <c r="P1380" i="2" s="1"/>
  <c r="R1380" i="2" s="1"/>
  <c r="V1380" i="2" s="1"/>
  <c r="W1380" i="2" s="1"/>
  <c r="P821" i="2" a="1"/>
  <c r="P821" i="2" s="1"/>
  <c r="R821" i="2" s="1"/>
  <c r="V821" i="2" s="1"/>
  <c r="W821" i="2" s="1"/>
  <c r="P500" i="2" a="1"/>
  <c r="P500" i="2" s="1"/>
  <c r="R500" i="2" s="1"/>
  <c r="V500" i="2" s="1"/>
  <c r="W500" i="2" s="1"/>
  <c r="P334" i="2" a="1"/>
  <c r="P334" i="2" s="1"/>
  <c r="R334" i="2" s="1"/>
  <c r="V334" i="2" s="1"/>
  <c r="W334" i="2" s="1"/>
  <c r="P505" i="2" a="1"/>
  <c r="P505" i="2" s="1"/>
  <c r="R505" i="2" s="1"/>
  <c r="V505" i="2" s="1"/>
  <c r="W505" i="2" s="1"/>
  <c r="P843" i="2" a="1"/>
  <c r="P843" i="2" s="1"/>
  <c r="R843" i="2" s="1"/>
  <c r="V843" i="2" s="1"/>
  <c r="W843" i="2" s="1"/>
  <c r="P1602" i="2" a="1"/>
  <c r="P1602" i="2" s="1"/>
  <c r="R1602" i="2" s="1"/>
  <c r="V1602" i="2" s="1"/>
  <c r="W1602" i="2" s="1"/>
  <c r="P981" i="2" a="1"/>
  <c r="P981" i="2" s="1"/>
  <c r="R981" i="2" s="1"/>
  <c r="V981" i="2" s="1"/>
  <c r="W981" i="2" s="1"/>
  <c r="P14" i="2" a="1"/>
  <c r="P14" i="2" s="1"/>
  <c r="R14" i="2" s="1"/>
  <c r="V14" i="2" s="1"/>
  <c r="W14" i="2" s="1"/>
  <c r="P1102" i="2" a="1"/>
  <c r="P1102" i="2" s="1"/>
  <c r="R1102" i="2" s="1"/>
  <c r="V1102" i="2" s="1"/>
  <c r="W1102" i="2" s="1"/>
  <c r="P1148" i="2" a="1"/>
  <c r="P1148" i="2" s="1"/>
  <c r="R1148" i="2" s="1"/>
  <c r="V1148" i="2" s="1"/>
  <c r="W1148" i="2" s="1"/>
  <c r="P1234" i="2" a="1"/>
  <c r="P1234" i="2" s="1"/>
  <c r="R1234" i="2" s="1"/>
  <c r="V1234" i="2" s="1"/>
  <c r="W1234" i="2" s="1"/>
  <c r="P49" i="2" a="1"/>
  <c r="P49" i="2" s="1"/>
  <c r="R49" i="2" s="1"/>
  <c r="V49" i="2" s="1"/>
  <c r="W49" i="2" s="1"/>
  <c r="P462" i="2" a="1"/>
  <c r="P462" i="2" s="1"/>
  <c r="R462" i="2" s="1"/>
  <c r="V462" i="2" s="1"/>
  <c r="W462" i="2" s="1"/>
  <c r="P1476" i="2" a="1"/>
  <c r="P1476" i="2" s="1"/>
  <c r="R1476" i="2" s="1"/>
  <c r="V1476" i="2" s="1"/>
  <c r="W1476" i="2" s="1"/>
  <c r="P174" i="2" a="1"/>
  <c r="P174" i="2" s="1"/>
  <c r="R174" i="2" s="1"/>
  <c r="V174" i="2" s="1"/>
  <c r="W174" i="2" s="1"/>
  <c r="P482" i="2" a="1"/>
  <c r="P482" i="2" s="1"/>
  <c r="R482" i="2" s="1"/>
  <c r="V482" i="2" s="1"/>
  <c r="W482" i="2" s="1"/>
  <c r="P388" i="2" a="1"/>
  <c r="P388" i="2" s="1"/>
  <c r="R388" i="2" s="1"/>
  <c r="V388" i="2" s="1"/>
  <c r="W388" i="2" s="1"/>
  <c r="P1677" i="2" a="1"/>
  <c r="P1677" i="2" s="1"/>
  <c r="R1677" i="2" s="1"/>
  <c r="V1677" i="2" s="1"/>
  <c r="W1677" i="2" s="1"/>
  <c r="P471" i="2" a="1"/>
  <c r="P471" i="2" s="1"/>
  <c r="R471" i="2" s="1"/>
  <c r="V471" i="2" s="1"/>
  <c r="W471" i="2" s="1"/>
  <c r="P1026" i="2" a="1"/>
  <c r="P1026" i="2" s="1"/>
  <c r="R1026" i="2" s="1"/>
  <c r="V1026" i="2" s="1"/>
  <c r="W1026" i="2" s="1"/>
  <c r="P787" i="2" a="1"/>
  <c r="P787" i="2" s="1"/>
  <c r="R787" i="2" s="1"/>
  <c r="V787" i="2" s="1"/>
  <c r="W787" i="2" s="1"/>
  <c r="P168" i="2" a="1"/>
  <c r="P168" i="2" s="1"/>
  <c r="R168" i="2" s="1"/>
  <c r="V168" i="2" s="1"/>
  <c r="W168" i="2" s="1"/>
  <c r="P1480" i="2" a="1"/>
  <c r="P1480" i="2" s="1"/>
  <c r="R1480" i="2" s="1"/>
  <c r="V1480" i="2" s="1"/>
  <c r="W1480" i="2" s="1"/>
  <c r="P1230" i="2" a="1"/>
  <c r="P1230" i="2" s="1"/>
  <c r="R1230" i="2" s="1"/>
  <c r="V1230" i="2" s="1"/>
  <c r="W1230" i="2" s="1"/>
  <c r="P1027" i="2" a="1"/>
  <c r="P1027" i="2" s="1"/>
  <c r="R1027" i="2" s="1"/>
  <c r="V1027" i="2" s="1"/>
  <c r="W1027" i="2" s="1"/>
  <c r="P1534" i="2" a="1"/>
  <c r="P1534" i="2" s="1"/>
  <c r="R1534" i="2" s="1"/>
  <c r="V1534" i="2" s="1"/>
  <c r="W1534" i="2" s="1"/>
  <c r="P1337" i="2" a="1"/>
  <c r="P1337" i="2" s="1"/>
  <c r="R1337" i="2" s="1"/>
  <c r="V1337" i="2" s="1"/>
  <c r="W1337" i="2" s="1"/>
  <c r="P1087" i="2" a="1"/>
  <c r="P1087" i="2" s="1"/>
  <c r="R1087" i="2" s="1"/>
  <c r="V1087" i="2" s="1"/>
  <c r="W1087" i="2" s="1"/>
  <c r="P244" i="2" a="1"/>
  <c r="P244" i="2" s="1"/>
  <c r="R244" i="2" s="1"/>
  <c r="V244" i="2" s="1"/>
  <c r="W244" i="2" s="1"/>
  <c r="P1035" i="2" a="1"/>
  <c r="P1035" i="2" s="1"/>
  <c r="R1035" i="2" s="1"/>
  <c r="V1035" i="2" s="1"/>
  <c r="W1035" i="2" s="1"/>
  <c r="P295" i="2" a="1"/>
  <c r="P295" i="2" s="1"/>
  <c r="R295" i="2" s="1"/>
  <c r="V295" i="2" s="1"/>
  <c r="W295" i="2" s="1"/>
  <c r="P2063" i="2" a="1"/>
  <c r="P2063" i="2" s="1"/>
  <c r="R2063" i="2" s="1"/>
  <c r="V2063" i="2" s="1"/>
  <c r="W2063" i="2" s="1"/>
  <c r="P489" i="2" a="1"/>
  <c r="P489" i="2" s="1"/>
  <c r="R489" i="2" s="1"/>
  <c r="V489" i="2" s="1"/>
  <c r="W489" i="2" s="1"/>
  <c r="P888" i="2" a="1"/>
  <c r="P888" i="2" s="1"/>
  <c r="R888" i="2" s="1"/>
  <c r="V888" i="2" s="1"/>
  <c r="W888" i="2" s="1"/>
  <c r="P417" i="2" a="1"/>
  <c r="P417" i="2" s="1"/>
  <c r="R417" i="2" s="1"/>
  <c r="V417" i="2" s="1"/>
  <c r="W417" i="2" s="1"/>
  <c r="P1437" i="2" a="1"/>
  <c r="P1437" i="2" s="1"/>
  <c r="R1437" i="2" s="1"/>
  <c r="V1437" i="2" s="1"/>
  <c r="W1437" i="2" s="1"/>
  <c r="P982" i="2" a="1"/>
  <c r="P982" i="2" s="1"/>
  <c r="R982" i="2" s="1"/>
  <c r="V982" i="2" s="1"/>
  <c r="W982" i="2" s="1"/>
  <c r="P1512" i="2" a="1"/>
  <c r="P1512" i="2" s="1"/>
  <c r="R1512" i="2" s="1"/>
  <c r="V1512" i="2" s="1"/>
  <c r="W1512" i="2" s="1"/>
  <c r="Q685" i="2" a="1"/>
  <c r="Q685" i="2" s="1"/>
  <c r="P801" i="2" a="1"/>
  <c r="P801" i="2" s="1"/>
  <c r="R801" i="2" s="1"/>
  <c r="V801" i="2" s="1"/>
  <c r="W801" i="2" s="1"/>
  <c r="P383" i="2" a="1"/>
  <c r="P383" i="2" s="1"/>
  <c r="R383" i="2" s="1"/>
  <c r="V383" i="2" s="1"/>
  <c r="W383" i="2" s="1"/>
  <c r="P834" i="2" a="1"/>
  <c r="P834" i="2" s="1"/>
  <c r="R834" i="2" s="1"/>
  <c r="V834" i="2" s="1"/>
  <c r="W834" i="2" s="1"/>
  <c r="P1687" i="2" a="1"/>
  <c r="P1687" i="2" s="1"/>
  <c r="R1687" i="2" s="1"/>
  <c r="V1687" i="2" s="1"/>
  <c r="W1687" i="2" s="1"/>
  <c r="P1127" i="2" a="1"/>
  <c r="P1127" i="2" s="1"/>
  <c r="R1127" i="2" s="1"/>
  <c r="V1127" i="2" s="1"/>
  <c r="W1127" i="2" s="1"/>
  <c r="P5" i="2" a="1"/>
  <c r="P5" i="2" s="1"/>
  <c r="R5" i="2" s="1"/>
  <c r="V5" i="2" s="1"/>
  <c r="W5" i="2" s="1"/>
  <c r="P992" i="2" a="1"/>
  <c r="P992" i="2" s="1"/>
  <c r="R992" i="2" s="1"/>
  <c r="V992" i="2" s="1"/>
  <c r="W992" i="2" s="1"/>
  <c r="P278" i="2" a="1"/>
  <c r="P278" i="2" s="1"/>
  <c r="R278" i="2" s="1"/>
  <c r="V278" i="2" s="1"/>
  <c r="W278" i="2" s="1"/>
  <c r="P403" i="2" a="1"/>
  <c r="P403" i="2" s="1"/>
  <c r="R403" i="2" s="1"/>
  <c r="V403" i="2" s="1"/>
  <c r="W403" i="2" s="1"/>
  <c r="P827" i="2" a="1"/>
  <c r="P827" i="2" s="1"/>
  <c r="R827" i="2" s="1"/>
  <c r="V827" i="2" s="1"/>
  <c r="W827" i="2" s="1"/>
  <c r="P1593" i="2" a="1"/>
  <c r="P1593" i="2" s="1"/>
  <c r="R1593" i="2" s="1"/>
  <c r="V1593" i="2" s="1"/>
  <c r="W1593" i="2" s="1"/>
  <c r="P1022" i="2" a="1"/>
  <c r="P1022" i="2" s="1"/>
  <c r="R1022" i="2" s="1"/>
  <c r="V1022" i="2" s="1"/>
  <c r="W1022" i="2" s="1"/>
  <c r="P1564" i="2" a="1"/>
  <c r="P1564" i="2" s="1"/>
  <c r="R1564" i="2" s="1"/>
  <c r="V1564" i="2" s="1"/>
  <c r="W1564" i="2" s="1"/>
  <c r="P166" i="2" a="1"/>
  <c r="P166" i="2" s="1"/>
  <c r="R166" i="2" s="1"/>
  <c r="V166" i="2" s="1"/>
  <c r="W166" i="2" s="1"/>
  <c r="P429" i="2" a="1"/>
  <c r="P429" i="2" s="1"/>
  <c r="R429" i="2" s="1"/>
  <c r="V429" i="2" s="1"/>
  <c r="W429" i="2" s="1"/>
  <c r="P771" i="2" a="1"/>
  <c r="P771" i="2" s="1"/>
  <c r="R771" i="2" s="1"/>
  <c r="V771" i="2" s="1"/>
  <c r="W771" i="2" s="1"/>
  <c r="P423" i="2" a="1"/>
  <c r="P423" i="2" s="1"/>
  <c r="R423" i="2" s="1"/>
  <c r="V423" i="2" s="1"/>
  <c r="W423" i="2" s="1"/>
  <c r="P222" i="2" a="1"/>
  <c r="P222" i="2" s="1"/>
  <c r="R222" i="2" s="1"/>
  <c r="V222" i="2" s="1"/>
  <c r="W222" i="2" s="1"/>
  <c r="P870" i="2" a="1"/>
  <c r="P870" i="2" s="1"/>
  <c r="R870" i="2" s="1"/>
  <c r="V870" i="2" s="1"/>
  <c r="W870" i="2" s="1"/>
  <c r="P1139" i="2" a="1"/>
  <c r="P1139" i="2" s="1"/>
  <c r="R1139" i="2" s="1"/>
  <c r="V1139" i="2" s="1"/>
  <c r="W1139" i="2" s="1"/>
  <c r="P317" i="2" a="1"/>
  <c r="P317" i="2" s="1"/>
  <c r="R317" i="2" s="1"/>
  <c r="V317" i="2" s="1"/>
  <c r="W317" i="2" s="1"/>
  <c r="P638" i="2" a="1"/>
  <c r="P638" i="2" s="1"/>
  <c r="R638" i="2" s="1"/>
  <c r="V638" i="2" s="1"/>
  <c r="W638" i="2" s="1"/>
  <c r="P147" i="2" a="1"/>
  <c r="P147" i="2" s="1"/>
  <c r="R147" i="2" s="1"/>
  <c r="V147" i="2" s="1"/>
  <c r="W147" i="2" s="1"/>
  <c r="P894" i="2" a="1"/>
  <c r="P894" i="2" s="1"/>
  <c r="R894" i="2" s="1"/>
  <c r="V894" i="2" s="1"/>
  <c r="W894" i="2" s="1"/>
  <c r="P872" i="2" a="1"/>
  <c r="P872" i="2" s="1"/>
  <c r="R872" i="2" s="1"/>
  <c r="V872" i="2" s="1"/>
  <c r="W872" i="2" s="1"/>
  <c r="P948" i="2" a="1"/>
  <c r="P948" i="2" s="1"/>
  <c r="R948" i="2" s="1"/>
  <c r="V948" i="2" s="1"/>
  <c r="W948" i="2" s="1"/>
  <c r="P369" i="2" a="1"/>
  <c r="P369" i="2" s="1"/>
  <c r="R369" i="2" s="1"/>
  <c r="V369" i="2" s="1"/>
  <c r="W369" i="2" s="1"/>
  <c r="P1358" i="2" a="1"/>
  <c r="P1358" i="2" s="1"/>
  <c r="R1358" i="2" s="1"/>
  <c r="V1358" i="2" s="1"/>
  <c r="W1358" i="2" s="1"/>
  <c r="P143" i="2" a="1"/>
  <c r="P143" i="2" s="1"/>
  <c r="R143" i="2" s="1"/>
  <c r="V143" i="2" s="1"/>
  <c r="W143" i="2" s="1"/>
  <c r="P486" i="2" a="1"/>
  <c r="P486" i="2" s="1"/>
  <c r="R486" i="2" s="1"/>
  <c r="V486" i="2" s="1"/>
  <c r="W486" i="2" s="1"/>
  <c r="P386" i="2" a="1"/>
  <c r="P386" i="2" s="1"/>
  <c r="R386" i="2" s="1"/>
  <c r="V386" i="2" s="1"/>
  <c r="W386" i="2" s="1"/>
  <c r="P1355" i="2" a="1"/>
  <c r="P1355" i="2" s="1"/>
  <c r="R1355" i="2" s="1"/>
  <c r="V1355" i="2" s="1"/>
  <c r="W1355" i="2" s="1"/>
  <c r="P1738" i="2" a="1"/>
  <c r="P1738" i="2" s="1"/>
  <c r="R1738" i="2" s="1"/>
  <c r="V1738" i="2" s="1"/>
  <c r="W1738" i="2" s="1"/>
  <c r="P1111" i="2" a="1"/>
  <c r="P1111" i="2" s="1"/>
  <c r="R1111" i="2" s="1"/>
  <c r="V1111" i="2" s="1"/>
  <c r="W1111" i="2" s="1"/>
  <c r="P164" i="2" a="1"/>
  <c r="P164" i="2" s="1"/>
  <c r="R164" i="2" s="1"/>
  <c r="V164" i="2" s="1"/>
  <c r="W164" i="2" s="1"/>
  <c r="P1267" i="2" a="1"/>
  <c r="P1267" i="2" s="1"/>
  <c r="R1267" i="2" s="1"/>
  <c r="V1267" i="2" s="1"/>
  <c r="W1267" i="2" s="1"/>
  <c r="P1369" i="2" a="1"/>
  <c r="P1369" i="2" s="1"/>
  <c r="R1369" i="2" s="1"/>
  <c r="V1369" i="2" s="1"/>
  <c r="W1369" i="2" s="1"/>
  <c r="P2028" i="2" a="1"/>
  <c r="P2028" i="2" s="1"/>
  <c r="R2028" i="2" s="1"/>
  <c r="V2028" i="2" s="1"/>
  <c r="W2028" i="2" s="1"/>
  <c r="P1416" i="2" a="1"/>
  <c r="P1416" i="2" s="1"/>
  <c r="R1416" i="2" s="1"/>
  <c r="V1416" i="2" s="1"/>
  <c r="W1416" i="2" s="1"/>
  <c r="P54" i="2" a="1"/>
  <c r="P54" i="2" s="1"/>
  <c r="R54" i="2" s="1"/>
  <c r="V54" i="2" s="1"/>
  <c r="W54" i="2" s="1"/>
  <c r="P40" i="2" a="1"/>
  <c r="P40" i="2" s="1"/>
  <c r="R40" i="2" s="1"/>
  <c r="V40" i="2" s="1"/>
  <c r="W40" i="2" s="1"/>
  <c r="P245" i="2" a="1"/>
  <c r="P245" i="2" s="1"/>
  <c r="R245" i="2" s="1"/>
  <c r="V245" i="2" s="1"/>
  <c r="W245" i="2" s="1"/>
  <c r="P1420" i="2" a="1"/>
  <c r="P1420" i="2" s="1"/>
  <c r="R1420" i="2" s="1"/>
  <c r="V1420" i="2" s="1"/>
  <c r="W1420" i="2" s="1"/>
  <c r="P785" i="2" a="1"/>
  <c r="P785" i="2" s="1"/>
  <c r="R785" i="2" s="1"/>
  <c r="V785" i="2" s="1"/>
  <c r="W785" i="2" s="1"/>
  <c r="P83" i="2" a="1"/>
  <c r="P83" i="2" s="1"/>
  <c r="R83" i="2" s="1"/>
  <c r="V83" i="2" s="1"/>
  <c r="W83" i="2" s="1"/>
  <c r="P277" i="2" a="1"/>
  <c r="P277" i="2" s="1"/>
  <c r="R277" i="2" s="1"/>
  <c r="V277" i="2" s="1"/>
  <c r="W277" i="2" s="1"/>
  <c r="P1306" i="2" a="1"/>
  <c r="P1306" i="2" s="1"/>
  <c r="R1306" i="2" s="1"/>
  <c r="V1306" i="2" s="1"/>
  <c r="W1306" i="2" s="1"/>
  <c r="P284" i="2" a="1"/>
  <c r="P284" i="2" s="1"/>
  <c r="R284" i="2" s="1"/>
  <c r="V284" i="2" s="1"/>
  <c r="W284" i="2" s="1"/>
  <c r="P485" i="2" a="1"/>
  <c r="P485" i="2" s="1"/>
  <c r="R485" i="2" s="1"/>
  <c r="V485" i="2" s="1"/>
  <c r="W485" i="2" s="1"/>
  <c r="P867" i="2" a="1"/>
  <c r="P867" i="2" s="1"/>
  <c r="R867" i="2" s="1"/>
  <c r="V867" i="2" s="1"/>
  <c r="W867" i="2" s="1"/>
  <c r="P1206" i="2" a="1"/>
  <c r="P1206" i="2" s="1"/>
  <c r="R1206" i="2" s="1"/>
  <c r="V1206" i="2" s="1"/>
  <c r="W1206" i="2" s="1"/>
  <c r="P351" i="2" a="1"/>
  <c r="P351" i="2" s="1"/>
  <c r="R351" i="2" s="1"/>
  <c r="V351" i="2" s="1"/>
  <c r="W351" i="2" s="1"/>
  <c r="P1190" i="2" a="1"/>
  <c r="P1190" i="2" s="1"/>
  <c r="R1190" i="2" s="1"/>
  <c r="V1190" i="2" s="1"/>
  <c r="W1190" i="2" s="1"/>
  <c r="P1241" i="2" a="1"/>
  <c r="P1241" i="2" s="1"/>
  <c r="R1241" i="2" s="1"/>
  <c r="V1241" i="2" s="1"/>
  <c r="W1241" i="2" s="1"/>
  <c r="P1328" i="2" a="1"/>
  <c r="P1328" i="2" s="1"/>
  <c r="R1328" i="2" s="1"/>
  <c r="V1328" i="2" s="1"/>
  <c r="W1328" i="2" s="1"/>
  <c r="P1071" i="2" a="1"/>
  <c r="P1071" i="2" s="1"/>
  <c r="R1071" i="2" s="1"/>
  <c r="V1071" i="2" s="1"/>
  <c r="W1071" i="2" s="1"/>
  <c r="P2048" i="2" a="1"/>
  <c r="P2048" i="2" s="1"/>
  <c r="R2048" i="2" s="1"/>
  <c r="V2048" i="2" s="1"/>
  <c r="W2048" i="2" s="1"/>
  <c r="P860" i="2" a="1"/>
  <c r="P860" i="2" s="1"/>
  <c r="R860" i="2" s="1"/>
  <c r="V860" i="2" s="1"/>
  <c r="W860" i="2" s="1"/>
  <c r="P1643" i="2" a="1"/>
  <c r="P1643" i="2" s="1"/>
  <c r="R1643" i="2" s="1"/>
  <c r="V1643" i="2" s="1"/>
  <c r="W1643" i="2" s="1"/>
  <c r="P1073" i="2" a="1"/>
  <c r="P1073" i="2" s="1"/>
  <c r="R1073" i="2" s="1"/>
  <c r="V1073" i="2" s="1"/>
  <c r="W1073" i="2" s="1"/>
  <c r="P165" i="2" a="1"/>
  <c r="P165" i="2" s="1"/>
  <c r="R165" i="2" s="1"/>
  <c r="V165" i="2" s="1"/>
  <c r="W165" i="2" s="1"/>
  <c r="P1255" i="2" a="1"/>
  <c r="P1255" i="2" s="1"/>
  <c r="R1255" i="2" s="1"/>
  <c r="V1255" i="2" s="1"/>
  <c r="W1255" i="2" s="1"/>
  <c r="P1449" i="2" a="1"/>
  <c r="P1449" i="2" s="1"/>
  <c r="R1449" i="2" s="1"/>
  <c r="V1449" i="2" s="1"/>
  <c r="W1449" i="2" s="1"/>
  <c r="P778" i="2" a="1"/>
  <c r="P778" i="2" s="1"/>
  <c r="R778" i="2" s="1"/>
  <c r="V778" i="2" s="1"/>
  <c r="W778" i="2" s="1"/>
  <c r="P1456" i="2" a="1"/>
  <c r="P1456" i="2" s="1"/>
  <c r="R1456" i="2" s="1"/>
  <c r="V1456" i="2" s="1"/>
  <c r="W1456" i="2" s="1"/>
  <c r="P258" i="2" a="1"/>
  <c r="P258" i="2" s="1"/>
  <c r="R258" i="2" s="1"/>
  <c r="V258" i="2" s="1"/>
  <c r="W258" i="2" s="1"/>
  <c r="P871" i="2" a="1"/>
  <c r="P871" i="2" s="1"/>
  <c r="R871" i="2" s="1"/>
  <c r="V871" i="2" s="1"/>
  <c r="W871" i="2" s="1"/>
  <c r="P1572" i="2" a="1"/>
  <c r="P1572" i="2" s="1"/>
  <c r="R1572" i="2" s="1"/>
  <c r="V1572" i="2" s="1"/>
  <c r="W1572" i="2" s="1"/>
  <c r="P335" i="2" a="1"/>
  <c r="P335" i="2" s="1"/>
  <c r="R335" i="2" s="1"/>
  <c r="V335" i="2" s="1"/>
  <c r="W335" i="2" s="1"/>
  <c r="P1440" i="2" a="1"/>
  <c r="P1440" i="2" s="1"/>
  <c r="R1440" i="2" s="1"/>
  <c r="V1440" i="2" s="1"/>
  <c r="W1440" i="2" s="1"/>
  <c r="P1704" i="2" a="1"/>
  <c r="P1704" i="2" s="1"/>
  <c r="R1704" i="2" s="1"/>
  <c r="V1704" i="2" s="1"/>
  <c r="W1704" i="2" s="1"/>
  <c r="P790" i="2" a="1"/>
  <c r="P790" i="2" s="1"/>
  <c r="R790" i="2" s="1"/>
  <c r="V790" i="2" s="1"/>
  <c r="W790" i="2" s="1"/>
  <c r="P1010" i="2" a="1"/>
  <c r="P1010" i="2" s="1"/>
  <c r="R1010" i="2" s="1"/>
  <c r="V1010" i="2" s="1"/>
  <c r="W1010" i="2" s="1"/>
  <c r="P994" i="2" a="1"/>
  <c r="P994" i="2" s="1"/>
  <c r="R994" i="2" s="1"/>
  <c r="V994" i="2" s="1"/>
  <c r="W994" i="2" s="1"/>
  <c r="P1266" i="2" a="1"/>
  <c r="P1266" i="2" s="1"/>
  <c r="R1266" i="2" s="1"/>
  <c r="V1266" i="2" s="1"/>
  <c r="W1266" i="2" s="1"/>
  <c r="P431" i="2" a="1"/>
  <c r="P431" i="2" s="1"/>
  <c r="R431" i="2" s="1"/>
  <c r="V431" i="2" s="1"/>
  <c r="W431" i="2" s="1"/>
  <c r="P1671" i="2" a="1"/>
  <c r="P1671" i="2" s="1"/>
  <c r="R1671" i="2" s="1"/>
  <c r="V1671" i="2" s="1"/>
  <c r="W1671" i="2" s="1"/>
  <c r="P1220" i="2" a="1"/>
  <c r="P1220" i="2" s="1"/>
  <c r="R1220" i="2" s="1"/>
  <c r="V1220" i="2" s="1"/>
  <c r="W1220" i="2" s="1"/>
  <c r="P156" i="2" a="1"/>
  <c r="P156" i="2" s="1"/>
  <c r="R156" i="2" s="1"/>
  <c r="V156" i="2" s="1"/>
  <c r="W156" i="2" s="1"/>
  <c r="P1626" i="2" a="1"/>
  <c r="P1626" i="2" s="1"/>
  <c r="R1626" i="2" s="1"/>
  <c r="V1626" i="2" s="1"/>
  <c r="W1626" i="2" s="1"/>
  <c r="P1033" i="2" a="1"/>
  <c r="P1033" i="2" s="1"/>
  <c r="R1033" i="2" s="1"/>
  <c r="V1033" i="2" s="1"/>
  <c r="W1033" i="2" s="1"/>
  <c r="P1441" i="2" a="1"/>
  <c r="P1441" i="2" s="1"/>
  <c r="R1441" i="2" s="1"/>
  <c r="V1441" i="2" s="1"/>
  <c r="W1441" i="2" s="1"/>
  <c r="P1462" i="2" a="1"/>
  <c r="P1462" i="2" s="1"/>
  <c r="R1462" i="2" s="1"/>
  <c r="V1462" i="2" s="1"/>
  <c r="W1462" i="2" s="1"/>
  <c r="Q684" i="2" a="1"/>
  <c r="Q684" i="2" s="1"/>
  <c r="P882" i="2" a="1"/>
  <c r="P882" i="2" s="1"/>
  <c r="R882" i="2" s="1"/>
  <c r="V882" i="2" s="1"/>
  <c r="W882" i="2" s="1"/>
  <c r="P1210" i="2" a="1"/>
  <c r="P1210" i="2" s="1"/>
  <c r="R1210" i="2" s="1"/>
  <c r="V1210" i="2" s="1"/>
  <c r="W1210" i="2" s="1"/>
  <c r="P325" i="2" a="1"/>
  <c r="P325" i="2" s="1"/>
  <c r="R325" i="2" s="1"/>
  <c r="V325" i="2" s="1"/>
  <c r="W325" i="2" s="1"/>
  <c r="P974" i="2" a="1"/>
  <c r="P974" i="2" s="1"/>
  <c r="R974" i="2" s="1"/>
  <c r="V974" i="2" s="1"/>
  <c r="W974" i="2" s="1"/>
  <c r="P837" i="2" a="1"/>
  <c r="P837" i="2" s="1"/>
  <c r="R837" i="2" s="1"/>
  <c r="V837" i="2" s="1"/>
  <c r="W837" i="2" s="1"/>
  <c r="P1078" i="2" a="1"/>
  <c r="P1078" i="2" s="1"/>
  <c r="R1078" i="2" s="1"/>
  <c r="V1078" i="2" s="1"/>
  <c r="W1078" i="2" s="1"/>
  <c r="P359" i="2" a="1"/>
  <c r="P359" i="2" s="1"/>
  <c r="R359" i="2" s="1"/>
  <c r="V359" i="2" s="1"/>
  <c r="W359" i="2" s="1"/>
  <c r="P1549" i="2" a="1"/>
  <c r="P1549" i="2" s="1"/>
  <c r="R1549" i="2" s="1"/>
  <c r="V1549" i="2" s="1"/>
  <c r="W1549" i="2" s="1"/>
  <c r="P120" i="2" a="1"/>
  <c r="P120" i="2" s="1"/>
  <c r="R120" i="2" s="1"/>
  <c r="V120" i="2" s="1"/>
  <c r="W120" i="2" s="1"/>
  <c r="P1349" i="2" a="1"/>
  <c r="P1349" i="2" s="1"/>
  <c r="R1349" i="2" s="1"/>
  <c r="V1349" i="2" s="1"/>
  <c r="W1349" i="2" s="1"/>
  <c r="P478" i="2" a="1"/>
  <c r="P478" i="2" s="1"/>
  <c r="R478" i="2" s="1"/>
  <c r="V478" i="2" s="1"/>
  <c r="W478" i="2" s="1"/>
  <c r="P421" i="2" a="1"/>
  <c r="P421" i="2" s="1"/>
  <c r="R421" i="2" s="1"/>
  <c r="V421" i="2" s="1"/>
  <c r="W421" i="2" s="1"/>
  <c r="P1418" i="2" a="1"/>
  <c r="P1418" i="2" s="1"/>
  <c r="R1418" i="2" s="1"/>
  <c r="V1418" i="2" s="1"/>
  <c r="W1418" i="2" s="1"/>
  <c r="P1744" i="2" a="1"/>
  <c r="P1744" i="2" s="1"/>
  <c r="R1744" i="2" s="1"/>
  <c r="V1744" i="2" s="1"/>
  <c r="W1744" i="2" s="1"/>
  <c r="P298" i="2" a="1"/>
  <c r="P298" i="2" s="1"/>
  <c r="R298" i="2" s="1"/>
  <c r="V298" i="2" s="1"/>
  <c r="W298" i="2" s="1"/>
  <c r="P515" i="2" a="1"/>
  <c r="P515" i="2" s="1"/>
  <c r="R515" i="2" s="1"/>
  <c r="V515" i="2" s="1"/>
  <c r="W515" i="2" s="1"/>
  <c r="P7" i="2" a="1"/>
  <c r="P7" i="2" s="1"/>
  <c r="R7" i="2" s="1"/>
  <c r="V7" i="2" s="1"/>
  <c r="W7" i="2" s="1"/>
  <c r="P917" i="2" a="1"/>
  <c r="P917" i="2" s="1"/>
  <c r="R917" i="2" s="1"/>
  <c r="V917" i="2" s="1"/>
  <c r="W917" i="2" s="1"/>
  <c r="P1093" i="2" a="1"/>
  <c r="P1093" i="2" s="1"/>
  <c r="R1093" i="2" s="1"/>
  <c r="V1093" i="2" s="1"/>
  <c r="W1093" i="2" s="1"/>
  <c r="P1582" i="2" a="1"/>
  <c r="P1582" i="2" s="1"/>
  <c r="R1582" i="2" s="1"/>
  <c r="V1582" i="2" s="1"/>
  <c r="W1582" i="2" s="1"/>
  <c r="P1392" i="2" a="1"/>
  <c r="P1392" i="2" s="1"/>
  <c r="R1392" i="2" s="1"/>
  <c r="V1392" i="2" s="1"/>
  <c r="W1392" i="2" s="1"/>
  <c r="P26" i="2" a="1"/>
  <c r="P26" i="2" s="1"/>
  <c r="R26" i="2" s="1"/>
  <c r="V26" i="2" s="1"/>
  <c r="W26" i="2" s="1"/>
  <c r="P1128" i="2" a="1"/>
  <c r="P1128" i="2" s="1"/>
  <c r="R1128" i="2" s="1"/>
  <c r="V1128" i="2" s="1"/>
  <c r="W1128" i="2" s="1"/>
  <c r="P890" i="2" a="1"/>
  <c r="P890" i="2" s="1"/>
  <c r="R890" i="2" s="1"/>
  <c r="V890" i="2" s="1"/>
  <c r="W890" i="2" s="1"/>
  <c r="P931" i="2" a="1"/>
  <c r="P931" i="2" s="1"/>
  <c r="R931" i="2" s="1"/>
  <c r="V931" i="2" s="1"/>
  <c r="W931" i="2" s="1"/>
  <c r="P41" i="2" a="1"/>
  <c r="P41" i="2" s="1"/>
  <c r="R41" i="2" s="1"/>
  <c r="V41" i="2" s="1"/>
  <c r="W41" i="2" s="1"/>
  <c r="P336" i="2" a="1"/>
  <c r="P336" i="2" s="1"/>
  <c r="R336" i="2" s="1"/>
  <c r="V336" i="2" s="1"/>
  <c r="W336" i="2" s="1"/>
  <c r="P1360" i="2" a="1"/>
  <c r="P1360" i="2" s="1"/>
  <c r="R1360" i="2" s="1"/>
  <c r="V1360" i="2" s="1"/>
  <c r="W1360" i="2" s="1"/>
  <c r="P963" i="2" a="1"/>
  <c r="P963" i="2" s="1"/>
  <c r="R963" i="2" s="1"/>
  <c r="V963" i="2" s="1"/>
  <c r="W963" i="2" s="1"/>
  <c r="P1649" i="2" a="1"/>
  <c r="P1649" i="2" s="1"/>
  <c r="R1649" i="2" s="1"/>
  <c r="V1649" i="2" s="1"/>
  <c r="W1649" i="2" s="1"/>
  <c r="P824" i="2" a="1"/>
  <c r="P824" i="2" s="1"/>
  <c r="R824" i="2" s="1"/>
  <c r="V824" i="2" s="1"/>
  <c r="W824" i="2" s="1"/>
  <c r="P2018" i="2" a="1"/>
  <c r="P2018" i="2" s="1"/>
  <c r="R2018" i="2" s="1"/>
  <c r="V2018" i="2" s="1"/>
  <c r="W2018" i="2" s="1"/>
  <c r="P191" i="2" a="1"/>
  <c r="P191" i="2" s="1"/>
  <c r="R191" i="2" s="1"/>
  <c r="V191" i="2" s="1"/>
  <c r="W191" i="2" s="1"/>
  <c r="P1500" i="2" a="1"/>
  <c r="P1500" i="2" s="1"/>
  <c r="R1500" i="2" s="1"/>
  <c r="V1500" i="2" s="1"/>
  <c r="W1500" i="2" s="1"/>
  <c r="P2065" i="2" a="1"/>
  <c r="P2065" i="2" s="1"/>
  <c r="R2065" i="2" s="1"/>
  <c r="V2065" i="2" s="1"/>
  <c r="W2065" i="2" s="1"/>
  <c r="P1261" i="2" a="1"/>
  <c r="P1261" i="2" s="1"/>
  <c r="R1261" i="2" s="1"/>
  <c r="V1261" i="2" s="1"/>
  <c r="W1261" i="2" s="1"/>
  <c r="P769" i="2" a="1"/>
  <c r="P769" i="2" s="1"/>
  <c r="R769" i="2" s="1"/>
  <c r="V769" i="2" s="1"/>
  <c r="W769" i="2" s="1"/>
  <c r="P1648" i="2" a="1"/>
  <c r="P1648" i="2" s="1"/>
  <c r="R1648" i="2" s="1"/>
  <c r="V1648" i="2" s="1"/>
  <c r="W1648" i="2" s="1"/>
  <c r="P1650" i="2" a="1"/>
  <c r="P1650" i="2" s="1"/>
  <c r="R1650" i="2" s="1"/>
  <c r="V1650" i="2" s="1"/>
  <c r="W1650" i="2" s="1"/>
  <c r="P521" i="2" a="1"/>
  <c r="P521" i="2" s="1"/>
  <c r="R521" i="2" s="1"/>
  <c r="V521" i="2" s="1"/>
  <c r="W521" i="2" s="1"/>
  <c r="P216" i="2" a="1"/>
  <c r="P216" i="2" s="1"/>
  <c r="R216" i="2" s="1"/>
  <c r="V216" i="2" s="1"/>
  <c r="W216" i="2" s="1"/>
  <c r="P2027" i="2" a="1"/>
  <c r="P2027" i="2" s="1"/>
  <c r="R2027" i="2" s="1"/>
  <c r="V2027" i="2" s="1"/>
  <c r="W2027" i="2" s="1"/>
  <c r="P1169" i="2" a="1"/>
  <c r="P1169" i="2" s="1"/>
  <c r="R1169" i="2" s="1"/>
  <c r="V1169" i="2" s="1"/>
  <c r="W1169" i="2" s="1"/>
  <c r="P266" i="2" a="1"/>
  <c r="P266" i="2" s="1"/>
  <c r="R266" i="2" s="1"/>
  <c r="V266" i="2" s="1"/>
  <c r="W266" i="2" s="1"/>
  <c r="P1586" i="2" a="1"/>
  <c r="P1586" i="2" s="1"/>
  <c r="R1586" i="2" s="1"/>
  <c r="V1586" i="2" s="1"/>
  <c r="W1586" i="2" s="1"/>
  <c r="P395" i="2" a="1"/>
  <c r="P395" i="2" s="1"/>
  <c r="R395" i="2" s="1"/>
  <c r="V395" i="2" s="1"/>
  <c r="W395" i="2" s="1"/>
  <c r="P1164" i="2" a="1"/>
  <c r="P1164" i="2" s="1"/>
  <c r="R1164" i="2" s="1"/>
  <c r="V1164" i="2" s="1"/>
  <c r="W1164" i="2" s="1"/>
  <c r="P1051" i="2" a="1"/>
  <c r="P1051" i="2" s="1"/>
  <c r="R1051" i="2" s="1"/>
  <c r="V1051" i="2" s="1"/>
  <c r="W1051" i="2" s="1"/>
  <c r="P58" i="2" a="1"/>
  <c r="P58" i="2" s="1"/>
  <c r="R58" i="2" s="1"/>
  <c r="V58" i="2" s="1"/>
  <c r="W58" i="2" s="1"/>
  <c r="P31" i="2" a="1"/>
  <c r="P31" i="2" s="1"/>
  <c r="R31" i="2" s="1"/>
  <c r="V31" i="2" s="1"/>
  <c r="W31" i="2" s="1"/>
  <c r="P1195" i="2" a="1"/>
  <c r="P1195" i="2" s="1"/>
  <c r="R1195" i="2" s="1"/>
  <c r="V1195" i="2" s="1"/>
  <c r="W1195" i="2" s="1"/>
  <c r="P1076" i="2" a="1"/>
  <c r="P1076" i="2" s="1"/>
  <c r="R1076" i="2" s="1"/>
  <c r="V1076" i="2" s="1"/>
  <c r="W1076" i="2" s="1"/>
  <c r="P1490" i="2" a="1"/>
  <c r="P1490" i="2" s="1"/>
  <c r="R1490" i="2" s="1"/>
  <c r="V1490" i="2" s="1"/>
  <c r="W1490" i="2" s="1"/>
  <c r="P1464" i="2" a="1"/>
  <c r="P1464" i="2" s="1"/>
  <c r="R1464" i="2" s="1"/>
  <c r="V1464" i="2" s="1"/>
  <c r="W1464" i="2" s="1"/>
  <c r="P1681" i="2" a="1"/>
  <c r="P1681" i="2" s="1"/>
  <c r="R1681" i="2" s="1"/>
  <c r="V1681" i="2" s="1"/>
  <c r="W1681" i="2" s="1"/>
  <c r="P1108" i="2" a="1"/>
  <c r="P1108" i="2" s="1"/>
  <c r="R1108" i="2" s="1"/>
  <c r="V1108" i="2" s="1"/>
  <c r="W1108" i="2" s="1"/>
  <c r="P2034" i="2" a="1"/>
  <c r="P2034" i="2" s="1"/>
  <c r="R2034" i="2" s="1"/>
  <c r="V2034" i="2" s="1"/>
  <c r="W2034" i="2" s="1"/>
  <c r="P1700" i="2" a="1"/>
  <c r="P1700" i="2" s="1"/>
  <c r="R1700" i="2" s="1"/>
  <c r="V1700" i="2" s="1"/>
  <c r="W1700" i="2" s="1"/>
  <c r="P149" i="2" a="1"/>
  <c r="P149" i="2" s="1"/>
  <c r="R149" i="2" s="1"/>
  <c r="V149" i="2" s="1"/>
  <c r="W149" i="2" s="1"/>
  <c r="P1633" i="2" a="1"/>
  <c r="P1633" i="2" s="1"/>
  <c r="R1633" i="2" s="1"/>
  <c r="V1633" i="2" s="1"/>
  <c r="W1633" i="2" s="1"/>
  <c r="P1436" i="2" a="1"/>
  <c r="P1436" i="2" s="1"/>
  <c r="R1436" i="2" s="1"/>
  <c r="V1436" i="2" s="1"/>
  <c r="W1436" i="2" s="1"/>
  <c r="P290" i="2" a="1"/>
  <c r="P290" i="2" s="1"/>
  <c r="R290" i="2" s="1"/>
  <c r="V290" i="2" s="1"/>
  <c r="W290" i="2" s="1"/>
  <c r="P1205" i="2" a="1"/>
  <c r="P1205" i="2" s="1"/>
  <c r="R1205" i="2" s="1"/>
  <c r="V1205" i="2" s="1"/>
  <c r="W1205" i="2" s="1"/>
  <c r="P1550" i="2" a="1"/>
  <c r="P1550" i="2" s="1"/>
  <c r="R1550" i="2" s="1"/>
  <c r="V1550" i="2" s="1"/>
  <c r="W1550" i="2" s="1"/>
  <c r="P36" i="2" a="1"/>
  <c r="P36" i="2" s="1"/>
  <c r="R36" i="2" s="1"/>
  <c r="V36" i="2" s="1"/>
  <c r="W36" i="2" s="1"/>
  <c r="P339" i="2" a="1"/>
  <c r="P339" i="2" s="1"/>
  <c r="R339" i="2" s="1"/>
  <c r="V339" i="2" s="1"/>
  <c r="W339" i="2" s="1"/>
  <c r="P94" i="2" a="1"/>
  <c r="P94" i="2" s="1"/>
  <c r="R94" i="2" s="1"/>
  <c r="V94" i="2" s="1"/>
  <c r="W94" i="2" s="1"/>
  <c r="P831" i="2" a="1"/>
  <c r="P831" i="2" s="1"/>
  <c r="R831" i="2" s="1"/>
  <c r="V831" i="2" s="1"/>
  <c r="W831" i="2" s="1"/>
  <c r="P1233" i="2" a="1"/>
  <c r="P1233" i="2" s="1"/>
  <c r="R1233" i="2" s="1"/>
  <c r="V1233" i="2" s="1"/>
  <c r="W1233" i="2" s="1"/>
  <c r="P157" i="2" a="1"/>
  <c r="P157" i="2" s="1"/>
  <c r="R157" i="2" s="1"/>
  <c r="V157" i="2" s="1"/>
  <c r="W157" i="2" s="1"/>
  <c r="P477" i="2" a="1"/>
  <c r="P477" i="2" s="1"/>
  <c r="R477" i="2" s="1"/>
  <c r="V477" i="2" s="1"/>
  <c r="W477" i="2" s="1"/>
  <c r="P2043" i="2" a="1"/>
  <c r="P2043" i="2" s="1"/>
  <c r="R2043" i="2" s="1"/>
  <c r="V2043" i="2" s="1"/>
  <c r="W2043" i="2" s="1"/>
  <c r="P1031" i="2" a="1"/>
  <c r="P1031" i="2" s="1"/>
  <c r="R1031" i="2" s="1"/>
  <c r="V1031" i="2" s="1"/>
  <c r="W1031" i="2" s="1"/>
  <c r="P1487" i="2" a="1"/>
  <c r="P1487" i="2" s="1"/>
  <c r="R1487" i="2" s="1"/>
  <c r="V1487" i="2" s="1"/>
  <c r="W1487" i="2" s="1"/>
  <c r="P851" i="2" a="1"/>
  <c r="P851" i="2" s="1"/>
  <c r="R851" i="2" s="1"/>
  <c r="V851" i="2" s="1"/>
  <c r="W851" i="2" s="1"/>
  <c r="P1189" i="2" a="1"/>
  <c r="P1189" i="2" s="1"/>
  <c r="R1189" i="2" s="1"/>
  <c r="V1189" i="2" s="1"/>
  <c r="W1189" i="2" s="1"/>
  <c r="P764" i="2" a="1"/>
  <c r="P764" i="2" s="1"/>
  <c r="R764" i="2" s="1"/>
  <c r="V764" i="2" s="1"/>
  <c r="W764" i="2" s="1"/>
  <c r="P830" i="2" a="1"/>
  <c r="P830" i="2" s="1"/>
  <c r="R830" i="2" s="1"/>
  <c r="V830" i="2" s="1"/>
  <c r="W830" i="2" s="1"/>
  <c r="P1101" i="2" a="1"/>
  <c r="P1101" i="2" s="1"/>
  <c r="R1101" i="2" s="1"/>
  <c r="V1101" i="2" s="1"/>
  <c r="W1101" i="2" s="1"/>
  <c r="P1339" i="2" a="1"/>
  <c r="P1339" i="2" s="1"/>
  <c r="R1339" i="2" s="1"/>
  <c r="V1339" i="2" s="1"/>
  <c r="W1339" i="2" s="1"/>
  <c r="P424" i="2" a="1"/>
  <c r="P424" i="2" s="1"/>
  <c r="R424" i="2" s="1"/>
  <c r="V424" i="2" s="1"/>
  <c r="W424" i="2" s="1"/>
  <c r="P1254" i="2" a="1"/>
  <c r="P1254" i="2" s="1"/>
  <c r="R1254" i="2" s="1"/>
  <c r="V1254" i="2" s="1"/>
  <c r="W1254" i="2" s="1"/>
  <c r="P1652" i="2" a="1"/>
  <c r="P1652" i="2" s="1"/>
  <c r="R1652" i="2" s="1"/>
  <c r="V1652" i="2" s="1"/>
  <c r="W1652" i="2" s="1"/>
  <c r="P1100" i="2" a="1"/>
  <c r="P1100" i="2" s="1"/>
  <c r="R1100" i="2" s="1"/>
  <c r="V1100" i="2" s="1"/>
  <c r="W1100" i="2" s="1"/>
  <c r="P685" i="2" a="1"/>
  <c r="P685" i="2" s="1"/>
  <c r="R685" i="2" s="1"/>
  <c r="V685" i="2" s="1"/>
  <c r="W685" i="2" s="1"/>
  <c r="P1623" i="2" a="1"/>
  <c r="P1623" i="2" s="1"/>
  <c r="R1623" i="2" s="1"/>
  <c r="V1623" i="2" s="1"/>
  <c r="W1623" i="2" s="1"/>
  <c r="P46" i="2" a="1"/>
  <c r="P46" i="2" s="1"/>
  <c r="R46" i="2" s="1"/>
  <c r="V46" i="2" s="1"/>
  <c r="W46" i="2" s="1"/>
  <c r="P1362" i="2" a="1"/>
  <c r="P1362" i="2" s="1"/>
  <c r="R1362" i="2" s="1"/>
  <c r="V1362" i="2" s="1"/>
  <c r="W1362" i="2" s="1"/>
  <c r="P1039" i="2" a="1"/>
  <c r="P1039" i="2" s="1"/>
  <c r="R1039" i="2" s="1"/>
  <c r="V1039" i="2" s="1"/>
  <c r="W1039" i="2" s="1"/>
  <c r="P1569" i="2" a="1"/>
  <c r="P1569" i="2" s="1"/>
  <c r="R1569" i="2" s="1"/>
  <c r="V1569" i="2" s="1"/>
  <c r="W1569" i="2" s="1"/>
  <c r="P1536" i="2" a="1"/>
  <c r="P1536" i="2" s="1"/>
  <c r="R1536" i="2" s="1"/>
  <c r="V1536" i="2" s="1"/>
  <c r="W1536" i="2" s="1"/>
  <c r="P1156" i="2" a="1"/>
  <c r="P1156" i="2" s="1"/>
  <c r="R1156" i="2" s="1"/>
  <c r="V1156" i="2" s="1"/>
  <c r="W1156" i="2" s="1"/>
  <c r="P326" i="2" a="1"/>
  <c r="P326" i="2" s="1"/>
  <c r="R326" i="2" s="1"/>
  <c r="V326" i="2" s="1"/>
  <c r="W326" i="2" s="1"/>
  <c r="P155" i="2" a="1"/>
  <c r="P155" i="2" s="1"/>
  <c r="R155" i="2" s="1"/>
  <c r="V155" i="2" s="1"/>
  <c r="W155" i="2" s="1"/>
  <c r="P1350" i="2" a="1"/>
  <c r="P1350" i="2" s="1"/>
  <c r="R1350" i="2" s="1"/>
  <c r="V1350" i="2" s="1"/>
  <c r="W1350" i="2" s="1"/>
  <c r="P968" i="2" a="1"/>
  <c r="P968" i="2" s="1"/>
  <c r="R968" i="2" s="1"/>
  <c r="V968" i="2" s="1"/>
  <c r="W968" i="2" s="1"/>
  <c r="P760" i="2" a="1"/>
  <c r="P760" i="2" s="1"/>
  <c r="R760" i="2" s="1"/>
  <c r="V760" i="2" s="1"/>
  <c r="W760" i="2" s="1"/>
  <c r="P221" i="2" a="1"/>
  <c r="P221" i="2" s="1"/>
  <c r="R221" i="2" s="1"/>
  <c r="V221" i="2" s="1"/>
  <c r="W221" i="2" s="1"/>
  <c r="P476" i="2" a="1"/>
  <c r="P476" i="2" s="1"/>
  <c r="R476" i="2" s="1"/>
  <c r="V476" i="2" s="1"/>
  <c r="W476" i="2" s="1"/>
  <c r="P1018" i="2" a="1"/>
  <c r="P1018" i="2" s="1"/>
  <c r="R1018" i="2" s="1"/>
  <c r="V1018" i="2" s="1"/>
  <c r="W1018" i="2" s="1"/>
  <c r="P1340" i="2" a="1"/>
  <c r="P1340" i="2" s="1"/>
  <c r="R1340" i="2" s="1"/>
  <c r="V1340" i="2" s="1"/>
  <c r="W1340" i="2" s="1"/>
  <c r="P924" i="2" a="1"/>
  <c r="P924" i="2" s="1"/>
  <c r="R924" i="2" s="1"/>
  <c r="V924" i="2" s="1"/>
  <c r="W924" i="2" s="1"/>
  <c r="P865" i="2" a="1"/>
  <c r="P865" i="2" s="1"/>
  <c r="R865" i="2" s="1"/>
  <c r="V865" i="2" s="1"/>
  <c r="W865" i="2" s="1"/>
  <c r="P945" i="2" a="1"/>
  <c r="P945" i="2" s="1"/>
  <c r="R945" i="2" s="1"/>
  <c r="V945" i="2" s="1"/>
  <c r="W945" i="2" s="1"/>
  <c r="P239" i="2" a="1"/>
  <c r="P239" i="2" s="1"/>
  <c r="R239" i="2" s="1"/>
  <c r="V239" i="2" s="1"/>
  <c r="W239" i="2" s="1"/>
  <c r="P99" i="2" a="1"/>
  <c r="P99" i="2" s="1"/>
  <c r="R99" i="2" s="1"/>
  <c r="V99" i="2" s="1"/>
  <c r="W99" i="2" s="1"/>
  <c r="P781" i="2" a="1"/>
  <c r="P781" i="2" s="1"/>
  <c r="R781" i="2" s="1"/>
  <c r="V781" i="2" s="1"/>
  <c r="W781" i="2" s="1"/>
  <c r="P1103" i="2" a="1"/>
  <c r="P1103" i="2" s="1"/>
  <c r="R1103" i="2" s="1"/>
  <c r="V1103" i="2" s="1"/>
  <c r="W1103" i="2" s="1"/>
  <c r="P902" i="2" a="1"/>
  <c r="P902" i="2" s="1"/>
  <c r="R902" i="2" s="1"/>
  <c r="V902" i="2" s="1"/>
  <c r="W902" i="2" s="1"/>
  <c r="P329" i="2" a="1"/>
  <c r="P329" i="2" s="1"/>
  <c r="R329" i="2" s="1"/>
  <c r="V329" i="2" s="1"/>
  <c r="W329" i="2" s="1"/>
  <c r="P1115" i="2" a="1"/>
  <c r="P1115" i="2" s="1"/>
  <c r="R1115" i="2" s="1"/>
  <c r="V1115" i="2" s="1"/>
  <c r="W1115" i="2" s="1"/>
  <c r="P1435" i="2" a="1"/>
  <c r="P1435" i="2" s="1"/>
  <c r="R1435" i="2" s="1"/>
  <c r="V1435" i="2" s="1"/>
  <c r="W1435" i="2" s="1"/>
  <c r="P1686" i="2" a="1"/>
  <c r="P1686" i="2" s="1"/>
  <c r="R1686" i="2" s="1"/>
  <c r="V1686" i="2" s="1"/>
  <c r="W1686" i="2" s="1"/>
  <c r="P463" i="2" a="1"/>
  <c r="P463" i="2" s="1"/>
  <c r="R463" i="2" s="1"/>
  <c r="V463" i="2" s="1"/>
  <c r="W463" i="2" s="1"/>
  <c r="P1262" i="2" a="1"/>
  <c r="P1262" i="2" s="1"/>
  <c r="R1262" i="2" s="1"/>
  <c r="V1262" i="2" s="1"/>
  <c r="W1262" i="2" s="1"/>
  <c r="P1509" i="2" a="1"/>
  <c r="P1509" i="2" s="1"/>
  <c r="R1509" i="2" s="1"/>
  <c r="V1509" i="2" s="1"/>
  <c r="W1509" i="2" s="1"/>
  <c r="P1045" i="2" a="1"/>
  <c r="P1045" i="2" s="1"/>
  <c r="R1045" i="2" s="1"/>
  <c r="V1045" i="2" s="1"/>
  <c r="W1045" i="2" s="1"/>
  <c r="P117" i="2" a="1"/>
  <c r="P117" i="2" s="1"/>
  <c r="R117" i="2" s="1"/>
  <c r="V117" i="2" s="1"/>
  <c r="W117" i="2" s="1"/>
  <c r="P472" i="2" a="1"/>
  <c r="P472" i="2" s="1"/>
  <c r="R472" i="2" s="1"/>
  <c r="V472" i="2" s="1"/>
  <c r="W472" i="2" s="1"/>
  <c r="P1714" i="2" a="1"/>
  <c r="P1714" i="2" s="1"/>
  <c r="R1714" i="2" s="1"/>
  <c r="V1714" i="2" s="1"/>
  <c r="W1714" i="2" s="1"/>
  <c r="P1133" i="2" a="1"/>
  <c r="P1133" i="2" s="1"/>
  <c r="R1133" i="2" s="1"/>
  <c r="V1133" i="2" s="1"/>
  <c r="W1133" i="2" s="1"/>
  <c r="P858" i="2" a="1"/>
  <c r="P858" i="2" s="1"/>
  <c r="R858" i="2" s="1"/>
  <c r="V858" i="2" s="1"/>
  <c r="W858" i="2" s="1"/>
  <c r="P1391" i="2" a="1"/>
  <c r="P1391" i="2" s="1"/>
  <c r="R1391" i="2" s="1"/>
  <c r="V1391" i="2" s="1"/>
  <c r="W1391" i="2" s="1"/>
  <c r="P2062" i="2" a="1"/>
  <c r="P2062" i="2" s="1"/>
  <c r="R2062" i="2" s="1"/>
  <c r="V2062" i="2" s="1"/>
  <c r="W2062" i="2" s="1"/>
  <c r="P1265" i="2" a="1"/>
  <c r="P1265" i="2" s="1"/>
  <c r="R1265" i="2" s="1"/>
  <c r="V1265" i="2" s="1"/>
  <c r="W1265" i="2" s="1"/>
  <c r="P1375" i="2" a="1"/>
  <c r="P1375" i="2" s="1"/>
  <c r="R1375" i="2" s="1"/>
  <c r="V1375" i="2" s="1"/>
  <c r="W1375" i="2" s="1"/>
  <c r="P1485" i="2" a="1"/>
  <c r="P1485" i="2" s="1"/>
  <c r="R1485" i="2" s="1"/>
  <c r="V1485" i="2" s="1"/>
  <c r="W1485" i="2" s="1"/>
  <c r="P782" i="2" a="1"/>
  <c r="P782" i="2" s="1"/>
  <c r="R782" i="2" s="1"/>
  <c r="V782" i="2" s="1"/>
  <c r="W782" i="2" s="1"/>
  <c r="P1343" i="2" a="1"/>
  <c r="P1343" i="2" s="1"/>
  <c r="R1343" i="2" s="1"/>
  <c r="V1343" i="2" s="1"/>
  <c r="W1343" i="2" s="1"/>
  <c r="P232" i="2" a="1"/>
  <c r="P232" i="2" s="1"/>
  <c r="R232" i="2" s="1"/>
  <c r="V232" i="2" s="1"/>
  <c r="W232" i="2" s="1"/>
  <c r="P991" i="2" a="1"/>
  <c r="P991" i="2" s="1"/>
  <c r="R991" i="2" s="1"/>
  <c r="V991" i="2" s="1"/>
  <c r="W991" i="2" s="1"/>
  <c r="P249" i="2" a="1"/>
  <c r="P249" i="2" s="1"/>
  <c r="R249" i="2" s="1"/>
  <c r="V249" i="2" s="1"/>
  <c r="W249" i="2" s="1"/>
  <c r="P1264" i="2" a="1"/>
  <c r="P1264" i="2" s="1"/>
  <c r="R1264" i="2" s="1"/>
  <c r="V1264" i="2" s="1"/>
  <c r="W1264" i="2" s="1"/>
  <c r="P385" i="2" a="1"/>
  <c r="P385" i="2" s="1"/>
  <c r="R385" i="2" s="1"/>
  <c r="V385" i="2" s="1"/>
  <c r="W385" i="2" s="1"/>
  <c r="P936" i="2" a="1"/>
  <c r="P936" i="2" s="1"/>
  <c r="R936" i="2" s="1"/>
  <c r="V936" i="2" s="1"/>
  <c r="W936" i="2" s="1"/>
  <c r="P1749" i="2" a="1"/>
  <c r="P1749" i="2" s="1"/>
  <c r="R1749" i="2" s="1"/>
  <c r="V1749" i="2" s="1"/>
  <c r="W1749" i="2" s="1"/>
  <c r="P975" i="2" a="1"/>
  <c r="P975" i="2" s="1"/>
  <c r="R975" i="2" s="1"/>
  <c r="V975" i="2" s="1"/>
  <c r="W975" i="2" s="1"/>
  <c r="P179" i="2" a="1"/>
  <c r="P179" i="2" s="1"/>
  <c r="R179" i="2" s="1"/>
  <c r="V179" i="2" s="1"/>
  <c r="W179" i="2" s="1"/>
  <c r="P1624" i="2" a="1"/>
  <c r="P1624" i="2" s="1"/>
  <c r="R1624" i="2" s="1"/>
  <c r="V1624" i="2" s="1"/>
  <c r="W1624" i="2" s="1"/>
  <c r="P1181" i="2" a="1"/>
  <c r="P1181" i="2" s="1"/>
  <c r="R1181" i="2" s="1"/>
  <c r="V1181" i="2" s="1"/>
  <c r="W1181" i="2" s="1"/>
  <c r="P753" i="2" a="1"/>
  <c r="P753" i="2" s="1"/>
  <c r="R753" i="2" s="1"/>
  <c r="V753" i="2" s="1"/>
  <c r="W753" i="2" s="1"/>
  <c r="P338" i="2" a="1"/>
  <c r="P338" i="2" s="1"/>
  <c r="R338" i="2" s="1"/>
  <c r="V338" i="2" s="1"/>
  <c r="W338" i="2" s="1"/>
  <c r="P892" i="2" a="1"/>
  <c r="P892" i="2" s="1"/>
  <c r="R892" i="2" s="1"/>
  <c r="V892" i="2" s="1"/>
  <c r="W892" i="2" s="1"/>
  <c r="P960" i="2" a="1"/>
  <c r="P960" i="2" s="1"/>
  <c r="R960" i="2" s="1"/>
  <c r="V960" i="2" s="1"/>
  <c r="W960" i="2" s="1"/>
  <c r="P965" i="2" a="1"/>
  <c r="P965" i="2" s="1"/>
  <c r="R965" i="2" s="1"/>
  <c r="V965" i="2" s="1"/>
  <c r="W965" i="2" s="1"/>
  <c r="P1444" i="2" a="1"/>
  <c r="P1444" i="2" s="1"/>
  <c r="R1444" i="2" s="1"/>
  <c r="V1444" i="2" s="1"/>
  <c r="W1444" i="2" s="1"/>
  <c r="P910" i="2" a="1"/>
  <c r="P910" i="2" s="1"/>
  <c r="R910" i="2" s="1"/>
  <c r="V910" i="2" s="1"/>
  <c r="W910" i="2" s="1"/>
  <c r="P1682" i="2" a="1"/>
  <c r="P1682" i="2" s="1"/>
  <c r="R1682" i="2" s="1"/>
  <c r="V1682" i="2" s="1"/>
  <c r="W1682" i="2" s="1"/>
  <c r="P372" i="2" a="1"/>
  <c r="P372" i="2" s="1"/>
  <c r="R372" i="2" s="1"/>
  <c r="V372" i="2" s="1"/>
  <c r="W372" i="2" s="1"/>
  <c r="P943" i="2" a="1"/>
  <c r="P943" i="2" s="1"/>
  <c r="R943" i="2" s="1"/>
  <c r="V943" i="2" s="1"/>
  <c r="W943" i="2" s="1"/>
  <c r="P193" i="2" a="1"/>
  <c r="P193" i="2" s="1"/>
  <c r="R193" i="2" s="1"/>
  <c r="V193" i="2" s="1"/>
  <c r="W193" i="2" s="1"/>
  <c r="P2007" i="2" a="1"/>
  <c r="P2007" i="2" s="1"/>
  <c r="R2007" i="2" s="1"/>
  <c r="V2007" i="2" s="1"/>
  <c r="W2007" i="2" s="1"/>
  <c r="P1244" i="2" a="1"/>
  <c r="P1244" i="2" s="1"/>
  <c r="R1244" i="2" s="1"/>
  <c r="V1244" i="2" s="1"/>
  <c r="W1244" i="2" s="1"/>
  <c r="P1191" i="2" a="1"/>
  <c r="P1191" i="2" s="1"/>
  <c r="R1191" i="2" s="1"/>
  <c r="V1191" i="2" s="1"/>
  <c r="W1191" i="2" s="1"/>
  <c r="P393" i="2" a="1"/>
  <c r="P393" i="2" s="1"/>
  <c r="R393" i="2" s="1"/>
  <c r="V393" i="2" s="1"/>
  <c r="W393" i="2" s="1"/>
  <c r="P794" i="2" a="1"/>
  <c r="P794" i="2" s="1"/>
  <c r="R794" i="2" s="1"/>
  <c r="V794" i="2" s="1"/>
  <c r="W794" i="2" s="1"/>
  <c r="P1413" i="2" a="1"/>
  <c r="P1413" i="2" s="1"/>
  <c r="R1413" i="2" s="1"/>
  <c r="V1413" i="2" s="1"/>
  <c r="W1413" i="2" s="1"/>
  <c r="P69" i="2" a="1"/>
  <c r="P69" i="2" s="1"/>
  <c r="R69" i="2" s="1"/>
  <c r="V69" i="2" s="1"/>
  <c r="W69" i="2" s="1"/>
  <c r="P1632" i="2" a="1"/>
  <c r="P1632" i="2" s="1"/>
  <c r="R1632" i="2" s="1"/>
  <c r="V1632" i="2" s="1"/>
  <c r="W1632" i="2" s="1"/>
  <c r="P1258" i="2" a="1"/>
  <c r="P1258" i="2" s="1"/>
  <c r="R1258" i="2" s="1"/>
  <c r="V1258" i="2" s="1"/>
  <c r="W1258" i="2" s="1"/>
  <c r="P307" i="2" a="1"/>
  <c r="P307" i="2" s="1"/>
  <c r="R307" i="2" s="1"/>
  <c r="V307" i="2" s="1"/>
  <c r="W307" i="2" s="1"/>
  <c r="P87" i="2" a="1"/>
  <c r="P87" i="2" s="1"/>
  <c r="R87" i="2" s="1"/>
  <c r="V87" i="2" s="1"/>
  <c r="W87" i="2" s="1"/>
  <c r="P1619" i="2" a="1"/>
  <c r="P1619" i="2" s="1"/>
  <c r="R1619" i="2" s="1"/>
  <c r="V1619" i="2" s="1"/>
  <c r="W1619" i="2" s="1"/>
  <c r="P817" i="2" a="1"/>
  <c r="P817" i="2" s="1"/>
  <c r="R817" i="2" s="1"/>
  <c r="V817" i="2" s="1"/>
  <c r="W817" i="2" s="1"/>
  <c r="P1317" i="2" a="1"/>
  <c r="P1317" i="2" s="1"/>
  <c r="R1317" i="2" s="1"/>
  <c r="V1317" i="2" s="1"/>
  <c r="W1317" i="2" s="1"/>
  <c r="P43" i="2" a="1"/>
  <c r="P43" i="2" s="1"/>
  <c r="R43" i="2" s="1"/>
  <c r="V43" i="2" s="1"/>
  <c r="W43" i="2" s="1"/>
  <c r="P1179" i="2" a="1"/>
  <c r="P1179" i="2" s="1"/>
  <c r="R1179" i="2" s="1"/>
  <c r="V1179" i="2" s="1"/>
  <c r="W1179" i="2" s="1"/>
  <c r="P1622" i="2" a="1"/>
  <c r="P1622" i="2" s="1"/>
  <c r="R1622" i="2" s="1"/>
  <c r="V1622" i="2" s="1"/>
  <c r="W1622" i="2" s="1"/>
  <c r="P820" i="2" a="1"/>
  <c r="P820" i="2" s="1"/>
  <c r="R820" i="2" s="1"/>
  <c r="V820" i="2" s="1"/>
  <c r="W820" i="2" s="1"/>
  <c r="Q688" i="2" a="1"/>
  <c r="Q688" i="2" s="1"/>
  <c r="P321" i="2" a="1"/>
  <c r="P321" i="2" s="1"/>
  <c r="R321" i="2" s="1"/>
  <c r="V321" i="2" s="1"/>
  <c r="W321" i="2" s="1"/>
  <c r="P1703" i="2" a="1"/>
  <c r="P1703" i="2" s="1"/>
  <c r="R1703" i="2" s="1"/>
  <c r="V1703" i="2" s="1"/>
  <c r="W1703" i="2" s="1"/>
  <c r="P511" i="2" a="1"/>
  <c r="P511" i="2" s="1"/>
  <c r="R511" i="2" s="1"/>
  <c r="V511" i="2" s="1"/>
  <c r="W511" i="2" s="1"/>
  <c r="P1000" i="2" a="1"/>
  <c r="P1000" i="2" s="1"/>
  <c r="R1000" i="2" s="1"/>
  <c r="V1000" i="2" s="1"/>
  <c r="W1000" i="2" s="1"/>
  <c r="P437" i="2" a="1"/>
  <c r="P437" i="2" s="1"/>
  <c r="R437" i="2" s="1"/>
  <c r="V437" i="2" s="1"/>
  <c r="W437" i="2" s="1"/>
  <c r="P53" i="2" a="1"/>
  <c r="P53" i="2" s="1"/>
  <c r="R53" i="2" s="1"/>
  <c r="V53" i="2" s="1"/>
  <c r="W53" i="2" s="1"/>
  <c r="P1514" i="2" a="1"/>
  <c r="P1514" i="2" s="1"/>
  <c r="R1514" i="2" s="1"/>
  <c r="V1514" i="2" s="1"/>
  <c r="W1514" i="2" s="1"/>
  <c r="P835" i="2" a="1"/>
  <c r="P835" i="2" s="1"/>
  <c r="R835" i="2" s="1"/>
  <c r="V835" i="2" s="1"/>
  <c r="W835" i="2" s="1"/>
  <c r="P1696" i="2" a="1"/>
  <c r="P1696" i="2" s="1"/>
  <c r="R1696" i="2" s="1"/>
  <c r="V1696" i="2" s="1"/>
  <c r="W1696" i="2" s="1"/>
  <c r="P996" i="2" a="1"/>
  <c r="P996" i="2" s="1"/>
  <c r="R996" i="2" s="1"/>
  <c r="V996" i="2" s="1"/>
  <c r="W996" i="2" s="1"/>
  <c r="P32" i="2" a="1"/>
  <c r="P32" i="2" s="1"/>
  <c r="R32" i="2" s="1"/>
  <c r="V32" i="2" s="1"/>
  <c r="W32" i="2" s="1"/>
  <c r="P1124" i="2" a="1"/>
  <c r="P1124" i="2" s="1"/>
  <c r="R1124" i="2" s="1"/>
  <c r="V1124" i="2" s="1"/>
  <c r="W1124" i="2" s="1"/>
  <c r="P913" i="2" a="1"/>
  <c r="P913" i="2" s="1"/>
  <c r="R913" i="2" s="1"/>
  <c r="V913" i="2" s="1"/>
  <c r="W913" i="2" s="1"/>
  <c r="P529" i="2" a="1"/>
  <c r="P529" i="2" s="1"/>
  <c r="R529" i="2" s="1"/>
  <c r="V529" i="2" s="1"/>
  <c r="W529" i="2" s="1"/>
  <c r="P1545" i="2" a="1"/>
  <c r="P1545" i="2" s="1"/>
  <c r="R1545" i="2" s="1"/>
  <c r="V1545" i="2" s="1"/>
  <c r="W1545" i="2" s="1"/>
  <c r="P1229" i="2" a="1"/>
  <c r="P1229" i="2" s="1"/>
  <c r="R1229" i="2" s="1"/>
  <c r="V1229" i="2" s="1"/>
  <c r="W1229" i="2" s="1"/>
  <c r="P2058" i="2" a="1"/>
  <c r="P2058" i="2" s="1"/>
  <c r="R2058" i="2" s="1"/>
  <c r="V2058" i="2" s="1"/>
  <c r="W2058" i="2" s="1"/>
  <c r="P65" i="2" a="1"/>
  <c r="P65" i="2" s="1"/>
  <c r="R65" i="2" s="1"/>
  <c r="V65" i="2" s="1"/>
  <c r="W65" i="2" s="1"/>
  <c r="P1646" i="2" a="1"/>
  <c r="P1646" i="2" s="1"/>
  <c r="R1646" i="2" s="1"/>
  <c r="V1646" i="2" s="1"/>
  <c r="W1646" i="2" s="1"/>
  <c r="P929" i="2" a="1"/>
  <c r="P929" i="2" s="1"/>
  <c r="R929" i="2" s="1"/>
  <c r="V929" i="2" s="1"/>
  <c r="W929" i="2" s="1"/>
  <c r="P1393" i="2" a="1"/>
  <c r="P1393" i="2" s="1"/>
  <c r="R1393" i="2" s="1"/>
  <c r="V1393" i="2" s="1"/>
  <c r="W1393" i="2" s="1"/>
  <c r="P1036" i="2" a="1"/>
  <c r="P1036" i="2" s="1"/>
  <c r="R1036" i="2" s="1"/>
  <c r="V1036" i="2" s="1"/>
  <c r="W1036" i="2" s="1"/>
  <c r="P1717" i="2" a="1"/>
  <c r="P1717" i="2" s="1"/>
  <c r="R1717" i="2" s="1"/>
  <c r="V1717" i="2" s="1"/>
  <c r="W1717" i="2" s="1"/>
  <c r="P231" i="2" a="1"/>
  <c r="P231" i="2" s="1"/>
  <c r="R231" i="2" s="1"/>
  <c r="V231" i="2" s="1"/>
  <c r="W231" i="2" s="1"/>
  <c r="P345" i="2" a="1"/>
  <c r="P345" i="2" s="1"/>
  <c r="R345" i="2" s="1"/>
  <c r="V345" i="2" s="1"/>
  <c r="W345" i="2" s="1"/>
  <c r="P502" i="2" a="1"/>
  <c r="P502" i="2" s="1"/>
  <c r="R502" i="2" s="1"/>
  <c r="V502" i="2" s="1"/>
  <c r="W502" i="2" s="1"/>
  <c r="P1084" i="2" a="1"/>
  <c r="P1084" i="2" s="1"/>
  <c r="R1084" i="2" s="1"/>
  <c r="V1084" i="2" s="1"/>
  <c r="W1084" i="2" s="1"/>
  <c r="P1313" i="2" a="1"/>
  <c r="P1313" i="2" s="1"/>
  <c r="R1313" i="2" s="1"/>
  <c r="V1313" i="2" s="1"/>
  <c r="W1313" i="2" s="1"/>
  <c r="P2056" i="2" a="1"/>
  <c r="P2056" i="2" s="1"/>
  <c r="R2056" i="2" s="1"/>
  <c r="V2056" i="2" s="1"/>
  <c r="W2056" i="2" s="1"/>
  <c r="P538" i="2" a="1"/>
  <c r="P538" i="2" s="1"/>
  <c r="R538" i="2" s="1"/>
  <c r="V538" i="2" s="1"/>
  <c r="W538" i="2" s="1"/>
  <c r="P496" i="2" a="1"/>
  <c r="P496" i="2" s="1"/>
  <c r="R496" i="2" s="1"/>
  <c r="V496" i="2" s="1"/>
  <c r="W496" i="2" s="1"/>
  <c r="P96" i="2" a="1"/>
  <c r="P96" i="2" s="1"/>
  <c r="R96" i="2" s="1"/>
  <c r="V96" i="2" s="1"/>
  <c r="W96" i="2" s="1"/>
  <c r="P1044" i="2" a="1"/>
  <c r="P1044" i="2" s="1"/>
  <c r="R1044" i="2" s="1"/>
  <c r="V1044" i="2" s="1"/>
  <c r="W1044" i="2" s="1"/>
  <c r="P921" i="2" a="1"/>
  <c r="P921" i="2" s="1"/>
  <c r="R921" i="2" s="1"/>
  <c r="V921" i="2" s="1"/>
  <c r="W921" i="2" s="1"/>
  <c r="P425" i="2" a="1"/>
  <c r="P425" i="2" s="1"/>
  <c r="R425" i="2" s="1"/>
  <c r="V425" i="2" s="1"/>
  <c r="W425" i="2" s="1"/>
  <c r="P1243" i="2" a="1"/>
  <c r="P1243" i="2" s="1"/>
  <c r="R1243" i="2" s="1"/>
  <c r="V1243" i="2" s="1"/>
  <c r="W1243" i="2" s="1"/>
  <c r="P1096" i="2" a="1"/>
  <c r="P1096" i="2" s="1"/>
  <c r="R1096" i="2" s="1"/>
  <c r="V1096" i="2" s="1"/>
  <c r="W1096" i="2" s="1"/>
  <c r="P2057" i="2" a="1"/>
  <c r="P2057" i="2" s="1"/>
  <c r="R2057" i="2" s="1"/>
  <c r="V2057" i="2" s="1"/>
  <c r="W2057" i="2" s="1"/>
  <c r="P283" i="2" a="1"/>
  <c r="P283" i="2" s="1"/>
  <c r="R283" i="2" s="1"/>
  <c r="V283" i="2" s="1"/>
  <c r="W283" i="2" s="1"/>
  <c r="P474" i="2" a="1"/>
  <c r="P474" i="2" s="1"/>
  <c r="R474" i="2" s="1"/>
  <c r="V474" i="2" s="1"/>
  <c r="W474" i="2" s="1"/>
  <c r="P1153" i="2" a="1"/>
  <c r="P1153" i="2" s="1"/>
  <c r="R1153" i="2" s="1"/>
  <c r="V1153" i="2" s="1"/>
  <c r="W1153" i="2" s="1"/>
  <c r="P279" i="2" a="1"/>
  <c r="P279" i="2" s="1"/>
  <c r="R279" i="2" s="1"/>
  <c r="V279" i="2" s="1"/>
  <c r="W279" i="2" s="1"/>
  <c r="P1059" i="2" a="1"/>
  <c r="P1059" i="2" s="1"/>
  <c r="R1059" i="2" s="1"/>
  <c r="V1059" i="2" s="1"/>
  <c r="W1059" i="2" s="1"/>
  <c r="P1025" i="2" a="1"/>
  <c r="P1025" i="2" s="1"/>
  <c r="R1025" i="2" s="1"/>
  <c r="V1025" i="2" s="1"/>
  <c r="W1025" i="2" s="1"/>
  <c r="P1137" i="2" a="1"/>
  <c r="P1137" i="2" s="1"/>
  <c r="R1137" i="2" s="1"/>
  <c r="V1137" i="2" s="1"/>
  <c r="W1137" i="2" s="1"/>
  <c r="P1014" i="2" a="1"/>
  <c r="P1014" i="2" s="1"/>
  <c r="R1014" i="2" s="1"/>
  <c r="V1014" i="2" s="1"/>
  <c r="W1014" i="2" s="1"/>
  <c r="P536" i="2" a="1"/>
  <c r="P536" i="2" s="1"/>
  <c r="R536" i="2" s="1"/>
  <c r="V536" i="2" s="1"/>
  <c r="W536" i="2" s="1"/>
  <c r="P814" i="2" a="1"/>
  <c r="P814" i="2" s="1"/>
  <c r="R814" i="2" s="1"/>
  <c r="V814" i="2" s="1"/>
  <c r="W814" i="2" s="1"/>
  <c r="P1298" i="2" a="1"/>
  <c r="P1298" i="2" s="1"/>
  <c r="R1298" i="2" s="1"/>
  <c r="V1298" i="2" s="1"/>
  <c r="W1298" i="2" s="1"/>
  <c r="P873" i="2" a="1"/>
  <c r="P873" i="2" s="1"/>
  <c r="R873" i="2" s="1"/>
  <c r="V873" i="2" s="1"/>
  <c r="W873" i="2" s="1"/>
  <c r="P1290" i="2" a="1"/>
  <c r="P1290" i="2" s="1"/>
  <c r="R1290" i="2" s="1"/>
  <c r="V1290" i="2" s="1"/>
  <c r="W1290" i="2" s="1"/>
  <c r="P1260" i="2" a="1"/>
  <c r="P1260" i="2" s="1"/>
  <c r="R1260" i="2" s="1"/>
  <c r="V1260" i="2" s="1"/>
  <c r="W1260" i="2" s="1"/>
  <c r="P946" i="2" a="1"/>
  <c r="P946" i="2" s="1"/>
  <c r="R946" i="2" s="1"/>
  <c r="V946" i="2" s="1"/>
  <c r="W946" i="2" s="1"/>
  <c r="P1284" i="2" a="1"/>
  <c r="P1284" i="2" s="1"/>
  <c r="R1284" i="2" s="1"/>
  <c r="V1284" i="2" s="1"/>
  <c r="W1284" i="2" s="1"/>
  <c r="P1104" i="2" a="1"/>
  <c r="P1104" i="2" s="1"/>
  <c r="R1104" i="2" s="1"/>
  <c r="V1104" i="2" s="1"/>
  <c r="W1104" i="2" s="1"/>
  <c r="P443" i="2" a="1"/>
  <c r="P443" i="2" s="1"/>
  <c r="R443" i="2" s="1"/>
  <c r="V443" i="2" s="1"/>
  <c r="W443" i="2" s="1"/>
  <c r="P171" i="2" a="1"/>
  <c r="P171" i="2" s="1"/>
  <c r="R171" i="2" s="1"/>
  <c r="V171" i="2" s="1"/>
  <c r="W171" i="2" s="1"/>
  <c r="P532" i="2" a="1"/>
  <c r="P532" i="2" s="1"/>
  <c r="R532" i="2" s="1"/>
  <c r="V532" i="2" s="1"/>
  <c r="W532" i="2" s="1"/>
  <c r="P904" i="2" a="1"/>
  <c r="P904" i="2" s="1"/>
  <c r="R904" i="2" s="1"/>
  <c r="V904" i="2" s="1"/>
  <c r="W904" i="2" s="1"/>
  <c r="P898" i="2" a="1"/>
  <c r="P898" i="2" s="1"/>
  <c r="R898" i="2" s="1"/>
  <c r="V898" i="2" s="1"/>
  <c r="W898" i="2" s="1"/>
  <c r="P1719" i="2" a="1"/>
  <c r="P1719" i="2" s="1"/>
  <c r="R1719" i="2" s="1"/>
  <c r="V1719" i="2" s="1"/>
  <c r="W1719" i="2" s="1"/>
  <c r="P1506" i="2" a="1"/>
  <c r="P1506" i="2" s="1"/>
  <c r="R1506" i="2" s="1"/>
  <c r="V1506" i="2" s="1"/>
  <c r="W1506" i="2" s="1"/>
  <c r="P978" i="2" a="1"/>
  <c r="P978" i="2" s="1"/>
  <c r="R978" i="2" s="1"/>
  <c r="V978" i="2" s="1"/>
  <c r="W978" i="2" s="1"/>
  <c r="P1668" i="2" a="1"/>
  <c r="P1668" i="2" s="1"/>
  <c r="R1668" i="2" s="1"/>
  <c r="V1668" i="2" s="1"/>
  <c r="W1668" i="2" s="1"/>
  <c r="P522" i="2" a="1"/>
  <c r="P522" i="2" s="1"/>
  <c r="R522" i="2" s="1"/>
  <c r="V522" i="2" s="1"/>
  <c r="W522" i="2" s="1"/>
  <c r="P64" i="2" a="1"/>
  <c r="P64" i="2" s="1"/>
  <c r="R64" i="2" s="1"/>
  <c r="V64" i="2" s="1"/>
  <c r="W64" i="2" s="1"/>
  <c r="P1086" i="2" a="1"/>
  <c r="P1086" i="2" s="1"/>
  <c r="R1086" i="2" s="1"/>
  <c r="V1086" i="2" s="1"/>
  <c r="W1086" i="2" s="1"/>
  <c r="P1321" i="2" a="1"/>
  <c r="P1321" i="2" s="1"/>
  <c r="R1321" i="2" s="1"/>
  <c r="V1321" i="2" s="1"/>
  <c r="W1321" i="2" s="1"/>
  <c r="P1505" i="2" a="1"/>
  <c r="P1505" i="2" s="1"/>
  <c r="R1505" i="2" s="1"/>
  <c r="V1505" i="2" s="1"/>
  <c r="W1505" i="2" s="1"/>
  <c r="P35" i="2" a="1"/>
  <c r="P35" i="2" s="1"/>
  <c r="R35" i="2" s="1"/>
  <c r="V35" i="2" s="1"/>
  <c r="W35" i="2" s="1"/>
  <c r="P822" i="2" a="1"/>
  <c r="P822" i="2" s="1"/>
  <c r="R822" i="2" s="1"/>
  <c r="V822" i="2" s="1"/>
  <c r="W822" i="2" s="1"/>
  <c r="P1559" i="2" a="1"/>
  <c r="P1559" i="2" s="1"/>
  <c r="R1559" i="2" s="1"/>
  <c r="V1559" i="2" s="1"/>
  <c r="W1559" i="2" s="1"/>
  <c r="P55" i="2" a="1"/>
  <c r="P55" i="2" s="1"/>
  <c r="R55" i="2" s="1"/>
  <c r="V55" i="2" s="1"/>
  <c r="W55" i="2" s="1"/>
  <c r="P1454" i="2" a="1"/>
  <c r="P1454" i="2" s="1"/>
  <c r="R1454" i="2" s="1"/>
  <c r="V1454" i="2" s="1"/>
  <c r="W1454" i="2" s="1"/>
  <c r="P254" i="2" a="1"/>
  <c r="P254" i="2" s="1"/>
  <c r="R254" i="2" s="1"/>
  <c r="V254" i="2" s="1"/>
  <c r="W254" i="2" s="1"/>
  <c r="P466" i="2" a="1"/>
  <c r="P466" i="2" s="1"/>
  <c r="R466" i="2" s="1"/>
  <c r="V466" i="2" s="1"/>
  <c r="W466" i="2" s="1"/>
  <c r="P1222" i="2" a="1"/>
  <c r="P1222" i="2" s="1"/>
  <c r="R1222" i="2" s="1"/>
  <c r="V1222" i="2" s="1"/>
  <c r="W1222" i="2" s="1"/>
  <c r="P17" i="2" a="1"/>
  <c r="P17" i="2" s="1"/>
  <c r="R17" i="2" s="1"/>
  <c r="V17" i="2" s="1"/>
  <c r="W17" i="2" s="1"/>
  <c r="P374" i="2" a="1"/>
  <c r="P374" i="2" s="1"/>
  <c r="R374" i="2" s="1"/>
  <c r="V374" i="2" s="1"/>
  <c r="W374" i="2" s="1"/>
  <c r="P1235" i="2" a="1"/>
  <c r="P1235" i="2" s="1"/>
  <c r="R1235" i="2" s="1"/>
  <c r="V1235" i="2" s="1"/>
  <c r="W1235" i="2" s="1"/>
  <c r="P1614" i="2" a="1"/>
  <c r="P1614" i="2" s="1"/>
  <c r="R1614" i="2" s="1"/>
  <c r="V1614" i="2" s="1"/>
  <c r="W1614" i="2" s="1"/>
  <c r="P1658" i="2" a="1"/>
  <c r="P1658" i="2" s="1"/>
  <c r="R1658" i="2" s="1"/>
  <c r="V1658" i="2" s="1"/>
  <c r="W1658" i="2" s="1"/>
  <c r="P1641" i="2" a="1"/>
  <c r="P1641" i="2" s="1"/>
  <c r="R1641" i="2" s="1"/>
  <c r="V1641" i="2" s="1"/>
  <c r="W1641" i="2" s="1"/>
  <c r="P1083" i="2" a="1"/>
  <c r="P1083" i="2" s="1"/>
  <c r="R1083" i="2" s="1"/>
  <c r="V1083" i="2" s="1"/>
  <c r="W1083" i="2" s="1"/>
  <c r="Q1481" i="2" a="1"/>
  <c r="Q1481" i="2" s="1"/>
  <c r="P1600" i="2" a="1"/>
  <c r="P1600" i="2" s="1"/>
  <c r="R1600" i="2" s="1"/>
  <c r="V1600" i="2" s="1"/>
  <c r="W1600" i="2" s="1"/>
  <c r="P1037" i="2" a="1"/>
  <c r="P1037" i="2" s="1"/>
  <c r="R1037" i="2" s="1"/>
  <c r="V1037" i="2" s="1"/>
  <c r="W1037" i="2" s="1"/>
  <c r="P1207" i="2" a="1"/>
  <c r="P1207" i="2" s="1"/>
  <c r="R1207" i="2" s="1"/>
  <c r="V1207" i="2" s="1"/>
  <c r="W1207" i="2" s="1"/>
  <c r="P1114" i="2" a="1"/>
  <c r="P1114" i="2" s="1"/>
  <c r="R1114" i="2" s="1"/>
  <c r="V1114" i="2" s="1"/>
  <c r="W1114" i="2" s="1"/>
  <c r="P896" i="2" a="1"/>
  <c r="P896" i="2" s="1"/>
  <c r="R896" i="2" s="1"/>
  <c r="V896" i="2" s="1"/>
  <c r="W896" i="2" s="1"/>
  <c r="P358" i="2" a="1"/>
  <c r="P358" i="2" s="1"/>
  <c r="R358" i="2" s="1"/>
  <c r="V358" i="2" s="1"/>
  <c r="W358" i="2" s="1"/>
  <c r="P465" i="2" a="1"/>
  <c r="P465" i="2" s="1"/>
  <c r="R465" i="2" s="1"/>
  <c r="V465" i="2" s="1"/>
  <c r="W465" i="2" s="1"/>
  <c r="P514" i="2" a="1"/>
  <c r="P514" i="2" s="1"/>
  <c r="R514" i="2" s="1"/>
  <c r="V514" i="2" s="1"/>
  <c r="W514" i="2" s="1"/>
  <c r="P1685" i="2" a="1"/>
  <c r="P1685" i="2" s="1"/>
  <c r="R1685" i="2" s="1"/>
  <c r="V1685" i="2" s="1"/>
  <c r="W1685" i="2" s="1"/>
  <c r="P1352" i="2" a="1"/>
  <c r="P1352" i="2" s="1"/>
  <c r="R1352" i="2" s="1"/>
  <c r="V1352" i="2" s="1"/>
  <c r="W1352" i="2" s="1"/>
  <c r="P1618" i="2" a="1"/>
  <c r="P1618" i="2" s="1"/>
  <c r="R1618" i="2" s="1"/>
  <c r="V1618" i="2" s="1"/>
  <c r="W1618" i="2" s="1"/>
  <c r="P173" i="2" a="1"/>
  <c r="P173" i="2" s="1"/>
  <c r="R173" i="2" s="1"/>
  <c r="V173" i="2" s="1"/>
  <c r="W173" i="2" s="1"/>
  <c r="P1705" i="2" a="1"/>
  <c r="P1705" i="2" s="1"/>
  <c r="R1705" i="2" s="1"/>
  <c r="V1705" i="2" s="1"/>
  <c r="W1705" i="2" s="1"/>
  <c r="P796" i="2" a="1"/>
  <c r="P796" i="2" s="1"/>
  <c r="R796" i="2" s="1"/>
  <c r="V796" i="2" s="1"/>
  <c r="W796" i="2" s="1"/>
  <c r="P299" i="2" a="1"/>
  <c r="P299" i="2" s="1"/>
  <c r="R299" i="2" s="1"/>
  <c r="V299" i="2" s="1"/>
  <c r="W299" i="2" s="1"/>
  <c r="P539" i="2" a="1"/>
  <c r="P539" i="2" s="1"/>
  <c r="R539" i="2" s="1"/>
  <c r="V539" i="2" s="1"/>
  <c r="W539" i="2" s="1"/>
  <c r="P1322" i="2" a="1"/>
  <c r="P1322" i="2" s="1"/>
  <c r="R1322" i="2" s="1"/>
  <c r="V1322" i="2" s="1"/>
  <c r="W1322" i="2" s="1"/>
  <c r="P1422" i="2" a="1"/>
  <c r="P1422" i="2" s="1"/>
  <c r="R1422" i="2" s="1"/>
  <c r="V1422" i="2" s="1"/>
  <c r="W1422" i="2" s="1"/>
  <c r="P2030" i="2" a="1"/>
  <c r="P2030" i="2" s="1"/>
  <c r="R2030" i="2" s="1"/>
  <c r="V2030" i="2" s="1"/>
  <c r="W2030" i="2" s="1"/>
  <c r="P1702" i="2" a="1"/>
  <c r="P1702" i="2" s="1"/>
  <c r="R1702" i="2" s="1"/>
  <c r="V1702" i="2" s="1"/>
  <c r="W1702" i="2" s="1"/>
  <c r="P1555" i="2" a="1"/>
  <c r="P1555" i="2" s="1"/>
  <c r="R1555" i="2" s="1"/>
  <c r="V1555" i="2" s="1"/>
  <c r="W1555" i="2" s="1"/>
  <c r="P481" i="2" a="1"/>
  <c r="P481" i="2" s="1"/>
  <c r="R481" i="2" s="1"/>
  <c r="V481" i="2" s="1"/>
  <c r="W481" i="2" s="1"/>
  <c r="P1573" i="2" a="1"/>
  <c r="P1573" i="2" s="1"/>
  <c r="R1573" i="2" s="1"/>
  <c r="V1573" i="2" s="1"/>
  <c r="W1573" i="2" s="1"/>
  <c r="P1364" i="2" a="1"/>
  <c r="P1364" i="2" s="1"/>
  <c r="R1364" i="2" s="1"/>
  <c r="V1364" i="2" s="1"/>
  <c r="W1364" i="2" s="1"/>
  <c r="P1611" i="2" a="1"/>
  <c r="P1611" i="2" s="1"/>
  <c r="R1611" i="2" s="1"/>
  <c r="V1611" i="2" s="1"/>
  <c r="W1611" i="2" s="1"/>
  <c r="P484" i="2" a="1"/>
  <c r="P484" i="2" s="1"/>
  <c r="R484" i="2" s="1"/>
  <c r="V484" i="2" s="1"/>
  <c r="W484" i="2" s="1"/>
  <c r="P1147" i="2" a="1"/>
  <c r="P1147" i="2" s="1"/>
  <c r="R1147" i="2" s="1"/>
  <c r="V1147" i="2" s="1"/>
  <c r="W1147" i="2" s="1"/>
  <c r="P1507" i="2" a="1"/>
  <c r="P1507" i="2" s="1"/>
  <c r="R1507" i="2" s="1"/>
  <c r="V1507" i="2" s="1"/>
  <c r="W1507" i="2" s="1"/>
  <c r="P846" i="2" a="1"/>
  <c r="P846" i="2" s="1"/>
  <c r="R846" i="2" s="1"/>
  <c r="V846" i="2" s="1"/>
  <c r="W846" i="2" s="1"/>
  <c r="P10" i="2" a="1"/>
  <c r="P10" i="2" s="1"/>
  <c r="R10" i="2" s="1"/>
  <c r="V10" i="2" s="1"/>
  <c r="W10" i="2" s="1"/>
  <c r="P1431" i="2" a="1"/>
  <c r="P1431" i="2" s="1"/>
  <c r="R1431" i="2" s="1"/>
  <c r="V1431" i="2" s="1"/>
  <c r="W1431" i="2" s="1"/>
  <c r="P74" i="2" a="1"/>
  <c r="P74" i="2" s="1"/>
  <c r="R74" i="2" s="1"/>
  <c r="V74" i="2" s="1"/>
  <c r="W74" i="2" s="1"/>
  <c r="P1676" i="2" a="1"/>
  <c r="P1676" i="2" s="1"/>
  <c r="R1676" i="2" s="1"/>
  <c r="V1676" i="2" s="1"/>
  <c r="W1676" i="2" s="1"/>
  <c r="P1125" i="2" a="1"/>
  <c r="P1125" i="2" s="1"/>
  <c r="R1125" i="2" s="1"/>
  <c r="V1125" i="2" s="1"/>
  <c r="W1125" i="2" s="1"/>
  <c r="P1428" i="2" a="1"/>
  <c r="P1428" i="2" s="1"/>
  <c r="R1428" i="2" s="1"/>
  <c r="V1428" i="2" s="1"/>
  <c r="W1428" i="2" s="1"/>
  <c r="P1615" i="2" a="1"/>
  <c r="P1615" i="2" s="1"/>
  <c r="R1615" i="2" s="1"/>
  <c r="V1615" i="2" s="1"/>
  <c r="W1615" i="2" s="1"/>
  <c r="P453" i="2" a="1"/>
  <c r="P453" i="2" s="1"/>
  <c r="R453" i="2" s="1"/>
  <c r="V453" i="2" s="1"/>
  <c r="W453" i="2" s="1"/>
  <c r="P1309" i="2" a="1"/>
  <c r="P1309" i="2" s="1"/>
  <c r="R1309" i="2" s="1"/>
  <c r="V1309" i="2" s="1"/>
  <c r="W1309" i="2" s="1"/>
  <c r="P997" i="2" a="1"/>
  <c r="P997" i="2" s="1"/>
  <c r="R997" i="2" s="1"/>
  <c r="V997" i="2" s="1"/>
  <c r="W997" i="2" s="1"/>
  <c r="P270" i="2" a="1"/>
  <c r="P270" i="2" s="1"/>
  <c r="R270" i="2" s="1"/>
  <c r="V270" i="2" s="1"/>
  <c r="W270" i="2" s="1"/>
  <c r="P418" i="2" a="1"/>
  <c r="P418" i="2" s="1"/>
  <c r="R418" i="2" s="1"/>
  <c r="V418" i="2" s="1"/>
  <c r="W418" i="2" s="1"/>
  <c r="P2060" i="2" a="1"/>
  <c r="P2060" i="2" s="1"/>
  <c r="R2060" i="2" s="1"/>
  <c r="V2060" i="2" s="1"/>
  <c r="W2060" i="2" s="1"/>
  <c r="P513" i="2" a="1"/>
  <c r="P513" i="2" s="1"/>
  <c r="R513" i="2" s="1"/>
  <c r="V513" i="2" s="1"/>
  <c r="W513" i="2" s="1"/>
  <c r="P1581" i="2" a="1"/>
  <c r="P1581" i="2" s="1"/>
  <c r="R1581" i="2" s="1"/>
  <c r="V1581" i="2" s="1"/>
  <c r="W1581" i="2" s="1"/>
  <c r="P410" i="2" a="1"/>
  <c r="P410" i="2" s="1"/>
  <c r="R410" i="2" s="1"/>
  <c r="V410" i="2" s="1"/>
  <c r="W410" i="2" s="1"/>
  <c r="P50" i="2" a="1"/>
  <c r="P50" i="2" s="1"/>
  <c r="R50" i="2" s="1"/>
  <c r="V50" i="2" s="1"/>
  <c r="W50" i="2" s="1"/>
  <c r="P1408" i="2" a="1"/>
  <c r="P1408" i="2" s="1"/>
  <c r="R1408" i="2" s="1"/>
  <c r="V1408" i="2" s="1"/>
  <c r="W1408" i="2" s="1"/>
  <c r="P1285" i="2" a="1"/>
  <c r="P1285" i="2" s="1"/>
  <c r="R1285" i="2" s="1"/>
  <c r="V1285" i="2" s="1"/>
  <c r="W1285" i="2" s="1"/>
  <c r="P170" i="2" a="1"/>
  <c r="P170" i="2" s="1"/>
  <c r="R170" i="2" s="1"/>
  <c r="V170" i="2" s="1"/>
  <c r="W170" i="2" s="1"/>
  <c r="P1297" i="2" a="1"/>
  <c r="P1297" i="2" s="1"/>
  <c r="R1297" i="2" s="1"/>
  <c r="V1297" i="2" s="1"/>
  <c r="W1297" i="2" s="1"/>
  <c r="P439" i="2" a="1"/>
  <c r="P439" i="2" s="1"/>
  <c r="R439" i="2" s="1"/>
  <c r="V439" i="2" s="1"/>
  <c r="W439" i="2" s="1"/>
  <c r="P1547" i="2" a="1"/>
  <c r="P1547" i="2" s="1"/>
  <c r="R1547" i="2" s="1"/>
  <c r="V1547" i="2" s="1"/>
  <c r="W1547" i="2" s="1"/>
  <c r="P341" i="2" a="1"/>
  <c r="P341" i="2" s="1"/>
  <c r="R341" i="2" s="1"/>
  <c r="V341" i="2" s="1"/>
  <c r="W341" i="2" s="1"/>
  <c r="P980" i="2" a="1"/>
  <c r="P980" i="2" s="1"/>
  <c r="R980" i="2" s="1"/>
  <c r="V980" i="2" s="1"/>
  <c r="W980" i="2" s="1"/>
  <c r="P38" i="2" a="1"/>
  <c r="P38" i="2" s="1"/>
  <c r="R38" i="2" s="1"/>
  <c r="V38" i="2" s="1"/>
  <c r="W38" i="2" s="1"/>
  <c r="P1129" i="2" a="1"/>
  <c r="P1129" i="2" s="1"/>
  <c r="R1129" i="2" s="1"/>
  <c r="V1129" i="2" s="1"/>
  <c r="W1129" i="2" s="1"/>
  <c r="P1463" i="2" a="1"/>
  <c r="P1463" i="2" s="1"/>
  <c r="R1463" i="2" s="1"/>
  <c r="V1463" i="2" s="1"/>
  <c r="W1463" i="2" s="1"/>
  <c r="P1250" i="2" a="1"/>
  <c r="P1250" i="2" s="1"/>
  <c r="R1250" i="2" s="1"/>
  <c r="V1250" i="2" s="1"/>
  <c r="W1250" i="2" s="1"/>
  <c r="P795" i="2" a="1"/>
  <c r="P795" i="2" s="1"/>
  <c r="R795" i="2" s="1"/>
  <c r="V795" i="2" s="1"/>
  <c r="W795" i="2" s="1"/>
  <c r="P1504" i="2" a="1"/>
  <c r="P1504" i="2" s="1"/>
  <c r="R1504" i="2" s="1"/>
  <c r="V1504" i="2" s="1"/>
  <c r="W1504" i="2" s="1"/>
  <c r="P1563" i="2" a="1"/>
  <c r="P1563" i="2" s="1"/>
  <c r="R1563" i="2" s="1"/>
  <c r="V1563" i="2" s="1"/>
  <c r="W1563" i="2" s="1"/>
  <c r="P1484" i="2" a="1"/>
  <c r="P1484" i="2" s="1"/>
  <c r="R1484" i="2" s="1"/>
  <c r="V1484" i="2" s="1"/>
  <c r="W1484" i="2" s="1"/>
  <c r="P75" i="2" a="1"/>
  <c r="P75" i="2" s="1"/>
  <c r="R75" i="2" s="1"/>
  <c r="V75" i="2" s="1"/>
  <c r="W75" i="2" s="1"/>
  <c r="P1225" i="2" a="1"/>
  <c r="P1225" i="2" s="1"/>
  <c r="R1225" i="2" s="1"/>
  <c r="V1225" i="2" s="1"/>
  <c r="W1225" i="2" s="1"/>
  <c r="P1460" i="2" a="1"/>
  <c r="P1460" i="2" s="1"/>
  <c r="R1460" i="2" s="1"/>
  <c r="V1460" i="2" s="1"/>
  <c r="W1460" i="2" s="1"/>
  <c r="P235" i="2" a="1"/>
  <c r="P235" i="2" s="1"/>
  <c r="R235" i="2" s="1"/>
  <c r="V235" i="2" s="1"/>
  <c r="W235" i="2" s="1"/>
  <c r="P2032" i="2" a="1"/>
  <c r="P2032" i="2" s="1"/>
  <c r="R2032" i="2" s="1"/>
  <c r="V2032" i="2" s="1"/>
  <c r="W2032" i="2" s="1"/>
  <c r="P2047" i="2" a="1"/>
  <c r="P2047" i="2" s="1"/>
  <c r="R2047" i="2" s="1"/>
  <c r="V2047" i="2" s="1"/>
  <c r="W2047" i="2" s="1"/>
  <c r="P243" i="2" a="1"/>
  <c r="P243" i="2" s="1"/>
  <c r="R243" i="2" s="1"/>
  <c r="V243" i="2" s="1"/>
  <c r="W243" i="2" s="1"/>
  <c r="P434" i="2" a="1"/>
  <c r="P434" i="2" s="1"/>
  <c r="R434" i="2" s="1"/>
  <c r="V434" i="2" s="1"/>
  <c r="W434" i="2" s="1"/>
  <c r="P177" i="2" a="1"/>
  <c r="P177" i="2" s="1"/>
  <c r="R177" i="2" s="1"/>
  <c r="V177" i="2" s="1"/>
  <c r="W177" i="2" s="1"/>
  <c r="P1109" i="2" a="1"/>
  <c r="P1109" i="2" s="1"/>
  <c r="R1109" i="2" s="1"/>
  <c r="V1109" i="2" s="1"/>
  <c r="W1109" i="2" s="1"/>
  <c r="P422" i="2" a="1"/>
  <c r="P422" i="2" s="1"/>
  <c r="R422" i="2" s="1"/>
  <c r="V422" i="2" s="1"/>
  <c r="W422" i="2" s="1"/>
  <c r="P964" i="2" a="1"/>
  <c r="P964" i="2" s="1"/>
  <c r="R964" i="2" s="1"/>
  <c r="V964" i="2" s="1"/>
  <c r="W964" i="2" s="1"/>
  <c r="P488" i="2" a="1"/>
  <c r="P488" i="2" s="1"/>
  <c r="R488" i="2" s="1"/>
  <c r="V488" i="2" s="1"/>
  <c r="W488" i="2" s="1"/>
  <c r="P990" i="2" a="1"/>
  <c r="P990" i="2" s="1"/>
  <c r="R990" i="2" s="1"/>
  <c r="V990" i="2" s="1"/>
  <c r="W990" i="2" s="1"/>
  <c r="P1294" i="2" a="1"/>
  <c r="P1294" i="2" s="1"/>
  <c r="R1294" i="2" s="1"/>
  <c r="V1294" i="2" s="1"/>
  <c r="W1294" i="2" s="1"/>
  <c r="P213" i="2" a="1"/>
  <c r="P213" i="2" s="1"/>
  <c r="R213" i="2" s="1"/>
  <c r="V213" i="2" s="1"/>
  <c r="W213" i="2" s="1"/>
  <c r="P881" i="2" a="1"/>
  <c r="P881" i="2" s="1"/>
  <c r="R881" i="2" s="1"/>
  <c r="V881" i="2" s="1"/>
  <c r="W881" i="2" s="1"/>
  <c r="P475" i="2" a="1"/>
  <c r="P475" i="2" s="1"/>
  <c r="R475" i="2" s="1"/>
  <c r="V475" i="2" s="1"/>
  <c r="W475" i="2" s="1"/>
  <c r="P1659" i="2" a="1"/>
  <c r="P1659" i="2" s="1"/>
  <c r="R1659" i="2" s="1"/>
  <c r="V1659" i="2" s="1"/>
  <c r="W1659" i="2" s="1"/>
  <c r="P1184" i="2" a="1"/>
  <c r="P1184" i="2" s="1"/>
  <c r="R1184" i="2" s="1"/>
  <c r="V1184" i="2" s="1"/>
  <c r="W1184" i="2" s="1"/>
  <c r="P1535" i="2" a="1"/>
  <c r="P1535" i="2" s="1"/>
  <c r="R1535" i="2" s="1"/>
  <c r="V1535" i="2" s="1"/>
  <c r="W1535" i="2" s="1"/>
  <c r="P1589" i="2" a="1"/>
  <c r="P1589" i="2" s="1"/>
  <c r="R1589" i="2" s="1"/>
  <c r="V1589" i="2" s="1"/>
  <c r="W1589" i="2" s="1"/>
  <c r="P223" i="2" a="1"/>
  <c r="P223" i="2" s="1"/>
  <c r="R223" i="2" s="1"/>
  <c r="V223" i="2" s="1"/>
  <c r="W223" i="2" s="1"/>
  <c r="P119" i="2" a="1"/>
  <c r="P119" i="2" s="1"/>
  <c r="R119" i="2" s="1"/>
  <c r="V119" i="2" s="1"/>
  <c r="W119" i="2" s="1"/>
  <c r="P969" i="2" a="1"/>
  <c r="P969" i="2" s="1"/>
  <c r="R969" i="2" s="1"/>
  <c r="V969" i="2" s="1"/>
  <c r="W969" i="2" s="1"/>
  <c r="P271" i="2" a="1"/>
  <c r="P271" i="2" s="1"/>
  <c r="R271" i="2" s="1"/>
  <c r="V271" i="2" s="1"/>
  <c r="W271" i="2" s="1"/>
  <c r="P535" i="2" a="1"/>
  <c r="P535" i="2" s="1"/>
  <c r="R535" i="2" s="1"/>
  <c r="V535" i="2" s="1"/>
  <c r="W535" i="2" s="1"/>
  <c r="P1592" i="2" a="1"/>
  <c r="P1592" i="2" s="1"/>
  <c r="R1592" i="2" s="1"/>
  <c r="V1592" i="2" s="1"/>
  <c r="W1592" i="2" s="1"/>
  <c r="P111" i="2" a="1"/>
  <c r="P111" i="2" s="1"/>
  <c r="R111" i="2" s="1"/>
  <c r="V111" i="2" s="1"/>
  <c r="W111" i="2" s="1"/>
  <c r="P889" i="2" a="1"/>
  <c r="P889" i="2" s="1"/>
  <c r="R889" i="2" s="1"/>
  <c r="V889" i="2" s="1"/>
  <c r="W889" i="2" s="1"/>
  <c r="P250" i="2" a="1"/>
  <c r="P250" i="2" s="1"/>
  <c r="R250" i="2" s="1"/>
  <c r="V250" i="2" s="1"/>
  <c r="W250" i="2" s="1"/>
  <c r="P509" i="2" a="1"/>
  <c r="P509" i="2" s="1"/>
  <c r="R509" i="2" s="1"/>
  <c r="V509" i="2" s="1"/>
  <c r="W509" i="2" s="1"/>
  <c r="P380" i="2" a="1"/>
  <c r="P380" i="2" s="1"/>
  <c r="R380" i="2" s="1"/>
  <c r="V380" i="2" s="1"/>
  <c r="W380" i="2" s="1"/>
  <c r="P100" i="2" a="1"/>
  <c r="P100" i="2" s="1"/>
  <c r="R100" i="2" s="1"/>
  <c r="V100" i="2" s="1"/>
  <c r="W100" i="2" s="1"/>
  <c r="P1161" i="2" a="1"/>
  <c r="P1161" i="2" s="1"/>
  <c r="R1161" i="2" s="1"/>
  <c r="V1161" i="2" s="1"/>
  <c r="W1161" i="2" s="1"/>
  <c r="P252" i="2" a="1"/>
  <c r="P252" i="2" s="1"/>
  <c r="R252" i="2" s="1"/>
  <c r="V252" i="2" s="1"/>
  <c r="W252" i="2" s="1"/>
  <c r="P1132" i="2" a="1"/>
  <c r="P1132" i="2" s="1"/>
  <c r="R1132" i="2" s="1"/>
  <c r="V1132" i="2" s="1"/>
  <c r="W1132" i="2" s="1"/>
  <c r="P1660" i="2" a="1"/>
  <c r="P1660" i="2" s="1"/>
  <c r="R1660" i="2" s="1"/>
  <c r="V1660" i="2" s="1"/>
  <c r="W1660" i="2" s="1"/>
  <c r="P154" i="2" a="1"/>
  <c r="P154" i="2" s="1"/>
  <c r="R154" i="2" s="1"/>
  <c r="V154" i="2" s="1"/>
  <c r="W154" i="2" s="1"/>
  <c r="P954" i="2" a="1"/>
  <c r="P954" i="2" s="1"/>
  <c r="R954" i="2" s="1"/>
  <c r="V954" i="2" s="1"/>
  <c r="W954" i="2" s="1"/>
  <c r="P352" i="2" a="1"/>
  <c r="P352" i="2" s="1"/>
  <c r="R352" i="2" s="1"/>
  <c r="V352" i="2" s="1"/>
  <c r="W352" i="2" s="1"/>
  <c r="P1274" i="2" a="1"/>
  <c r="P1274" i="2" s="1"/>
  <c r="R1274" i="2" s="1"/>
  <c r="V1274" i="2" s="1"/>
  <c r="W1274" i="2" s="1"/>
  <c r="P81" i="2" a="1"/>
  <c r="P81" i="2" s="1"/>
  <c r="R81" i="2" s="1"/>
  <c r="V81" i="2" s="1"/>
  <c r="W81" i="2" s="1"/>
  <c r="P246" i="2" a="1"/>
  <c r="P246" i="2" s="1"/>
  <c r="R246" i="2" s="1"/>
  <c r="V246" i="2" s="1"/>
  <c r="W246" i="2" s="1"/>
  <c r="P1666" i="2" a="1"/>
  <c r="P1666" i="2" s="1"/>
  <c r="R1666" i="2" s="1"/>
  <c r="V1666" i="2" s="1"/>
  <c r="W1666" i="2" s="1"/>
  <c r="P842" i="2" a="1"/>
  <c r="P842" i="2" s="1"/>
  <c r="R842" i="2" s="1"/>
  <c r="V842" i="2" s="1"/>
  <c r="W842" i="2" s="1"/>
  <c r="P1112" i="2" a="1"/>
  <c r="P1112" i="2" s="1"/>
  <c r="R1112" i="2" s="1"/>
  <c r="V1112" i="2" s="1"/>
  <c r="W1112" i="2" s="1"/>
  <c r="P922" i="2" a="1"/>
  <c r="P922" i="2" s="1"/>
  <c r="R922" i="2" s="1"/>
  <c r="V922" i="2" s="1"/>
  <c r="W922" i="2" s="1"/>
  <c r="P1296" i="2" a="1"/>
  <c r="P1296" i="2" s="1"/>
  <c r="R1296" i="2" s="1"/>
  <c r="V1296" i="2" s="1"/>
  <c r="W1296" i="2" s="1"/>
  <c r="P1342" i="2" a="1"/>
  <c r="P1342" i="2" s="1"/>
  <c r="R1342" i="2" s="1"/>
  <c r="V1342" i="2" s="1"/>
  <c r="W1342" i="2" s="1"/>
  <c r="P1058" i="2" a="1"/>
  <c r="P1058" i="2" s="1"/>
  <c r="R1058" i="2" s="1"/>
  <c r="V1058" i="2" s="1"/>
  <c r="W1058" i="2" s="1"/>
  <c r="P1204" i="2" a="1"/>
  <c r="P1204" i="2" s="1"/>
  <c r="R1204" i="2" s="1"/>
  <c r="V1204" i="2" s="1"/>
  <c r="W1204" i="2" s="1"/>
  <c r="P1166" i="2" a="1"/>
  <c r="P1166" i="2" s="1"/>
  <c r="R1166" i="2" s="1"/>
  <c r="V1166" i="2" s="1"/>
  <c r="W1166" i="2" s="1"/>
  <c r="P138" i="2" a="1"/>
  <c r="P138" i="2" s="1"/>
  <c r="R138" i="2" s="1"/>
  <c r="V138" i="2" s="1"/>
  <c r="W138" i="2" s="1"/>
  <c r="P1750" i="2" a="1"/>
  <c r="P1750" i="2" s="1"/>
  <c r="R1750" i="2" s="1"/>
  <c r="V1750" i="2" s="1"/>
  <c r="W1750" i="2" s="1"/>
  <c r="P759" i="2" a="1"/>
  <c r="P759" i="2" s="1"/>
  <c r="R759" i="2" s="1"/>
  <c r="V759" i="2" s="1"/>
  <c r="W759" i="2" s="1"/>
  <c r="P391" i="2" a="1"/>
  <c r="P391" i="2" s="1"/>
  <c r="R391" i="2" s="1"/>
  <c r="V391" i="2" s="1"/>
  <c r="W391" i="2" s="1"/>
  <c r="P497" i="2" a="1"/>
  <c r="P497" i="2" s="1"/>
  <c r="R497" i="2" s="1"/>
  <c r="V497" i="2" s="1"/>
  <c r="W497" i="2" s="1"/>
  <c r="P952" i="2" a="1"/>
  <c r="P952" i="2" s="1"/>
  <c r="R952" i="2" s="1"/>
  <c r="V952" i="2" s="1"/>
  <c r="W952" i="2" s="1"/>
  <c r="P360" i="2" a="1"/>
  <c r="P360" i="2" s="1"/>
  <c r="R360" i="2" s="1"/>
  <c r="V360" i="2" s="1"/>
  <c r="W360" i="2" s="1"/>
  <c r="P348" i="2" a="1"/>
  <c r="P348" i="2" s="1"/>
  <c r="R348" i="2" s="1"/>
  <c r="V348" i="2" s="1"/>
  <c r="W348" i="2" s="1"/>
  <c r="P1711" i="2" a="1"/>
  <c r="P1711" i="2" s="1"/>
  <c r="R1711" i="2" s="1"/>
  <c r="V1711" i="2" s="1"/>
  <c r="W1711" i="2" s="1"/>
  <c r="P797" i="2" a="1"/>
  <c r="P797" i="2" s="1"/>
  <c r="R797" i="2" s="1"/>
  <c r="V797" i="2" s="1"/>
  <c r="W797" i="2" s="1"/>
  <c r="P1630" i="2" a="1"/>
  <c r="P1630" i="2" s="1"/>
  <c r="R1630" i="2" s="1"/>
  <c r="V1630" i="2" s="1"/>
  <c r="W1630" i="2" s="1"/>
  <c r="P1405" i="2" a="1"/>
  <c r="P1405" i="2" s="1"/>
  <c r="R1405" i="2" s="1"/>
  <c r="V1405" i="2" s="1"/>
  <c r="W1405" i="2" s="1"/>
  <c r="P1427" i="2" a="1"/>
  <c r="P1427" i="2" s="1"/>
  <c r="R1427" i="2" s="1"/>
  <c r="V1427" i="2" s="1"/>
  <c r="W1427" i="2" s="1"/>
  <c r="P2050" i="2" a="1"/>
  <c r="P2050" i="2" s="1"/>
  <c r="R2050" i="2" s="1"/>
  <c r="V2050" i="2" s="1"/>
  <c r="W2050" i="2" s="1"/>
  <c r="P28" i="2" a="1"/>
  <c r="P28" i="2" s="1"/>
  <c r="R28" i="2" s="1"/>
  <c r="V28" i="2" s="1"/>
  <c r="W28" i="2" s="1"/>
  <c r="P853" i="2" a="1"/>
  <c r="P853" i="2" s="1"/>
  <c r="R853" i="2" s="1"/>
  <c r="V853" i="2" s="1"/>
  <c r="W853" i="2" s="1"/>
  <c r="P761" i="2" a="1"/>
  <c r="P761" i="2" s="1"/>
  <c r="R761" i="2" s="1"/>
  <c r="V761" i="2" s="1"/>
  <c r="W761" i="2" s="1"/>
  <c r="P1177" i="2" a="1"/>
  <c r="P1177" i="2" s="1"/>
  <c r="R1177" i="2" s="1"/>
  <c r="V1177" i="2" s="1"/>
  <c r="W1177" i="2" s="1"/>
  <c r="P1587" i="2" a="1"/>
  <c r="P1587" i="2" s="1"/>
  <c r="R1587" i="2" s="1"/>
  <c r="V1587" i="2" s="1"/>
  <c r="W1587" i="2" s="1"/>
  <c r="P151" i="2" a="1"/>
  <c r="P151" i="2" s="1"/>
  <c r="R151" i="2" s="1"/>
  <c r="V151" i="2" s="1"/>
  <c r="W151" i="2" s="1"/>
  <c r="P1621" i="2" a="1"/>
  <c r="P1621" i="2" s="1"/>
  <c r="R1621" i="2" s="1"/>
  <c r="V1621" i="2" s="1"/>
  <c r="W1621" i="2" s="1"/>
  <c r="P1438" i="2" a="1"/>
  <c r="P1438" i="2" s="1"/>
  <c r="R1438" i="2" s="1"/>
  <c r="V1438" i="2" s="1"/>
  <c r="W1438" i="2" s="1"/>
  <c r="P292" i="2" a="1"/>
  <c r="P292" i="2" s="1"/>
  <c r="R292" i="2" s="1"/>
  <c r="V292" i="2" s="1"/>
  <c r="W292" i="2" s="1"/>
  <c r="P30" i="2" a="1"/>
  <c r="P30" i="2" s="1"/>
  <c r="R30" i="2" s="1"/>
  <c r="V30" i="2" s="1"/>
  <c r="W30" i="2" s="1"/>
  <c r="P1450" i="2" a="1"/>
  <c r="P1450" i="2" s="1"/>
  <c r="R1450" i="2" s="1"/>
  <c r="V1450" i="2" s="1"/>
  <c r="W1450" i="2" s="1"/>
  <c r="P806" i="2" a="1"/>
  <c r="P806" i="2" s="1"/>
  <c r="R806" i="2" s="1"/>
  <c r="V806" i="2" s="1"/>
  <c r="W806" i="2" s="1"/>
  <c r="P899" i="2" a="1"/>
  <c r="P899" i="2" s="1"/>
  <c r="R899" i="2" s="1"/>
  <c r="V899" i="2" s="1"/>
  <c r="W899" i="2" s="1"/>
  <c r="P1446" i="2" a="1"/>
  <c r="P1446" i="2" s="1"/>
  <c r="R1446" i="2" s="1"/>
  <c r="V1446" i="2" s="1"/>
  <c r="W1446" i="2" s="1"/>
  <c r="P62" i="2" a="1"/>
  <c r="P62" i="2" s="1"/>
  <c r="R62" i="2" s="1"/>
  <c r="V62" i="2" s="1"/>
  <c r="W62" i="2" s="1"/>
  <c r="P1232" i="2" a="1"/>
  <c r="P1232" i="2" s="1"/>
  <c r="R1232" i="2" s="1"/>
  <c r="V1232" i="2" s="1"/>
  <c r="W1232" i="2" s="1"/>
  <c r="P196" i="2" a="1"/>
  <c r="P196" i="2" s="1"/>
  <c r="R196" i="2" s="1"/>
  <c r="V196" i="2" s="1"/>
  <c r="W196" i="2" s="1"/>
  <c r="P818" i="2" a="1"/>
  <c r="P818" i="2" s="1"/>
  <c r="R818" i="2" s="1"/>
  <c r="V818" i="2" s="1"/>
  <c r="W818" i="2" s="1"/>
  <c r="P920" i="2" a="1"/>
  <c r="P920" i="2" s="1"/>
  <c r="R920" i="2" s="1"/>
  <c r="V920" i="2" s="1"/>
  <c r="W920" i="2" s="1"/>
  <c r="P988" i="2" a="1"/>
  <c r="P988" i="2" s="1"/>
  <c r="R988" i="2" s="1"/>
  <c r="V988" i="2" s="1"/>
  <c r="W988" i="2" s="1"/>
  <c r="P1466" i="2" a="1"/>
  <c r="P1466" i="2" s="1"/>
  <c r="R1466" i="2" s="1"/>
  <c r="V1466" i="2" s="1"/>
  <c r="W1466" i="2" s="1"/>
  <c r="P1638" i="2" a="1"/>
  <c r="P1638" i="2" s="1"/>
  <c r="R1638" i="2" s="1"/>
  <c r="V1638" i="2" s="1"/>
  <c r="W1638" i="2" s="1"/>
  <c r="P906" i="2" a="1"/>
  <c r="P906" i="2" s="1"/>
  <c r="R906" i="2" s="1"/>
  <c r="V906" i="2" s="1"/>
  <c r="W906" i="2" s="1"/>
  <c r="P983" i="2" a="1"/>
  <c r="P983" i="2" s="1"/>
  <c r="R983" i="2" s="1"/>
  <c r="V983" i="2" s="1"/>
  <c r="W983" i="2" s="1"/>
  <c r="P2039" i="2" a="1"/>
  <c r="P2039" i="2" s="1"/>
  <c r="R2039" i="2" s="1"/>
  <c r="V2039" i="2" s="1"/>
  <c r="W2039" i="2" s="1"/>
  <c r="P441" i="2" a="1"/>
  <c r="P441" i="2" s="1"/>
  <c r="R441" i="2" s="1"/>
  <c r="V441" i="2" s="1"/>
  <c r="W441" i="2" s="1"/>
  <c r="P1486" i="2" a="1"/>
  <c r="P1486" i="2" s="1"/>
  <c r="R1486" i="2" s="1"/>
  <c r="V1486" i="2" s="1"/>
  <c r="W1486" i="2" s="1"/>
  <c r="P1042" i="2" a="1"/>
  <c r="P1042" i="2" s="1"/>
  <c r="R1042" i="2" s="1"/>
  <c r="V1042" i="2" s="1"/>
  <c r="W1042" i="2" s="1"/>
  <c r="P1537" i="2" a="1"/>
  <c r="P1537" i="2" s="1"/>
  <c r="R1537" i="2" s="1"/>
  <c r="V1537" i="2" s="1"/>
  <c r="W1537" i="2" s="1"/>
  <c r="P419" i="2" a="1"/>
  <c r="P419" i="2" s="1"/>
  <c r="R419" i="2" s="1"/>
  <c r="V419" i="2" s="1"/>
  <c r="W419" i="2" s="1"/>
  <c r="P469" i="2" a="1"/>
  <c r="P469" i="2" s="1"/>
  <c r="R469" i="2" s="1"/>
  <c r="V469" i="2" s="1"/>
  <c r="W469" i="2" s="1"/>
  <c r="P504" i="2" a="1"/>
  <c r="P504" i="2" s="1"/>
  <c r="R504" i="2" s="1"/>
  <c r="V504" i="2" s="1"/>
  <c r="W504" i="2" s="1"/>
  <c r="P260" i="2" a="1"/>
  <c r="P260" i="2" s="1"/>
  <c r="R260" i="2" s="1"/>
  <c r="V260" i="2" s="1"/>
  <c r="W260" i="2" s="1"/>
  <c r="P768" i="2" a="1"/>
  <c r="P768" i="2" s="1"/>
  <c r="R768" i="2" s="1"/>
  <c r="V768" i="2" s="1"/>
  <c r="W768" i="2" s="1"/>
  <c r="P1331" i="2" a="1"/>
  <c r="P1331" i="2" s="1"/>
  <c r="R1331" i="2" s="1"/>
  <c r="V1331" i="2" s="1"/>
  <c r="W1331" i="2" s="1"/>
  <c r="P455" i="2" a="1"/>
  <c r="P455" i="2" s="1"/>
  <c r="R455" i="2" s="1"/>
  <c r="V455" i="2" s="1"/>
  <c r="W455" i="2" s="1"/>
  <c r="P226" i="2" a="1"/>
  <c r="P226" i="2" s="1"/>
  <c r="R226" i="2" s="1"/>
  <c r="V226" i="2" s="1"/>
  <c r="W226" i="2" s="1"/>
  <c r="P533" i="2" a="1"/>
  <c r="P533" i="2" s="1"/>
  <c r="R533" i="2" s="1"/>
  <c r="V533" i="2" s="1"/>
  <c r="W533" i="2" s="1"/>
  <c r="P863" i="2" a="1"/>
  <c r="P863" i="2" s="1"/>
  <c r="R863" i="2" s="1"/>
  <c r="V863" i="2" s="1"/>
  <c r="W863" i="2" s="1"/>
  <c r="P2012" i="2" a="1"/>
  <c r="P2012" i="2" s="1"/>
  <c r="R2012" i="2" s="1"/>
  <c r="V2012" i="2" s="1"/>
  <c r="W2012" i="2" s="1"/>
  <c r="Q686" i="2" a="1"/>
  <c r="Q686" i="2" s="1"/>
  <c r="P686" i="2" a="1"/>
  <c r="P686" i="2" s="1"/>
  <c r="R686" i="2" s="1"/>
  <c r="V686" i="2" s="1"/>
  <c r="W686" i="2" s="1"/>
  <c r="Q687" i="2" a="1"/>
  <c r="Q687" i="2" s="1"/>
  <c r="P687" i="2" a="1"/>
  <c r="P687" i="2" s="1"/>
  <c r="R687" i="2" s="1"/>
  <c r="V687" i="2" s="1"/>
  <c r="W687" i="2" s="1"/>
  <c r="P688" i="2" a="1"/>
  <c r="P688" i="2" s="1"/>
  <c r="R688" i="2" s="1"/>
  <c r="V688" i="2" s="1"/>
  <c r="W688" i="2" s="1"/>
  <c r="Q721" i="2" a="1"/>
  <c r="Q721" i="2" s="1"/>
  <c r="P777" i="2" a="1"/>
  <c r="P777" i="2" s="1"/>
  <c r="R777" i="2" s="1"/>
  <c r="V777" i="2" s="1"/>
  <c r="W777" i="2" s="1"/>
  <c r="Q717" i="2" a="1"/>
  <c r="Q717" i="2" s="1"/>
  <c r="P717" i="2" a="1"/>
  <c r="P717" i="2" s="1"/>
  <c r="R717" i="2" s="1"/>
  <c r="V717" i="2" s="1"/>
  <c r="W717" i="2" s="1"/>
  <c r="Q716" i="2" a="1"/>
  <c r="Q716" i="2" s="1"/>
  <c r="P414" i="2" a="1"/>
  <c r="P414" i="2" s="1"/>
  <c r="R414" i="2" s="1"/>
  <c r="V414" i="2" s="1"/>
  <c r="W414" i="2" s="1"/>
  <c r="P82" i="2" a="1"/>
  <c r="P82" i="2" s="1"/>
  <c r="R82" i="2" s="1"/>
  <c r="V82" i="2" s="1"/>
  <c r="W82" i="2" s="1"/>
  <c r="P1607" i="2" a="1"/>
  <c r="P1607" i="2" s="1"/>
  <c r="R1607" i="2" s="1"/>
  <c r="V1607" i="2" s="1"/>
  <c r="W1607" i="2" s="1"/>
  <c r="P716" i="2" a="1"/>
  <c r="P716" i="2" s="1"/>
  <c r="R716" i="2" s="1"/>
  <c r="V716" i="2" s="1"/>
  <c r="W716" i="2" s="1"/>
  <c r="P1502" i="2" a="1"/>
  <c r="P1502" i="2" s="1"/>
  <c r="R1502" i="2" s="1"/>
  <c r="V1502" i="2" s="1"/>
  <c r="W1502" i="2" s="1"/>
  <c r="P451" i="2" a="1"/>
  <c r="P451" i="2" s="1"/>
  <c r="R451" i="2" s="1"/>
  <c r="V451" i="2" s="1"/>
  <c r="W451" i="2" s="1"/>
  <c r="P836" i="2" a="1"/>
  <c r="P836" i="2" s="1"/>
  <c r="R836" i="2" s="1"/>
  <c r="V836" i="2" s="1"/>
  <c r="W836" i="2" s="1"/>
  <c r="Q715" i="2" a="1"/>
  <c r="Q715" i="2" s="1"/>
  <c r="P1348" i="2" a="1"/>
  <c r="P1348" i="2" s="1"/>
  <c r="R1348" i="2" s="1"/>
  <c r="V1348" i="2" s="1"/>
  <c r="W1348" i="2" s="1"/>
  <c r="P1163" i="2" a="1"/>
  <c r="P1163" i="2" s="1"/>
  <c r="R1163" i="2" s="1"/>
  <c r="V1163" i="2" s="1"/>
  <c r="W1163" i="2" s="1"/>
  <c r="P1202" i="2" a="1"/>
  <c r="P1202" i="2" s="1"/>
  <c r="R1202" i="2" s="1"/>
  <c r="V1202" i="2" s="1"/>
  <c r="W1202" i="2" s="1"/>
  <c r="P340" i="2" a="1"/>
  <c r="P340" i="2" s="1"/>
  <c r="R340" i="2" s="1"/>
  <c r="V340" i="2" s="1"/>
  <c r="W340" i="2" s="1"/>
  <c r="P1236" i="2" a="1"/>
  <c r="P1236" i="2" s="1"/>
  <c r="R1236" i="2" s="1"/>
  <c r="V1236" i="2" s="1"/>
  <c r="W1236" i="2" s="1"/>
  <c r="P715" i="2" a="1"/>
  <c r="P715" i="2" s="1"/>
  <c r="R715" i="2" s="1"/>
  <c r="V715" i="2" s="1"/>
  <c r="W715" i="2" s="1"/>
  <c r="P840" i="2" a="1"/>
  <c r="P840" i="2" s="1"/>
  <c r="R840" i="2" s="1"/>
  <c r="V840" i="2" s="1"/>
  <c r="W840" i="2" s="1"/>
  <c r="P1008" i="2" a="1"/>
  <c r="P1008" i="2" s="1"/>
  <c r="R1008" i="2" s="1"/>
  <c r="V1008" i="2" s="1"/>
  <c r="W1008" i="2" s="1"/>
  <c r="P60" i="2" a="1"/>
  <c r="P60" i="2" s="1"/>
  <c r="R60" i="2" s="1"/>
  <c r="V60" i="2" s="1"/>
  <c r="W60" i="2" s="1"/>
  <c r="P495" i="2" a="1"/>
  <c r="P495" i="2" s="1"/>
  <c r="R495" i="2" s="1"/>
  <c r="V495" i="2" s="1"/>
  <c r="W495" i="2" s="1"/>
  <c r="P297" i="2" a="1"/>
  <c r="P297" i="2" s="1"/>
  <c r="R297" i="2" s="1"/>
  <c r="V297" i="2" s="1"/>
  <c r="W297" i="2" s="1"/>
  <c r="Q714" i="2" a="1"/>
  <c r="Q714" i="2" s="1"/>
  <c r="P401" i="2" a="1"/>
  <c r="P401" i="2" s="1"/>
  <c r="R401" i="2" s="1"/>
  <c r="V401" i="2" s="1"/>
  <c r="W401" i="2" s="1"/>
  <c r="P841" i="2" a="1"/>
  <c r="P841" i="2" s="1"/>
  <c r="R841" i="2" s="1"/>
  <c r="V841" i="2" s="1"/>
  <c r="W841" i="2" s="1"/>
  <c r="P93" i="2" a="1"/>
  <c r="P93" i="2" s="1"/>
  <c r="R93" i="2" s="1"/>
  <c r="V93" i="2" s="1"/>
  <c r="W93" i="2" s="1"/>
  <c r="P861" i="2" a="1"/>
  <c r="P861" i="2" s="1"/>
  <c r="R861" i="2" s="1"/>
  <c r="V861" i="2" s="1"/>
  <c r="W861" i="2" s="1"/>
  <c r="P1346" i="2" a="1"/>
  <c r="P1346" i="2" s="1"/>
  <c r="R1346" i="2" s="1"/>
  <c r="V1346" i="2" s="1"/>
  <c r="W1346" i="2" s="1"/>
  <c r="P714" i="2" a="1"/>
  <c r="P714" i="2" s="1"/>
  <c r="R714" i="2" s="1"/>
  <c r="V714" i="2" s="1"/>
  <c r="W714" i="2" s="1"/>
  <c r="P318" i="2" a="1"/>
  <c r="P318" i="2" s="1"/>
  <c r="R318" i="2" s="1"/>
  <c r="V318" i="2" s="1"/>
  <c r="W318" i="2" s="1"/>
  <c r="P80" i="2" a="1"/>
  <c r="P80" i="2" s="1"/>
  <c r="R80" i="2" s="1"/>
  <c r="V80" i="2" s="1"/>
  <c r="W80" i="2" s="1"/>
  <c r="P993" i="2" a="1"/>
  <c r="P993" i="2" s="1"/>
  <c r="R993" i="2" s="1"/>
  <c r="V993" i="2" s="1"/>
  <c r="W993" i="2" s="1"/>
  <c r="P460" i="2" a="1"/>
  <c r="P460" i="2" s="1"/>
  <c r="R460" i="2" s="1"/>
  <c r="V460" i="2" s="1"/>
  <c r="W460" i="2" s="1"/>
  <c r="P362" i="2" a="1"/>
  <c r="P362" i="2" s="1"/>
  <c r="R362" i="2" s="1"/>
  <c r="V362" i="2" s="1"/>
  <c r="W362" i="2" s="1"/>
  <c r="Q713" i="2" a="1"/>
  <c r="Q713" i="2" s="1"/>
  <c r="P1334" i="2" a="1"/>
  <c r="P1334" i="2" s="1"/>
  <c r="R1334" i="2" s="1"/>
  <c r="V1334" i="2" s="1"/>
  <c r="W1334" i="2" s="1"/>
  <c r="P1160" i="2" a="1"/>
  <c r="P1160" i="2" s="1"/>
  <c r="R1160" i="2" s="1"/>
  <c r="V1160" i="2" s="1"/>
  <c r="W1160" i="2" s="1"/>
  <c r="P976" i="2" a="1"/>
  <c r="P976" i="2" s="1"/>
  <c r="R976" i="2" s="1"/>
  <c r="V976" i="2" s="1"/>
  <c r="W976" i="2" s="1"/>
  <c r="P1126" i="2" a="1"/>
  <c r="P1126" i="2" s="1"/>
  <c r="R1126" i="2" s="1"/>
  <c r="V1126" i="2" s="1"/>
  <c r="W1126" i="2" s="1"/>
  <c r="P1736" i="2" a="1"/>
  <c r="P1736" i="2" s="1"/>
  <c r="R1736" i="2" s="1"/>
  <c r="V1736" i="2" s="1"/>
  <c r="W1736" i="2" s="1"/>
  <c r="P713" i="2" a="1"/>
  <c r="P713" i="2" s="1"/>
  <c r="R713" i="2" s="1"/>
  <c r="V713" i="2" s="1"/>
  <c r="W713" i="2" s="1"/>
  <c r="Q718" i="2" a="1"/>
  <c r="Q718" i="2" s="1"/>
  <c r="P718" i="2" a="1"/>
  <c r="P718" i="2" s="1"/>
  <c r="R718" i="2" s="1"/>
  <c r="V718" i="2" s="1"/>
  <c r="W718" i="2" s="1"/>
  <c r="Q720" i="2" a="1"/>
  <c r="Q720" i="2" s="1"/>
  <c r="Q719" i="2" a="1"/>
  <c r="Q719" i="2" s="1"/>
  <c r="P719" i="2" a="1"/>
  <c r="P719" i="2" s="1"/>
  <c r="R719" i="2" s="1"/>
  <c r="V719" i="2" s="1"/>
  <c r="W719" i="2" s="1"/>
  <c r="P720" i="2" a="1"/>
  <c r="P720" i="2" s="1"/>
  <c r="R720" i="2" s="1"/>
  <c r="V720" i="2" s="1"/>
  <c r="W720" i="2" s="1"/>
  <c r="P721" i="2" a="1"/>
  <c r="P721" i="2" s="1"/>
  <c r="R721" i="2" s="1"/>
  <c r="V721" i="2" s="1"/>
  <c r="W721" i="2" s="1"/>
  <c r="Q723" i="2" a="1"/>
  <c r="Q723" i="2" s="1"/>
  <c r="Q722" i="2" a="1"/>
  <c r="Q722" i="2" s="1"/>
  <c r="P722" i="2" a="1"/>
  <c r="P722" i="2" s="1"/>
  <c r="R722" i="2" s="1"/>
  <c r="V722" i="2" s="1"/>
  <c r="W722" i="2" s="1"/>
  <c r="P723" i="2" a="1"/>
  <c r="P723" i="2" s="1"/>
  <c r="R723" i="2" s="1"/>
  <c r="V723" i="2" s="1"/>
  <c r="W723" i="2" s="1"/>
  <c r="Q199" i="2" a="1"/>
  <c r="Q199" i="2" s="1"/>
  <c r="P667" i="2" a="1"/>
  <c r="P667" i="2" s="1"/>
  <c r="R667" i="2" s="1"/>
  <c r="V667" i="2" s="1"/>
  <c r="W667" i="2" s="1"/>
  <c r="P907" i="2" a="1"/>
  <c r="P907" i="2" s="1"/>
  <c r="R907" i="2" s="1"/>
  <c r="V907" i="2" s="1"/>
  <c r="W907" i="2" s="1"/>
  <c r="Q724" i="2" a="1"/>
  <c r="Q724" i="2" s="1"/>
  <c r="P1040" i="2" a="1"/>
  <c r="P1040" i="2" s="1"/>
  <c r="R1040" i="2" s="1"/>
  <c r="V1040" i="2" s="1"/>
  <c r="W1040" i="2" s="1"/>
  <c r="P724" i="2" a="1"/>
  <c r="P724" i="2" s="1"/>
  <c r="R724" i="2" s="1"/>
  <c r="V724" i="2" s="1"/>
  <c r="W724" i="2" s="1"/>
  <c r="Q667" i="2" a="1"/>
  <c r="Q667" i="2" s="1"/>
  <c r="Q668" i="2" a="1"/>
  <c r="Q668" i="2" s="1"/>
  <c r="P668" i="2" a="1"/>
  <c r="P668" i="2" s="1"/>
  <c r="R668" i="2" s="1"/>
  <c r="V668" i="2" s="1"/>
  <c r="W668" i="2" s="1"/>
  <c r="P199" i="2" a="1"/>
  <c r="P199" i="2" s="1"/>
  <c r="R199" i="2" s="1"/>
  <c r="V199" i="2" s="1"/>
  <c r="W199" i="2" s="1"/>
  <c r="P1138" i="2" a="1"/>
  <c r="P1138" i="2" s="1"/>
  <c r="R1138" i="2" s="1"/>
  <c r="V1138" i="2" s="1"/>
  <c r="W1138" i="2" s="1"/>
  <c r="Q205" i="2" a="1"/>
  <c r="Q205" i="2" s="1"/>
  <c r="P765" i="2" a="1"/>
  <c r="P765" i="2" s="1"/>
  <c r="R765" i="2" s="1"/>
  <c r="V765" i="2" s="1"/>
  <c r="W765" i="2" s="1"/>
  <c r="P1540" i="2" a="1"/>
  <c r="P1540" i="2" s="1"/>
  <c r="R1540" i="2" s="1"/>
  <c r="V1540" i="2" s="1"/>
  <c r="W1540" i="2" s="1"/>
  <c r="P237" i="2" a="1"/>
  <c r="P237" i="2" s="1"/>
  <c r="R237" i="2" s="1"/>
  <c r="V237" i="2" s="1"/>
  <c r="W237" i="2" s="1"/>
  <c r="Q202" i="2" a="1"/>
  <c r="Q202" i="2" s="1"/>
  <c r="P1365" i="2" a="1"/>
  <c r="P1365" i="2" s="1"/>
  <c r="R1365" i="2" s="1"/>
  <c r="V1365" i="2" s="1"/>
  <c r="W1365" i="2" s="1"/>
  <c r="P202" i="2" a="1"/>
  <c r="P202" i="2" s="1"/>
  <c r="R202" i="2" s="1"/>
  <c r="V202" i="2" s="1"/>
  <c r="W202" i="2" s="1"/>
  <c r="P1539" i="2" a="1"/>
  <c r="P1539" i="2" s="1"/>
  <c r="R1539" i="2" s="1"/>
  <c r="V1539" i="2" s="1"/>
  <c r="W1539" i="2" s="1"/>
  <c r="P470" i="2" a="1"/>
  <c r="P470" i="2" s="1"/>
  <c r="R470" i="2" s="1"/>
  <c r="V470" i="2" s="1"/>
  <c r="W470" i="2" s="1"/>
  <c r="P47" i="2" a="1"/>
  <c r="P47" i="2" s="1"/>
  <c r="R47" i="2" s="1"/>
  <c r="V47" i="2" s="1"/>
  <c r="W47" i="2" s="1"/>
  <c r="Q201" i="2" a="1"/>
  <c r="Q201" i="2" s="1"/>
  <c r="P786" i="2" a="1"/>
  <c r="P786" i="2" s="1"/>
  <c r="R786" i="2" s="1"/>
  <c r="V786" i="2" s="1"/>
  <c r="W786" i="2" s="1"/>
  <c r="P1403" i="2" a="1"/>
  <c r="P1403" i="2" s="1"/>
  <c r="R1403" i="2" s="1"/>
  <c r="V1403" i="2" s="1"/>
  <c r="W1403" i="2" s="1"/>
  <c r="P309" i="2" a="1"/>
  <c r="P309" i="2" s="1"/>
  <c r="R309" i="2" s="1"/>
  <c r="V309" i="2" s="1"/>
  <c r="W309" i="2" s="1"/>
  <c r="P201" i="2" a="1"/>
  <c r="P201" i="2" s="1"/>
  <c r="R201" i="2" s="1"/>
  <c r="V201" i="2" s="1"/>
  <c r="W201" i="2" s="1"/>
  <c r="P1009" i="2" a="1"/>
  <c r="P1009" i="2" s="1"/>
  <c r="R1009" i="2" s="1"/>
  <c r="V1009" i="2" s="1"/>
  <c r="W1009" i="2" s="1"/>
  <c r="P1123" i="2" a="1"/>
  <c r="P1123" i="2" s="1"/>
  <c r="R1123" i="2" s="1"/>
  <c r="V1123" i="2" s="1"/>
  <c r="W1123" i="2" s="1"/>
  <c r="P229" i="2" a="1"/>
  <c r="P229" i="2" s="1"/>
  <c r="R229" i="2" s="1"/>
  <c r="V229" i="2" s="1"/>
  <c r="W229" i="2" s="1"/>
  <c r="Q200" i="2" a="1"/>
  <c r="Q200" i="2" s="1"/>
  <c r="P1146" i="2" a="1"/>
  <c r="P1146" i="2" s="1"/>
  <c r="R1146" i="2" s="1"/>
  <c r="V1146" i="2" s="1"/>
  <c r="W1146" i="2" s="1"/>
  <c r="P1305" i="2" a="1"/>
  <c r="P1305" i="2" s="1"/>
  <c r="R1305" i="2" s="1"/>
  <c r="V1305" i="2" s="1"/>
  <c r="W1305" i="2" s="1"/>
  <c r="P319" i="2" a="1"/>
  <c r="P319" i="2" s="1"/>
  <c r="R319" i="2" s="1"/>
  <c r="V319" i="2" s="1"/>
  <c r="W319" i="2" s="1"/>
  <c r="P200" i="2" a="1"/>
  <c r="P200" i="2" s="1"/>
  <c r="R200" i="2" s="1"/>
  <c r="V200" i="2" s="1"/>
  <c r="W200" i="2" s="1"/>
  <c r="P203" i="2" a="1"/>
  <c r="P203" i="2" s="1"/>
  <c r="R203" i="2" s="1"/>
  <c r="V203" i="2" s="1"/>
  <c r="W203" i="2" s="1"/>
  <c r="Q203" i="2" a="1"/>
  <c r="Q203" i="2" s="1"/>
  <c r="P205" i="2" a="1"/>
  <c r="P205" i="2" s="1"/>
  <c r="R205" i="2" s="1"/>
  <c r="V205" i="2" s="1"/>
  <c r="W205" i="2" s="1"/>
  <c r="Q204" i="2" a="1"/>
  <c r="Q204" i="2" s="1"/>
  <c r="P204" i="2" a="1"/>
  <c r="P204" i="2" s="1"/>
  <c r="R204" i="2" s="1"/>
  <c r="V204" i="2" s="1"/>
  <c r="W204" i="2" s="1"/>
  <c r="Q209" i="2" a="1"/>
  <c r="Q209" i="2" s="1"/>
  <c r="Q207" i="2" a="1"/>
  <c r="Q207" i="2" s="1"/>
  <c r="Q206" i="2" a="1"/>
  <c r="Q206" i="2" s="1"/>
  <c r="P1094" i="2" a="1"/>
  <c r="P1094" i="2" s="1"/>
  <c r="R1094" i="2" s="1"/>
  <c r="V1094" i="2" s="1"/>
  <c r="W1094" i="2" s="1"/>
  <c r="P206" i="2" a="1"/>
  <c r="P206" i="2" s="1"/>
  <c r="R206" i="2" s="1"/>
  <c r="V206" i="2" s="1"/>
  <c r="W206" i="2" s="1"/>
  <c r="P207" i="2" a="1"/>
  <c r="P207" i="2" s="1"/>
  <c r="R207" i="2" s="1"/>
  <c r="V207" i="2" s="1"/>
  <c r="W207" i="2" s="1"/>
  <c r="P209" i="2" a="1"/>
  <c r="P209" i="2" s="1"/>
  <c r="R209" i="2" s="1"/>
  <c r="V209" i="2" s="1"/>
  <c r="W209" i="2" s="1"/>
  <c r="P208" i="2" a="1"/>
  <c r="P208" i="2" s="1"/>
  <c r="R208" i="2" s="1"/>
  <c r="V208" i="2" s="1"/>
  <c r="W208" i="2" s="1"/>
  <c r="Q208" i="2" a="1"/>
  <c r="Q208" i="2" s="1"/>
  <c r="Q211" i="2" a="1"/>
  <c r="Q211" i="2" s="1"/>
  <c r="P211" i="2" a="1"/>
  <c r="P211" i="2" s="1"/>
  <c r="R211" i="2" s="1"/>
  <c r="V211" i="2" s="1"/>
  <c r="W211" i="2" s="1"/>
  <c r="Q210" i="2" a="1"/>
  <c r="Q210" i="2" s="1"/>
  <c r="P210" i="2" a="1"/>
  <c r="P210" i="2" s="1"/>
  <c r="R210" i="2" s="1"/>
  <c r="V210" i="2" s="1"/>
  <c r="W210" i="2" s="1"/>
  <c r="P1481" i="2" a="1"/>
  <c r="P1481" i="2" s="1"/>
  <c r="R1481" i="2" s="1"/>
  <c r="V1481" i="2" s="1"/>
  <c r="W1481" i="2" s="1"/>
  <c r="P2066" i="2" a="1"/>
  <c r="P2066" i="2" s="1"/>
  <c r="R2066" i="2" s="1"/>
  <c r="V2066" i="2" s="1"/>
  <c r="W2066" i="2" s="1"/>
  <c r="P897" i="2" a="1"/>
  <c r="P897" i="2" s="1"/>
  <c r="R897" i="2" s="1"/>
  <c r="V897" i="2" s="1"/>
  <c r="W897" i="2" s="1"/>
  <c r="P1697" i="2" a="1"/>
  <c r="P1697" i="2" s="1"/>
  <c r="R1697" i="2" s="1"/>
  <c r="V1697" i="2" s="1"/>
  <c r="W1697" i="2" s="1"/>
  <c r="P1684" i="2" a="1"/>
  <c r="P1684" i="2" s="1"/>
  <c r="R1684" i="2" s="1"/>
  <c r="V1684" i="2" s="1"/>
  <c r="W1684" i="2" s="1"/>
  <c r="P1259" i="2" a="1"/>
  <c r="P1259" i="2" s="1"/>
  <c r="R1259" i="2" s="1"/>
  <c r="V1259" i="2" s="1"/>
  <c r="W1259" i="2" s="1"/>
  <c r="P450" i="2" a="1"/>
  <c r="P450" i="2" s="1"/>
  <c r="R450" i="2" s="1"/>
  <c r="V450" i="2" s="1"/>
  <c r="W450" i="2" s="1"/>
  <c r="P508" i="2" a="1"/>
  <c r="P508" i="2" s="1"/>
  <c r="R508" i="2" s="1"/>
  <c r="V508" i="2" s="1"/>
  <c r="W508" i="2" s="1"/>
  <c r="P163" i="2" a="1"/>
  <c r="P163" i="2" s="1"/>
  <c r="R163" i="2" s="1"/>
  <c r="V163" i="2" s="1"/>
  <c r="W163" i="2" s="1"/>
  <c r="P190" i="2" a="1"/>
  <c r="P190" i="2" s="1"/>
  <c r="R190" i="2" s="1"/>
  <c r="V190" i="2" s="1"/>
  <c r="W190" i="2" s="1"/>
  <c r="P112" i="2" a="1"/>
  <c r="P112" i="2" s="1"/>
  <c r="R112" i="2" s="1"/>
  <c r="V112" i="2" s="1"/>
  <c r="W112" i="2" s="1"/>
  <c r="P458" i="2" a="1"/>
  <c r="P458" i="2" s="1"/>
  <c r="R458" i="2" s="1"/>
  <c r="V458" i="2" s="1"/>
  <c r="W458" i="2" s="1"/>
  <c r="P839" i="2" a="1"/>
  <c r="P839" i="2" s="1"/>
  <c r="R839" i="2" s="1"/>
  <c r="V839" i="2" s="1"/>
  <c r="W839" i="2" s="1"/>
  <c r="P526" i="2" a="1"/>
  <c r="P526" i="2" s="1"/>
  <c r="R526" i="2" s="1"/>
  <c r="V526" i="2" s="1"/>
  <c r="W526" i="2" s="1"/>
  <c r="P1158" i="2" a="1"/>
  <c r="P1158" i="2" s="1"/>
  <c r="R1158" i="2" s="1"/>
  <c r="V1158" i="2" s="1"/>
  <c r="W1158" i="2" s="1"/>
  <c r="P1200" i="2" a="1"/>
  <c r="P1200" i="2" s="1"/>
  <c r="R1200" i="2" s="1"/>
  <c r="V1200" i="2" s="1"/>
  <c r="W1200" i="2" s="1"/>
  <c r="P1318" i="2" a="1"/>
  <c r="P1318" i="2" s="1"/>
  <c r="R1318" i="2" s="1"/>
  <c r="V1318" i="2" s="1"/>
  <c r="W1318" i="2" s="1"/>
  <c r="P1323" i="2" a="1"/>
  <c r="P1323" i="2" s="1"/>
  <c r="R1323" i="2" s="1"/>
  <c r="V1323" i="2" s="1"/>
  <c r="W1323" i="2" s="1"/>
  <c r="P1387" i="2" a="1"/>
  <c r="P1387" i="2" s="1"/>
  <c r="R1387" i="2" s="1"/>
  <c r="V1387" i="2" s="1"/>
  <c r="W1387" i="2" s="1"/>
  <c r="P1013" i="2" a="1"/>
  <c r="P1013" i="2" s="1"/>
  <c r="R1013" i="2" s="1"/>
  <c r="V1013" i="2" s="1"/>
  <c r="W1013" i="2" s="1"/>
  <c r="P1655" i="2" a="1"/>
  <c r="P1655" i="2" s="1"/>
  <c r="R1655" i="2" s="1"/>
  <c r="V1655" i="2" s="1"/>
  <c r="W1655" i="2" s="1"/>
  <c r="P1680" i="2" a="1"/>
  <c r="P1680" i="2" s="1"/>
  <c r="R1680" i="2" s="1"/>
  <c r="V1680" i="2" s="1"/>
  <c r="W1680" i="2" s="1"/>
  <c r="P779" i="2" a="1"/>
  <c r="P779" i="2" s="1"/>
  <c r="R779" i="2" s="1"/>
  <c r="V779" i="2" s="1"/>
  <c r="W779" i="2" s="1"/>
  <c r="P971" i="2" a="1"/>
  <c r="P971" i="2" s="1"/>
  <c r="R971" i="2" s="1"/>
  <c r="V971" i="2" s="1"/>
  <c r="W971" i="2" s="1"/>
  <c r="P1079" i="2" a="1"/>
  <c r="P1079" i="2" s="1"/>
  <c r="R1079" i="2" s="1"/>
  <c r="V1079" i="2" s="1"/>
  <c r="W1079" i="2" s="1"/>
  <c r="P285" i="2" a="1"/>
  <c r="P285" i="2" s="1"/>
  <c r="R285" i="2" s="1"/>
  <c r="V285" i="2" s="1"/>
  <c r="W285" i="2" s="1"/>
  <c r="P219" i="2" a="1"/>
  <c r="P219" i="2" s="1"/>
  <c r="R219" i="2" s="1"/>
  <c r="V219" i="2" s="1"/>
  <c r="W219" i="2" s="1"/>
  <c r="P1398" i="2" a="1"/>
  <c r="P1398" i="2" s="1"/>
  <c r="R1398" i="2" s="1"/>
  <c r="V1398" i="2" s="1"/>
  <c r="W1398" i="2" s="1"/>
  <c r="P153" i="2" a="1"/>
  <c r="P153" i="2" s="1"/>
  <c r="R153" i="2" s="1"/>
  <c r="V153" i="2" s="1"/>
  <c r="W153" i="2" s="1"/>
  <c r="P1747" i="2" a="1"/>
  <c r="P1747" i="2" s="1"/>
  <c r="R1747" i="2" s="1"/>
  <c r="V1747" i="2" s="1"/>
  <c r="W1747" i="2" s="1"/>
  <c r="P2017" i="2" a="1"/>
  <c r="P2017" i="2" s="1"/>
  <c r="R2017" i="2" s="1"/>
  <c r="V2017" i="2" s="1"/>
  <c r="W2017" i="2" s="1"/>
  <c r="P775" i="2" a="1"/>
  <c r="P775" i="2" s="1"/>
  <c r="R775" i="2" s="1"/>
  <c r="V775" i="2" s="1"/>
  <c r="W775" i="2" s="1"/>
  <c r="P238" i="2" a="1"/>
  <c r="P238" i="2" s="1"/>
  <c r="R238" i="2" s="1"/>
  <c r="V238" i="2" s="1"/>
  <c r="W238" i="2" s="1"/>
  <c r="P2022" i="2" a="1"/>
  <c r="P2022" i="2" s="1"/>
  <c r="R2022" i="2" s="1"/>
  <c r="V2022" i="2" s="1"/>
  <c r="W2022" i="2" s="1"/>
  <c r="P2015" i="2" a="1"/>
  <c r="P2015" i="2" s="1"/>
  <c r="R2015" i="2" s="1"/>
  <c r="V2015" i="2" s="1"/>
  <c r="W2015" i="2" s="1"/>
  <c r="P542" i="2" a="1"/>
  <c r="P542" i="2" s="1"/>
  <c r="R542" i="2" s="1"/>
  <c r="V542" i="2" s="1"/>
  <c r="W542" i="2" s="1"/>
  <c r="P772" i="2" a="1"/>
  <c r="P772" i="2" s="1"/>
  <c r="R772" i="2" s="1"/>
  <c r="V772" i="2" s="1"/>
  <c r="W772" i="2" s="1"/>
  <c r="P1673" i="2" a="1"/>
  <c r="P1673" i="2" s="1"/>
  <c r="R1673" i="2" s="1"/>
  <c r="V1673" i="2" s="1"/>
  <c r="W1673" i="2" s="1"/>
  <c r="P1173" i="2" a="1"/>
  <c r="P1173" i="2" s="1"/>
  <c r="R1173" i="2" s="1"/>
  <c r="V1173" i="2" s="1"/>
  <c r="W1173" i="2" s="1"/>
  <c r="P1023" i="2" a="1"/>
  <c r="P1023" i="2" s="1"/>
  <c r="R1023" i="2" s="1"/>
  <c r="V1023" i="2" s="1"/>
  <c r="W1023" i="2" s="1"/>
  <c r="P1616" i="2" a="1"/>
  <c r="P1616" i="2" s="1"/>
  <c r="R1616" i="2" s="1"/>
  <c r="V1616" i="2" s="1"/>
  <c r="W1616" i="2" s="1"/>
  <c r="P2059" i="2" a="1"/>
  <c r="P2059" i="2" s="1"/>
  <c r="R2059" i="2" s="1"/>
  <c r="V2059" i="2" s="1"/>
  <c r="W2059" i="2" s="1"/>
  <c r="P1224" i="2" a="1"/>
  <c r="P1224" i="2" s="1"/>
  <c r="R1224" i="2" s="1"/>
  <c r="V1224" i="2" s="1"/>
  <c r="W1224" i="2" s="1"/>
  <c r="P2053" i="2" a="1"/>
  <c r="P2053" i="2" s="1"/>
  <c r="R2053" i="2" s="1"/>
  <c r="V2053" i="2" s="1"/>
  <c r="W2053" i="2" s="1"/>
  <c r="P1065" i="2" a="1"/>
  <c r="P1065" i="2" s="1"/>
  <c r="R1065" i="2" s="1"/>
  <c r="V1065" i="2" s="1"/>
  <c r="W1065" i="2" s="1"/>
  <c r="P377" i="2" a="1"/>
  <c r="P377" i="2" s="1"/>
  <c r="R377" i="2" s="1"/>
  <c r="V377" i="2" s="1"/>
  <c r="W377" i="2" s="1"/>
  <c r="P1546" i="2" a="1"/>
  <c r="P1546" i="2" s="1"/>
  <c r="R1546" i="2" s="1"/>
  <c r="V1546" i="2" s="1"/>
  <c r="W1546" i="2" s="1"/>
  <c r="P1136" i="2" a="1"/>
  <c r="P1136" i="2" s="1"/>
  <c r="R1136" i="2" s="1"/>
  <c r="V1136" i="2" s="1"/>
  <c r="W1136" i="2" s="1"/>
  <c r="P464" i="2" a="1"/>
  <c r="P464" i="2" s="1"/>
  <c r="R464" i="2" s="1"/>
  <c r="V464" i="2" s="1"/>
  <c r="W464" i="2" s="1"/>
  <c r="P444" i="2" a="1"/>
  <c r="P444" i="2" s="1"/>
  <c r="R444" i="2" s="1"/>
  <c r="V444" i="2" s="1"/>
  <c r="W444" i="2" s="1"/>
  <c r="P1283" i="2" a="1"/>
  <c r="P1283" i="2" s="1"/>
  <c r="R1283" i="2" s="1"/>
  <c r="V1283" i="2" s="1"/>
  <c r="W1283" i="2" s="1"/>
  <c r="P273" i="2" a="1"/>
  <c r="P273" i="2" s="1"/>
  <c r="R273" i="2" s="1"/>
  <c r="V273" i="2" s="1"/>
  <c r="W273" i="2" s="1"/>
  <c r="P1077" i="2" a="1"/>
  <c r="P1077" i="2" s="1"/>
  <c r="R1077" i="2" s="1"/>
  <c r="V1077" i="2" s="1"/>
  <c r="W1077" i="2" s="1"/>
  <c r="P264" i="2" a="1"/>
  <c r="P264" i="2" s="1"/>
  <c r="R264" i="2" s="1"/>
  <c r="V264" i="2" s="1"/>
  <c r="W264" i="2" s="1"/>
  <c r="P2008" i="2" a="1"/>
  <c r="P2008" i="2" s="1"/>
  <c r="R2008" i="2" s="1"/>
  <c r="V2008" i="2" s="1"/>
  <c r="W2008" i="2" s="1"/>
  <c r="P9" i="2" a="1"/>
  <c r="P9" i="2" s="1"/>
  <c r="R9" i="2" s="1"/>
  <c r="V9" i="2" s="1"/>
  <c r="W9" i="2" s="1"/>
  <c r="P1155" i="2" a="1"/>
  <c r="P1155" i="2" s="1"/>
  <c r="R1155" i="2" s="1"/>
  <c r="V1155" i="2" s="1"/>
  <c r="W1155" i="2" s="1"/>
  <c r="P1720" i="2" a="1"/>
  <c r="P1720" i="2" s="1"/>
  <c r="R1720" i="2" s="1"/>
  <c r="V1720" i="2" s="1"/>
  <c r="W1720" i="2" s="1"/>
  <c r="P491" i="2" a="1"/>
  <c r="P491" i="2" s="1"/>
  <c r="R491" i="2" s="1"/>
  <c r="V491" i="2" s="1"/>
  <c r="W491" i="2" s="1"/>
  <c r="P459" i="2" a="1"/>
  <c r="P459" i="2" s="1"/>
  <c r="R459" i="2" s="1"/>
  <c r="V459" i="2" s="1"/>
  <c r="W459" i="2" s="1"/>
  <c r="P217" i="2" a="1"/>
  <c r="P217" i="2" s="1"/>
  <c r="R217" i="2" s="1"/>
  <c r="V217" i="2" s="1"/>
  <c r="W217" i="2" s="1"/>
  <c r="P845" i="2" a="1"/>
  <c r="P845" i="2" s="1"/>
  <c r="R845" i="2" s="1"/>
  <c r="V845" i="2" s="1"/>
  <c r="W845" i="2" s="1"/>
  <c r="P1286" i="2" a="1"/>
  <c r="P1286" i="2" s="1"/>
  <c r="R1286" i="2" s="1"/>
  <c r="V1286" i="2" s="1"/>
  <c r="W1286" i="2" s="1"/>
  <c r="P1270" i="2" a="1"/>
  <c r="P1270" i="2" s="1"/>
  <c r="R1270" i="2" s="1"/>
  <c r="V1270" i="2" s="1"/>
  <c r="W1270" i="2" s="1"/>
  <c r="P1401" i="2" a="1"/>
  <c r="P1401" i="2" s="1"/>
  <c r="R1401" i="2" s="1"/>
  <c r="V1401" i="2" s="1"/>
  <c r="W1401" i="2" s="1"/>
  <c r="P327" i="2" a="1"/>
  <c r="P327" i="2" s="1"/>
  <c r="R327" i="2" s="1"/>
  <c r="V327" i="2" s="1"/>
  <c r="W327" i="2" s="1"/>
  <c r="P2010" i="2" a="1"/>
  <c r="P2010" i="2" s="1"/>
  <c r="R2010" i="2" s="1"/>
  <c r="V2010" i="2" s="1"/>
  <c r="W2010" i="2" s="1"/>
  <c r="P1665" i="2" a="1"/>
  <c r="P1665" i="2" s="1"/>
  <c r="R1665" i="2" s="1"/>
  <c r="V1665" i="2" s="1"/>
  <c r="W1665" i="2" s="1"/>
  <c r="P24" i="2" a="1"/>
  <c r="P24" i="2" s="1"/>
  <c r="R24" i="2" s="1"/>
  <c r="V24" i="2" s="1"/>
  <c r="W24" i="2" s="1"/>
  <c r="P366" i="2" a="1"/>
  <c r="P366" i="2" s="1"/>
  <c r="R366" i="2" s="1"/>
  <c r="V366" i="2" s="1"/>
  <c r="W366" i="2" s="1"/>
  <c r="P1496" i="2" a="1"/>
  <c r="P1496" i="2" s="1"/>
  <c r="R1496" i="2" s="1"/>
  <c r="V1496" i="2" s="1"/>
  <c r="W1496" i="2" s="1"/>
  <c r="P57" i="2" a="1"/>
  <c r="P57" i="2" s="1"/>
  <c r="R57" i="2" s="1"/>
  <c r="V57" i="2" s="1"/>
  <c r="W57" i="2" s="1"/>
  <c r="P103" i="2" a="1"/>
  <c r="P103" i="2" s="1"/>
  <c r="R103" i="2" s="1"/>
  <c r="V103" i="2" s="1"/>
  <c r="W103" i="2" s="1"/>
  <c r="P1378" i="2" a="1"/>
  <c r="P1378" i="2" s="1"/>
  <c r="R1378" i="2" s="1"/>
  <c r="V1378" i="2" s="1"/>
  <c r="W1378" i="2" s="1"/>
  <c r="P230" i="2" a="1"/>
  <c r="P230" i="2" s="1"/>
  <c r="R230" i="2" s="1"/>
  <c r="V230" i="2" s="1"/>
  <c r="W230" i="2" s="1"/>
  <c r="P1644" i="2" a="1"/>
  <c r="P1644" i="2" s="1"/>
  <c r="R1644" i="2" s="1"/>
  <c r="V1644" i="2" s="1"/>
  <c r="W1644" i="2" s="1"/>
  <c r="P911" i="2" a="1"/>
  <c r="P911" i="2" s="1"/>
  <c r="R911" i="2" s="1"/>
  <c r="V911" i="2" s="1"/>
  <c r="W911" i="2" s="1"/>
  <c r="P937" i="2" a="1"/>
  <c r="P937" i="2" s="1"/>
  <c r="R937" i="2" s="1"/>
  <c r="V937" i="2" s="1"/>
  <c r="W937" i="2" s="1"/>
  <c r="P1289" i="2" a="1"/>
  <c r="P1289" i="2" s="1"/>
  <c r="R1289" i="2" s="1"/>
  <c r="V1289" i="2" s="1"/>
  <c r="W1289" i="2" s="1"/>
  <c r="P1561" i="2" a="1"/>
  <c r="P1561" i="2" s="1"/>
  <c r="R1561" i="2" s="1"/>
  <c r="V1561" i="2" s="1"/>
  <c r="W1561" i="2" s="1"/>
  <c r="P1212" i="2" a="1"/>
  <c r="P1212" i="2" s="1"/>
  <c r="R1212" i="2" s="1"/>
  <c r="V1212" i="2" s="1"/>
  <c r="W1212" i="2" s="1"/>
  <c r="P1708" i="2" a="1"/>
  <c r="P1708" i="2" s="1"/>
  <c r="R1708" i="2" s="1"/>
  <c r="V1708" i="2" s="1"/>
  <c r="W1708" i="2" s="1"/>
  <c r="P1402" i="2" a="1"/>
  <c r="P1402" i="2" s="1"/>
  <c r="R1402" i="2" s="1"/>
  <c r="V1402" i="2" s="1"/>
  <c r="W1402" i="2" s="1"/>
  <c r="P2031" i="2" a="1"/>
  <c r="P2031" i="2" s="1"/>
  <c r="R2031" i="2" s="1"/>
  <c r="V2031" i="2" s="1"/>
  <c r="W2031" i="2" s="1"/>
  <c r="P27" i="2" a="1"/>
  <c r="P27" i="2" s="1"/>
  <c r="R27" i="2" s="1"/>
  <c r="V27" i="2" s="1"/>
  <c r="W27" i="2" s="1"/>
  <c r="P312" i="2" a="1"/>
  <c r="P312" i="2" s="1"/>
  <c r="R312" i="2" s="1"/>
  <c r="V312" i="2" s="1"/>
  <c r="W312" i="2" s="1"/>
  <c r="P185" i="2" a="1"/>
  <c r="P185" i="2" s="1"/>
  <c r="R185" i="2" s="1"/>
  <c r="V185" i="2" s="1"/>
  <c r="W185" i="2" s="1"/>
  <c r="P750" i="2" a="1"/>
  <c r="P750" i="2" s="1"/>
  <c r="R750" i="2" s="1"/>
  <c r="V750" i="2" s="1"/>
  <c r="W750" i="2" s="1"/>
  <c r="P1238" i="2" a="1"/>
  <c r="P1238" i="2" s="1"/>
  <c r="R1238" i="2" s="1"/>
  <c r="V1238" i="2" s="1"/>
  <c r="W1238" i="2" s="1"/>
  <c r="P1131" i="2" a="1"/>
  <c r="P1131" i="2" s="1"/>
  <c r="R1131" i="2" s="1"/>
  <c r="V1131" i="2" s="1"/>
  <c r="W1131" i="2" s="1"/>
  <c r="P2064" i="2" a="1"/>
  <c r="P2064" i="2" s="1"/>
  <c r="R2064" i="2" s="1"/>
  <c r="V2064" i="2" s="1"/>
  <c r="W2064" i="2" s="1"/>
  <c r="P265" i="2" a="1"/>
  <c r="P265" i="2" s="1"/>
  <c r="R265" i="2" s="1"/>
  <c r="V265" i="2" s="1"/>
  <c r="W265" i="2" s="1"/>
  <c r="P161" i="2" a="1"/>
  <c r="P161" i="2" s="1"/>
  <c r="R161" i="2" s="1"/>
  <c r="V161" i="2" s="1"/>
  <c r="W161" i="2" s="1"/>
  <c r="P755" i="2" a="1"/>
  <c r="P755" i="2" s="1"/>
  <c r="R755" i="2" s="1"/>
  <c r="V755" i="2" s="1"/>
  <c r="W755" i="2" s="1"/>
  <c r="P545" i="2" a="1"/>
  <c r="P545" i="2" s="1"/>
  <c r="R545" i="2" s="1"/>
  <c r="V545" i="2" s="1"/>
  <c r="W545" i="2" s="1"/>
  <c r="P855" i="2" a="1"/>
  <c r="P855" i="2" s="1"/>
  <c r="R855" i="2" s="1"/>
  <c r="V855" i="2" s="1"/>
  <c r="W855" i="2" s="1"/>
  <c r="P527" i="2" a="1"/>
  <c r="P527" i="2" s="1"/>
  <c r="R527" i="2" s="1"/>
  <c r="V527" i="2" s="1"/>
  <c r="W527" i="2" s="1"/>
  <c r="P826" i="2" a="1"/>
  <c r="P826" i="2" s="1"/>
  <c r="R826" i="2" s="1"/>
  <c r="V826" i="2" s="1"/>
  <c r="W826" i="2" s="1"/>
  <c r="P1373" i="2" a="1"/>
  <c r="P1373" i="2" s="1"/>
  <c r="R1373" i="2" s="1"/>
  <c r="V1373" i="2" s="1"/>
  <c r="W1373" i="2" s="1"/>
  <c r="R436" i="2"/>
  <c r="V436" i="2" s="1"/>
  <c r="W436" i="2" s="1"/>
  <c r="R1038" i="2"/>
  <c r="V1038" i="2" s="1"/>
  <c r="W1038" i="2" s="1"/>
  <c r="R2051" i="2"/>
  <c r="V2051" i="2" s="1"/>
  <c r="W2051" i="2" s="1"/>
  <c r="R145" i="2"/>
  <c r="V145" i="2" s="1"/>
  <c r="W145" i="2" s="1"/>
  <c r="R1610" i="2"/>
  <c r="V1610" i="2" s="1"/>
  <c r="W1610" i="2" s="1"/>
  <c r="R1197" i="2"/>
  <c r="V1197" i="2" s="1"/>
  <c r="W1197" i="2" s="1"/>
  <c r="R1520" i="2"/>
  <c r="V1520" i="2" s="1"/>
  <c r="W1520" i="2" s="1"/>
  <c r="R1361" i="2"/>
  <c r="V1361" i="2" s="1"/>
  <c r="W1361" i="2" s="1"/>
  <c r="R1424" i="2"/>
  <c r="V1424" i="2" s="1"/>
  <c r="W1424" i="2" s="1"/>
  <c r="R1625" i="2"/>
  <c r="V1625" i="2" s="1"/>
  <c r="W1625" i="2" s="1"/>
  <c r="R483" i="2"/>
  <c r="V483" i="2" s="1"/>
  <c r="W483" i="2" s="1"/>
  <c r="R498" i="2"/>
  <c r="V498" i="2" s="1"/>
  <c r="W498" i="2" s="1"/>
  <c r="R180" i="2"/>
  <c r="V180" i="2" s="1"/>
  <c r="W180" i="2" s="1"/>
  <c r="R1670" i="2"/>
  <c r="V1670" i="2" s="1"/>
  <c r="W1670" i="2" s="1"/>
  <c r="R1188" i="2"/>
  <c r="V1188" i="2" s="1"/>
  <c r="W1188" i="2" s="1"/>
  <c r="P1069" i="2" a="1"/>
  <c r="P1069" i="2" s="1"/>
  <c r="P1663" i="2" a="1"/>
  <c r="P1663" i="2" s="1"/>
  <c r="P905" i="2" a="1"/>
  <c r="P905" i="2" s="1"/>
  <c r="P272" i="2" a="1"/>
  <c r="P272" i="2" s="1"/>
  <c r="P215" i="2" a="1"/>
  <c r="P215" i="2" s="1"/>
  <c r="P1674" i="2" a="1"/>
  <c r="P1674" i="2" s="1"/>
  <c r="P115" i="2" a="1"/>
  <c r="P115" i="2" s="1"/>
  <c r="Q1584" i="2" a="1"/>
  <c r="Q1584" i="2" s="1"/>
  <c r="P1712" i="2" a="1"/>
  <c r="P1712" i="2" s="1"/>
  <c r="P1584" i="2" a="1"/>
  <c r="P1584" i="2" s="1"/>
  <c r="Q1583" i="2" a="1"/>
  <c r="Q1583" i="2" s="1"/>
  <c r="P1583" i="2" a="1"/>
  <c r="P1583" i="2" s="1"/>
  <c r="P1363" i="2" a="1"/>
  <c r="P1363" i="2" s="1"/>
  <c r="P490" i="2" a="1"/>
  <c r="P490" i="2" s="1"/>
  <c r="P1606" i="2" a="1"/>
  <c r="P1606" i="2" s="1"/>
  <c r="P1021" i="2" a="1"/>
  <c r="P1021" i="2" s="1"/>
  <c r="P1326" i="2" a="1"/>
  <c r="P1326" i="2" s="1"/>
  <c r="P586" i="2" a="1"/>
  <c r="P586" i="2" s="1"/>
  <c r="P1359" i="2" a="1"/>
  <c r="P1359" i="2" s="1"/>
  <c r="P114" i="2" a="1"/>
  <c r="P114" i="2" s="1"/>
  <c r="P428" i="2" a="1"/>
  <c r="P428" i="2" s="1"/>
  <c r="P1215" i="2" a="1"/>
  <c r="P1215" i="2" s="1"/>
  <c r="P1201" i="2" a="1"/>
  <c r="P1201" i="2" s="1"/>
  <c r="P1092" i="2" a="1"/>
  <c r="P1092" i="2" s="1"/>
  <c r="P1528" i="2" a="1"/>
  <c r="P1528" i="2" s="1"/>
  <c r="P1149" i="2" a="1"/>
  <c r="P1149" i="2" s="1"/>
  <c r="P528" i="2" a="1"/>
  <c r="P528" i="2" s="1"/>
  <c r="P267" i="2" a="1"/>
  <c r="P267" i="2" s="1"/>
  <c r="P973" i="2" a="1"/>
  <c r="P973" i="2" s="1"/>
  <c r="P1167" i="2" a="1"/>
  <c r="P1167" i="2" s="1"/>
  <c r="P880" i="2" a="1"/>
  <c r="P880" i="2" s="1"/>
  <c r="P355" i="2" a="1"/>
  <c r="P355" i="2" s="1"/>
  <c r="P1654" i="2" a="1"/>
  <c r="P1654" i="2" s="1"/>
  <c r="P507" i="2" a="1"/>
  <c r="P507" i="2" s="1"/>
  <c r="P68" i="2" a="1"/>
  <c r="P68" i="2" s="1"/>
  <c r="P1356" i="2" a="1"/>
  <c r="P1356" i="2" s="1"/>
  <c r="P1329" i="2" a="1"/>
  <c r="P1329" i="2" s="1"/>
  <c r="P1030" i="2" a="1"/>
  <c r="P1030" i="2" s="1"/>
  <c r="P1239" i="2" a="1"/>
  <c r="P1239" i="2" s="1"/>
  <c r="P1295" i="2" a="1"/>
  <c r="P1295" i="2" s="1"/>
  <c r="P1312" i="2" a="1"/>
  <c r="P1312" i="2" s="1"/>
  <c r="P1211" i="2" a="1"/>
  <c r="P1211" i="2" s="1"/>
  <c r="P758" i="2" a="1"/>
  <c r="P758" i="2" s="1"/>
  <c r="P228" i="2" a="1"/>
  <c r="P228" i="2" s="1"/>
  <c r="P1176" i="2" a="1"/>
  <c r="P1176" i="2" s="1"/>
  <c r="P947" i="2" a="1"/>
  <c r="P947" i="2" s="1"/>
  <c r="P1384" i="2" a="1"/>
  <c r="P1384" i="2" s="1"/>
  <c r="P1151" i="2" a="1"/>
  <c r="P1151" i="2" s="1"/>
  <c r="Q977" i="2" a="1"/>
  <c r="Q977" i="2" s="1"/>
  <c r="Q21" i="2" a="1"/>
  <c r="Q21" i="2" s="1"/>
  <c r="Q448" i="2" a="1"/>
  <c r="Q448" i="2" s="1"/>
  <c r="Q472" i="2" a="1"/>
  <c r="Q472" i="2" s="1"/>
  <c r="Q474" i="2" a="1"/>
  <c r="Q474" i="2" s="1"/>
  <c r="Q941" i="2" a="1"/>
  <c r="Q941" i="2" s="1"/>
  <c r="D282" i="14"/>
  <c r="D253" i="14"/>
  <c r="R2" i="2" l="1"/>
  <c r="V2" i="2" s="1"/>
  <c r="W2" i="2" s="1"/>
  <c r="R1215" i="2"/>
  <c r="V1215" i="2" s="1"/>
  <c r="W1215" i="2" s="1"/>
  <c r="R1030" i="2"/>
  <c r="V1030" i="2" s="1"/>
  <c r="W1030" i="2" s="1"/>
  <c r="R1674" i="2"/>
  <c r="V1674" i="2" s="1"/>
  <c r="W1674" i="2" s="1"/>
  <c r="R1356" i="2"/>
  <c r="V1356" i="2" s="1"/>
  <c r="W1356" i="2" s="1"/>
  <c r="R114" i="2"/>
  <c r="V114" i="2" s="1"/>
  <c r="W114" i="2" s="1"/>
  <c r="R272" i="2"/>
  <c r="V272" i="2" s="1"/>
  <c r="W272" i="2" s="1"/>
  <c r="R1201" i="2"/>
  <c r="V1201" i="2" s="1"/>
  <c r="W1201" i="2" s="1"/>
  <c r="R1359" i="2"/>
  <c r="V1359" i="2" s="1"/>
  <c r="W1359" i="2" s="1"/>
  <c r="R68" i="2"/>
  <c r="V68" i="2" s="1"/>
  <c r="W68" i="2" s="1"/>
  <c r="R586" i="2"/>
  <c r="V586" i="2" s="1"/>
  <c r="W586" i="2" s="1"/>
  <c r="R905" i="2"/>
  <c r="V905" i="2" s="1"/>
  <c r="W905" i="2" s="1"/>
  <c r="R507" i="2"/>
  <c r="V507" i="2" s="1"/>
  <c r="W507" i="2" s="1"/>
  <c r="R1663" i="2"/>
  <c r="V1663" i="2" s="1"/>
  <c r="W1663" i="2" s="1"/>
  <c r="R1654" i="2"/>
  <c r="V1654" i="2" s="1"/>
  <c r="W1654" i="2" s="1"/>
  <c r="R1326" i="2"/>
  <c r="V1326" i="2" s="1"/>
  <c r="W1326" i="2" s="1"/>
  <c r="R1069" i="2"/>
  <c r="V1069" i="2" s="1"/>
  <c r="W1069" i="2" s="1"/>
  <c r="R115" i="2"/>
  <c r="V115" i="2" s="1"/>
  <c r="W115" i="2" s="1"/>
  <c r="R1151" i="2"/>
  <c r="V1151" i="2" s="1"/>
  <c r="W1151" i="2" s="1"/>
  <c r="R355" i="2"/>
  <c r="V355" i="2" s="1"/>
  <c r="W355" i="2" s="1"/>
  <c r="R1021" i="2"/>
  <c r="V1021" i="2" s="1"/>
  <c r="W1021" i="2" s="1"/>
  <c r="R947" i="2"/>
  <c r="V947" i="2" s="1"/>
  <c r="W947" i="2" s="1"/>
  <c r="R1167" i="2"/>
  <c r="V1167" i="2" s="1"/>
  <c r="W1167" i="2" s="1"/>
  <c r="R1176" i="2"/>
  <c r="V1176" i="2" s="1"/>
  <c r="W1176" i="2" s="1"/>
  <c r="R1384" i="2"/>
  <c r="V1384" i="2" s="1"/>
  <c r="W1384" i="2" s="1"/>
  <c r="R490" i="2"/>
  <c r="V490" i="2" s="1"/>
  <c r="W490" i="2" s="1"/>
  <c r="R228" i="2"/>
  <c r="V228" i="2" s="1"/>
  <c r="W228" i="2" s="1"/>
  <c r="R267" i="2"/>
  <c r="V267" i="2" s="1"/>
  <c r="W267" i="2" s="1"/>
  <c r="R1583" i="2"/>
  <c r="V1583" i="2" s="1"/>
  <c r="W1583" i="2" s="1"/>
  <c r="R1239" i="2"/>
  <c r="V1239" i="2" s="1"/>
  <c r="W1239" i="2" s="1"/>
  <c r="R1149" i="2"/>
  <c r="V1149" i="2" s="1"/>
  <c r="W1149" i="2" s="1"/>
  <c r="R1584" i="2"/>
  <c r="V1584" i="2" s="1"/>
  <c r="W1584" i="2" s="1"/>
  <c r="R1606" i="2"/>
  <c r="V1606" i="2" s="1"/>
  <c r="W1606" i="2" s="1"/>
  <c r="R758" i="2"/>
  <c r="V758" i="2" s="1"/>
  <c r="W758" i="2" s="1"/>
  <c r="R1211" i="2"/>
  <c r="V1211" i="2" s="1"/>
  <c r="W1211" i="2" s="1"/>
  <c r="R1528" i="2"/>
  <c r="V1528" i="2" s="1"/>
  <c r="W1528" i="2" s="1"/>
  <c r="R880" i="2"/>
  <c r="V880" i="2" s="1"/>
  <c r="W880" i="2" s="1"/>
  <c r="R528" i="2"/>
  <c r="V528" i="2" s="1"/>
  <c r="W528" i="2" s="1"/>
  <c r="R1312" i="2"/>
  <c r="V1312" i="2" s="1"/>
  <c r="W1312" i="2" s="1"/>
  <c r="R1712" i="2"/>
  <c r="V1712" i="2" s="1"/>
  <c r="W1712" i="2" s="1"/>
  <c r="R1295" i="2"/>
  <c r="V1295" i="2" s="1"/>
  <c r="W1295" i="2" s="1"/>
  <c r="R1092" i="2"/>
  <c r="V1092" i="2" s="1"/>
  <c r="W1092" i="2" s="1"/>
  <c r="R973" i="2"/>
  <c r="V973" i="2" s="1"/>
  <c r="W973" i="2" s="1"/>
  <c r="R1363" i="2"/>
  <c r="V1363" i="2" s="1"/>
  <c r="W1363" i="2" s="1"/>
  <c r="R1329" i="2"/>
  <c r="V1329" i="2" s="1"/>
  <c r="W1329" i="2" s="1"/>
  <c r="R428" i="2"/>
  <c r="V428" i="2" s="1"/>
  <c r="W428" i="2" s="1"/>
  <c r="R215" i="2"/>
  <c r="V215" i="2" s="1"/>
  <c r="W215" i="2" s="1"/>
  <c r="I2" i="29" a="1"/>
  <c r="T3" i="29" s="1" a="1"/>
  <c r="T3" i="29" s="1"/>
  <c r="D2" i="30" a="1"/>
  <c r="Q3" i="29" l="1" a="1"/>
  <c r="Q3" i="29" s="1"/>
  <c r="V3" i="30" a="1"/>
  <c r="V3" i="30" s="1"/>
  <c r="O3" i="30" a="1"/>
  <c r="O3" i="30" s="1"/>
  <c r="X3" i="29" a="1"/>
  <c r="X3" i="29" s="1"/>
  <c r="AF3" i="30" a="1"/>
  <c r="AF3" i="30" s="1"/>
  <c r="X3" i="30" a="1"/>
  <c r="X3" i="30" s="1"/>
  <c r="J3" i="29" a="1"/>
  <c r="J3" i="29" s="1"/>
  <c r="K3" i="29" a="1"/>
  <c r="K3" i="29" s="1"/>
  <c r="AG3" i="30" a="1"/>
  <c r="AG3" i="30" s="1"/>
  <c r="Y3" i="30" a="1"/>
  <c r="Y3" i="30" s="1"/>
  <c r="L3" i="29" a="1"/>
  <c r="L3" i="29" s="1"/>
  <c r="U3" i="29" a="1"/>
  <c r="U3" i="29" s="1"/>
  <c r="M3" i="29" a="1"/>
  <c r="M3" i="29" s="1"/>
  <c r="N3" i="29" a="1"/>
  <c r="N3" i="29" s="1"/>
  <c r="O3" i="29" a="1"/>
  <c r="O3" i="29" s="1"/>
  <c r="L3" i="30" a="1"/>
  <c r="L3" i="30" s="1"/>
  <c r="P3" i="29" a="1"/>
  <c r="P3" i="29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868" i="2"/>
  <c r="A1186" i="2"/>
  <c r="A1568" i="2"/>
  <c r="A1779" i="2"/>
  <c r="A1917" i="2"/>
  <c r="A1908" i="2"/>
  <c r="A1845" i="2"/>
  <c r="A1833" i="2"/>
  <c r="A1928" i="2"/>
  <c r="A1910" i="2"/>
  <c r="A1946" i="2"/>
  <c r="A1998" i="2"/>
  <c r="A2001" i="2"/>
  <c r="A1987" i="2"/>
  <c r="A1848" i="2"/>
  <c r="A1906" i="2"/>
  <c r="A1882" i="2"/>
  <c r="A1941" i="2"/>
  <c r="A1832" i="2"/>
  <c r="A1985" i="2"/>
  <c r="A1986" i="2"/>
  <c r="A1886" i="2"/>
  <c r="A1847" i="2"/>
  <c r="A1854" i="2"/>
  <c r="A1905" i="2"/>
  <c r="A1858" i="2"/>
  <c r="A1835" i="2"/>
  <c r="A1971" i="2"/>
  <c r="A1955" i="2"/>
  <c r="A1968" i="2"/>
  <c r="A1834" i="2"/>
  <c r="A1867" i="2"/>
  <c r="A1950" i="2"/>
  <c r="A1859" i="2"/>
  <c r="A1939" i="2"/>
  <c r="A1947" i="2"/>
  <c r="A1920" i="2"/>
  <c r="A1843" i="2"/>
  <c r="A1924" i="2"/>
  <c r="A1864" i="2"/>
  <c r="A1897" i="2"/>
  <c r="A1850" i="2"/>
  <c r="A1913" i="2"/>
  <c r="A1909" i="2"/>
  <c r="A1990" i="2"/>
  <c r="A1992" i="2"/>
  <c r="A1921" i="2"/>
  <c r="A1880" i="2"/>
  <c r="A1931" i="2"/>
  <c r="A1888" i="2"/>
  <c r="A1891" i="2"/>
  <c r="A1979" i="2"/>
  <c r="A1991" i="2"/>
  <c r="A2002" i="2"/>
  <c r="A1855" i="2"/>
  <c r="A1932" i="2"/>
  <c r="A2003" i="2"/>
  <c r="A1996" i="2"/>
  <c r="A1881" i="2"/>
  <c r="A1842" i="2"/>
  <c r="A1927" i="2"/>
  <c r="A1837" i="2"/>
  <c r="A1969" i="2"/>
  <c r="A1907" i="2"/>
  <c r="A2004" i="2"/>
  <c r="A1841" i="2"/>
  <c r="A1948" i="2"/>
  <c r="A1892" i="2"/>
  <c r="A1978" i="2"/>
  <c r="A1901" i="2"/>
  <c r="A1942" i="2"/>
  <c r="A1903" i="2"/>
  <c r="A1983" i="2"/>
  <c r="A1993" i="2"/>
  <c r="A1967" i="2"/>
  <c r="A1902" i="2"/>
  <c r="A1865" i="2"/>
  <c r="A1900" i="2"/>
  <c r="A1999" i="2"/>
  <c r="A1873" i="2"/>
  <c r="W3" i="29" l="1" a="1"/>
  <c r="W3" i="29" s="1"/>
  <c r="S3" i="29" a="1"/>
  <c r="S3" i="29" s="1"/>
  <c r="AB3" i="30" a="1"/>
  <c r="AB3" i="30" s="1"/>
  <c r="J1" i="29"/>
  <c r="O1" i="29"/>
  <c r="N1" i="29"/>
  <c r="A1149" i="2"/>
  <c r="A1754" i="2"/>
  <c r="A1179" i="2"/>
  <c r="A2064" i="2"/>
  <c r="A2058" i="2"/>
  <c r="A1761" i="2"/>
  <c r="A1756" i="2"/>
  <c r="A1790" i="2"/>
  <c r="A1829" i="2"/>
  <c r="A1786" i="2"/>
  <c r="A1830" i="2"/>
  <c r="A1823" i="2"/>
  <c r="A2005" i="2"/>
  <c r="A1787" i="2"/>
  <c r="A1772" i="2"/>
  <c r="A1771" i="2"/>
  <c r="A1816" i="2"/>
  <c r="A1792" i="2"/>
  <c r="A1894" i="2"/>
  <c r="A1824" i="2"/>
  <c r="A776" i="2"/>
  <c r="A1810" i="2"/>
  <c r="A1808" i="2"/>
  <c r="A1778" i="2"/>
  <c r="A1936" i="2"/>
  <c r="A1799" i="2"/>
  <c r="V3" i="29" s="1" a="1"/>
  <c r="V3" i="29" s="1"/>
  <c r="A1815" i="2"/>
  <c r="A1802" i="2"/>
  <c r="A1812" i="2"/>
  <c r="A1814" i="2"/>
  <c r="A1798" i="2"/>
  <c r="A1819" i="2"/>
  <c r="A1821" i="2"/>
  <c r="A1820" i="2"/>
  <c r="A1818" i="2"/>
  <c r="A1773" i="2"/>
  <c r="A1796" i="2"/>
  <c r="A1795" i="2"/>
  <c r="A1757" i="2"/>
  <c r="A1755" i="2"/>
  <c r="A1797" i="2"/>
  <c r="A1831" i="2"/>
  <c r="A1804" i="2"/>
  <c r="A1789" i="2"/>
  <c r="A1807" i="2"/>
  <c r="A1758" i="2"/>
  <c r="A1784" i="2"/>
  <c r="A1794" i="2"/>
  <c r="A1770" i="2"/>
  <c r="A1775" i="2"/>
  <c r="A1774" i="2"/>
  <c r="A1769" i="2"/>
  <c r="A1982" i="2"/>
  <c r="A1788" i="2"/>
  <c r="A1805" i="2"/>
  <c r="A1825" i="2"/>
  <c r="A1777" i="2"/>
  <c r="A1776" i="2"/>
  <c r="A1791" i="2"/>
  <c r="A1840" i="2"/>
  <c r="A1869" i="2"/>
  <c r="A1806" i="2"/>
  <c r="A1785" i="2"/>
  <c r="A1801" i="2"/>
  <c r="A1827" i="2"/>
  <c r="A1781" i="2"/>
  <c r="A1828" i="2"/>
  <c r="A1768" i="2"/>
  <c r="A1813" i="2"/>
  <c r="A1809" i="2"/>
  <c r="A1822" i="2"/>
  <c r="A1782" i="2"/>
  <c r="A1783" i="2"/>
  <c r="A1766" i="2"/>
  <c r="A1767" i="2"/>
  <c r="A1811" i="2"/>
  <c r="A1780" i="2"/>
  <c r="A1765" i="2"/>
  <c r="A1764" i="2"/>
  <c r="A1763" i="2"/>
  <c r="A1800" i="2"/>
  <c r="A1762" i="2"/>
  <c r="A1759" i="2"/>
  <c r="A1760" i="2"/>
  <c r="A1803" i="2"/>
  <c r="A1817" i="2"/>
  <c r="A1150" i="2"/>
  <c r="A507" i="2"/>
  <c r="A221" i="2"/>
  <c r="A1334" i="2"/>
  <c r="A664" i="2"/>
  <c r="A1196" i="2"/>
  <c r="A1210" i="2"/>
  <c r="A1260" i="2"/>
  <c r="A112" i="2"/>
  <c r="A1177" i="2"/>
  <c r="A288" i="2"/>
  <c r="A1152" i="2"/>
  <c r="A1225" i="2"/>
  <c r="A764" i="2"/>
  <c r="A1051" i="2"/>
  <c r="A1310" i="2"/>
  <c r="A1165" i="2"/>
  <c r="G5" i="4" a="1"/>
  <c r="G5" i="4" s="1"/>
  <c r="A1335" i="2"/>
  <c r="A1232" i="2"/>
  <c r="A1300" i="2"/>
  <c r="A1307" i="2"/>
  <c r="A1336" i="2"/>
  <c r="A630" i="2"/>
  <c r="A224" i="2"/>
  <c r="A1265" i="2"/>
  <c r="A1183" i="2"/>
  <c r="A1180" i="2"/>
  <c r="A1052" i="2"/>
  <c r="A824" i="2"/>
  <c r="A1284" i="2"/>
  <c r="A1244" i="2"/>
  <c r="A1328" i="2"/>
  <c r="A1169" i="2"/>
  <c r="A821" i="2"/>
  <c r="A586" i="2"/>
  <c r="A1308" i="2"/>
  <c r="A1218" i="2"/>
  <c r="A1259" i="2"/>
  <c r="A1258" i="2"/>
  <c r="A2055" i="2"/>
  <c r="A2052" i="2"/>
  <c r="A2053" i="2"/>
  <c r="A2050" i="2"/>
  <c r="D4" i="4"/>
  <c r="S1" i="29" l="1"/>
  <c r="V1" i="29"/>
  <c r="T1" i="29"/>
  <c r="U1" i="29"/>
  <c r="A1206" i="2"/>
  <c r="A1292" i="2"/>
  <c r="A1226" i="2" l="1"/>
  <c r="A2024" i="2"/>
  <c r="A2029" i="2"/>
  <c r="A2033" i="2"/>
  <c r="A120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3" i="2"/>
  <c r="A465" i="2"/>
  <c r="N3" i="30" s="1" a="1"/>
  <c r="N3" i="30" s="1"/>
  <c r="A1311" i="2"/>
  <c r="A466" i="2"/>
  <c r="A1294" i="2"/>
  <c r="A2067" i="2"/>
  <c r="A1283" i="2"/>
  <c r="A1250" i="2"/>
  <c r="A2065" i="2"/>
  <c r="A2062" i="2"/>
  <c r="A781" i="2"/>
  <c r="A801" i="2"/>
  <c r="A441" i="2"/>
  <c r="A255" i="2"/>
  <c r="A1136" i="2"/>
  <c r="A1332" i="2"/>
  <c r="A165" i="2"/>
  <c r="A2023" i="2"/>
  <c r="A2018" i="2"/>
  <c r="A2017" i="2"/>
  <c r="A2016" i="2"/>
  <c r="A2015" i="2"/>
  <c r="A2014" i="2"/>
  <c r="A2012" i="2"/>
  <c r="A2009" i="2"/>
  <c r="A2008" i="2"/>
  <c r="A371" i="2"/>
  <c r="A954" i="2"/>
  <c r="A1213" i="2"/>
  <c r="A219" i="2"/>
  <c r="A1644" i="2"/>
  <c r="A1166" i="2"/>
  <c r="A1163" i="2"/>
  <c r="A922" i="2"/>
  <c r="L1" i="30" l="1"/>
  <c r="A1301" i="2"/>
  <c r="A5" i="4" a="1"/>
  <c r="B1" i="4"/>
  <c r="A746" i="2"/>
  <c r="A1285" i="2"/>
  <c r="A765" i="2"/>
  <c r="A1067" i="2"/>
  <c r="A220" i="2"/>
  <c r="A212" i="2"/>
  <c r="A1205" i="2"/>
  <c r="A792" i="2"/>
  <c r="A921" i="2"/>
  <c r="A750" i="2"/>
  <c r="A1048" i="2"/>
  <c r="A239" i="2"/>
  <c r="A1193" i="2"/>
  <c r="A284" i="2"/>
  <c r="A1249" i="2"/>
  <c r="A927" i="2"/>
  <c r="A218" i="2"/>
  <c r="A794" i="2"/>
  <c r="A1246" i="2"/>
  <c r="A1130" i="2"/>
  <c r="A796" i="2"/>
  <c r="A1312" i="2"/>
  <c r="A1318" i="2"/>
  <c r="A138" i="2"/>
  <c r="E3" i="30" s="1" a="1"/>
  <c r="E3" i="30" s="1"/>
  <c r="A225" i="2"/>
  <c r="A324" i="2"/>
  <c r="A754" i="2"/>
  <c r="R3" i="30" s="1" a="1"/>
  <c r="R3" i="30" s="1"/>
  <c r="A267" i="2"/>
  <c r="A745" i="2"/>
  <c r="A766" i="2"/>
  <c r="A1261" i="2"/>
  <c r="A268" i="2"/>
  <c r="A827" i="2"/>
  <c r="O1" i="30" s="1"/>
  <c r="A1302" i="2"/>
  <c r="A213" i="2"/>
  <c r="H3" i="30" s="1" a="1"/>
  <c r="H3" i="30" s="1"/>
  <c r="A1248" i="2"/>
  <c r="A269" i="2"/>
  <c r="A1133" i="2"/>
  <c r="A226" i="2"/>
  <c r="A1243" i="2"/>
  <c r="A1228" i="2"/>
  <c r="A2032" i="2"/>
  <c r="A315" i="2"/>
  <c r="M3" i="30" s="1" a="1"/>
  <c r="M3" i="30" s="1"/>
  <c r="A1217" i="2"/>
  <c r="A1281" i="2"/>
  <c r="A1075" i="2"/>
  <c r="A297" i="2"/>
  <c r="A747" i="2"/>
  <c r="A227" i="2"/>
  <c r="A1277" i="2"/>
  <c r="A1646" i="2"/>
  <c r="A298" i="2"/>
  <c r="A2030" i="2"/>
  <c r="A915" i="2"/>
  <c r="A767" i="2"/>
  <c r="A270" i="2"/>
  <c r="A1274" i="2"/>
  <c r="A1313" i="2"/>
  <c r="A436" i="2"/>
  <c r="A299" i="2"/>
  <c r="A1326" i="2"/>
  <c r="A229" i="2"/>
  <c r="A797" i="2"/>
  <c r="A1231" i="2"/>
  <c r="A230" i="2"/>
  <c r="A1135" i="2"/>
  <c r="A1227" i="2"/>
  <c r="A1151" i="2"/>
  <c r="A1207" i="2"/>
  <c r="A1752" i="2"/>
  <c r="AH3" i="30" s="1" a="1"/>
  <c r="AH3" i="30" s="1"/>
  <c r="A235" i="2"/>
  <c r="A236" i="2"/>
  <c r="A1137" i="2"/>
  <c r="A1209" i="2"/>
  <c r="A770" i="2"/>
  <c r="A1325" i="2"/>
  <c r="A273" i="2"/>
  <c r="A1202" i="2"/>
  <c r="A1251" i="2"/>
  <c r="A771" i="2"/>
  <c r="A749" i="2"/>
  <c r="A1069" i="2"/>
  <c r="A364" i="2"/>
  <c r="A216" i="2"/>
  <c r="A2031" i="2"/>
  <c r="A826" i="2"/>
  <c r="A274" i="2"/>
  <c r="A1229" i="2"/>
  <c r="A1153" i="2"/>
  <c r="AA3" i="30" s="1" a="1"/>
  <c r="AA3" i="30" s="1"/>
  <c r="A1203" i="2"/>
  <c r="A365" i="2"/>
  <c r="A1303" i="2"/>
  <c r="A301" i="2"/>
  <c r="A2056" i="2"/>
  <c r="A1214" i="2"/>
  <c r="A1155" i="2"/>
  <c r="A1156" i="2"/>
  <c r="A773" i="2"/>
  <c r="A217" i="2"/>
  <c r="A1224" i="2"/>
  <c r="A907" i="2"/>
  <c r="A276" i="2"/>
  <c r="A1204" i="2"/>
  <c r="A242" i="2"/>
  <c r="A751" i="2"/>
  <c r="A1141" i="2"/>
  <c r="A1648" i="2"/>
  <c r="AC3" i="30" s="1" a="1"/>
  <c r="AC3" i="30" s="1"/>
  <c r="A317" i="2"/>
  <c r="A1219" i="2"/>
  <c r="A1159" i="2"/>
  <c r="A1324" i="2"/>
  <c r="A1305" i="2"/>
  <c r="A1291" i="2"/>
  <c r="A1309" i="2"/>
  <c r="A7" i="2"/>
  <c r="A370" i="2"/>
  <c r="A1257" i="2"/>
  <c r="A245" i="2"/>
  <c r="A1211" i="2"/>
  <c r="A247" i="2"/>
  <c r="A778" i="2"/>
  <c r="A278" i="2"/>
  <c r="A1322" i="2"/>
  <c r="A919" i="2"/>
  <c r="A1262" i="2"/>
  <c r="A2011" i="2"/>
  <c r="A1263" i="2"/>
  <c r="A279" i="2"/>
  <c r="A1253" i="2"/>
  <c r="A1164" i="2"/>
  <c r="A163" i="2"/>
  <c r="A302" i="2"/>
  <c r="A779" i="2"/>
  <c r="A825" i="2"/>
  <c r="U3" i="30" s="1" a="1"/>
  <c r="U3" i="30" s="1"/>
  <c r="A1167" i="2"/>
  <c r="A1242" i="2"/>
  <c r="A951" i="2"/>
  <c r="A1323" i="2"/>
  <c r="A1144" i="2"/>
  <c r="A638" i="2"/>
  <c r="P3" i="30" s="1" a="1"/>
  <c r="P3" i="30" s="1"/>
  <c r="A222" i="2"/>
  <c r="A1287" i="2"/>
  <c r="A1099" i="2"/>
  <c r="W3" i="30" s="1" a="1"/>
  <c r="W3" i="30" s="1"/>
  <c r="A1168" i="2"/>
  <c r="A1293" i="2"/>
  <c r="A1271" i="2"/>
  <c r="A253" i="2"/>
  <c r="A1171" i="2"/>
  <c r="A264" i="2"/>
  <c r="J3" i="30" s="1" a="1"/>
  <c r="J3" i="30" s="1"/>
  <c r="A923" i="2"/>
  <c r="A1666" i="2"/>
  <c r="AE3" i="30" s="1" a="1"/>
  <c r="AE3" i="30" s="1"/>
  <c r="A1172" i="2"/>
  <c r="A1327" i="2"/>
  <c r="A1657" i="2"/>
  <c r="AD3" i="30" s="1" a="1"/>
  <c r="AD3" i="30" s="1"/>
  <c r="A1173" i="2"/>
  <c r="A2066" i="2"/>
  <c r="A1065" i="2"/>
  <c r="A1174" i="2"/>
  <c r="A285" i="2"/>
  <c r="A1175" i="2"/>
  <c r="A156" i="2"/>
  <c r="F3" i="30" s="1" a="1"/>
  <c r="F3" i="30" s="1"/>
  <c r="A1176" i="2"/>
  <c r="A784" i="2"/>
  <c r="A1329" i="2"/>
  <c r="A1667" i="2"/>
  <c r="A1668" i="2"/>
  <c r="A256" i="2"/>
  <c r="A1146" i="2"/>
  <c r="A1102" i="2"/>
  <c r="A166" i="2"/>
  <c r="A785" i="2"/>
  <c r="A786" i="2"/>
  <c r="A1282" i="2"/>
  <c r="A374" i="2"/>
  <c r="A1272" i="2"/>
  <c r="A419" i="2"/>
  <c r="A787" i="2"/>
  <c r="A1254" i="2"/>
  <c r="A1178" i="2"/>
  <c r="A1331" i="2"/>
  <c r="A1233" i="2"/>
  <c r="A320" i="2"/>
  <c r="A1298" i="2"/>
  <c r="A1181" i="2"/>
  <c r="A1182" i="2"/>
  <c r="A1220" i="2"/>
  <c r="A1184" i="2"/>
  <c r="A1185" i="2"/>
  <c r="A1280" i="2"/>
  <c r="A286" i="2"/>
  <c r="A304" i="2"/>
  <c r="A1106" i="2"/>
  <c r="A789" i="2"/>
  <c r="A1670" i="2"/>
  <c r="A1189" i="2"/>
  <c r="A1190" i="2"/>
  <c r="A287" i="2"/>
  <c r="A1317" i="2"/>
  <c r="A1191" i="2"/>
  <c r="A1235" i="2"/>
  <c r="A790" i="2"/>
  <c r="A791" i="2"/>
  <c r="A1148" i="2"/>
  <c r="A1221" i="2"/>
  <c r="A290" i="2"/>
  <c r="A1192" i="2"/>
  <c r="A291" i="2"/>
  <c r="A292" i="2"/>
  <c r="A1108" i="2"/>
  <c r="A1304" i="2"/>
  <c r="A752" i="2"/>
  <c r="A259" i="2"/>
  <c r="A795" i="2"/>
  <c r="A1299" i="2"/>
  <c r="A442" i="2"/>
  <c r="A2006" i="2"/>
  <c r="AI3" i="30" s="1" a="1"/>
  <c r="AI3" i="30" s="1"/>
  <c r="A1245" i="2"/>
  <c r="A1073" i="2"/>
  <c r="A261" i="2"/>
  <c r="A806" i="2"/>
  <c r="A1222" i="2"/>
  <c r="A293" i="2"/>
  <c r="A1194" i="2"/>
  <c r="A1195" i="2"/>
  <c r="A2068" i="2"/>
  <c r="A920" i="2"/>
  <c r="A1273" i="2"/>
  <c r="A1330" i="2"/>
  <c r="A159" i="2"/>
  <c r="I3" i="30" l="1" a="1"/>
  <c r="I3" i="30" s="1"/>
  <c r="K3" i="30" a="1"/>
  <c r="K3" i="30" s="1"/>
  <c r="G3" i="30" a="1"/>
  <c r="G3" i="30" s="1"/>
  <c r="T3" i="30" a="1"/>
  <c r="T3" i="30" s="1"/>
  <c r="Z3" i="30" a="1"/>
  <c r="Z3" i="30" s="1"/>
  <c r="S3" i="30" a="1"/>
  <c r="S3" i="30" s="1"/>
  <c r="R3" i="29" a="1"/>
  <c r="R3" i="29" s="1"/>
  <c r="D3" i="30" a="1"/>
  <c r="D3" i="30" s="1"/>
  <c r="Y3" i="29" a="1"/>
  <c r="Q3" i="30" a="1"/>
  <c r="Q3" i="30" s="1"/>
  <c r="AA1" i="30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R1" i="29" l="1"/>
  <c r="Y3" i="29"/>
  <c r="Y1" i="29" s="1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<sst xmlns="http://schemas.openxmlformats.org/spreadsheetml/2006/main" count="13575" uniqueCount="4242">
  <si>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</si>
  <si>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</si>
  <si>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</si>
  <si>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</si>
  <si>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</si>
  <si>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</si>
  <si>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</si>
  <si>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</si>
  <si>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</si>
  <si>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</si>
  <si>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</si>
  <si>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</si>
  <si>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</si>
  <si>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</si>
  <si>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</si>
  <si>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</si>
  <si>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</si>
  <si>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</si>
  <si>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</si>
  <si>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</si>
  <si>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</si>
  <si>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</si>
  <si>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</si>
  <si>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</si>
  <si>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</si>
  <si>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</si>
  <si>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</si>
  <si>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</si>
  <si>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</si>
  <si>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</si>
  <si>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</si>
  <si>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</si>
  <si>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</si>
  <si>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</si>
  <si>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</si>
  <si>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</si>
  <si>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</si>
  <si>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</si>
  <si>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</si>
  <si>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</si>
  <si>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</si>
  <si>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</si>
  <si>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</si>
  <si>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</si>
  <si>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</si>
  <si>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</si>
  <si>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</si>
  <si>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</si>
  <si>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</si>
  <si>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</si>
  <si>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</si>
  <si>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</si>
  <si>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</si>
  <si>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</si>
  <si>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</si>
  <si>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</si>
  <si>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</si>
  <si>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</si>
  <si>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</si>
  <si>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</si>
  <si>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</si>
  <si>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</si>
  <si>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</si>
  <si>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</si>
  <si>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</si>
  <si>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</si>
  <si>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</si>
  <si>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</si>
  <si>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</si>
  <si>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</si>
  <si>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</si>
  <si>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</si>
  <si>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</si>
  <si>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</si>
  <si>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</si>
  <si>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</si>
  <si>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</si>
  <si>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</si>
  <si>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</si>
  <si>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</si>
  <si>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</si>
  <si>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</si>
  <si>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</si>
  <si>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</si>
  <si>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</si>
  <si>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</si>
  <si>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</si>
  <si>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</si>
  <si>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</si>
  <si>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</si>
  <si>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</si>
  <si>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</si>
  <si>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</si>
  <si>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</si>
  <si>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</si>
  <si>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</si>
  <si>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</si>
  <si>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</si>
  <si>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</si>
  <si>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</si>
  <si>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</si>
  <si>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</si>
  <si>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</si>
  <si>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</si>
  <si>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</si>
  <si>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</si>
  <si>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</si>
  <si>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</si>
  <si>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</si>
  <si>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</si>
  <si>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</si>
  <si>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</si>
  <si>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</si>
  <si>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</si>
  <si>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</si>
  <si>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</si>
  <si>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</si>
  <si>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</si>
  <si>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</si>
  <si>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</si>
  <si>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</si>
  <si>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</si>
  <si>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</si>
  <si>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</si>
  <si>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</si>
  <si>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</si>
  <si>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</si>
  <si>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</si>
  <si>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</si>
  <si>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</si>
  <si>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</si>
  <si>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</si>
  <si>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</si>
  <si>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</si>
  <si>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</si>
  <si>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</si>
  <si>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</si>
  <si>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</si>
  <si>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</si>
  <si>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</si>
  <si>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</si>
  <si>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</si>
  <si>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</si>
  <si>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</si>
  <si>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</si>
  <si>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</si>
  <si>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</si>
  <si>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</si>
  <si>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</si>
  <si>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</si>
  <si>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</si>
  <si>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</si>
  <si>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</si>
  <si>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</si>
  <si>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</si>
  <si>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</si>
  <si>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</si>
  <si>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</si>
  <si>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</si>
  <si>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</si>
  <si>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</si>
  <si>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</si>
  <si>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</si>
  <si>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</si>
  <si>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</si>
  <si>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</si>
  <si>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</si>
  <si>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</si>
  <si>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</si>
  <si>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</si>
  <si>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</si>
  <si>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</si>
  <si>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</si>
  <si>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</si>
  <si>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</si>
  <si>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</si>
  <si>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</si>
  <si>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</si>
  <si>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</si>
  <si>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</si>
  <si>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</si>
  <si>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</si>
  <si>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</si>
  <si>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</si>
  <si>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</si>
  <si>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</si>
  <si>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</si>
  <si>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</si>
  <si>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</si>
  <si>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</si>
  <si>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</si>
  <si>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</si>
  <si>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</si>
  <si>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</si>
  <si>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</si>
  <si>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</si>
  <si>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</si>
  <si>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</si>
  <si>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</si>
  <si>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</si>
  <si>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</si>
  <si>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</si>
  <si>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</si>
  <si>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</si>
  <si>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</si>
  <si>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</si>
  <si>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</si>
  <si>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</si>
  <si>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</si>
  <si>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</si>
  <si>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</si>
  <si>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</si>
  <si>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</si>
  <si>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</si>
  <si>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</si>
  <si>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</si>
  <si>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</si>
  <si>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</si>
  <si>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</si>
  <si>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</si>
  <si>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</si>
  <si>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</si>
  <si>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</si>
  <si>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</si>
  <si>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</si>
  <si>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</si>
  <si>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</si>
  <si>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</si>
  <si>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</si>
  <si>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</si>
  <si>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</si>
  <si>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</si>
  <si>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</si>
  <si>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</si>
  <si>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</si>
  <si>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</si>
  <si>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</si>
  <si>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</si>
  <si>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</si>
  <si>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</si>
  <si>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</si>
  <si>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</si>
  <si>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</si>
  <si>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</si>
  <si>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</si>
  <si>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</si>
  <si>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</si>
  <si>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</si>
  <si>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</si>
  <si>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</si>
  <si>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</si>
  <si>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</si>
  <si>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</si>
  <si>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</si>
  <si>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</si>
  <si>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</si>
  <si>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</si>
  <si>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</si>
  <si>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</si>
  <si>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</si>
  <si>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</si>
  <si>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</si>
  <si>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</si>
  <si>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</si>
  <si>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</si>
  <si>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</si>
  <si>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</si>
  <si>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</si>
  <si>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</si>
  <si>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</si>
  <si>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</si>
  <si>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</si>
  <si>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</si>
  <si>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</si>
  <si>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</si>
  <si>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</si>
  <si>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</si>
  <si>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</si>
  <si>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</si>
  <si>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</si>
  <si>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</si>
  <si>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</si>
  <si>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</si>
  <si>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</si>
  <si>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</si>
  <si>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</si>
  <si>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</si>
  <si>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</si>
  <si>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</si>
  <si>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</si>
  <si>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</si>
  <si>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</si>
  <si>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</si>
  <si>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</si>
  <si>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</si>
  <si>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</si>
  <si>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</si>
  <si>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</si>
  <si>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</si>
  <si>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</si>
  <si>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</si>
  <si>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</si>
  <si>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</si>
  <si>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</si>
  <si>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</si>
  <si>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</si>
  <si>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</si>
  <si>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</si>
  <si>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</si>
  <si>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</si>
  <si>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</si>
  <si>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</si>
  <si>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</si>
  <si>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</si>
  <si>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</si>
  <si>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</si>
  <si>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</si>
  <si>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</si>
  <si>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</si>
  <si>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</si>
  <si>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</si>
  <si>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</si>
  <si>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</si>
  <si>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</si>
  <si>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</si>
  <si>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</si>
  <si>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</si>
  <si>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</si>
  <si>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</si>
  <si>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</si>
  <si>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</si>
  <si>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</si>
  <si>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</si>
  <si>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</si>
  <si>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</si>
  <si>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</si>
  <si>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</si>
  <si>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</si>
  <si>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</si>
  <si>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</si>
  <si>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</si>
  <si>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</si>
  <si>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</si>
  <si>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</si>
  <si>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</si>
  <si>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</si>
  <si>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</si>
  <si>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</si>
  <si>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</si>
  <si>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</si>
  <si>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</si>
  <si>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</si>
  <si>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</si>
  <si>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</si>
  <si>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</si>
  <si>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</si>
  <si>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</si>
  <si>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</si>
  <si>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</si>
  <si>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</si>
  <si>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</si>
  <si>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</si>
  <si>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</si>
  <si>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</si>
  <si>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</si>
  <si>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</si>
  <si>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</si>
  <si>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</si>
  <si>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</si>
  <si>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</si>
  <si>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</si>
  <si>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</si>
  <si>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</si>
  <si>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</si>
  <si>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</si>
  <si>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</si>
  <si>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</si>
  <si>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</si>
  <si>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</si>
  <si>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</si>
  <si>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</si>
  <si>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</si>
  <si>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</si>
  <si>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</si>
  <si>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</si>
  <si>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</si>
  <si>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</si>
  <si>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</si>
  <si>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</si>
  <si>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</si>
  <si>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</si>
  <si>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</si>
  <si>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</si>
  <si>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</si>
  <si>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</si>
  <si>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</si>
  <si>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</si>
  <si>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</si>
  <si>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</si>
  <si>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</si>
  <si>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</si>
  <si>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</si>
  <si>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</si>
  <si>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</si>
  <si>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</si>
  <si>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</si>
  <si>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</si>
  <si>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</si>
  <si>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</si>
  <si>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</si>
  <si>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</si>
  <si>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</si>
  <si>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</si>
  <si>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</si>
  <si>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</si>
  <si>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</si>
  <si>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</si>
  <si>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</si>
  <si>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</si>
  <si>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</si>
  <si>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</si>
  <si>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</si>
  <si>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</si>
  <si>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</si>
  <si>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</si>
  <si>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</si>
  <si>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</si>
  <si>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</si>
  <si>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</si>
  <si>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</si>
  <si>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</si>
  <si>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</si>
  <si>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</si>
  <si>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</si>
  <si>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</si>
  <si>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</si>
  <si>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</si>
  <si>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</si>
  <si>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</si>
  <si>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</si>
  <si>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</si>
  <si>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</si>
  <si>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</si>
  <si>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</si>
  <si>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</si>
  <si>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</si>
  <si>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</si>
  <si>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</si>
  <si>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</si>
  <si>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</si>
  <si>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</si>
  <si>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</si>
  <si>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</si>
  <si>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</si>
  <si>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</si>
  <si>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</si>
  <si>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</si>
  <si>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</si>
  <si>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</si>
  <si>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</si>
  <si>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</si>
  <si>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</si>
  <si>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</si>
  <si>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</si>
  <si>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</si>
  <si>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</si>
  <si>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</si>
  <si>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</si>
  <si>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</si>
  <si>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</si>
  <si>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</si>
  <si>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</si>
  <si>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</si>
  <si>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</si>
  <si>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</si>
  <si>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</si>
  <si>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</si>
  <si>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</si>
  <si>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</si>
  <si>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</si>
  <si>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</si>
  <si>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</si>
  <si>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</si>
  <si>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</si>
  <si>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</si>
  <si>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</si>
  <si>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</si>
  <si>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</si>
  <si>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</si>
  <si>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</si>
  <si>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</si>
  <si>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</si>
  <si>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</si>
  <si>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</si>
  <si>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</si>
  <si>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</si>
  <si>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</si>
  <si>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</si>
  <si>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</si>
  <si>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</si>
  <si>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</si>
  <si>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</si>
  <si>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</si>
  <si>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</si>
  <si>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</si>
  <si>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</si>
  <si>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</si>
  <si>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</si>
  <si>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</si>
  <si>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</si>
  <si>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</si>
  <si>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</si>
  <si>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</si>
  <si>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</si>
  <si>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</si>
  <si>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</si>
  <si>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</si>
  <si>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</si>
  <si>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</si>
  <si>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</si>
  <si>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</si>
  <si>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</si>
  <si>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</si>
  <si>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</si>
  <si>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</si>
  <si>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</si>
  <si>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</si>
  <si>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</si>
  <si>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</si>
  <si>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</si>
  <si>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</si>
  <si>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</si>
  <si>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</si>
  <si>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</si>
  <si>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</si>
  <si>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</si>
  <si>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</si>
  <si>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</si>
  <si>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</si>
  <si>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</si>
  <si>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</si>
  <si>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</si>
  <si>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</si>
  <si>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</si>
  <si>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</si>
  <si>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</si>
  <si>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</si>
  <si>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</si>
  <si>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</si>
  <si>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</si>
  <si>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</si>
  <si>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</si>
  <si>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</si>
  <si>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</si>
  <si>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</si>
  <si>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</si>
  <si>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</si>
  <si>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</si>
  <si>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</si>
  <si>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</si>
  <si>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</si>
  <si>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</si>
  <si>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</si>
  <si>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</si>
  <si>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</si>
  <si>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</si>
  <si>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</si>
  <si>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</si>
  <si>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</si>
  <si>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</si>
  <si>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</si>
  <si>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</si>
  <si>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</si>
  <si>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</si>
  <si>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</si>
  <si>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</si>
  <si>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</si>
  <si>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</si>
  <si>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</si>
  <si>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</si>
  <si>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</si>
  <si>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</si>
  <si>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</si>
  <si>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</si>
  <si>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</si>
  <si>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</si>
  <si>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</si>
  <si>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</si>
  <si>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</si>
  <si>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</si>
  <si>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</si>
  <si>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</si>
  <si>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</si>
  <si>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</si>
  <si>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</si>
  <si>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</si>
  <si>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</si>
  <si>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</si>
  <si>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</si>
  <si>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</si>
  <si>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</si>
  <si>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</si>
  <si>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</si>
  <si>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</si>
  <si>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</si>
  <si>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</si>
  <si>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</si>
  <si>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</si>
  <si>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</si>
  <si>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</si>
  <si>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</si>
  <si>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</si>
  <si>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</si>
  <si>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</si>
  <si>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</si>
  <si>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</si>
  <si>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</si>
  <si>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</si>
  <si>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</si>
  <si>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</si>
  <si>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</si>
  <si>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</si>
  <si>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</si>
  <si>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</si>
  <si>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</si>
  <si>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</si>
  <si>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</si>
  <si>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</si>
  <si>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</si>
  <si>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</si>
  <si>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</si>
  <si>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</si>
  <si>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</si>
  <si>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</si>
  <si>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</si>
  <si>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</si>
  <si>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</si>
  <si>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</si>
  <si>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</si>
  <si>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</si>
  <si>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</si>
  <si>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</si>
  <si>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</si>
  <si>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</si>
  <si>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</si>
  <si>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</si>
  <si>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</si>
  <si>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</si>
  <si>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</si>
  <si>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</si>
  <si>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</si>
  <si>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</si>
  <si>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</si>
  <si>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</si>
  <si>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</si>
  <si>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</si>
  <si>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</si>
  <si>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</si>
  <si>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</si>
  <si>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</si>
  <si>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</si>
  <si>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</si>
  <si>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</si>
  <si>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</si>
  <si>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</si>
  <si>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</si>
  <si>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</si>
  <si>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</si>
  <si>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</si>
  <si>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</si>
  <si>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</si>
  <si>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</si>
  <si>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</si>
  <si>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</si>
  <si>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</si>
  <si>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</si>
  <si>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</si>
  <si>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</si>
  <si>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</si>
  <si>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</si>
  <si>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</si>
  <si>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</si>
  <si>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</si>
  <si>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</si>
  <si>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</si>
  <si>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</si>
  <si>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</si>
  <si>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</si>
  <si>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</si>
  <si>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</si>
  <si>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</si>
  <si>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</si>
  <si>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</si>
  <si>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</si>
  <si>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</si>
  <si>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</si>
  <si>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</si>
  <si>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</si>
  <si>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</si>
  <si>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</si>
  <si>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</si>
  <si>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</si>
  <si>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</si>
  <si>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</si>
  <si>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</si>
  <si>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</si>
  <si>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</si>
  <si>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</si>
  <si>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</si>
  <si>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</si>
  <si>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</si>
  <si>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</si>
  <si>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</si>
  <si>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</si>
  <si>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</si>
  <si>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</si>
  <si>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</si>
  <si>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</si>
  <si>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</si>
  <si>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</si>
  <si>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</si>
  <si>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</si>
  <si>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</si>
  <si>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</si>
  <si>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</si>
  <si>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</si>
  <si>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</si>
  <si>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</si>
  <si>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</si>
  <si>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</si>
  <si>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</si>
  <si>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</si>
  <si>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</si>
  <si>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</si>
  <si>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</si>
  <si>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</si>
  <si>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</si>
  <si>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</si>
  <si>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</si>
  <si>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</si>
  <si>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</si>
  <si>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</si>
  <si>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</si>
  <si>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</si>
  <si>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</si>
  <si>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</si>
  <si>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</si>
  <si>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</si>
  <si>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</si>
  <si>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</si>
  <si>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</si>
  <si>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</si>
  <si>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</si>
  <si>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</si>
  <si>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</si>
  <si>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</si>
  <si>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</si>
  <si>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</si>
  <si>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</si>
  <si>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</si>
  <si>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</si>
  <si>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</si>
  <si>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</si>
  <si>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</si>
  <si>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</si>
  <si>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</si>
  <si>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</si>
  <si>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</si>
  <si>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</si>
  <si>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</si>
  <si>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</si>
  <si>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</si>
  <si>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</si>
  <si>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</si>
  <si>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</si>
  <si>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</si>
  <si>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</si>
  <si>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</si>
  <si>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</si>
  <si>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</si>
  <si>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</si>
  <si>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</si>
  <si>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</si>
  <si>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</si>
  <si>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</si>
  <si>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</si>
  <si>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</si>
  <si>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</si>
  <si>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</si>
  <si>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</si>
  <si>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</si>
  <si>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</si>
  <si>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</si>
  <si>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</si>
  <si>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</si>
  <si>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</si>
  <si>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</si>
  <si>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</si>
  <si>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</si>
  <si>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</si>
  <si>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</si>
  <si>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</si>
  <si>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</si>
  <si>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</si>
  <si>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</si>
  <si>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</si>
  <si>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</si>
  <si>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</si>
  <si>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</si>
  <si>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</si>
  <si>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</si>
  <si>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</si>
  <si>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</si>
  <si>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</si>
  <si>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</si>
  <si>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</si>
  <si>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</si>
  <si>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</si>
  <si>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</si>
  <si>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</si>
  <si>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</si>
  <si>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</si>
  <si>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</si>
  <si>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</si>
  <si>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</si>
  <si>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</si>
  <si>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</si>
  <si>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</si>
  <si>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</si>
  <si>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</si>
  <si>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</si>
  <si>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</si>
  <si>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</si>
  <si>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</si>
  <si>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</si>
  <si>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</si>
  <si>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</si>
  <si>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</si>
  <si>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</si>
  <si>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</si>
  <si>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</si>
  <si>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</si>
  <si>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</si>
  <si>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</si>
  <si>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</si>
  <si>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</si>
  <si>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</si>
  <si>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</si>
  <si>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</si>
  <si>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</si>
  <si>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</si>
  <si>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</si>
  <si>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</si>
  <si>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</si>
  <si>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</si>
  <si>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</si>
  <si>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</si>
  <si>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</si>
  <si>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</si>
  <si>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</si>
  <si>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</si>
  <si>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</si>
  <si>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</si>
  <si>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</si>
  <si>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</si>
  <si>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</si>
  <si>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</si>
  <si>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</si>
  <si>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</si>
  <si>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</si>
  <si>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</si>
  <si>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</si>
  <si>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</si>
  <si>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</si>
  <si>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</si>
  <si>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</si>
  <si>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</si>
  <si>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</si>
  <si>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</si>
  <si>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</si>
  <si>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</si>
  <si>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</si>
  <si>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</si>
  <si>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</si>
  <si>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</si>
  <si>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</si>
  <si>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</si>
  <si>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</si>
  <si>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</si>
  <si>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</si>
  <si>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</si>
  <si>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</si>
  <si>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</si>
  <si>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</si>
  <si>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</si>
  <si>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</si>
  <si>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</si>
  <si>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</si>
  <si>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</si>
  <si>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</si>
  <si>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</si>
  <si>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</si>
  <si>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</si>
  <si>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</si>
  <si>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</si>
  <si>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</si>
  <si>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</si>
  <si>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</si>
  <si>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</si>
  <si>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</si>
  <si>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</si>
  <si>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</si>
  <si>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</si>
  <si>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</si>
  <si>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</si>
  <si>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</si>
  <si>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</si>
  <si>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</si>
  <si>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</si>
  <si>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</si>
  <si>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</si>
  <si>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</si>
  <si>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</si>
  <si>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</si>
  <si>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</si>
  <si>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</si>
  <si>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</si>
  <si>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</si>
  <si>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</si>
  <si>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</si>
  <si>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</si>
  <si>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</si>
  <si>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</si>
  <si>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</si>
  <si>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</si>
  <si>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</si>
  <si>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</si>
  <si>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</si>
  <si>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</si>
  <si>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</si>
  <si>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</si>
  <si>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</si>
  <si>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</si>
  <si>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</si>
  <si>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</si>
  <si>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</si>
  <si>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</si>
  <si>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</si>
  <si>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</si>
  <si>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</si>
  <si>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</si>
  <si>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</si>
  <si>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</si>
  <si>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</si>
  <si>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</si>
  <si>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</si>
  <si>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</si>
  <si>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</si>
  <si>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</si>
  <si>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</si>
  <si>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</si>
  <si>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</si>
  <si>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</si>
  <si>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</si>
  <si>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</si>
  <si>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</si>
  <si>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</si>
  <si>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</si>
  <si>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</si>
  <si>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</si>
  <si>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</si>
  <si>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</si>
  <si>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</si>
  <si>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</si>
  <si>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</si>
  <si>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</si>
  <si>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</si>
  <si>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</si>
  <si>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</si>
  <si>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</si>
  <si>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</si>
  <si>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</si>
  <si>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</si>
  <si>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</si>
  <si>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</si>
  <si>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</si>
  <si>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</si>
  <si>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</si>
  <si>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</si>
  <si>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</si>
  <si>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</si>
  <si>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</si>
  <si>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</si>
  <si>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</si>
  <si>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</si>
  <si>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</si>
  <si>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</si>
  <si>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</si>
  <si>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</si>
  <si>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</si>
  <si>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</si>
  <si>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</si>
  <si>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</si>
  <si>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</si>
  <si>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</si>
  <si>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</si>
  <si>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</si>
  <si>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</si>
  <si>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</si>
  <si>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</si>
  <si>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</si>
  <si>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</si>
  <si>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</si>
  <si>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</si>
  <si>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</si>
  <si>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</si>
  <si>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</si>
  <si>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</si>
  <si>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</si>
  <si>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</si>
  <si>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</si>
  <si>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</si>
  <si>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</si>
  <si>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</si>
  <si>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</si>
  <si>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</si>
  <si>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</si>
  <si>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</si>
  <si>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</si>
  <si>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</si>
  <si>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</si>
  <si>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</si>
  <si>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</si>
  <si>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</si>
  <si>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</si>
  <si>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</si>
  <si>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</si>
  <si>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</si>
  <si>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</si>
  <si>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</si>
  <si>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</si>
  <si>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</si>
  <si>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</si>
  <si>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</si>
  <si>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</si>
  <si>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</si>
  <si>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</si>
  <si>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</si>
  <si>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</si>
  <si>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</si>
  <si>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</si>
  <si>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</si>
  <si>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</si>
  <si>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</si>
  <si>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</si>
  <si>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</si>
  <si>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</si>
  <si>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</si>
  <si>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</si>
  <si>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</si>
  <si>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</si>
  <si>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</si>
  <si>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</si>
  <si>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</si>
  <si>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</si>
  <si>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</si>
  <si>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</si>
  <si>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</si>
  <si>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</si>
  <si>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</si>
  <si>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</si>
  <si>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</si>
  <si>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</si>
  <si>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</si>
  <si>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</si>
  <si>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</si>
  <si>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</si>
  <si>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</si>
  <si>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</si>
  <si>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</si>
  <si>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</si>
  <si>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</si>
  <si>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</si>
  <si>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</si>
  <si>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</si>
  <si>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</si>
  <si>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</si>
  <si>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</si>
  <si>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</si>
  <si>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</si>
  <si>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</si>
  <si>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</si>
  <si>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</si>
  <si>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</si>
  <si>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</si>
  <si>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</si>
  <si>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</si>
  <si>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</si>
  <si>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</si>
  <si>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</si>
  <si>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</si>
  <si>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</si>
  <si>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</si>
  <si>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</si>
  <si>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</si>
  <si>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</si>
  <si>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</si>
  <si>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</si>
  <si>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</si>
  <si>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</si>
  <si>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</si>
  <si>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</si>
  <si>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</si>
  <si>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</si>
  <si>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</si>
  <si>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</si>
  <si>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</si>
  <si>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</si>
  <si>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</si>
  <si>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</si>
  <si>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</si>
  <si>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</si>
  <si>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</si>
  <si>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</si>
  <si>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</si>
  <si>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</si>
  <si>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</si>
  <si>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</si>
  <si>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</si>
  <si>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</si>
  <si>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</si>
  <si>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</si>
  <si>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</si>
  <si>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</si>
  <si>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</si>
  <si>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</si>
  <si>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</si>
  <si>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</si>
  <si>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</si>
  <si>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</si>
  <si>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</si>
  <si>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</si>
  <si>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</si>
  <si>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</si>
  <si>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</si>
  <si>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</si>
  <si>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</si>
  <si>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</si>
  <si>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</si>
  <si>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</si>
  <si>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</si>
  <si>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</si>
  <si>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</si>
  <si>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</si>
  <si>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</si>
  <si>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</si>
  <si>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</si>
  <si>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</si>
  <si>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</si>
  <si>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</si>
  <si>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</si>
  <si>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</si>
  <si>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</si>
  <si>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</si>
  <si>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</si>
  <si>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</si>
  <si>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</si>
  <si>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</si>
  <si>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</si>
  <si>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</si>
  <si>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</si>
  <si>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</si>
  <si>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</si>
  <si>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</si>
  <si>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</si>
  <si>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</si>
  <si>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</si>
  <si>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</si>
  <si>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</si>
  <si>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</si>
  <si>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</si>
  <si>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</si>
  <si>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</si>
  <si>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</si>
  <si>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</si>
  <si>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</si>
  <si>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</si>
  <si>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</si>
  <si>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</si>
  <si>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</si>
  <si>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</si>
  <si>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</si>
  <si>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</si>
  <si>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</si>
  <si>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</si>
  <si>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</si>
  <si>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</si>
  <si>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</si>
  <si>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</si>
  <si>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</si>
  <si>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</si>
  <si>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</si>
  <si>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</si>
  <si>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</si>
  <si>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</si>
  <si>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</si>
  <si>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</si>
  <si>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</si>
  <si>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</si>
  <si>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</si>
  <si>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</si>
  <si>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</si>
  <si>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</si>
  <si>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</si>
  <si>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</si>
  <si>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</si>
  <si>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</si>
  <si>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</si>
  <si>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</si>
  <si>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</si>
  <si>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</si>
  <si>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</si>
  <si>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</si>
  <si>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</si>
  <si>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</si>
  <si>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</si>
  <si>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</si>
  <si>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</si>
  <si>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</si>
  <si>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</si>
  <si>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</si>
  <si>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</si>
  <si>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</si>
  <si>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</si>
  <si>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</si>
  <si>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</si>
  <si>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</si>
  <si>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</si>
  <si>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</si>
  <si>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</si>
  <si>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</si>
  <si>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</si>
  <si>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</si>
  <si>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</si>
  <si>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</si>
  <si>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</si>
  <si>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</si>
  <si>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</si>
  <si>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</si>
  <si>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</si>
  <si>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</si>
  <si>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</si>
  <si>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</si>
  <si>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</si>
  <si>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</si>
  <si>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</si>
  <si>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</si>
  <si>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</si>
  <si>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</si>
  <si>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</si>
  <si>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</si>
  <si>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</si>
  <si>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</si>
  <si>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</si>
  <si>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</si>
  <si>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</si>
  <si>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</si>
  <si>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</si>
  <si>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</si>
  <si>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</si>
  <si>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</si>
  <si>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</si>
  <si>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</si>
  <si>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</si>
  <si>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</si>
  <si>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</si>
  <si>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</si>
  <si>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</si>
  <si>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</si>
  <si>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</si>
  <si>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</si>
  <si>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</si>
  <si>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</si>
  <si>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</si>
  <si>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</si>
  <si>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</si>
  <si>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</si>
  <si>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</si>
  <si>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</si>
  <si>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</si>
  <si>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</si>
  <si>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</si>
  <si>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</si>
  <si>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</si>
  <si>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</si>
  <si>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</si>
  <si>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</si>
  <si>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</si>
  <si>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</si>
  <si>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</si>
  <si>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</si>
  <si>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</si>
  <si>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</si>
  <si>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</si>
  <si>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</si>
  <si>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</si>
  <si>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</si>
  <si>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</si>
  <si>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</si>
  <si>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</si>
  <si>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</si>
  <si>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</si>
  <si>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</si>
  <si>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</si>
  <si>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</si>
  <si>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</si>
  <si>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</si>
  <si>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</si>
  <si>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</si>
  <si>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</si>
  <si>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</si>
  <si>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</si>
  <si>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</si>
  <si>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</si>
  <si>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</si>
  <si>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</si>
  <si>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</si>
  <si>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</si>
  <si>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</si>
  <si>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</si>
  <si>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</si>
  <si>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</si>
  <si>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</si>
  <si>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</si>
  <si>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</si>
  <si>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</si>
  <si>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</si>
  <si>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</si>
  <si>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</si>
  <si>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</si>
  <si>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</si>
  <si>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</si>
  <si>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</si>
  <si>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</si>
  <si>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</si>
  <si>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</si>
  <si>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</si>
  <si>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</si>
  <si>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</si>
  <si>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</si>
  <si>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</si>
  <si>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</si>
  <si>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</si>
  <si>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</si>
  <si>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</si>
  <si>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</si>
  <si>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</si>
  <si>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</si>
  <si>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</si>
  <si>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</si>
  <si>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</si>
  <si>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</si>
  <si>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</si>
  <si>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</si>
  <si>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</si>
  <si>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</si>
  <si>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</si>
  <si>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</si>
  <si>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</si>
  <si>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</si>
  <si>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</si>
  <si>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</si>
  <si>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</si>
  <si>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</si>
  <si>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</si>
  <si>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</si>
  <si>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</si>
  <si>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</si>
  <si>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</si>
  <si>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</si>
  <si>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</si>
  <si>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</si>
  <si>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</si>
  <si>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</si>
  <si>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</si>
  <si>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</si>
  <si>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</si>
  <si>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</si>
  <si>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</si>
  <si>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</si>
  <si>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</si>
  <si>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</si>
  <si>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</si>
  <si>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</si>
  <si>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</si>
  <si>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</si>
  <si>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</si>
  <si>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</si>
  <si>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</si>
  <si>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</si>
  <si>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</si>
  <si>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</si>
  <si>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</si>
  <si>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</si>
  <si>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</si>
  <si>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</si>
  <si>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</si>
  <si>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</si>
  <si>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</si>
  <si>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</si>
  <si>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</si>
  <si>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</si>
  <si>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</si>
  <si>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</si>
  <si>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</si>
  <si>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</si>
  <si>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</si>
  <si>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</si>
  <si>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</si>
  <si>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</si>
  <si>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</si>
  <si>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</si>
  <si>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</si>
  <si>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</si>
  <si>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</si>
  <si>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</si>
  <si>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</si>
  <si>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</si>
  <si>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</si>
  <si>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</si>
  <si>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</si>
  <si>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</si>
  <si>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</si>
  <si>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</si>
  <si>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</si>
  <si>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</si>
  <si>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</si>
  <si>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</si>
  <si>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</si>
  <si>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</si>
  <si>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</si>
  <si>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</si>
  <si>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</si>
  <si>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</si>
  <si>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</si>
  <si>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</si>
  <si>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</si>
  <si>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</si>
  <si>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</si>
  <si>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</si>
  <si>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</si>
  <si>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</si>
  <si>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</si>
  <si>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</si>
  <si>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</si>
  <si>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</si>
  <si>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</si>
  <si>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</si>
  <si>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</si>
  <si>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</si>
  <si>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</si>
  <si>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</si>
  <si>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</si>
  <si>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</si>
  <si>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</si>
  <si>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</si>
  <si>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</si>
  <si>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</si>
  <si>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</si>
  <si>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</si>
  <si>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</si>
  <si>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</si>
  <si>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</si>
  <si>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</si>
  <si>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</si>
  <si>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</si>
  <si>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</si>
  <si>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</si>
  <si>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</si>
  <si>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</si>
  <si>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</si>
  <si>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</si>
  <si>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</si>
  <si>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</si>
  <si>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</si>
  <si>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</si>
  <si>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</si>
  <si>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</si>
  <si>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</si>
  <si>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</si>
  <si>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</si>
  <si>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</si>
  <si>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</si>
  <si>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</si>
  <si>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</si>
  <si>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</si>
  <si>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</si>
  <si>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</si>
  <si>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</si>
  <si>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</si>
  <si>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</si>
  <si>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</si>
  <si>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</si>
  <si>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</si>
  <si>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</si>
  <si>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</si>
  <si>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</si>
  <si>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</si>
  <si>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</si>
  <si>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</si>
  <si>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</si>
  <si>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</si>
  <si>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</si>
  <si>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</si>
  <si>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</si>
  <si>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</si>
  <si>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</si>
  <si>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</si>
  <si>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</si>
  <si>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</si>
  <si>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</si>
  <si>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</si>
  <si>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</si>
  <si>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</si>
  <si>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</si>
  <si>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</si>
  <si>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</si>
  <si>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</si>
  <si>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</si>
  <si>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</si>
  <si>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</si>
  <si>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</si>
  <si>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</si>
  <si>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</si>
  <si>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</si>
  <si>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</si>
  <si>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</si>
  <si>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</si>
  <si>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</si>
  <si>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</si>
  <si>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</si>
  <si>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</si>
  <si>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</si>
  <si>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</si>
  <si>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</si>
  <si>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</si>
  <si>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</si>
  <si>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</si>
  <si>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</si>
  <si>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</si>
  <si>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</si>
  <si>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</si>
  <si>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</si>
  <si>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</si>
  <si>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</si>
  <si>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</si>
  <si>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</si>
  <si>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</si>
  <si>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</si>
  <si>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</si>
  <si>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</si>
  <si>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</si>
  <si>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</si>
  <si>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</si>
  <si>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</si>
  <si>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</si>
  <si>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</si>
  <si>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</si>
  <si>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</si>
  <si>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</si>
  <si>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</si>
  <si>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</si>
  <si>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</si>
  <si>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</si>
  <si>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</si>
  <si>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</si>
  <si>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</si>
  <si>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</si>
  <si>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</si>
  <si>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</si>
  <si>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</si>
  <si>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</si>
  <si>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</si>
  <si>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</si>
  <si>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</si>
  <si>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</si>
  <si>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</si>
  <si>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</si>
  <si>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</si>
  <si>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</si>
  <si>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</si>
  <si>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</si>
  <si>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</si>
  <si>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</si>
  <si>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</si>
  <si>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</si>
  <si>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</si>
  <si>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</si>
  <si>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</si>
  <si>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</si>
  <si>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</si>
  <si>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</si>
  <si>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</si>
  <si>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</si>
  <si>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</si>
  <si>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</si>
  <si>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</si>
  <si>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</si>
  <si>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</si>
  <si>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</si>
  <si>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</si>
  <si>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</si>
  <si>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</si>
  <si>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</si>
  <si>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</si>
  <si>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</si>
  <si>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</si>
  <si>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</si>
  <si>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</si>
  <si>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</si>
  <si>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</si>
  <si>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</si>
  <si>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</si>
  <si>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</si>
  <si>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</si>
  <si>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</si>
  <si>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</si>
  <si>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</si>
  <si>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</si>
  <si>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</si>
  <si>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</si>
  <si>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</si>
  <si>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</si>
  <si>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</si>
  <si>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</si>
  <si>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</si>
  <si>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</si>
  <si>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</si>
  <si>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</si>
  <si>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</si>
  <si>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</si>
  <si>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</si>
  <si>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</si>
  <si>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</si>
  <si>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</si>
  <si>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</si>
  <si>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</si>
  <si>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</si>
  <si>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</si>
  <si>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</si>
  <si>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</si>
  <si>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</si>
  <si>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</si>
  <si>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</si>
  <si>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</si>
  <si>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</si>
  <si>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</si>
  <si>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</si>
  <si>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</si>
  <si>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</si>
  <si>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</si>
  <si>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</si>
  <si>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</si>
  <si>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</si>
  <si>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</si>
  <si>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</si>
  <si>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</si>
  <si>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</si>
  <si>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</si>
  <si>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</si>
  <si>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</si>
  <si>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</si>
  <si>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</si>
  <si>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</si>
  <si>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</si>
  <si>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</si>
  <si>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</si>
  <si>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</si>
  <si>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</si>
  <si>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</si>
  <si>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</si>
  <si>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</si>
  <si>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</si>
  <si>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</si>
  <si>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</si>
  <si>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</si>
  <si>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</si>
  <si>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</si>
  <si>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</si>
  <si>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</si>
  <si>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</si>
  <si>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</si>
  <si>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</si>
  <si>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</si>
  <si>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</si>
  <si>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</si>
  <si>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</si>
  <si>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</si>
  <si>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</si>
  <si>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</si>
  <si>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</si>
  <si>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</si>
  <si>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</si>
  <si>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</si>
  <si>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</si>
  <si>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</si>
  <si>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</si>
  <si>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</si>
  <si>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</si>
  <si>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</si>
  <si>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</si>
  <si>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</si>
  <si>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</si>
  <si>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</si>
  <si>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</si>
  <si>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</si>
  <si>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</si>
  <si>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</si>
  <si>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</si>
  <si>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</si>
  <si>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</si>
  <si>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</si>
  <si>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</si>
  <si>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</si>
  <si>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</si>
  <si>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</si>
  <si>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</si>
  <si>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</si>
  <si>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</si>
  <si>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</si>
  <si>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</si>
  <si>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</si>
  <si>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</si>
  <si>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</si>
  <si>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</si>
  <si>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</si>
  <si>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</si>
  <si>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</si>
  <si>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</si>
  <si>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</si>
  <si>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</si>
  <si>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</si>
  <si>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</si>
  <si>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</si>
  <si>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</si>
  <si>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</si>
  <si>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</si>
  <si>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</si>
  <si>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</si>
  <si>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</si>
  <si>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</si>
  <si>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</si>
  <si>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</si>
  <si>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</si>
  <si>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</si>
  <si>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</si>
  <si>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</si>
  <si>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</si>
  <si>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</si>
  <si>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</si>
  <si>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</si>
  <si>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</si>
  <si>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</si>
  <si>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</si>
  <si>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</si>
  <si>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</si>
  <si>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</si>
  <si>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</si>
  <si>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</si>
  <si>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</si>
  <si>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</si>
  <si>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</si>
  <si>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</si>
  <si>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</si>
  <si>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</si>
  <si>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</si>
  <si>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</si>
  <si>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</si>
  <si>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</si>
  <si>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</si>
  <si>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</si>
  <si>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</si>
  <si>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</si>
  <si>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</si>
  <si>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</si>
  <si>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</si>
  <si>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</si>
  <si>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</si>
  <si>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</si>
  <si>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</si>
  <si>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</si>
  <si>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</si>
  <si>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</si>
  <si>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</si>
  <si>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</si>
  <si>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</si>
  <si>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</si>
  <si>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</si>
  <si>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</si>
  <si>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</si>
  <si>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</si>
  <si>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</si>
  <si>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</si>
  <si>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</si>
  <si>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</si>
  <si>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</si>
  <si>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</si>
  <si>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</si>
  <si>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</si>
  <si>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</si>
  <si>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</si>
  <si>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</si>
  <si>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</si>
  <si>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</si>
  <si>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</si>
  <si>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</si>
  <si>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</si>
  <si>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</si>
  <si>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</si>
  <si>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</si>
  <si>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</si>
  <si>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</si>
  <si>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</si>
  <si>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</si>
  <si>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</si>
  <si>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</si>
  <si>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</si>
  <si>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</si>
  <si>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</si>
  <si>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</si>
  <si>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</si>
  <si>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</si>
  <si>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</si>
  <si>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</si>
  <si>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</si>
  <si>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</si>
  <si>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</si>
  <si>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</si>
  <si>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</si>
  <si>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</si>
  <si>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</si>
  <si>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</si>
  <si>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</si>
  <si>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</si>
  <si>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</si>
  <si>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</si>
  <si>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</si>
  <si>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</si>
  <si>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</si>
  <si>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</si>
  <si>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</si>
  <si>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</si>
  <si>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</si>
  <si>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</si>
  <si>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</si>
  <si>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</si>
  <si>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</si>
  <si>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</si>
  <si>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</si>
  <si>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</si>
  <si>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</si>
  <si>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</si>
  <si>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</si>
  <si>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</si>
  <si>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</si>
  <si>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</si>
  <si>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</si>
  <si>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</si>
  <si>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</si>
  <si>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</si>
  <si>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</si>
  <si>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</si>
  <si>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</si>
  <si>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</si>
  <si>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</si>
  <si>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</si>
  <si>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</si>
  <si>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</si>
  <si>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</si>
  <si>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</si>
  <si>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</si>
  <si>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</si>
  <si>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</si>
  <si>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</si>
  <si>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</si>
  <si>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</si>
  <si>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</si>
  <si>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</si>
  <si>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</si>
  <si>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</si>
  <si>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</si>
  <si>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</si>
  <si>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</si>
  <si>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</si>
  <si>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</si>
  <si>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</si>
  <si>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</si>
  <si>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</si>
  <si>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</si>
  <si>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</si>
  <si>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</si>
  <si>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</si>
  <si>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</si>
  <si>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</si>
  <si>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</si>
  <si>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</si>
  <si>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</si>
  <si>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</si>
  <si>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</si>
  <si>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</si>
  <si>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</si>
  <si>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</si>
  <si>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</si>
  <si>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</si>
  <si>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</si>
  <si>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</si>
  <si>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</si>
  <si>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</si>
  <si>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</si>
  <si>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</si>
  <si>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</si>
  <si>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</si>
  <si>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</si>
  <si>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</si>
  <si>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</si>
  <si>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</si>
  <si>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</si>
  <si>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</si>
  <si>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</si>
  <si>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</si>
  <si>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</si>
  <si>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</si>
  <si>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</si>
  <si>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</si>
  <si>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</si>
  <si>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</si>
  <si>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</si>
  <si>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</si>
  <si>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</si>
  <si>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</si>
  <si>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</si>
  <si>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</si>
  <si>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</si>
  <si>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</si>
  <si>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</si>
  <si>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</si>
  <si>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</si>
  <si>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</si>
  <si>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</si>
  <si>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</si>
  <si>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</si>
  <si>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</si>
  <si>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</si>
  <si>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</si>
  <si>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</si>
  <si>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</si>
  <si>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</si>
  <si>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</si>
  <si>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</si>
  <si>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</si>
  <si>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</si>
  <si>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</si>
  <si>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</si>
  <si>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</si>
  <si>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</si>
  <si>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</si>
  <si>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</si>
  <si>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</si>
  <si>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</si>
  <si>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</si>
  <si>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</si>
  <si>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</si>
  <si>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</si>
  <si>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</si>
  <si>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</si>
  <si>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</si>
  <si>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</si>
  <si>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</si>
  <si>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</si>
  <si>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</si>
  <si>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</si>
  <si>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</si>
  <si>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</si>
  <si>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</si>
  <si>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</si>
  <si>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</si>
  <si>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</si>
  <si>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</si>
  <si>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</si>
  <si>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</si>
  <si>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</si>
  <si>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</si>
  <si>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</si>
  <si>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</si>
  <si>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</si>
  <si>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</si>
  <si>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</si>
  <si>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</si>
  <si>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</si>
  <si>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</si>
  <si>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</si>
  <si>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</si>
  <si>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</si>
  <si>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</si>
  <si>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</si>
  <si>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</si>
  <si>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</si>
  <si>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</si>
  <si>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</si>
  <si>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</si>
  <si>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</si>
  <si>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</si>
  <si>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</si>
  <si>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</si>
  <si>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</si>
  <si>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</si>
  <si>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</si>
  <si>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</si>
  <si>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</si>
  <si>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</si>
  <si>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</si>
  <si>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</si>
  <si>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</si>
  <si>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</si>
  <si>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</si>
  <si>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</si>
  <si>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</si>
  <si>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</si>
  <si>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</si>
  <si>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</si>
  <si>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</si>
  <si>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</si>
  <si>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</si>
  <si>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</si>
  <si>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</si>
  <si>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</si>
  <si>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</si>
  <si>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</si>
  <si>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</si>
  <si>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</si>
  <si>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</si>
  <si>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</si>
  <si>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</si>
  <si>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</si>
  <si>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</si>
  <si>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</si>
  <si>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</si>
  <si>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</si>
  <si>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</si>
  <si>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</si>
  <si>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</si>
  <si>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</si>
  <si>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</si>
  <si>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</si>
  <si>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</si>
  <si>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</si>
  <si>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</si>
  <si>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</si>
  <si>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</si>
  <si>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</si>
  <si>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</si>
  <si>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</si>
  <si>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</si>
  <si>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</si>
  <si>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</si>
  <si>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</si>
  <si>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</si>
  <si>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</si>
  <si>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</si>
  <si>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</si>
  <si>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</si>
  <si>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</si>
  <si>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</si>
  <si>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</si>
  <si>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</si>
  <si>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</si>
  <si>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</si>
  <si>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</si>
  <si>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</si>
  <si>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</si>
  <si>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</si>
  <si>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</si>
  <si>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</si>
  <si>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</si>
  <si>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</si>
  <si>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</si>
  <si>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</si>
  <si>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</si>
  <si>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</si>
  <si>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</si>
  <si>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</si>
  <si>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</si>
  <si>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</si>
  <si>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</si>
  <si>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</si>
  <si>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</si>
  <si>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</si>
  <si>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</si>
  <si>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</si>
  <si>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</si>
  <si>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</si>
  <si>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</si>
  <si>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</si>
  <si>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</si>
  <si>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</si>
  <si>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</si>
  <si>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</si>
  <si>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</si>
  <si>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</si>
  <si>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</si>
  <si>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</si>
  <si>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</si>
  <si>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</si>
  <si>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</si>
  <si>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</si>
  <si>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</si>
  <si>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</si>
  <si>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</si>
  <si>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</si>
  <si>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</si>
  <si>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</si>
  <si>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</si>
  <si>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</si>
  <si>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</si>
  <si>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</si>
  <si>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</si>
  <si>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</si>
  <si>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</si>
  <si>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</si>
  <si>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</si>
  <si>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</si>
  <si>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</si>
  <si>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</si>
  <si>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</si>
  <si>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</si>
  <si>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</si>
  <si>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</si>
  <si>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</si>
  <si>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</si>
  <si>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</si>
  <si>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</si>
  <si>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</si>
  <si>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</si>
  <si>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</si>
  <si>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</si>
  <si>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</si>
  <si>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</si>
  <si>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</si>
  <si>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</si>
  <si>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</si>
  <si>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</si>
  <si>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</si>
  <si>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</si>
  <si>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</si>
  <si>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</si>
  <si>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</si>
  <si>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</si>
  <si>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</si>
  <si>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</si>
  <si>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</si>
  <si>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</si>
  <si>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</si>
  <si>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</si>
  <si>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</si>
  <si>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</si>
  <si>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</si>
  <si>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</si>
  <si>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</si>
  <si>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</si>
  <si>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</si>
  <si>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</si>
  <si>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</si>
  <si>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</si>
  <si>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</si>
  <si>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</si>
  <si>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</si>
  <si>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</si>
  <si>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</si>
  <si>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</si>
  <si>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</si>
  <si>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</si>
  <si>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</si>
  <si>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</si>
  <si>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</si>
  <si>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</si>
  <si>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</si>
  <si>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</si>
  <si>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</si>
  <si>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</si>
  <si>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</si>
  <si>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</si>
  <si>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</si>
  <si>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</si>
  <si>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</si>
  <si>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</si>
  <si>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</si>
  <si>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</si>
  <si>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</si>
  <si>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</si>
  <si>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</si>
  <si>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</si>
  <si>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</si>
  <si>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</si>
  <si>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</si>
  <si>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</si>
  <si>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</si>
  <si>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</si>
  <si>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</si>
  <si>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</si>
  <si>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</si>
  <si>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</si>
  <si>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</si>
  <si>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</si>
  <si>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</si>
  <si>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</si>
  <si>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</si>
  <si>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</si>
  <si>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</si>
  <si>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</si>
  <si>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</si>
  <si>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</si>
  <si>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</si>
  <si>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</si>
  <si>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</si>
  <si>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</si>
  <si>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</si>
  <si>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</si>
  <si>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</si>
  <si>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</si>
  <si>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</si>
  <si>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</si>
  <si>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</si>
  <si>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</si>
  <si>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</si>
  <si>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</si>
  <si>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</si>
  <si>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</si>
  <si>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</si>
  <si>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</si>
  <si>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</si>
  <si>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</si>
  <si>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</si>
  <si>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</si>
  <si>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</si>
  <si>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</si>
  <si>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</si>
  <si>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</si>
  <si>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</si>
  <si>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</si>
  <si>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</si>
  <si>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</si>
  <si>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</si>
  <si>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</si>
  <si>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</si>
  <si>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</si>
  <si>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</si>
  <si>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</si>
  <si>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</si>
  <si>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</si>
  <si>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</si>
  <si>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</si>
  <si>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</si>
  <si>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</si>
  <si>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</si>
  <si>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</si>
  <si>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</si>
  <si>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</si>
  <si>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</si>
  <si>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</si>
  <si>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</si>
  <si>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</si>
  <si>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</si>
  <si>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</si>
  <si>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</si>
  <si>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</si>
  <si>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</si>
  <si>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</si>
  <si>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</si>
  <si>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</si>
  <si>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</si>
  <si>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</si>
  <si>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</si>
  <si>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</si>
  <si>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</si>
  <si>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</si>
  <si>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</si>
  <si>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</si>
  <si>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</si>
  <si>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</si>
  <si>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</si>
  <si>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</si>
  <si>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</si>
  <si>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</si>
  <si>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</si>
  <si>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</si>
  <si>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</si>
  <si>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</si>
  <si>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</si>
  <si>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</si>
  <si>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</si>
  <si>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</si>
  <si>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</si>
  <si>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</si>
  <si>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</si>
  <si>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</si>
  <si>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</si>
  <si>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</si>
  <si>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</si>
  <si>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</si>
  <si>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</si>
  <si>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</si>
  <si>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</si>
  <si>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</si>
  <si>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</si>
  <si>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</si>
  <si>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</si>
  <si>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</si>
  <si>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</si>
  <si>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</si>
  <si>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</si>
  <si>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</si>
  <si>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</si>
  <si>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</si>
  <si>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</si>
  <si>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</si>
  <si>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</si>
  <si>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</si>
  <si>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</si>
  <si>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</si>
  <si>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</si>
  <si>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</si>
  <si>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</si>
  <si>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</si>
  <si>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</si>
  <si>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</si>
  <si>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</si>
  <si>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</si>
  <si>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</si>
  <si>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</si>
  <si>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</si>
  <si>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</si>
  <si>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</si>
  <si>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</si>
  <si>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</si>
  <si>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</si>
  <si>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</si>
  <si>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</si>
  <si>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</si>
  <si>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</si>
  <si>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</si>
  <si>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</si>
  <si>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</si>
  <si>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</si>
  <si>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</si>
  <si>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</si>
  <si>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</si>
  <si>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</si>
  <si>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</si>
  <si>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</si>
  <si>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</si>
  <si>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</si>
  <si>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</si>
  <si>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</si>
  <si>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</si>
  <si>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</si>
  <si>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</si>
  <si>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</si>
  <si>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</si>
  <si>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</si>
  <si>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</si>
  <si>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</si>
  <si>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</si>
  <si>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</si>
  <si>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</si>
  <si>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</si>
  <si>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</si>
  <si>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</si>
  <si>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</si>
  <si>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</si>
  <si>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</si>
  <si>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</si>
  <si>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</si>
  <si>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</si>
  <si>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</si>
  <si>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</si>
  <si>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</si>
  <si>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</si>
  <si>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</si>
  <si>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</si>
  <si>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</si>
  <si>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</si>
  <si>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</si>
  <si>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</si>
  <si>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</si>
  <si>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</si>
  <si>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</si>
  <si>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</si>
  <si>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</si>
  <si>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</si>
  <si>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</si>
  <si>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</si>
  <si>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</si>
  <si>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</si>
  <si>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</si>
  <si>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</si>
  <si>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</si>
  <si>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</si>
  <si>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</si>
  <si>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</si>
  <si>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</si>
  <si>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</si>
  <si>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</si>
  <si>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</si>
  <si>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</si>
  <si>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</si>
  <si>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</si>
  <si>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</si>
  <si>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</si>
  <si>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</si>
  <si>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</si>
  <si>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</si>
  <si>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</si>
  <si>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</si>
  <si>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</si>
  <si>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</si>
  <si>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</si>
  <si>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</si>
  <si>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</si>
  <si>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</si>
  <si>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</si>
  <si>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</si>
  <si>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</si>
  <si>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</si>
  <si>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</si>
  <si>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</si>
  <si>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</si>
  <si>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</si>
  <si>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</si>
  <si>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</si>
  <si>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</si>
  <si>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</si>
  <si>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</si>
  <si>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</si>
  <si>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</si>
  <si>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</si>
  <si>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</si>
  <si>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</si>
  <si>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</si>
  <si>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</si>
  <si>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</si>
  <si>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</si>
  <si>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</si>
  <si>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</si>
  <si>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</si>
  <si>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</si>
  <si>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</si>
  <si>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</si>
  <si>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</si>
  <si>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</si>
  <si>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</si>
  <si>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</si>
  <si>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</si>
  <si>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</si>
  <si>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</si>
  <si>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</si>
  <si>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</si>
  <si>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</si>
  <si>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</si>
  <si>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</si>
  <si>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</si>
  <si>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</si>
  <si>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</si>
  <si>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</si>
  <si>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</si>
  <si>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</si>
  <si>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</si>
  <si>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</si>
  <si>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</si>
  <si>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</si>
  <si>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</si>
  <si>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</si>
  <si>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</si>
  <si>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</si>
  <si>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</si>
  <si>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</si>
  <si>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</si>
  <si>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</si>
  <si>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</si>
  <si>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</si>
  <si>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</si>
  <si>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</si>
  <si>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</si>
  <si>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</si>
  <si>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</si>
  <si>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</si>
  <si>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</si>
  <si>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</si>
  <si>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</si>
  <si>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</si>
  <si>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</si>
  <si>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</si>
  <si>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</si>
  <si>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</si>
  <si>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</si>
  <si>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</si>
  <si>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</si>
  <si>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</si>
  <si>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</si>
  <si>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</si>
  <si>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</si>
  <si>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</si>
  <si>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</si>
  <si>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</si>
  <si>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</si>
  <si>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</si>
  <si>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</si>
  <si>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</si>
  <si>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</si>
  <si>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</si>
  <si>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</si>
  <si>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</si>
  <si>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</si>
  <si>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</si>
  <si>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</si>
  <si>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</si>
  <si>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</si>
  <si>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</si>
  <si>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</si>
  <si>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</si>
  <si>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</si>
  <si>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</si>
  <si>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</si>
  <si>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</si>
  <si>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</si>
  <si>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</si>
  <si>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</si>
  <si>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</si>
  <si>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</si>
  <si>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</si>
  <si>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</si>
  <si>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</si>
  <si>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</si>
  <si>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</si>
  <si>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</si>
  <si>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</si>
  <si>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</si>
  <si>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</si>
  <si>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</si>
  <si>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</si>
  <si>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</si>
  <si>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</si>
  <si>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</si>
  <si>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</si>
  <si>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</si>
  <si>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</si>
  <si>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</si>
  <si>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</si>
  <si>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</si>
  <si>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</si>
  <si>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</si>
  <si>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</si>
  <si>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</si>
  <si>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</si>
  <si>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</si>
  <si>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</si>
  <si>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</si>
  <si>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</si>
  <si>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</si>
  <si>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</si>
  <si>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</si>
  <si>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</si>
  <si>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</si>
  <si>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</si>
  <si>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</si>
  <si>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</si>
  <si>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</si>
  <si>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</si>
  <si>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</si>
  <si>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</si>
  <si>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</si>
  <si>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</si>
  <si>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</si>
  <si>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</si>
  <si>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</si>
  <si>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</si>
  <si>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</si>
  <si>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</si>
  <si>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</si>
  <si>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</si>
  <si>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</si>
  <si>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</si>
  <si>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</si>
  <si>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</si>
  <si>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</si>
  <si>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</si>
  <si>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</si>
  <si>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</si>
  <si>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</si>
  <si>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</si>
  <si>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</si>
  <si>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</si>
  <si>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</si>
  <si>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</si>
  <si>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</si>
  <si>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</si>
  <si>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</si>
  <si>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</si>
  <si>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</si>
  <si>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</si>
  <si>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</si>
  <si>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</si>
  <si>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</si>
  <si>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</si>
  <si>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</si>
  <si>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</si>
  <si>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</si>
  <si>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</si>
  <si>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</si>
  <si>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</si>
  <si>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</si>
  <si>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</si>
  <si>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</si>
  <si>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</si>
  <si>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</si>
  <si>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</si>
  <si>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</si>
  <si>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</si>
  <si>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</si>
  <si>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</si>
  <si>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</si>
  <si>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</si>
  <si>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</si>
  <si>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</si>
  <si>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</si>
  <si>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</si>
  <si>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</si>
  <si>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</si>
  <si>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</si>
  <si>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</si>
  <si>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</si>
  <si>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</si>
  <si>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</si>
  <si>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</si>
  <si>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</si>
  <si>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</si>
  <si>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</si>
  <si>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</si>
  <si>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</si>
  <si>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</si>
  <si>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</si>
  <si>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</si>
  <si>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</si>
  <si>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</si>
  <si>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</si>
  <si>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</si>
  <si>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</si>
  <si>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</si>
  <si>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</si>
  <si>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</si>
  <si>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</si>
  <si>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</si>
  <si>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</si>
  <si>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</si>
  <si>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</si>
  <si>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</si>
  <si>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</si>
  <si>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</si>
  <si>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</si>
  <si>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</si>
  <si>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</si>
  <si>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</si>
  <si>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</si>
  <si>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</si>
  <si>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</si>
  <si>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</si>
  <si>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</si>
  <si>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</si>
  <si>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</si>
  <si>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</si>
  <si>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</si>
  <si>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</si>
  <si>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</si>
  <si>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</si>
  <si>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</si>
  <si>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</si>
  <si>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</si>
  <si>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</si>
  <si>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</si>
  <si>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</si>
  <si>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</si>
  <si>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</si>
  <si>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</si>
  <si>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</si>
  <si>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</si>
  <si>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</si>
  <si>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</si>
  <si>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</si>
  <si>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</si>
  <si>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</si>
  <si>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</si>
  <si>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</si>
  <si>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</si>
  <si>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</si>
  <si>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</si>
  <si>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</si>
  <si>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</si>
  <si>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</si>
  <si>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</si>
  <si>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</si>
  <si>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</si>
  <si>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</si>
  <si>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</si>
  <si>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</si>
  <si>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</si>
  <si>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</si>
  <si>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</si>
  <si>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</si>
  <si>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</si>
  <si>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</si>
  <si>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</si>
  <si>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</si>
  <si>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</si>
  <si>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</si>
  <si>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</si>
  <si>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</si>
  <si>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</si>
  <si>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</si>
  <si>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</si>
  <si>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</si>
  <si>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</si>
  <si>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</si>
  <si>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</si>
  <si>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</si>
  <si>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</si>
  <si>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</si>
  <si>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</si>
  <si>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</si>
  <si>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</si>
  <si>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</si>
  <si>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</si>
  <si>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</si>
  <si>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</si>
  <si>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</si>
  <si>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</si>
  <si>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</si>
  <si>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</si>
  <si>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</si>
  <si>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</si>
  <si>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</si>
  <si>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</si>
  <si>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</si>
  <si>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</si>
  <si>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</si>
  <si>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</si>
  <si>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</si>
  <si>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</si>
  <si>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</si>
  <si>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</si>
  <si>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</si>
  <si>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</si>
  <si>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</si>
  <si>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</si>
  <si>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</si>
  <si>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</si>
  <si>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</si>
  <si>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</si>
  <si>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</si>
  <si>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</si>
  <si>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</si>
  <si>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</si>
  <si>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</si>
  <si>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</si>
  <si>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</si>
  <si>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</si>
  <si>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</si>
  <si>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</si>
  <si>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</si>
  <si>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</si>
  <si>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</si>
  <si>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</si>
  <si>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</si>
  <si>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</si>
  <si>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</si>
  <si>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</si>
  <si>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</si>
  <si>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</si>
  <si>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</si>
  <si>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</si>
  <si>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</si>
  <si>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</si>
  <si>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</si>
  <si>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</si>
  <si>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</si>
  <si>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</si>
  <si>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</si>
  <si>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</si>
  <si>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</si>
  <si>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</si>
  <si>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</si>
  <si>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</si>
  <si>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</si>
  <si>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</si>
  <si>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</si>
  <si>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</si>
  <si>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</si>
  <si>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</si>
  <si>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</si>
  <si>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</si>
  <si>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</si>
  <si>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</si>
  <si>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</si>
  <si>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</si>
  <si>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</si>
  <si>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</si>
  <si>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</si>
  <si>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</si>
  <si>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</si>
  <si>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</si>
  <si>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</si>
  <si>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</si>
  <si>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</si>
  <si>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</si>
  <si>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</si>
  <si>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</si>
  <si>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</si>
  <si>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</si>
  <si>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</si>
  <si>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</si>
  <si>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</si>
  <si>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</si>
  <si>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</si>
  <si>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</si>
  <si>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</si>
  <si>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</si>
  <si>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</si>
  <si>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</si>
  <si>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</si>
  <si>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</si>
  <si>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</si>
  <si>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</si>
  <si>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</si>
  <si>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</si>
  <si>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</si>
  <si>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</si>
  <si>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</si>
  <si>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</si>
  <si>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</si>
  <si>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</si>
  <si>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</si>
  <si>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</si>
  <si>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</si>
  <si>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</si>
  <si>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</si>
  <si>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</si>
  <si>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</si>
  <si>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</si>
  <si>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</si>
  <si>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</si>
  <si>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</si>
  <si>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</si>
  <si>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</si>
  <si>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</si>
  <si>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</si>
  <si>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</si>
  <si>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</si>
  <si>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</si>
  <si>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</si>
  <si>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</si>
  <si>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</si>
  <si>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</si>
  <si>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</si>
  <si>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</si>
  <si>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</si>
  <si>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</si>
  <si>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</si>
  <si>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</si>
  <si>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</si>
  <si>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</si>
  <si>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</si>
  <si>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</si>
  <si>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</si>
  <si>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</si>
  <si>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</si>
  <si>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</si>
  <si>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</si>
  <si>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</si>
  <si>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</si>
  <si>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</si>
  <si>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</si>
  <si>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</si>
  <si>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</si>
  <si>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</si>
  <si>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</si>
  <si>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</si>
  <si>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</si>
  <si>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</si>
  <si>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</si>
  <si>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</si>
  <si>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</si>
  <si>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</si>
  <si>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</si>
  <si>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</si>
  <si>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</si>
  <si>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</si>
  <si>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</si>
  <si>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</si>
  <si>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</si>
  <si>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</si>
  <si>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</si>
  <si>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</si>
  <si>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</si>
  <si>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</si>
  <si>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</si>
  <si>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</si>
  <si>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</si>
  <si>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</si>
  <si>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</si>
  <si>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</si>
  <si>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</si>
  <si>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</si>
  <si>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</si>
  <si>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</si>
  <si>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</si>
  <si>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</si>
  <si>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</si>
  <si>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</si>
  <si>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</si>
  <si>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</si>
  <si>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</si>
  <si>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</si>
  <si>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</si>
  <si>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</si>
  <si>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</si>
  <si>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</si>
  <si>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</si>
  <si>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</si>
  <si>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</si>
  <si>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</si>
  <si>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</si>
  <si>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</si>
  <si>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</si>
  <si>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</si>
  <si>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</si>
  <si>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</si>
  <si>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</si>
  <si>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</si>
  <si>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</si>
  <si>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</si>
  <si>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</si>
  <si>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</si>
  <si>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</si>
  <si>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</si>
  <si>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</si>
  <si>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</si>
  <si>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</si>
  <si>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</si>
  <si>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</si>
  <si>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</si>
  <si>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</si>
  <si>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</si>
  <si>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</si>
  <si>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</si>
  <si>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</si>
  <si>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</si>
  <si>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</si>
  <si>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</si>
  <si>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</si>
  <si>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</si>
  <si>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</si>
  <si>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</si>
  <si>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</si>
  <si>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</si>
  <si>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</si>
  <si>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</si>
  <si>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</si>
  <si>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</si>
  <si>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</si>
  <si>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</si>
  <si>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</si>
  <si>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</si>
  <si>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</si>
  <si>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</si>
  <si>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</si>
  <si>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</si>
  <si>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</si>
  <si>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</si>
  <si>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</si>
  <si>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</si>
  <si>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</si>
  <si>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</si>
  <si>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</si>
  <si>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</si>
  <si>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</si>
  <si>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</si>
  <si>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</si>
  <si>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</si>
  <si>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</si>
  <si>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</si>
  <si>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</si>
  <si>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</si>
  <si>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</si>
  <si>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</si>
  <si>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</si>
  <si>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</si>
  <si>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</si>
  <si>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</si>
  <si>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</si>
  <si>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</si>
  <si>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</si>
  <si>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</si>
  <si>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</si>
  <si>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</si>
  <si>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</si>
  <si>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</si>
  <si>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</si>
  <si>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</si>
  <si>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</si>
  <si>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</si>
  <si>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</si>
  <si>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</si>
  <si>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</si>
  <si>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</si>
  <si>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</si>
  <si>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</si>
  <si>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</si>
  <si>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</si>
  <si>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</si>
  <si>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</si>
  <si>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</si>
  <si>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</si>
  <si>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</si>
  <si>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</si>
  <si>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</si>
  <si>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</si>
  <si>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</si>
  <si>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</si>
  <si>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</si>
  <si>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</si>
  <si>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</si>
  <si>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</si>
  <si>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</si>
  <si>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</si>
  <si>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</si>
  <si>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</si>
  <si>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</si>
  <si>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</si>
  <si>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</si>
  <si>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</si>
  <si>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</si>
  <si>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</si>
  <si>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</si>
  <si>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</si>
  <si>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</si>
  <si>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</si>
  <si>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</si>
  <si>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</si>
  <si>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</si>
  <si>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</si>
  <si>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</si>
  <si>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</si>
  <si>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</si>
  <si>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</si>
  <si>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</si>
  <si>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</si>
  <si>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</si>
  <si>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</si>
  <si>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</si>
  <si>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</si>
  <si>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</si>
  <si>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</si>
  <si>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</si>
  <si>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</si>
  <si>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</si>
  <si>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</si>
  <si>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</si>
  <si>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</si>
  <si>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</si>
  <si>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</si>
  <si>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</si>
  <si>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</si>
  <si>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</si>
  <si>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</si>
  <si>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</si>
  <si>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</si>
  <si>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</si>
  <si>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</si>
  <si>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</si>
  <si>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</si>
  <si>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</si>
  <si>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</si>
  <si>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</si>
  <si>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</si>
  <si>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</si>
  <si>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</si>
  <si>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</si>
  <si>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</si>
  <si>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</si>
  <si>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</si>
  <si>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</si>
  <si>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</si>
  <si>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</si>
  <si>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</si>
  <si>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</si>
  <si>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</si>
  <si>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</si>
  <si>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</si>
  <si>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</si>
  <si>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</si>
  <si>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</si>
  <si>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</si>
  <si>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</si>
  <si>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</si>
  <si>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</si>
  <si>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</si>
  <si>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</si>
  <si>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</si>
  <si>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</si>
  <si>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</si>
  <si>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</si>
  <si>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</si>
  <si>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</si>
  <si>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</si>
  <si>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</si>
  <si>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</si>
  <si>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</si>
  <si>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</si>
  <si>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</si>
  <si>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</si>
  <si>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</si>
  <si>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</si>
  <si>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</si>
  <si>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</si>
  <si>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</si>
  <si>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</si>
  <si>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</si>
  <si>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</si>
  <si>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</si>
  <si>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</si>
  <si>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</si>
  <si>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</si>
  <si>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</si>
  <si>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</si>
  <si>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</si>
  <si>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</si>
  <si>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</si>
  <si>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</si>
  <si>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</si>
  <si>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</si>
  <si>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</si>
  <si>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</si>
  <si>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</si>
  <si>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</si>
  <si>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</si>
  <si>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</si>
  <si>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</si>
  <si>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</si>
  <si>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</si>
  <si>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</si>
  <si>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</si>
  <si>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</si>
  <si>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</si>
  <si>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</si>
  <si>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</si>
  <si>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</si>
  <si>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</si>
  <si>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</si>
  <si>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</si>
  <si>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</si>
  <si>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</si>
  <si>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</si>
  <si>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</si>
  <si>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</si>
  <si>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</si>
  <si>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</si>
  <si>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</si>
  <si>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</si>
  <si>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</si>
  <si>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</si>
  <si>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</si>
  <si>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</si>
  <si>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</si>
  <si>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</si>
  <si>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</si>
  <si>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</si>
  <si>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</si>
  <si>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</si>
  <si>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</si>
  <si>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</si>
  <si>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</si>
  <si>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</si>
  <si>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</si>
  <si>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</si>
  <si>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</si>
  <si>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</si>
  <si>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</si>
  <si>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</si>
  <si>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</si>
  <si>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</si>
  <si>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</si>
  <si>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</si>
  <si>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</si>
  <si>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</si>
  <si>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</si>
  <si>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</si>
  <si>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</si>
  <si>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</si>
  <si>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</si>
  <si>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</si>
  <si>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</si>
  <si>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</si>
  <si>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</si>
  <si>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</si>
  <si>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</si>
  <si>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</si>
  <si>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</si>
  <si>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</si>
  <si>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</si>
  <si>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</si>
  <si>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</si>
  <si>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</si>
  <si>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</si>
  <si>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</si>
  <si>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</si>
  <si>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</si>
  <si>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</si>
  <si>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</si>
  <si>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</si>
  <si>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</si>
  <si>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</si>
  <si>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</si>
  <si>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</si>
  <si>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</si>
  <si>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</si>
  <si>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</si>
  <si>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</si>
  <si>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</si>
  <si>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</si>
  <si>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</si>
  <si>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</si>
  <si>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</si>
  <si>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</si>
  <si>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</si>
  <si>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</si>
  <si>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</si>
  <si>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</si>
  <si>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</si>
  <si>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</si>
  <si>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</si>
  <si>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</si>
  <si>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</si>
  <si>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</si>
  <si>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</si>
  <si>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</si>
  <si>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</si>
  <si>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</si>
  <si>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</si>
  <si>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</si>
  <si>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</si>
  <si>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</si>
  <si>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</si>
  <si>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</si>
  <si>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</si>
  <si>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</si>
  <si>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</si>
  <si>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</si>
  <si>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</si>
  <si>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</si>
  <si>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</si>
  <si>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</si>
  <si>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</si>
  <si>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</si>
  <si>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</si>
  <si>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</si>
  <si>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</si>
  <si>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</si>
  <si>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</si>
  <si>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</si>
  <si>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</si>
  <si>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</si>
  <si>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</si>
  <si>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</si>
  <si>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</si>
  <si>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</si>
  <si>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</si>
  <si>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</si>
  <si>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</si>
  <si>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</si>
  <si>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</si>
  <si>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</si>
  <si>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</si>
  <si>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</si>
  <si>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</si>
  <si>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</si>
  <si>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</si>
  <si>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</si>
  <si>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</si>
  <si>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</si>
  <si>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</si>
  <si>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</si>
  <si>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</si>
  <si>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</si>
  <si>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</si>
  <si>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</si>
  <si>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</si>
  <si>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</si>
  <si>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</si>
  <si>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</si>
  <si>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</si>
  <si>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</si>
  <si>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</si>
  <si>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</si>
  <si>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</si>
  <si>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</si>
  <si>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</si>
  <si>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</si>
  <si>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</si>
  <si>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</si>
  <si>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</si>
  <si>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</si>
  <si>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</si>
  <si>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</si>
  <si>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</si>
  <si>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</si>
  <si>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</si>
  <si>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</si>
  <si>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</si>
  <si>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</si>
  <si>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</si>
  <si>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</si>
  <si>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</si>
  <si>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</si>
  <si>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</si>
  <si>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</si>
  <si>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</si>
  <si>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</si>
  <si>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</si>
  <si>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</si>
  <si>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</si>
  <si>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</si>
  <si>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</si>
  <si>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</si>
  <si>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</si>
  <si>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</si>
  <si>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</si>
  <si>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</si>
  <si>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</si>
  <si>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</si>
  <si>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</si>
  <si>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</si>
  <si>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</si>
  <si>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</si>
  <si>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</si>
  <si>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</si>
  <si>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</si>
  <si>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</si>
  <si>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</si>
  <si>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</si>
  <si>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</si>
  <si>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</si>
  <si>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</si>
  <si>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</si>
  <si>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</si>
  <si>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</si>
  <si>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</si>
  <si>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</si>
  <si>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</si>
  <si>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</si>
  <si>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</si>
  <si>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</si>
  <si>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</si>
  <si>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</si>
  <si>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</si>
  <si>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</si>
  <si>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</si>
  <si>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</si>
  <si>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</si>
  <si>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</si>
  <si>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</si>
  <si>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</si>
  <si>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</si>
  <si>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</si>
  <si>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</si>
  <si>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</si>
  <si>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</si>
  <si>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</si>
  <si>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</si>
  <si>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</si>
  <si>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</si>
  <si>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</si>
  <si>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</si>
  <si>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</si>
  <si>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</si>
  <si>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</si>
  <si>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</si>
  <si>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</si>
  <si>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</si>
  <si>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</si>
  <si>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</si>
  <si>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</si>
  <si>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</si>
  <si>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</si>
  <si>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</si>
  <si>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</si>
  <si>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</si>
  <si>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</si>
  <si>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</si>
  <si>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</si>
  <si>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</si>
  <si>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</si>
  <si>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</si>
  <si>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</si>
  <si>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</si>
  <si>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</si>
  <si>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</si>
  <si>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</si>
  <si>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</si>
  <si>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</si>
  <si>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</si>
  <si>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</si>
  <si>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</si>
  <si>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</si>
  <si>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</si>
  <si>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</si>
  <si>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</si>
  <si>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</si>
  <si>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</si>
  <si>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</si>
  <si>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</si>
  <si>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</si>
  <si>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</si>
  <si>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</si>
  <si>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</si>
  <si>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</si>
  <si>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</si>
  <si>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</si>
  <si>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</si>
  <si>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</si>
  <si>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</si>
  <si>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</si>
  <si>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</si>
  <si>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</si>
  <si>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</si>
  <si>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</si>
  <si>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</si>
  <si>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</si>
  <si>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</si>
  <si>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</si>
  <si>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</si>
  <si>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</si>
  <si>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</si>
  <si>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</si>
  <si>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</si>
  <si>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</si>
  <si>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</si>
  <si>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</si>
  <si>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</si>
  <si>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</si>
  <si>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</si>
  <si>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</si>
  <si>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</si>
  <si>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</si>
  <si>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</si>
  <si>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</si>
  <si>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</si>
  <si>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</si>
  <si>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</si>
  <si>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</si>
  <si>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</si>
  <si>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</si>
  <si>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</si>
  <si>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</si>
  <si>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</si>
  <si>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</si>
  <si>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</si>
  <si>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</si>
  <si>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</si>
  <si>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</si>
  <si>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</si>
  <si>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</si>
  <si>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</si>
  <si>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</si>
  <si>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</si>
  <si>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</si>
  <si>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</si>
  <si>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</si>
  <si>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</si>
  <si>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</si>
  <si>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</si>
  <si>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</si>
  <si>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</si>
  <si>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</si>
  <si>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</si>
  <si>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</si>
  <si>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</si>
  <si>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</si>
  <si>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</si>
  <si>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</si>
  <si>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</si>
  <si>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</si>
  <si>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</si>
  <si>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</si>
  <si>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</si>
  <si>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</si>
  <si>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</si>
  <si>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</si>
  <si>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</si>
  <si>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</si>
  <si>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</si>
  <si>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</si>
  <si>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</si>
  <si>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</si>
  <si>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</si>
  <si>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</si>
  <si>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</si>
  <si>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</si>
  <si>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</si>
  <si>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</si>
  <si>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</si>
  <si>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</si>
  <si>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</si>
  <si>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</si>
  <si>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</si>
  <si>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</si>
  <si>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</si>
  <si>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</si>
  <si>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</si>
  <si>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</si>
  <si>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</si>
  <si>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</si>
  <si>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</si>
  <si>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</si>
  <si>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</si>
  <si>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</si>
  <si>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</si>
  <si>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</si>
  <si>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</si>
  <si>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</si>
  <si>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</si>
  <si>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</si>
  <si>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</si>
  <si>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</si>
  <si>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</si>
  <si>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</si>
  <si>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</si>
  <si>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</si>
  <si>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</si>
  <si>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</si>
  <si>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</si>
  <si>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</si>
  <si>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</si>
  <si>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</si>
  <si>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</si>
  <si>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</si>
  <si>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</si>
  <si>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</si>
  <si>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</si>
  <si>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</si>
  <si>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</si>
  <si>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</si>
  <si>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</si>
  <si>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</si>
  <si>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</si>
  <si>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</si>
  <si>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</si>
  <si>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</si>
  <si>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</si>
  <si>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</si>
  <si>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</si>
  <si>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</si>
  <si>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</si>
  <si>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Fieles y unidas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</si>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</sst>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7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2068" totalsRowShown="0" headerRowDxfId="56" dataDxfId="55">
  <autoFilter ref="A1:W2068" xr:uid="{E5A23D2C-4E40-4F63-A29F-33A92F43E326}"/>
  <sortState xmlns:xlrd2="http://schemas.microsoft.com/office/spreadsheetml/2017/richdata2" ref="A2:W2068">
    <sortCondition ref="P2:P2068"/>
    <sortCondition ref="M2:M2068"/>
    <sortCondition ref="N2:N2068"/>
    <sortCondition ref="O2:O2068"/>
  </sortState>
  <tableColumns count="23">
    <tableColumn id="1" xr3:uid="{28F9D52F-B373-4C16-9EB0-742FA80033B2}" name="#" dataDxfId="54">
      <calculatedColumnFormula>ROW(CantoralDB[[#This Row],[Título]])-1</calculatedColumnFormula>
    </tableColumn>
    <tableColumn id="2" xr3:uid="{8468C75C-A50A-4C13-9585-253E65D1C6DC}" name="Título" dataDxfId="53"/>
    <tableColumn id="3" xr3:uid="{860A58D5-5018-4B01-997E-FA1C7E10466E}" name="Momento" dataDxfId="52"/>
    <tableColumn id="5" xr3:uid="{BDD40DF6-5222-45C7-B2A9-85AC09EA0C11}" name="Número" dataDxfId="51"/>
    <tableColumn id="13" xr3:uid="{2A4DE54D-0F8D-43BE-9573-247B4685B078}" name="Número antiguo" dataDxfId="50"/>
    <tableColumn id="9" xr3:uid="{206AD9B5-42C6-450A-8AA3-0E19AC6C1635}" name="Número RCC" dataDxfId="49"/>
    <tableColumn id="4" xr3:uid="{0E9BA84A-E858-4602-8F8B-95ED2B3D75FA}" name="Origen" dataDxfId="48"/>
    <tableColumn id="6" xr3:uid="{57824645-9E68-44A2-9134-D5857E10EADA}" name="Tono" dataDxfId="47"/>
    <tableColumn id="12" xr3:uid="{FCDACF5A-E37B-4F05-B1E9-5CF8377C8A32}" name="Cejilla" dataDxfId="46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SM42dNpjzgA" TargetMode="External"/><Relationship Id="rId769" Type="http://schemas.openxmlformats.org/officeDocument/2006/relationships/hyperlink" Target="https://www.youtube.com/watch?v=oQFIfndLnUI" TargetMode="External"/><Relationship Id="rId21" Type="http://schemas.openxmlformats.org/officeDocument/2006/relationships/hyperlink" Target="https://www.youtube.com/watch?v=whLQp8Pq58g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7/kairoi-profetadelafamilia-02-profetadelafamilia.mp3" TargetMode="External"/><Relationship Id="rId629" Type="http://schemas.openxmlformats.org/officeDocument/2006/relationships/hyperlink" Target="https://www.youtube.com/watch?v=Lcu-M5vwOi8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3/10tumesondeas.mp3" TargetMode="External"/><Relationship Id="rId682" Type="http://schemas.openxmlformats.org/officeDocument/2006/relationships/hyperlink" Target="https://www.youtube.com/watch?v=ri2lolcTu2c" TargetMode="External"/><Relationship Id="rId32" Type="http://schemas.openxmlformats.org/officeDocument/2006/relationships/hyperlink" Target="https://www.youtube.com/watch?v=HsegwQSLVi4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542" Type="http://schemas.openxmlformats.org/officeDocument/2006/relationships/hyperlink" Target="https://www.maristes.cat/sites/default/files/content/nodes/recurs/file/8836/3cristo.mp3" TargetMode="External"/><Relationship Id="rId181" Type="http://schemas.openxmlformats.org/officeDocument/2006/relationships/hyperlink" Target="https://www.youtube.com/watch?v=EPtnds2jpnA" TargetMode="External"/><Relationship Id="rId402" Type="http://schemas.openxmlformats.org/officeDocument/2006/relationships/hyperlink" Target="https://www.maristes.cat/sites/default/files/content/nodes/recurs/file/9024/02-delamano.mp3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6/6piensoenusted.mp3" TargetMode="External"/><Relationship Id="rId693" Type="http://schemas.openxmlformats.org/officeDocument/2006/relationships/hyperlink" Target="https://www.youtube.com/watch?v=EXYVDjJ8ynY" TargetMode="External"/><Relationship Id="rId707" Type="http://schemas.openxmlformats.org/officeDocument/2006/relationships/hyperlink" Target="https://www.youtube.com/watch?v=j5fUZM__VI4" TargetMode="External"/><Relationship Id="rId43" Type="http://schemas.openxmlformats.org/officeDocument/2006/relationships/hyperlink" Target="https://www.youtube.com/watch?v=XuoPNqY5n9A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cCc4XYUHxpE" TargetMode="External"/><Relationship Id="rId553" Type="http://schemas.openxmlformats.org/officeDocument/2006/relationships/hyperlink" Target="https://www.maristes.cat/sites/default/files/content/nodes/recurs/file/8879/2cuandolamuerte.mp3" TargetMode="External"/><Relationship Id="rId760" Type="http://schemas.openxmlformats.org/officeDocument/2006/relationships/hyperlink" Target="https://www.youtube.com/watch?v=cBSxAdMItjA" TargetMode="External"/><Relationship Id="rId192" Type="http://schemas.openxmlformats.org/officeDocument/2006/relationships/hyperlink" Target="https://www.youtube.com/watch?v=FiXNnUOjUdY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0/1mundodeensueno.mp3" TargetMode="External"/><Relationship Id="rId497" Type="http://schemas.openxmlformats.org/officeDocument/2006/relationships/hyperlink" Target="https://www.maristes.cat/sites/default/files/content/nodes/recurs/file/8744/6graciasmadre.mp3" TargetMode="External"/><Relationship Id="rId620" Type="http://schemas.openxmlformats.org/officeDocument/2006/relationships/hyperlink" Target="https://www.maristes.cat/sites/default/files/content/nodes/recurs/file/8774/12padreperdon.mp3" TargetMode="External"/><Relationship Id="rId718" Type="http://schemas.openxmlformats.org/officeDocument/2006/relationships/hyperlink" Target="https://www.youtube.com/watch?v=5G3BZYLyg6c" TargetMode="External"/><Relationship Id="rId357" Type="http://schemas.openxmlformats.org/officeDocument/2006/relationships/hyperlink" Target="https://www.maristes.cat/sites/default/files/content/nodes/recurs/file/9458/trackno04.mp3" TargetMode="External"/><Relationship Id="rId54" Type="http://schemas.openxmlformats.org/officeDocument/2006/relationships/hyperlink" Target="https://www.youtube.com/watch?v=XIpdZwkbdnY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6/1uncorazonsinfronteras.mp3" TargetMode="External"/><Relationship Id="rId771" Type="http://schemas.openxmlformats.org/officeDocument/2006/relationships/hyperlink" Target="https://www.youtube.com/watch?v=OufUpQWr7O4" TargetMode="External"/><Relationship Id="rId424" Type="http://schemas.openxmlformats.org/officeDocument/2006/relationships/hyperlink" Target="https://www.maristes.cat/sites/default/files/content/nodes/recurs/file/9022/13angelremix.mp3" TargetMode="External"/><Relationship Id="rId631" Type="http://schemas.openxmlformats.org/officeDocument/2006/relationships/hyperlink" Target="https://www.youtube.com/watch?v=gQTkSndgz-E" TargetMode="External"/><Relationship Id="rId729" Type="http://schemas.openxmlformats.org/officeDocument/2006/relationships/hyperlink" Target="https://www.youtube.com/watch?v=m6N_QxNTGOc" TargetMode="External"/><Relationship Id="rId270" Type="http://schemas.openxmlformats.org/officeDocument/2006/relationships/hyperlink" Target="https://www.youtube.com/watch?v=reYQRNcWiTc" TargetMode="External"/><Relationship Id="rId65" Type="http://schemas.openxmlformats.org/officeDocument/2006/relationships/hyperlink" Target="https://www.youtube.com/watch?v=RZHzMY27QHE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3/1labondaddelsenor.mp3" TargetMode="External"/><Relationship Id="rId575" Type="http://schemas.openxmlformats.org/officeDocument/2006/relationships/hyperlink" Target="https://www.maristes.cat/sites/default/files/content/nodes/recurs/file/8726/01sintonia.mp3" TargetMode="External"/><Relationship Id="rId782" Type="http://schemas.openxmlformats.org/officeDocument/2006/relationships/hyperlink" Target="https://www.youtube.com/watch?v=ihDexwHojPk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35/trackno11.mp3" TargetMode="External"/><Relationship Id="rId642" Type="http://schemas.openxmlformats.org/officeDocument/2006/relationships/hyperlink" Target="https://www.youtube.com/watch?v=Y6HucpyMSyA" TargetMode="External"/><Relationship Id="rId281" Type="http://schemas.openxmlformats.org/officeDocument/2006/relationships/hyperlink" Target="https://www.youtube.com/watch?v=3SRMDxeSDGg" TargetMode="External"/><Relationship Id="rId502" Type="http://schemas.openxmlformats.org/officeDocument/2006/relationships/hyperlink" Target="https://www.maristes.cat/sites/default/files/content/nodes/recurs/file/8750/12tueresmaria.mp3" TargetMode="External"/><Relationship Id="rId76" Type="http://schemas.openxmlformats.org/officeDocument/2006/relationships/hyperlink" Target="https://www.youtube.com/watch?v=_GSxlJx804c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5/1estuamigoes.mp3" TargetMode="External"/><Relationship Id="rId586" Type="http://schemas.openxmlformats.org/officeDocument/2006/relationships/hyperlink" Target="https://www.maristes.cat/sites/default/files/content/nodes/recurs/file/8803/1gloriahosana.mp3" TargetMode="External"/><Relationship Id="rId793" Type="http://schemas.openxmlformats.org/officeDocument/2006/relationships/hyperlink" Target="https://www.youtube.com/watch?v=tg3b_a_TlHo" TargetMode="External"/><Relationship Id="rId807" Type="http://schemas.openxmlformats.org/officeDocument/2006/relationships/hyperlink" Target="https://www.youtube.com/watch?v=5ymVMHshf0M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5/10sivamosdesnudosporcristo.mp3" TargetMode="External"/><Relationship Id="rId653" Type="http://schemas.openxmlformats.org/officeDocument/2006/relationships/hyperlink" Target="https://www.youtube.com/watch?v=gUbwARp-L5o" TargetMode="External"/><Relationship Id="rId292" Type="http://schemas.openxmlformats.org/officeDocument/2006/relationships/hyperlink" Target="https://www.youtube.com/watch?v=D5K6cKhO5rY" TargetMode="External"/><Relationship Id="rId306" Type="http://schemas.openxmlformats.org/officeDocument/2006/relationships/hyperlink" Target="https://www.youtube.com/watch?v=fujX8xwwvl0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1/11elbardelbosnio.mp3" TargetMode="External"/><Relationship Id="rId597" Type="http://schemas.openxmlformats.org/officeDocument/2006/relationships/hyperlink" Target="https://www.maristes.cat/sites/default/files/content/nodes/recurs/file/8813/11somostestigos.mp3" TargetMode="External"/><Relationship Id="rId720" Type="http://schemas.openxmlformats.org/officeDocument/2006/relationships/hyperlink" Target="https://www.youtube.com/watch?v=CzMY7Ka_sZU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3/4unavidaquebuscalibertad.mp3" TargetMode="External"/><Relationship Id="rId664" Type="http://schemas.openxmlformats.org/officeDocument/2006/relationships/hyperlink" Target="https://www.youtube.com/watch?v=7R7eJUetKrQ" TargetMode="External"/><Relationship Id="rId14" Type="http://schemas.openxmlformats.org/officeDocument/2006/relationships/hyperlink" Target="https://www.youtube.com/watch?v=Mj9ZrtLyHh0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0/9credo.mp3" TargetMode="External"/><Relationship Id="rId731" Type="http://schemas.openxmlformats.org/officeDocument/2006/relationships/hyperlink" Target="https://www.youtube.com/watch?v=24kg82reMgI" TargetMode="External"/><Relationship Id="rId98" Type="http://schemas.openxmlformats.org/officeDocument/2006/relationships/hyperlink" Target="https://www.youtube.com/watch?v=Y1NtbTjDslI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5/3quedateaquisenor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6/3jesusestaentrenosotros.mp3" TargetMode="External"/><Relationship Id="rId675" Type="http://schemas.openxmlformats.org/officeDocument/2006/relationships/hyperlink" Target="https://www.youtube.com/watch?v=DSzvbHUxI9g" TargetMode="External"/><Relationship Id="rId25" Type="http://schemas.openxmlformats.org/officeDocument/2006/relationships/hyperlink" Target="https://www.youtube.com/watch?v=c06HqJKSRBU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1/kairoi-profetadelafamilia-06-santafamilia.mp3" TargetMode="External"/><Relationship Id="rId742" Type="http://schemas.openxmlformats.org/officeDocument/2006/relationships/hyperlink" Target="https://www.youtube.com/watch?v=byMmFWW9Jz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7/3amigos.mp3" TargetMode="External"/><Relationship Id="rId602" Type="http://schemas.openxmlformats.org/officeDocument/2006/relationships/hyperlink" Target="https://www.maristes.cat/sites/default/files/content/nodes/recurs/file/8957/4comomari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5/05diremosquesi.wav" TargetMode="External"/><Relationship Id="rId686" Type="http://schemas.openxmlformats.org/officeDocument/2006/relationships/hyperlink" Target="https://www.youtube.com/watch?v=PYM4YOByV58" TargetMode="External"/><Relationship Id="rId36" Type="http://schemas.openxmlformats.org/officeDocument/2006/relationships/hyperlink" Target="https://www.youtube.com/watch?v=1axSWF5kWVc" TargetMode="External"/><Relationship Id="rId339" Type="http://schemas.openxmlformats.org/officeDocument/2006/relationships/hyperlink" Target="https://www.youtube.com/watch?v=55gD-KwdjSs" TargetMode="External"/><Relationship Id="rId546" Type="http://schemas.openxmlformats.org/officeDocument/2006/relationships/hyperlink" Target="https://www.maristes.cat/sites/default/files/content/nodes/recurs/file/8843/7tieneelsida.mp3" TargetMode="External"/><Relationship Id="rId753" Type="http://schemas.openxmlformats.org/officeDocument/2006/relationships/hyperlink" Target="https://www.youtube.com/watch?v=npjgYMt2pHc" TargetMode="External"/><Relationship Id="rId101" Type="http://schemas.openxmlformats.org/officeDocument/2006/relationships/hyperlink" Target="https://www.youtube.com/watch?v=Nq78Btyn-s8" TargetMode="External"/><Relationship Id="rId185" Type="http://schemas.openxmlformats.org/officeDocument/2006/relationships/hyperlink" Target="https://www.youtube.com/watch?v=SuhUIQHbI3s" TargetMode="External"/><Relationship Id="rId406" Type="http://schemas.openxmlformats.org/officeDocument/2006/relationships/hyperlink" Target="https://www.maristes.cat/sites/default/files/content/nodes/recurs/file/9028/06-rebosandonombres.mp3" TargetMode="External"/><Relationship Id="rId392" Type="http://schemas.openxmlformats.org/officeDocument/2006/relationships/hyperlink" Target="https://www.maristes.cat/sites/default/files/content/nodes/recurs/file/8915/2confianzaendios.mp3" TargetMode="External"/><Relationship Id="rId613" Type="http://schemas.openxmlformats.org/officeDocument/2006/relationships/hyperlink" Target="https://www.maristes.cat/sites/default/files/content/nodes/recurs/file/8767/5elamoresnuestrocanto.mp3" TargetMode="External"/><Relationship Id="rId697" Type="http://schemas.openxmlformats.org/officeDocument/2006/relationships/hyperlink" Target="https://www.youtube.com/watch?v=vfIdWDJbPuY" TargetMode="External"/><Relationship Id="rId252" Type="http://schemas.openxmlformats.org/officeDocument/2006/relationships/hyperlink" Target="https://www.youtube.com/watch?v=mKH8F1OA6r8" TargetMode="External"/><Relationship Id="rId47" Type="http://schemas.openxmlformats.org/officeDocument/2006/relationships/hyperlink" Target="https://www.youtube.com/watch?v=pBDC7TRhCYY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3/6quejatesipuedes.mp3" TargetMode="External"/><Relationship Id="rId764" Type="http://schemas.openxmlformats.org/officeDocument/2006/relationships/hyperlink" Target="https://www.youtube.com/watch?v=0NrRTyvWvFg" TargetMode="External"/><Relationship Id="rId196" Type="http://schemas.openxmlformats.org/officeDocument/2006/relationships/hyperlink" Target="https://www.youtube.com/watch?v=4BUZeMEt5LY" TargetMode="External"/><Relationship Id="rId417" Type="http://schemas.openxmlformats.org/officeDocument/2006/relationships/hyperlink" Target="https://www.maristes.cat/sites/default/files/content/nodes/recurs/file/9014/5angel.mp3" TargetMode="External"/><Relationship Id="rId624" Type="http://schemas.openxmlformats.org/officeDocument/2006/relationships/hyperlink" Target="https://www.youtube.com/watch?v=BG0dJBl5euk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8/5oraciondelpobre.mp3" TargetMode="External"/><Relationship Id="rId58" Type="http://schemas.openxmlformats.org/officeDocument/2006/relationships/hyperlink" Target="https://www.youtube.com/watch?v=6Hkwjq8gdQc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794/7entornoalpan.mp3" TargetMode="External"/><Relationship Id="rId775" Type="http://schemas.openxmlformats.org/officeDocument/2006/relationships/hyperlink" Target="https://www.youtube.com/watch?v=Sq7WgjUc4Z8" TargetMode="External"/><Relationship Id="rId428" Type="http://schemas.openxmlformats.org/officeDocument/2006/relationships/hyperlink" Target="https://www.maristes.cat/sites/default/files/content/nodes/recurs/file/8928/trackno04.mp3" TargetMode="External"/><Relationship Id="rId635" Type="http://schemas.openxmlformats.org/officeDocument/2006/relationships/hyperlink" Target="https://www.youtube.com/watch?v=NX8Qj5zB_b4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7/07graciasportudon.wav" TargetMode="External"/><Relationship Id="rId702" Type="http://schemas.openxmlformats.org/officeDocument/2006/relationships/hyperlink" Target="https://www.youtube.com/watch?v=kxO47mE_tJ4" TargetMode="External"/><Relationship Id="rId69" Type="http://schemas.openxmlformats.org/officeDocument/2006/relationships/hyperlink" Target="https://www.youtube.com/watch?v=XMcY8AO0YTw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1/05nopuedojugar.mp3" TargetMode="External"/><Relationship Id="rId786" Type="http://schemas.openxmlformats.org/officeDocument/2006/relationships/hyperlink" Target="https://www.youtube.com/watch?v=UIUY93HA3aI" TargetMode="External"/><Relationship Id="rId341" Type="http://schemas.openxmlformats.org/officeDocument/2006/relationships/hyperlink" Target="https://www.youtube.com/watch?v=BUk4HldkYHQ" TargetMode="External"/><Relationship Id="rId439" Type="http://schemas.openxmlformats.org/officeDocument/2006/relationships/hyperlink" Target="https://www.maristes.cat/sites/default/files/content/nodes/recurs/file/8868/3rezarnoesotracosa.mp3" TargetMode="External"/><Relationship Id="rId646" Type="http://schemas.openxmlformats.org/officeDocument/2006/relationships/hyperlink" Target="https://www.youtube.com/watch?v=lseBd7-XJXg" TargetMode="External"/><Relationship Id="rId201" Type="http://schemas.openxmlformats.org/officeDocument/2006/relationships/hyperlink" Target="https://www.youtube.com/watch?v=7gnfg3bk6J4" TargetMode="External"/><Relationship Id="rId285" Type="http://schemas.openxmlformats.org/officeDocument/2006/relationships/hyperlink" Target="https://www.youtube.com/watch?v=OyLq7J3--AI" TargetMode="External"/><Relationship Id="rId506" Type="http://schemas.openxmlformats.org/officeDocument/2006/relationships/hyperlink" Target="https://www.maristes.cat/sites/default/files/content/nodes/recurs/file/8904/4nosprecederan.mp3" TargetMode="External"/><Relationship Id="rId492" Type="http://schemas.openxmlformats.org/officeDocument/2006/relationships/hyperlink" Target="https://www.maristes.cat/sites/default/files/content/nodes/recurs/file/8739/1avemaria.mp3" TargetMode="External"/><Relationship Id="rId713" Type="http://schemas.openxmlformats.org/officeDocument/2006/relationships/hyperlink" Target="https://www.youtube.com/watch?v=7ig4AfuKpXY" TargetMode="External"/><Relationship Id="rId797" Type="http://schemas.openxmlformats.org/officeDocument/2006/relationships/hyperlink" Target="https://www.youtube.com/watch?v=hNE9e1fglXs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Dgljc0WVuuc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y2S6ljsbEEE" TargetMode="External"/><Relationship Id="rId296" Type="http://schemas.openxmlformats.org/officeDocument/2006/relationships/hyperlink" Target="https://www.youtube.com/watch?v=00JxYPaoy3o" TargetMode="External"/><Relationship Id="rId517" Type="http://schemas.openxmlformats.org/officeDocument/2006/relationships/hyperlink" Target="https://www.maristes.cat/sites/default/files/content/nodes/recurs/file/8971/2hacedloqueelosdiga.mp3" TargetMode="External"/><Relationship Id="rId724" Type="http://schemas.openxmlformats.org/officeDocument/2006/relationships/hyperlink" Target="https://www.youtube.com/watch?v=VQipBQFKO4w" TargetMode="External"/><Relationship Id="rId60" Type="http://schemas.openxmlformats.org/officeDocument/2006/relationships/hyperlink" Target="https://www.youtube.com/watch?v=c23MnojHuak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4/trackno10.mp3" TargetMode="External"/><Relationship Id="rId570" Type="http://schemas.openxmlformats.org/officeDocument/2006/relationships/hyperlink" Target="https://www.maristes.cat/sites/default/files/content/nodes/recurs/file/8944/9hermanoconfiaendios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0/trackno06.mp3" TargetMode="External"/><Relationship Id="rId668" Type="http://schemas.openxmlformats.org/officeDocument/2006/relationships/hyperlink" Target="https://www.youtube.com/watch?v=TpCZ4pXNSr4" TargetMode="External"/><Relationship Id="rId18" Type="http://schemas.openxmlformats.org/officeDocument/2006/relationships/hyperlink" Target="https://www.youtube.com/watch?v=OuQldRxC9WM" TargetMode="External"/><Relationship Id="rId528" Type="http://schemas.openxmlformats.org/officeDocument/2006/relationships/hyperlink" Target="https://www.maristes.cat/sites/default/files/content/nodes/recurs/file/8984/13teseguire.mp3" TargetMode="External"/><Relationship Id="rId735" Type="http://schemas.openxmlformats.org/officeDocument/2006/relationships/hyperlink" Target="https://www.youtube.com/watch?v=1ElpNZVhSnQ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0/8aleluya.mp3" TargetMode="External"/><Relationship Id="rId581" Type="http://schemas.openxmlformats.org/officeDocument/2006/relationships/hyperlink" Target="https://www.maristes.cat/sites/default/files/content/nodes/recurs/file/8733/07siempremegustodecirtehola.mp3" TargetMode="External"/><Relationship Id="rId71" Type="http://schemas.openxmlformats.org/officeDocument/2006/relationships/hyperlink" Target="https://www.youtube.com/watch?v=4ufvex3-i34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bpt-RXAsVJ0" TargetMode="External"/><Relationship Id="rId802" Type="http://schemas.openxmlformats.org/officeDocument/2006/relationships/hyperlink" Target="https://www.youtube.com/watch?v=O2JKvhMNhyo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441" Type="http://schemas.openxmlformats.org/officeDocument/2006/relationships/hyperlink" Target="https://www.maristes.cat/sites/default/files/content/nodes/recurs/file/8870/5canticodelascriaturas.mp3" TargetMode="External"/><Relationship Id="rId539" Type="http://schemas.openxmlformats.org/officeDocument/2006/relationships/hyperlink" Target="https://www.maristes.cat/sites/default/files/content/nodes/recurs/file/8995/kairoi-profetadelafamilia-10-elpoemadelapiedra.mp3" TargetMode="External"/><Relationship Id="rId746" Type="http://schemas.openxmlformats.org/officeDocument/2006/relationships/hyperlink" Target="https://www.youtube.com/watch?v=7d1Y5tiOnMs" TargetMode="External"/><Relationship Id="rId178" Type="http://schemas.openxmlformats.org/officeDocument/2006/relationships/hyperlink" Target="https://www.youtube.com/watch?v=uQ77we5P0_M" TargetMode="External"/><Relationship Id="rId301" Type="http://schemas.openxmlformats.org/officeDocument/2006/relationships/hyperlink" Target="https://www.youtube.com/watch?v=DXEMaCElAj0" TargetMode="External"/><Relationship Id="rId82" Type="http://schemas.openxmlformats.org/officeDocument/2006/relationships/hyperlink" Target="https://www.youtube.com/watch?v=brHjDAAPABQ" TargetMode="External"/><Relationship Id="rId385" Type="http://schemas.openxmlformats.org/officeDocument/2006/relationships/hyperlink" Target="https://www.maristes.cat/sites/default/files/content/nodes/recurs/file/8781/7conlosninos.mp3" TargetMode="External"/><Relationship Id="rId592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606" Type="http://schemas.openxmlformats.org/officeDocument/2006/relationships/hyperlink" Target="https://www.maristes.cat/sites/default/files/content/nodes/recurs/file/8963/8entisolodescanso.mp3" TargetMode="External"/><Relationship Id="rId813" Type="http://schemas.openxmlformats.org/officeDocument/2006/relationships/hyperlink" Target="https://www.youtube.com/watch?v=LXqtItOfjyY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799/9diosenlaciudad.mp3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5EmsBDwrZKs" TargetMode="External"/><Relationship Id="rId93" Type="http://schemas.openxmlformats.org/officeDocument/2006/relationships/hyperlink" Target="https://www.youtube.com/watch?v=rbEMCHRIF08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19/6teresatoda.mp3" TargetMode="External"/><Relationship Id="rId617" Type="http://schemas.openxmlformats.org/officeDocument/2006/relationships/hyperlink" Target="https://www.maristes.cat/sites/default/files/content/nodes/recurs/file/8771/9venespiritudedios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3/10tullamada.mp3" TargetMode="External"/><Relationship Id="rId670" Type="http://schemas.openxmlformats.org/officeDocument/2006/relationships/hyperlink" Target="https://www.youtube.com/watch?v=7DLh0xVm4eI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6/kairoi-profetadelafamilia-01-yfuistehogar.mp3" TargetMode="External"/><Relationship Id="rId768" Type="http://schemas.openxmlformats.org/officeDocument/2006/relationships/hyperlink" Target="https://www.youtube.com/watch?v=pI7PZ0Wvr5M" TargetMode="External"/><Relationship Id="rId20" Type="http://schemas.openxmlformats.org/officeDocument/2006/relationships/hyperlink" Target="https://www.youtube.com/watch?v=tKSM_vijkgE" TargetMode="External"/><Relationship Id="rId628" Type="http://schemas.openxmlformats.org/officeDocument/2006/relationships/hyperlink" Target="https://www.youtube.com/watch?v=bDCL8xRyN4A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2/9gloriaadio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Zkwri57b4gY" TargetMode="External"/><Relationship Id="rId779" Type="http://schemas.openxmlformats.org/officeDocument/2006/relationships/hyperlink" Target="https://www.youtube.com/watch?v=jGCkrC9R6sc" TargetMode="External"/><Relationship Id="rId31" Type="http://schemas.openxmlformats.org/officeDocument/2006/relationships/hyperlink" Target="https://www.youtube.com/watch?v=KwQwKNU8Q1I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5/2tuserasmihermano.mp3" TargetMode="External"/><Relationship Id="rId639" Type="http://schemas.openxmlformats.org/officeDocument/2006/relationships/hyperlink" Target="https://www.youtube.com/watch?v=WNHK4BkEMis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01" Type="http://schemas.openxmlformats.org/officeDocument/2006/relationships/hyperlink" Target="https://www.maristes.cat/sites/default/files/content/nodes/recurs/file/9023/01-corazonesnomadas.mp3" TargetMode="External"/><Relationship Id="rId485" Type="http://schemas.openxmlformats.org/officeDocument/2006/relationships/hyperlink" Target="https://www.maristes.cat/sites/default/files/content/nodes/recurs/file/8755/5dondehayaunnino.mp3" TargetMode="External"/><Relationship Id="rId692" Type="http://schemas.openxmlformats.org/officeDocument/2006/relationships/hyperlink" Target="https://www.youtube.com/watch?v=hcGQoRe0IiQ" TargetMode="External"/><Relationship Id="rId706" Type="http://schemas.openxmlformats.org/officeDocument/2006/relationships/hyperlink" Target="https://www.youtube.com/watch?v=MufGxgNFaDQ" TargetMode="External"/><Relationship Id="rId42" Type="http://schemas.openxmlformats.org/officeDocument/2006/relationships/hyperlink" Target="https://www.youtube.com/watch?v=RBbbPNeLt9c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552" Type="http://schemas.openxmlformats.org/officeDocument/2006/relationships/hyperlink" Target="https://www.maristes.cat/sites/default/files/content/nodes/recurs/file/8878/1sijesus.mp3" TargetMode="External"/><Relationship Id="rId191" Type="http://schemas.openxmlformats.org/officeDocument/2006/relationships/hyperlink" Target="https://www.youtube.com/watch?v=9uwJOZgkAS0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34/12-nopasana.mp3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3/5angelus.mp3" TargetMode="External"/><Relationship Id="rId717" Type="http://schemas.openxmlformats.org/officeDocument/2006/relationships/hyperlink" Target="https://www.youtube.com/watch?v=PEW4y8pprpk" TargetMode="External"/><Relationship Id="rId53" Type="http://schemas.openxmlformats.org/officeDocument/2006/relationships/hyperlink" Target="https://www.youtube.com/watch?v=0cJgahJq6_c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7/trackno03.mp3" TargetMode="External"/><Relationship Id="rId563" Type="http://schemas.openxmlformats.org/officeDocument/2006/relationships/hyperlink" Target="https://www.maristes.cat/sites/default/files/content/nodes/recurs/file/8889/12esperadalsenor.mp3" TargetMode="External"/><Relationship Id="rId770" Type="http://schemas.openxmlformats.org/officeDocument/2006/relationships/hyperlink" Target="https://www.youtube.com/watch?v=rJU70C-RODA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1/12anteelespejo.mp3" TargetMode="External"/><Relationship Id="rId630" Type="http://schemas.openxmlformats.org/officeDocument/2006/relationships/hyperlink" Target="https://www.youtube.com/watch?v=GwuVLMz99vY" TargetMode="External"/><Relationship Id="rId728" Type="http://schemas.openxmlformats.org/officeDocument/2006/relationships/hyperlink" Target="https://www.youtube.com/watch?v=m6N_QxNTGOc" TargetMode="External"/><Relationship Id="rId64" Type="http://schemas.openxmlformats.org/officeDocument/2006/relationships/hyperlink" Target="https://www.youtube.com/watch?v=hqiJ3iVRTAI" TargetMode="External"/><Relationship Id="rId367" Type="http://schemas.openxmlformats.org/officeDocument/2006/relationships/hyperlink" Target="https://www.maristes.cat/sites/default/files/content/nodes/recurs/file/9468/trackno14.mp3" TargetMode="External"/><Relationship Id="rId574" Type="http://schemas.openxmlformats.org/officeDocument/2006/relationships/hyperlink" Target="https://www.maristes.cat/sites/default/files/content/nodes/recurs/file/8949/14tuserashoychampagnat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GMJdR_DyBmI" TargetMode="External"/><Relationship Id="rId434" Type="http://schemas.openxmlformats.org/officeDocument/2006/relationships/hyperlink" Target="https://www.maristes.cat/sites/default/files/content/nodes/recurs/file/8933/trackno09.mp3" TargetMode="External"/><Relationship Id="rId641" Type="http://schemas.openxmlformats.org/officeDocument/2006/relationships/hyperlink" Target="https://www.youtube.com/watch?v=zu0Jh4W-SRI" TargetMode="External"/><Relationship Id="rId739" Type="http://schemas.openxmlformats.org/officeDocument/2006/relationships/hyperlink" Target="https://www.youtube.com/watch?v=z_34X0UEVQo" TargetMode="External"/><Relationship Id="rId280" Type="http://schemas.openxmlformats.org/officeDocument/2006/relationships/hyperlink" Target="https://www.youtube.com/watch?v=gUOmUJxIPUE" TargetMode="External"/><Relationship Id="rId501" Type="http://schemas.openxmlformats.org/officeDocument/2006/relationships/hyperlink" Target="https://www.maristes.cat/sites/default/files/content/nodes/recurs/file/8749/11madre.mp3" TargetMode="External"/><Relationship Id="rId75" Type="http://schemas.openxmlformats.org/officeDocument/2006/relationships/hyperlink" Target="https://www.youtube.com/watch?v=mC0dGlHYC-s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684/12venconmigoamigo.mp3" TargetMode="External"/><Relationship Id="rId585" Type="http://schemas.openxmlformats.org/officeDocument/2006/relationships/hyperlink" Target="https://www.maristes.cat/sites/default/files/content/nodes/recurs/file/8737/11tuyyoesteaquel.mp3" TargetMode="External"/><Relationship Id="rId792" Type="http://schemas.openxmlformats.org/officeDocument/2006/relationships/hyperlink" Target="https://www.youtube.com/watch?v=pkFZjv20p_c" TargetMode="External"/><Relationship Id="rId806" Type="http://schemas.openxmlformats.org/officeDocument/2006/relationships/hyperlink" Target="https://www.youtube.com/watch?v=kPy_uaYmsKQ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4/9tealabosenor.mp3" TargetMode="External"/><Relationship Id="rId487" Type="http://schemas.openxmlformats.org/officeDocument/2006/relationships/hyperlink" Target="https://www.maristes.cat/sites/default/files/content/nodes/recurs/file/8758/8confiadrecurrid.mp3" TargetMode="External"/><Relationship Id="rId610" Type="http://schemas.openxmlformats.org/officeDocument/2006/relationships/hyperlink" Target="https://www.maristes.cat/sites/default/files/content/nodes/recurs/file/8764/2meestasllamando.mp3" TargetMode="External"/><Relationship Id="rId652" Type="http://schemas.openxmlformats.org/officeDocument/2006/relationships/hyperlink" Target="https://www.youtube.com/watch?v=k_nV6Q-B53Y" TargetMode="External"/><Relationship Id="rId694" Type="http://schemas.openxmlformats.org/officeDocument/2006/relationships/hyperlink" Target="https://www.youtube.com/watch?v=JepPDaMU6EE" TargetMode="External"/><Relationship Id="rId708" Type="http://schemas.openxmlformats.org/officeDocument/2006/relationships/hyperlink" Target="https://www.youtube.com/watch?v=exDZF93_lww" TargetMode="External"/><Relationship Id="rId291" Type="http://schemas.openxmlformats.org/officeDocument/2006/relationships/hyperlink" Target="https://www.youtube.com/watch?v=J7ubJWGKpw0" TargetMode="External"/><Relationship Id="rId305" Type="http://schemas.openxmlformats.org/officeDocument/2006/relationships/hyperlink" Target="https://www.youtube.com/watch?v=LC7J6tTzUMo" TargetMode="External"/><Relationship Id="rId347" Type="http://schemas.openxmlformats.org/officeDocument/2006/relationships/hyperlink" Target="https://www.youtube.com/watch?v=4t3qx24ub9Y" TargetMode="External"/><Relationship Id="rId512" Type="http://schemas.openxmlformats.org/officeDocument/2006/relationships/hyperlink" Target="https://www.maristes.cat/sites/default/files/content/nodes/recurs/file/8910/10salvecompanerannuestra.mp3" TargetMode="External"/><Relationship Id="rId44" Type="http://schemas.openxmlformats.org/officeDocument/2006/relationships/hyperlink" Target="https://www.youtube.com/watch?v=mAfFgnBZTEQ" TargetMode="External"/><Relationship Id="rId86" Type="http://schemas.openxmlformats.org/officeDocument/2006/relationships/hyperlink" Target="https://www.youtube.com/watch?v=LtDM7PhDCGc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6/11alsenorcantad.mp3" TargetMode="External"/><Relationship Id="rId554" Type="http://schemas.openxmlformats.org/officeDocument/2006/relationships/hyperlink" Target="https://www.maristes.cat/sites/default/files/content/nodes/recurs/file/8880/3notemais.mp3" TargetMode="External"/><Relationship Id="rId596" Type="http://schemas.openxmlformats.org/officeDocument/2006/relationships/hyperlink" Target="https://www.maristes.cat/sites/default/files/content/nodes/recurs/file/8812/10jesusresucitahoy.mp3" TargetMode="External"/><Relationship Id="rId761" Type="http://schemas.openxmlformats.org/officeDocument/2006/relationships/hyperlink" Target="https://www.youtube.com/watch?v=CTqZhoWmD-I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249" Type="http://schemas.openxmlformats.org/officeDocument/2006/relationships/hyperlink" Target="https://www.youtube.com/watch?v=-C3UQdfgbn0" TargetMode="External"/><Relationship Id="rId414" Type="http://schemas.openxmlformats.org/officeDocument/2006/relationships/hyperlink" Target="https://www.maristes.cat/sites/default/files/content/nodes/recurs/file/9011/2traselcristal.mp3" TargetMode="External"/><Relationship Id="rId456" Type="http://schemas.openxmlformats.org/officeDocument/2006/relationships/hyperlink" Target="https://www.maristes.cat/sites/default/files/content/nodes/recurs/file/8852/3deseopaz.mp3" TargetMode="External"/><Relationship Id="rId498" Type="http://schemas.openxmlformats.org/officeDocument/2006/relationships/hyperlink" Target="https://www.maristes.cat/sites/default/files/content/nodes/recurs/file/8745/7mariamusicadedios.mp3" TargetMode="External"/><Relationship Id="rId621" Type="http://schemas.openxmlformats.org/officeDocument/2006/relationships/hyperlink" Target="https://www.youtube.com/watch?v=CE5cp6VPFA4" TargetMode="External"/><Relationship Id="rId663" Type="http://schemas.openxmlformats.org/officeDocument/2006/relationships/hyperlink" Target="https://www.youtube.com/watch?v=uoEmNvmW6ec" TargetMode="External"/><Relationship Id="rId13" Type="http://schemas.openxmlformats.org/officeDocument/2006/relationships/hyperlink" Target="https://www.youtube.com/watch?v=OwzdalM_9_c" TargetMode="External"/><Relationship Id="rId109" Type="http://schemas.openxmlformats.org/officeDocument/2006/relationships/hyperlink" Target="https://www.youtube.com/watch?v=VANIjWEpnJU" TargetMode="External"/><Relationship Id="rId260" Type="http://schemas.openxmlformats.org/officeDocument/2006/relationships/hyperlink" Target="https://www.youtube.com/watch?v=lLth0-Fxkhw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79/8chaminade.mp3" TargetMode="External"/><Relationship Id="rId719" Type="http://schemas.openxmlformats.org/officeDocument/2006/relationships/hyperlink" Target="https://www.youtube.com/watch?v=G-wFc9gQJ_8" TargetMode="External"/><Relationship Id="rId55" Type="http://schemas.openxmlformats.org/officeDocument/2006/relationships/hyperlink" Target="https://www.youtube.com/watch?v=nMpaTTNWk_M" TargetMode="External"/><Relationship Id="rId97" Type="http://schemas.openxmlformats.org/officeDocument/2006/relationships/hyperlink" Target="https://www.youtube.com/watch?v=HUt_S2UOKUc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59/trackno05.mp3" TargetMode="External"/><Relationship Id="rId565" Type="http://schemas.openxmlformats.org/officeDocument/2006/relationships/hyperlink" Target="https://www.maristes.cat/sites/default/files/content/nodes/recurs/file/8937/2buenamadre.mp3" TargetMode="External"/><Relationship Id="rId730" Type="http://schemas.openxmlformats.org/officeDocument/2006/relationships/hyperlink" Target="https://www.youtube.com/watch?v=9b0im0Xn4sQ" TargetMode="External"/><Relationship Id="rId772" Type="http://schemas.openxmlformats.org/officeDocument/2006/relationships/hyperlink" Target="https://www.youtube.com/watch?v=-PZPYbkClzw" TargetMode="External"/><Relationship Id="rId162" Type="http://schemas.openxmlformats.org/officeDocument/2006/relationships/hyperlink" Target="https://www.youtube.com/watch?v=cPv999ecqJg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5/trackno01.mp3" TargetMode="External"/><Relationship Id="rId467" Type="http://schemas.openxmlformats.org/officeDocument/2006/relationships/hyperlink" Target="https://www.maristes.cat/sites/default/files/content/nodes/recurs/file/8713/2yocantare.mp3" TargetMode="External"/><Relationship Id="rId632" Type="http://schemas.openxmlformats.org/officeDocument/2006/relationships/hyperlink" Target="https://www.youtube.com/watch?v=Utg7wtSDJOU" TargetMode="External"/><Relationship Id="rId271" Type="http://schemas.openxmlformats.org/officeDocument/2006/relationships/hyperlink" Target="https://www.youtube.com/watch?v=aGte73Z0ASU" TargetMode="External"/><Relationship Id="rId674" Type="http://schemas.openxmlformats.org/officeDocument/2006/relationships/hyperlink" Target="https://www.youtube.com/watch?v=kChSEF696us" TargetMode="External"/><Relationship Id="rId24" Type="http://schemas.openxmlformats.org/officeDocument/2006/relationships/hyperlink" Target="https://www.youtube.com/watch?v=g7vRXBpL10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27" Type="http://schemas.openxmlformats.org/officeDocument/2006/relationships/hyperlink" Target="https://www.youtube.com/watch?v=qIkWcuHH9VE" TargetMode="External"/><Relationship Id="rId369" Type="http://schemas.openxmlformats.org/officeDocument/2006/relationships/hyperlink" Target="https://www.maristes.cat/sites/default/files/content/nodes/recurs/file/8674/2gloriaadios.mp3" TargetMode="External"/><Relationship Id="rId534" Type="http://schemas.openxmlformats.org/officeDocument/2006/relationships/hyperlink" Target="https://www.maristes.cat/sites/default/files/content/nodes/recurs/file/8990/kairoi-profetadelafamilia-05-supalabra.mp3" TargetMode="External"/><Relationship Id="rId576" Type="http://schemas.openxmlformats.org/officeDocument/2006/relationships/hyperlink" Target="https://www.maristes.cat/sites/default/files/content/nodes/recurs/file/8727/02miciudad.mp3" TargetMode="External"/><Relationship Id="rId741" Type="http://schemas.openxmlformats.org/officeDocument/2006/relationships/hyperlink" Target="https://www.youtube.com/watch?v=in8sjfCrqa0" TargetMode="External"/><Relationship Id="rId783" Type="http://schemas.openxmlformats.org/officeDocument/2006/relationships/hyperlink" Target="https://www.youtube.com/watch?v=c10O88qSKBM" TargetMode="External"/><Relationship Id="rId173" Type="http://schemas.openxmlformats.org/officeDocument/2006/relationships/hyperlink" Target="https://www.youtube.com/watch?v=ZsFW8cbRCr4" TargetMode="External"/><Relationship Id="rId229" Type="http://schemas.openxmlformats.org/officeDocument/2006/relationships/hyperlink" Target="https://www.youtube.com/watch?v=4KYRRDSt-eQ" TargetMode="External"/><Relationship Id="rId380" Type="http://schemas.openxmlformats.org/officeDocument/2006/relationships/hyperlink" Target="https://www.maristes.cat/sites/default/files/content/nodes/recurs/file/8776/2rockdepaz.mp3" TargetMode="External"/><Relationship Id="rId436" Type="http://schemas.openxmlformats.org/officeDocument/2006/relationships/hyperlink" Target="https://www.maristes.cat/sites/default/files/content/nodes/recurs/file/8924/escuchamaria.mp3" TargetMode="External"/><Relationship Id="rId601" Type="http://schemas.openxmlformats.org/officeDocument/2006/relationships/hyperlink" Target="https://www.maristes.cat/sites/default/files/content/nodes/recurs/file/8956/3jesuscambianos.mp3" TargetMode="External"/><Relationship Id="rId643" Type="http://schemas.openxmlformats.org/officeDocument/2006/relationships/hyperlink" Target="https://www.youtube.com/watch?v=N_SouvyZ5v8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3/03entornoalpan.wav" TargetMode="External"/><Relationship Id="rId685" Type="http://schemas.openxmlformats.org/officeDocument/2006/relationships/hyperlink" Target="https://www.youtube.com/watch?v=5tSfxzp_5tg" TargetMode="External"/><Relationship Id="rId35" Type="http://schemas.openxmlformats.org/officeDocument/2006/relationships/hyperlink" Target="https://www.youtube.com/watch?v=Jj8X5vv5LNY" TargetMode="External"/><Relationship Id="rId77" Type="http://schemas.openxmlformats.org/officeDocument/2006/relationships/hyperlink" Target="https://www.youtube.com/watch?v=r1mS6MB3YbA" TargetMode="External"/><Relationship Id="rId100" Type="http://schemas.openxmlformats.org/officeDocument/2006/relationships/hyperlink" Target="https://www.youtube.com/watch?v=gcdzkTZWl0o" TargetMode="External"/><Relationship Id="rId282" Type="http://schemas.openxmlformats.org/officeDocument/2006/relationships/hyperlink" Target="https://www.youtube.com/watch?v=r7RX48keBJ0" TargetMode="External"/><Relationship Id="rId338" Type="http://schemas.openxmlformats.org/officeDocument/2006/relationships/hyperlink" Target="https://www.youtube.com/watch?v=DuaCVtri6QU" TargetMode="External"/><Relationship Id="rId503" Type="http://schemas.openxmlformats.org/officeDocument/2006/relationships/hyperlink" Target="https://www.maristes.cat/sites/default/files/content/nodes/recurs/file/8901/1pregonpascual.mp3" TargetMode="External"/><Relationship Id="rId545" Type="http://schemas.openxmlformats.org/officeDocument/2006/relationships/hyperlink" Target="https://www.maristes.cat/sites/default/files/content/nodes/recurs/file/8842/6dejaqueentuvidacanteel.mp3" TargetMode="External"/><Relationship Id="rId587" Type="http://schemas.openxmlformats.org/officeDocument/2006/relationships/hyperlink" Target="https://www.maristes.cat/sites/default/files/content/nodes/recurs/file/8804/2entucruzsigueshoy.mp3" TargetMode="External"/><Relationship Id="rId710" Type="http://schemas.openxmlformats.org/officeDocument/2006/relationships/hyperlink" Target="https://www.youtube.com/watch?v=MYfyoRi3t8I" TargetMode="External"/><Relationship Id="rId752" Type="http://schemas.openxmlformats.org/officeDocument/2006/relationships/hyperlink" Target="https://www.youtube.com/watch?v=iDByYdT4ItU" TargetMode="External"/><Relationship Id="rId808" Type="http://schemas.openxmlformats.org/officeDocument/2006/relationships/hyperlink" Target="https://www.youtube.com/watch?v=DbYsg8g2bVw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4/1testigosdelsenor.mp3" TargetMode="External"/><Relationship Id="rId405" Type="http://schemas.openxmlformats.org/officeDocument/2006/relationships/hyperlink" Target="https://www.maristes.cat/sites/default/files/content/nodes/recurs/file/9027/05-decirtunombremaria.mp3" TargetMode="External"/><Relationship Id="rId447" Type="http://schemas.openxmlformats.org/officeDocument/2006/relationships/hyperlink" Target="https://www.maristes.cat/sites/default/files/content/nodes/recurs/file/8876/11eldondelafraternidad.mp3" TargetMode="External"/><Relationship Id="rId612" Type="http://schemas.openxmlformats.org/officeDocument/2006/relationships/hyperlink" Target="https://www.maristes.cat/sites/default/files/content/nodes/recurs/file/8766/4tocareparati.mp3" TargetMode="External"/><Relationship Id="rId794" Type="http://schemas.openxmlformats.org/officeDocument/2006/relationships/hyperlink" Target="https://www.youtube.com/watch?v=fIHNsAvNBt4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9454/10cortolaroca.mp3" TargetMode="External"/><Relationship Id="rId654" Type="http://schemas.openxmlformats.org/officeDocument/2006/relationships/hyperlink" Target="https://www.youtube.com/watch?v=gfl7-8zFXyU" TargetMode="External"/><Relationship Id="rId696" Type="http://schemas.openxmlformats.org/officeDocument/2006/relationships/hyperlink" Target="https://www.youtube.com/watch?v=yV0m5OAYpRA" TargetMode="External"/><Relationship Id="rId46" Type="http://schemas.openxmlformats.org/officeDocument/2006/relationships/hyperlink" Target="https://www.youtube.com/watch?v=TkI6CtxnIIQ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349" Type="http://schemas.openxmlformats.org/officeDocument/2006/relationships/hyperlink" Target="https://www.youtube.com/watch?v=5s9NbfvVKAA" TargetMode="External"/><Relationship Id="rId514" Type="http://schemas.openxmlformats.org/officeDocument/2006/relationships/hyperlink" Target="https://www.maristes.cat/sites/default/files/content/nodes/recurs/file/8912/12mimamitabuena.mp3" TargetMode="External"/><Relationship Id="rId556" Type="http://schemas.openxmlformats.org/officeDocument/2006/relationships/hyperlink" Target="https://www.maristes.cat/sites/default/files/content/nodes/recurs/file/8882/5quesepamosestar.mp3" TargetMode="External"/><Relationship Id="rId721" Type="http://schemas.openxmlformats.org/officeDocument/2006/relationships/hyperlink" Target="https://www.youtube.com/watch?v=_tMst8n-W_4" TargetMode="External"/><Relationship Id="rId763" Type="http://schemas.openxmlformats.org/officeDocument/2006/relationships/hyperlink" Target="https://www.youtube.com/watch?v=YOSAx_gBTXc" TargetMode="External"/><Relationship Id="rId88" Type="http://schemas.openxmlformats.org/officeDocument/2006/relationships/hyperlink" Target="https://www.youtube.com/watch?v=KMkavUMfU_w" TargetMode="External"/><Relationship Id="rId111" Type="http://schemas.openxmlformats.org/officeDocument/2006/relationships/hyperlink" Target="https://www.youtube.com/watch?v=399BIn0bl1k" TargetMode="External"/><Relationship Id="rId153" Type="http://schemas.openxmlformats.org/officeDocument/2006/relationships/hyperlink" Target="https://www.youtube.com/watch?v=7KVXWdRV7TY" TargetMode="External"/><Relationship Id="rId195" Type="http://schemas.openxmlformats.org/officeDocument/2006/relationships/hyperlink" Target="https://www.youtube.com/watch?v=s0bRyeGJwDc" TargetMode="External"/><Relationship Id="rId209" Type="http://schemas.openxmlformats.org/officeDocument/2006/relationships/hyperlink" Target="https://www.youtube.com/watch?v=7nf9CZeon9c" TargetMode="External"/><Relationship Id="rId360" Type="http://schemas.openxmlformats.org/officeDocument/2006/relationships/hyperlink" Target="https://www.maristes.cat/sites/default/files/content/nodes/recurs/file/9461/trackno07.mp3" TargetMode="External"/><Relationship Id="rId416" Type="http://schemas.openxmlformats.org/officeDocument/2006/relationships/hyperlink" Target="https://www.maristes.cat/sites/default/files/content/nodes/recurs/file/9013/4ungesto.mp3" TargetMode="External"/><Relationship Id="rId598" Type="http://schemas.openxmlformats.org/officeDocument/2006/relationships/hyperlink" Target="https://www.maristes.cat/sites/default/files/content/nodes/recurs/file/8814/12tucaminoytuverdad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4/5nuestrabuenamadre.mp3" TargetMode="External"/><Relationship Id="rId623" Type="http://schemas.openxmlformats.org/officeDocument/2006/relationships/hyperlink" Target="https://www.youtube.com/watch?v=6A3AS5oavA0" TargetMode="External"/><Relationship Id="rId665" Type="http://schemas.openxmlformats.org/officeDocument/2006/relationships/hyperlink" Target="https://www.youtube.com/watch?v=gcME5Kiuw80" TargetMode="External"/><Relationship Id="rId15" Type="http://schemas.openxmlformats.org/officeDocument/2006/relationships/hyperlink" Target="https://www.youtube.com/watch?v=KmGoGRjkxOA" TargetMode="External"/><Relationship Id="rId57" Type="http://schemas.openxmlformats.org/officeDocument/2006/relationships/hyperlink" Target="https://www.youtube.com/watch?v=yZ0oDBm2vC0" TargetMode="External"/><Relationship Id="rId262" Type="http://schemas.openxmlformats.org/officeDocument/2006/relationships/hyperlink" Target="https://www.youtube.com/watch?v=KALbqxsIhV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1/10creoenti.mp3" TargetMode="External"/><Relationship Id="rId567" Type="http://schemas.openxmlformats.org/officeDocument/2006/relationships/hyperlink" Target="https://www.maristes.cat/sites/default/files/content/nodes/recurs/file/8941/6hermanoentreloshombres.mp3" TargetMode="External"/><Relationship Id="rId732" Type="http://schemas.openxmlformats.org/officeDocument/2006/relationships/hyperlink" Target="https://www.youtube.com/watch?v=hQk705tQH6U" TargetMode="External"/><Relationship Id="rId99" Type="http://schemas.openxmlformats.org/officeDocument/2006/relationships/hyperlink" Target="https://www.youtube.com/watch?v=FFzeyL8gSpE" TargetMode="External"/><Relationship Id="rId122" Type="http://schemas.openxmlformats.org/officeDocument/2006/relationships/hyperlink" Target="https://www.youtube.com/watch?v=5cqIy7aOPck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6/4padrevuelvoati.mp3" TargetMode="External"/><Relationship Id="rId774" Type="http://schemas.openxmlformats.org/officeDocument/2006/relationships/hyperlink" Target="https://www.youtube.com/watch?v=jJP1UYGyhuw" TargetMode="External"/><Relationship Id="rId427" Type="http://schemas.openxmlformats.org/officeDocument/2006/relationships/hyperlink" Target="https://www.maristes.cat/sites/default/files/content/nodes/recurs/file/8927/trackno03.mp3" TargetMode="External"/><Relationship Id="rId469" Type="http://schemas.openxmlformats.org/officeDocument/2006/relationships/hyperlink" Target="https://www.maristes.cat/sites/default/files/content/nodes/recurs/file/8717/4hablame.mp3" TargetMode="External"/><Relationship Id="rId634" Type="http://schemas.openxmlformats.org/officeDocument/2006/relationships/hyperlink" Target="https://www.youtube.com/watch?v=ViQlE2MpKes" TargetMode="External"/><Relationship Id="rId676" Type="http://schemas.openxmlformats.org/officeDocument/2006/relationships/hyperlink" Target="https://www.youtube.com/watch?v=A53YevNFWVo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273" Type="http://schemas.openxmlformats.org/officeDocument/2006/relationships/hyperlink" Target="https://www.youtube.com/watch?v=dzZd_u-StZI" TargetMode="External"/><Relationship Id="rId329" Type="http://schemas.openxmlformats.org/officeDocument/2006/relationships/hyperlink" Target="https://www.youtube.com/watch?v=2eN1wiAitXQ" TargetMode="External"/><Relationship Id="rId480" Type="http://schemas.openxmlformats.org/officeDocument/2006/relationships/hyperlink" Target="https://www.maristes.cat/sites/default/files/content/nodes/recurs/file/9156/06caminar.wav" TargetMode="External"/><Relationship Id="rId536" Type="http://schemas.openxmlformats.org/officeDocument/2006/relationships/hyperlink" Target="https://www.maristes.cat/sites/default/files/content/nodes/recurs/file/8992/kairoi-profetadelafamilia-07-jesusmariayjose.mp3" TargetMode="External"/><Relationship Id="rId701" Type="http://schemas.openxmlformats.org/officeDocument/2006/relationships/hyperlink" Target="https://www.youtube.com/watch?v=R8xCu-J9jJM" TargetMode="External"/><Relationship Id="rId68" Type="http://schemas.openxmlformats.org/officeDocument/2006/relationships/hyperlink" Target="https://www.youtube.com/watch?v=GvfT0gPkWdM" TargetMode="External"/><Relationship Id="rId133" Type="http://schemas.openxmlformats.org/officeDocument/2006/relationships/hyperlink" Target="https://www.youtube.com/watch?v=KKq9VKHhUgM" TargetMode="External"/><Relationship Id="rId175" Type="http://schemas.openxmlformats.org/officeDocument/2006/relationships/hyperlink" Target="https://www.youtube.com/watch?v=l5KM7IsSTKo" TargetMode="External"/><Relationship Id="rId340" Type="http://schemas.openxmlformats.org/officeDocument/2006/relationships/hyperlink" Target="https://www.youtube.com/watch?v=jP7zsYKbaKw" TargetMode="External"/><Relationship Id="rId578" Type="http://schemas.openxmlformats.org/officeDocument/2006/relationships/hyperlink" Target="https://www.maristes.cat/sites/default/files/content/nodes/recurs/file/8730/04quisierahabernacido.mp3" TargetMode="External"/><Relationship Id="rId743" Type="http://schemas.openxmlformats.org/officeDocument/2006/relationships/hyperlink" Target="https://www.youtube.com/watch?v=IjXkGDZtdpI" TargetMode="External"/><Relationship Id="rId785" Type="http://schemas.openxmlformats.org/officeDocument/2006/relationships/hyperlink" Target="https://www.youtube.com/watch?v=fV9XsKsjZpQ" TargetMode="External"/><Relationship Id="rId200" Type="http://schemas.openxmlformats.org/officeDocument/2006/relationships/hyperlink" Target="https://www.youtube.com/watch?v=y0WWImWW0u0" TargetMode="External"/><Relationship Id="rId382" Type="http://schemas.openxmlformats.org/officeDocument/2006/relationships/hyperlink" Target="https://www.maristes.cat/sites/default/files/content/nodes/recurs/file/8778/4kuakuakua.mp3" TargetMode="External"/><Relationship Id="rId438" Type="http://schemas.openxmlformats.org/officeDocument/2006/relationships/hyperlink" Target="https://www.maristes.cat/sites/default/files/content/nodes/recurs/file/8867/2claraimagendedios.mp3" TargetMode="External"/><Relationship Id="rId603" Type="http://schemas.openxmlformats.org/officeDocument/2006/relationships/hyperlink" Target="https://www.maristes.cat/sites/default/files/content/nodes/recurs/file/8958/5nosmarcaelcaminar.mp3" TargetMode="External"/><Relationship Id="rId645" Type="http://schemas.openxmlformats.org/officeDocument/2006/relationships/hyperlink" Target="https://www.youtube.com/watch?v=-SxCIMC0IqM" TargetMode="External"/><Relationship Id="rId687" Type="http://schemas.openxmlformats.org/officeDocument/2006/relationships/hyperlink" Target="https://www.youtube.com/watch?v=Qm-d9hg6fMg" TargetMode="External"/><Relationship Id="rId810" Type="http://schemas.openxmlformats.org/officeDocument/2006/relationships/hyperlink" Target="https://www.youtube.com/watch?v=TjzRj0bejUw" TargetMode="External"/><Relationship Id="rId242" Type="http://schemas.openxmlformats.org/officeDocument/2006/relationships/hyperlink" Target="https://www.youtube.com/watch?v=-WyiKl9S5Ts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62/12nuestrasvocescantan.mp3" TargetMode="External"/><Relationship Id="rId505" Type="http://schemas.openxmlformats.org/officeDocument/2006/relationships/hyperlink" Target="https://www.maristes.cat/sites/default/files/content/nodes/recurs/file/8903/3indigena.mp3" TargetMode="External"/><Relationship Id="rId712" Type="http://schemas.openxmlformats.org/officeDocument/2006/relationships/hyperlink" Target="https://www.youtube.com/watch?v=Yr8TIVPiWOE" TargetMode="External"/><Relationship Id="rId37" Type="http://schemas.openxmlformats.org/officeDocument/2006/relationships/hyperlink" Target="https://www.youtube.com/watch?v=bpvx3uFc48I" TargetMode="External"/><Relationship Id="rId79" Type="http://schemas.openxmlformats.org/officeDocument/2006/relationships/hyperlink" Target="https://www.youtube.com/watch?v=SkLaiznSbUs" TargetMode="External"/><Relationship Id="rId102" Type="http://schemas.openxmlformats.org/officeDocument/2006/relationships/hyperlink" Target="https://www.youtube.com/watch?v=huv1QCkTcBs" TargetMode="External"/><Relationship Id="rId144" Type="http://schemas.openxmlformats.org/officeDocument/2006/relationships/hyperlink" Target="https://www.youtube.com/watch?v=oSPCNIvKDsk" TargetMode="External"/><Relationship Id="rId547" Type="http://schemas.openxmlformats.org/officeDocument/2006/relationships/hyperlink" Target="https://www.maristes.cat/sites/default/files/content/nodes/recurs/file/8844/8gritolibertad.mp3" TargetMode="External"/><Relationship Id="rId589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54" Type="http://schemas.openxmlformats.org/officeDocument/2006/relationships/hyperlink" Target="https://www.youtube.com/watch?v=OIB8U3bgicc" TargetMode="External"/><Relationship Id="rId796" Type="http://schemas.openxmlformats.org/officeDocument/2006/relationships/hyperlink" Target="https://www.youtube.com/watch?v=6T91M6qcBrw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51" Type="http://schemas.openxmlformats.org/officeDocument/2006/relationships/hyperlink" Target="https://www.youtube.com/watch?v=7gb1Tq33ndk" TargetMode="External"/><Relationship Id="rId393" Type="http://schemas.openxmlformats.org/officeDocument/2006/relationships/hyperlink" Target="https://www.maristes.cat/sites/default/files/content/nodes/recurs/file/8916/3enlaesperanzamadre.mp3" TargetMode="External"/><Relationship Id="rId407" Type="http://schemas.openxmlformats.org/officeDocument/2006/relationships/hyperlink" Target="https://www.maristes.cat/sites/default/files/content/nodes/recurs/file/9029/07-perdonaquetelodiga.mp3" TargetMode="External"/><Relationship Id="rId449" Type="http://schemas.openxmlformats.org/officeDocument/2006/relationships/hyperlink" Target="https://www.maristes.cat/sites/default/files/content/nodes/recurs/file/8790/3comomarcelino.mp3" TargetMode="External"/><Relationship Id="rId614" Type="http://schemas.openxmlformats.org/officeDocument/2006/relationships/hyperlink" Target="https://www.maristes.cat/sites/default/files/content/nodes/recurs/file/8768/6ensenanosaorar.mp3" TargetMode="External"/><Relationship Id="rId656" Type="http://schemas.openxmlformats.org/officeDocument/2006/relationships/hyperlink" Target="https://www.youtube.com/watch?v=hEweJKc1xgs" TargetMode="External"/><Relationship Id="rId211" Type="http://schemas.openxmlformats.org/officeDocument/2006/relationships/hyperlink" Target="https://www.youtube.com/watch?v=uX_oSn-_Qxk" TargetMode="External"/><Relationship Id="rId253" Type="http://schemas.openxmlformats.org/officeDocument/2006/relationships/hyperlink" Target="https://www.youtube.com/watch?v=axL5j6K2ZYM" TargetMode="External"/><Relationship Id="rId295" Type="http://schemas.openxmlformats.org/officeDocument/2006/relationships/hyperlink" Target="https://www.youtube.com/watch?v=7V5tJwSHF8g" TargetMode="External"/><Relationship Id="rId309" Type="http://schemas.openxmlformats.org/officeDocument/2006/relationships/hyperlink" Target="https://www.youtube.com/watch?v=6psKSWI-gS0" TargetMode="External"/><Relationship Id="rId460" Type="http://schemas.openxmlformats.org/officeDocument/2006/relationships/hyperlink" Target="https://www.maristes.cat/sites/default/files/content/nodes/recurs/file/8856/7nodurmais.mp3" TargetMode="External"/><Relationship Id="rId516" Type="http://schemas.openxmlformats.org/officeDocument/2006/relationships/hyperlink" Target="https://www.maristes.cat/sites/default/files/content/nodes/recurs/file/8969/1nacidosdemujer.mp3" TargetMode="External"/><Relationship Id="rId698" Type="http://schemas.openxmlformats.org/officeDocument/2006/relationships/hyperlink" Target="https://www.youtube.com/watch?v=PVryASaVosA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4/7loabandonarontodo.mp3" TargetMode="External"/><Relationship Id="rId723" Type="http://schemas.openxmlformats.org/officeDocument/2006/relationships/hyperlink" Target="https://www.youtube.com/watch?v=eXzcrgO4YFE" TargetMode="External"/><Relationship Id="rId765" Type="http://schemas.openxmlformats.org/officeDocument/2006/relationships/hyperlink" Target="https://www.youtube.com/watch?v=CdSkvbLrcno" TargetMode="External"/><Relationship Id="rId155" Type="http://schemas.openxmlformats.org/officeDocument/2006/relationships/hyperlink" Target="https://www.youtube.com/watch?v=tmW2MgnLV1w" TargetMode="External"/><Relationship Id="rId197" Type="http://schemas.openxmlformats.org/officeDocument/2006/relationships/hyperlink" Target="https://www.youtube.com/watch?v=2x_nQzLGLZw" TargetMode="External"/><Relationship Id="rId362" Type="http://schemas.openxmlformats.org/officeDocument/2006/relationships/hyperlink" Target="https://www.maristes.cat/sites/default/files/content/nodes/recurs/file/9463/trackno09.mp3" TargetMode="External"/><Relationship Id="rId418" Type="http://schemas.openxmlformats.org/officeDocument/2006/relationships/hyperlink" Target="https://www.maristes.cat/sites/default/files/content/nodes/recurs/file/9015/6scaramouche.mp3" TargetMode="External"/><Relationship Id="rId625" Type="http://schemas.openxmlformats.org/officeDocument/2006/relationships/hyperlink" Target="https://www.youtube.com/watch?v=aWqgzEHIBvs" TargetMode="External"/><Relationship Id="rId222" Type="http://schemas.openxmlformats.org/officeDocument/2006/relationships/hyperlink" Target="https://www.youtube.com/watch?v=YkIH8b0QMs0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19/6himnoadios.mp3" TargetMode="External"/><Relationship Id="rId667" Type="http://schemas.openxmlformats.org/officeDocument/2006/relationships/hyperlink" Target="https://www.youtube.com/watch?v=3g8Ju0IqFII" TargetMode="External"/><Relationship Id="rId17" Type="http://schemas.openxmlformats.org/officeDocument/2006/relationships/hyperlink" Target="https://www.youtube.com/watch?v=LEj4ybN6Ovc" TargetMode="External"/><Relationship Id="rId59" Type="http://schemas.openxmlformats.org/officeDocument/2006/relationships/hyperlink" Target="https://www.youtube.com/watch?v=yZ0oDBm2vC0" TargetMode="External"/><Relationship Id="rId124" Type="http://schemas.openxmlformats.org/officeDocument/2006/relationships/hyperlink" Target="https://www.youtube.com/watch?v=D4_cGAjTqdo" TargetMode="External"/><Relationship Id="rId527" Type="http://schemas.openxmlformats.org/officeDocument/2006/relationships/hyperlink" Target="https://www.maristes.cat/sites/default/files/content/nodes/recurs/file/8983/12vinonuevo.mp3" TargetMode="External"/><Relationship Id="rId569" Type="http://schemas.openxmlformats.org/officeDocument/2006/relationships/hyperlink" Target="https://www.maristes.cat/sites/default/files/content/nodes/recurs/file/8943/8frasesmarcelino.mp3" TargetMode="External"/><Relationship Id="rId734" Type="http://schemas.openxmlformats.org/officeDocument/2006/relationships/hyperlink" Target="https://www.youtube.com/watch?v=8UUf3RdUsuM" TargetMode="External"/><Relationship Id="rId776" Type="http://schemas.openxmlformats.org/officeDocument/2006/relationships/hyperlink" Target="https://www.youtube.com/watch?v=tXCrm0ObU9s" TargetMode="External"/><Relationship Id="rId70" Type="http://schemas.openxmlformats.org/officeDocument/2006/relationships/hyperlink" Target="https://www.youtube.com/watch?v=u6cOz4g4_0I" TargetMode="External"/><Relationship Id="rId166" Type="http://schemas.openxmlformats.org/officeDocument/2006/relationships/hyperlink" Target="https://www.youtube.com/watch?v=7jrPsZ2oZ8A" TargetMode="External"/><Relationship Id="rId331" Type="http://schemas.openxmlformats.org/officeDocument/2006/relationships/hyperlink" Target="https://www.youtube.com/watch?v=pQLd28okoSM" TargetMode="External"/><Relationship Id="rId373" Type="http://schemas.openxmlformats.org/officeDocument/2006/relationships/hyperlink" Target="https://www.maristes.cat/sites/default/files/content/nodes/recurs/file/8679/7elespiritudelsenor.mp3" TargetMode="External"/><Relationship Id="rId429" Type="http://schemas.openxmlformats.org/officeDocument/2006/relationships/hyperlink" Target="https://www.maristes.cat/sites/default/files/content/nodes/recurs/file/8929/trackno05.mp3" TargetMode="External"/><Relationship Id="rId580" Type="http://schemas.openxmlformats.org/officeDocument/2006/relationships/hyperlink" Target="https://www.maristes.cat/sites/default/files/content/nodes/recurs/file/8732/06quienmeayuda.mp3" TargetMode="External"/><Relationship Id="rId636" Type="http://schemas.openxmlformats.org/officeDocument/2006/relationships/hyperlink" Target="https://www.youtube.com/watch?v=E1dvSpZwsvI" TargetMode="External"/><Relationship Id="rId801" Type="http://schemas.openxmlformats.org/officeDocument/2006/relationships/hyperlink" Target="https://www.youtube.com/watch?v=jCCUQqkocdY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69/4jesusteama.mp3" TargetMode="External"/><Relationship Id="rId678" Type="http://schemas.openxmlformats.org/officeDocument/2006/relationships/hyperlink" Target="https://www.youtube.com/watch?v=a1pKpLrHYkE" TargetMode="External"/><Relationship Id="rId28" Type="http://schemas.openxmlformats.org/officeDocument/2006/relationships/hyperlink" Target="https://www.youtube.com/watch?v=V86NBrzhSAo" TargetMode="External"/><Relationship Id="rId275" Type="http://schemas.openxmlformats.org/officeDocument/2006/relationships/hyperlink" Target="https://www.youtube.com/watch?v=R8uF_EBeaQk" TargetMode="External"/><Relationship Id="rId300" Type="http://schemas.openxmlformats.org/officeDocument/2006/relationships/hyperlink" Target="https://www.youtube.com/watch?v=deV_j92OeMQ" TargetMode="External"/><Relationship Id="rId482" Type="http://schemas.openxmlformats.org/officeDocument/2006/relationships/hyperlink" Target="https://www.maristes.cat/sites/default/files/content/nodes/recurs/file/9159/09somos.wav" TargetMode="External"/><Relationship Id="rId538" Type="http://schemas.openxmlformats.org/officeDocument/2006/relationships/hyperlink" Target="https://www.maristes.cat/sites/default/files/content/nodes/recurs/file/8994/kairoi-profetadelafamilia-09-familias.mp3" TargetMode="External"/><Relationship Id="rId703" Type="http://schemas.openxmlformats.org/officeDocument/2006/relationships/hyperlink" Target="https://www.youtube.com/watch?v=aAwwifOLThM" TargetMode="External"/><Relationship Id="rId745" Type="http://schemas.openxmlformats.org/officeDocument/2006/relationships/hyperlink" Target="https://www.youtube.com/watch?v=KatC2n-q3dI" TargetMode="External"/><Relationship Id="rId81" Type="http://schemas.openxmlformats.org/officeDocument/2006/relationships/hyperlink" Target="https://www.youtube.com/watch?v=71nzxwlVVWI" TargetMode="External"/><Relationship Id="rId135" Type="http://schemas.openxmlformats.org/officeDocument/2006/relationships/hyperlink" Target="https://www.youtube.com/watch?v=By3i49DuO6M" TargetMode="External"/><Relationship Id="rId177" Type="http://schemas.openxmlformats.org/officeDocument/2006/relationships/hyperlink" Target="https://www.youtube.com/watch?v=pdskwFwT3Mg" TargetMode="External"/><Relationship Id="rId342" Type="http://schemas.openxmlformats.org/officeDocument/2006/relationships/hyperlink" Target="https://www.youtube.com/watch?v=Dmxva9tDmpg" TargetMode="External"/><Relationship Id="rId384" Type="http://schemas.openxmlformats.org/officeDocument/2006/relationships/hyperlink" Target="https://www.maristes.cat/sites/default/files/content/nodes/recurs/file/8780/6nochesilenciosa.mp3" TargetMode="External"/><Relationship Id="rId591" Type="http://schemas.openxmlformats.org/officeDocument/2006/relationships/hyperlink" Target="https://www.maristes.cat/sites/default/files/content/nodes/recurs/file/8808/6ensumesahayamor.mp3" TargetMode="External"/><Relationship Id="rId605" Type="http://schemas.openxmlformats.org/officeDocument/2006/relationships/hyperlink" Target="https://www.maristes.cat/sites/default/files/content/nodes/recurs/file/8961/7soymujer.mp3" TargetMode="External"/><Relationship Id="rId787" Type="http://schemas.openxmlformats.org/officeDocument/2006/relationships/hyperlink" Target="https://www.youtube.com/watch?v=FK20qvW679Y" TargetMode="External"/><Relationship Id="rId812" Type="http://schemas.openxmlformats.org/officeDocument/2006/relationships/hyperlink" Target="https://www.youtube.com/watch?v=lUu9gLQKgNI" TargetMode="External"/><Relationship Id="rId202" Type="http://schemas.openxmlformats.org/officeDocument/2006/relationships/hyperlink" Target="https://www.youtube.com/watch?v=RnWapq6keNQ" TargetMode="External"/><Relationship Id="rId244" Type="http://schemas.openxmlformats.org/officeDocument/2006/relationships/hyperlink" Target="https://www.youtube.com/watch?v=9n2aAG_DLGk" TargetMode="External"/><Relationship Id="rId647" Type="http://schemas.openxmlformats.org/officeDocument/2006/relationships/hyperlink" Target="https://www.youtube.com/watch?v=c60A4K7c7xo" TargetMode="External"/><Relationship Id="rId689" Type="http://schemas.openxmlformats.org/officeDocument/2006/relationships/hyperlink" Target="https://www.youtube.com/watch?v=mwRMT2_pi9c" TargetMode="External"/><Relationship Id="rId39" Type="http://schemas.openxmlformats.org/officeDocument/2006/relationships/hyperlink" Target="https://www.youtube.com/watch?v=rpwi0PjxShU" TargetMode="External"/><Relationship Id="rId286" Type="http://schemas.openxmlformats.org/officeDocument/2006/relationships/hyperlink" Target="https://www.youtube.com/watch?v=bB9XvVIANp8" TargetMode="External"/><Relationship Id="rId451" Type="http://schemas.openxmlformats.org/officeDocument/2006/relationships/hyperlink" Target="https://www.maristes.cat/sites/default/files/content/nodes/recurs/file/8793/6unavida.mp3" TargetMode="External"/><Relationship Id="rId493" Type="http://schemas.openxmlformats.org/officeDocument/2006/relationships/hyperlink" Target="https://www.maristes.cat/sites/default/files/content/nodes/recurs/file/8740/2tuestascerca.mp3" TargetMode="External"/><Relationship Id="rId507" Type="http://schemas.openxmlformats.org/officeDocument/2006/relationships/hyperlink" Target="https://www.maristes.cat/sites/default/files/content/nodes/recurs/file/8905/5unkiriemas.mp3" TargetMode="External"/><Relationship Id="rId549" Type="http://schemas.openxmlformats.org/officeDocument/2006/relationships/hyperlink" Target="https://www.maristes.cat/sites/default/files/content/nodes/recurs/file/8846/10senordelahistoria.mp3" TargetMode="External"/><Relationship Id="rId714" Type="http://schemas.openxmlformats.org/officeDocument/2006/relationships/hyperlink" Target="https://www.youtube.com/watch?v=hpmGy83z4nc" TargetMode="External"/><Relationship Id="rId756" Type="http://schemas.openxmlformats.org/officeDocument/2006/relationships/hyperlink" Target="https://www.youtube.com/watch?v=qHxe8u2cwfM" TargetMode="External"/><Relationship Id="rId50" Type="http://schemas.openxmlformats.org/officeDocument/2006/relationships/hyperlink" Target="https://www.youtube.com/watch?v=LHYuOBf5ReM" TargetMode="External"/><Relationship Id="rId104" Type="http://schemas.openxmlformats.org/officeDocument/2006/relationships/hyperlink" Target="https://www.youtube.com/watch?v=i75ZJtVbHMU" TargetMode="External"/><Relationship Id="rId146" Type="http://schemas.openxmlformats.org/officeDocument/2006/relationships/hyperlink" Target="https://www.youtube.com/watch?v=Ci6dfFOm4_k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53" Type="http://schemas.openxmlformats.org/officeDocument/2006/relationships/hyperlink" Target="https://www.youtube.com/watch?v=4A1EN1KgTfE" TargetMode="External"/><Relationship Id="rId395" Type="http://schemas.openxmlformats.org/officeDocument/2006/relationships/hyperlink" Target="https://www.maristes.cat/sites/default/files/content/nodes/recurs/file/8918/5fraternidad.mp3" TargetMode="External"/><Relationship Id="rId409" Type="http://schemas.openxmlformats.org/officeDocument/2006/relationships/hyperlink" Target="https://www.maristes.cat/sites/default/files/content/nodes/recurs/file/9031/09-marcelino.mp3" TargetMode="External"/><Relationship Id="rId560" Type="http://schemas.openxmlformats.org/officeDocument/2006/relationships/hyperlink" Target="https://www.maristes.cat/sites/default/files/content/nodes/recurs/file/8886/9delodebilsacafuerzasdios.mp3" TargetMode="External"/><Relationship Id="rId798" Type="http://schemas.openxmlformats.org/officeDocument/2006/relationships/hyperlink" Target="https://www.youtube.com/watch?v=kZtCs6pBF9I" TargetMode="External"/><Relationship Id="rId92" Type="http://schemas.openxmlformats.org/officeDocument/2006/relationships/hyperlink" Target="https://www.youtube.com/watch?v=dBfTYMaagdc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8/9unaiglesiadeexcluidos.mp3" TargetMode="External"/><Relationship Id="rId616" Type="http://schemas.openxmlformats.org/officeDocument/2006/relationships/hyperlink" Target="https://www.maristes.cat/sites/default/files/content/nodes/recurs/file/8770/8esperandoconmaria.mp3" TargetMode="External"/><Relationship Id="rId658" Type="http://schemas.openxmlformats.org/officeDocument/2006/relationships/hyperlink" Target="https://www.youtube.com/watch?v=pPeiwHhNOGo" TargetMode="External"/><Relationship Id="rId255" Type="http://schemas.openxmlformats.org/officeDocument/2006/relationships/hyperlink" Target="https://www.youtube.com/watch?v=bOkdEJoSAjE" TargetMode="External"/><Relationship Id="rId297" Type="http://schemas.openxmlformats.org/officeDocument/2006/relationships/hyperlink" Target="https://www.youtube.com/watch?v=j5yDXbnGSxg" TargetMode="External"/><Relationship Id="rId462" Type="http://schemas.openxmlformats.org/officeDocument/2006/relationships/hyperlink" Target="https://www.maristes.cat/sites/default/files/content/nodes/recurs/file/8862/9bienaventuranzas.mp3" TargetMode="External"/><Relationship Id="rId518" Type="http://schemas.openxmlformats.org/officeDocument/2006/relationships/hyperlink" Target="https://www.maristes.cat/sites/default/files/content/nodes/recurs/file/8973/3encomunidad.mp3" TargetMode="External"/><Relationship Id="rId725" Type="http://schemas.openxmlformats.org/officeDocument/2006/relationships/hyperlink" Target="https://www.youtube.com/watch?v=V-pZp2OQm_0" TargetMode="External"/><Relationship Id="rId115" Type="http://schemas.openxmlformats.org/officeDocument/2006/relationships/hyperlink" Target="https://www.youtube.com/watch?v=RTonT2xmMZ4" TargetMode="External"/><Relationship Id="rId157" Type="http://schemas.openxmlformats.org/officeDocument/2006/relationships/hyperlink" Target="https://www.youtube.com/watch?v=hSQ17dDCQIw" TargetMode="External"/><Relationship Id="rId322" Type="http://schemas.openxmlformats.org/officeDocument/2006/relationships/hyperlink" Target="https://www.youtube.com/watch?v=2G4M56LVyyU" TargetMode="External"/><Relationship Id="rId364" Type="http://schemas.openxmlformats.org/officeDocument/2006/relationships/hyperlink" Target="https://www.maristes.cat/sites/default/files/content/nodes/recurs/file/9465/trackno11.mp3" TargetMode="External"/><Relationship Id="rId767" Type="http://schemas.openxmlformats.org/officeDocument/2006/relationships/hyperlink" Target="https://www.youtube.com/watch?v=hNoOoCllCFQ" TargetMode="External"/><Relationship Id="rId61" Type="http://schemas.openxmlformats.org/officeDocument/2006/relationships/hyperlink" Target="https://www.youtube.com/watch?v=pxDsn6De9WM" TargetMode="External"/><Relationship Id="rId199" Type="http://schemas.openxmlformats.org/officeDocument/2006/relationships/hyperlink" Target="https://www.youtube.com/watch?v=vMDjZ5LLo24" TargetMode="External"/><Relationship Id="rId571" Type="http://schemas.openxmlformats.org/officeDocument/2006/relationships/hyperlink" Target="https://www.maristes.cat/sites/default/files/content/nodes/recurs/file/8945/10familiamarista.mp3" TargetMode="External"/><Relationship Id="rId627" Type="http://schemas.openxmlformats.org/officeDocument/2006/relationships/hyperlink" Target="https://www.youtube.com/watch?v=dTv5uI_DRFo" TargetMode="External"/><Relationship Id="rId669" Type="http://schemas.openxmlformats.org/officeDocument/2006/relationships/hyperlink" Target="https://www.youtube.com/watch?v=IEhHCMeiSuc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266" Type="http://schemas.openxmlformats.org/officeDocument/2006/relationships/hyperlink" Target="https://www.youtube.com/watch?v=NRqk6TvhYO8" TargetMode="External"/><Relationship Id="rId431" Type="http://schemas.openxmlformats.org/officeDocument/2006/relationships/hyperlink" Target="https://www.maristes.cat/sites/default/files/content/nodes/recurs/file/8932/trackno08.mp3" TargetMode="External"/><Relationship Id="rId473" Type="http://schemas.openxmlformats.org/officeDocument/2006/relationships/hyperlink" Target="https://www.maristes.cat/sites/default/files/content/nodes/recurs/file/8721/8padremepongoentusmanos.mp3" TargetMode="External"/><Relationship Id="rId529" Type="http://schemas.openxmlformats.org/officeDocument/2006/relationships/hyperlink" Target="https://www.maristes.cat/sites/default/files/content/nodes/recurs/file/8985/14unsolocorazon.mp3" TargetMode="External"/><Relationship Id="rId680" Type="http://schemas.openxmlformats.org/officeDocument/2006/relationships/hyperlink" Target="https://www.youtube.com/watch?v=dpJysvioGk0" TargetMode="External"/><Relationship Id="rId736" Type="http://schemas.openxmlformats.org/officeDocument/2006/relationships/hyperlink" Target="https://www.youtube.com/watch?v=G7gS0D6Dsk8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168" Type="http://schemas.openxmlformats.org/officeDocument/2006/relationships/hyperlink" Target="https://www.youtube.com/watch?v=ViFGpblE-20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4/1cristosenor.mp3" TargetMode="External"/><Relationship Id="rId778" Type="http://schemas.openxmlformats.org/officeDocument/2006/relationships/hyperlink" Target="https://www.youtube.com/watch?v=xetMYxSD-zI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1/9atuladosenor.mp3" TargetMode="External"/><Relationship Id="rId582" Type="http://schemas.openxmlformats.org/officeDocument/2006/relationships/hyperlink" Target="https://www.maristes.cat/sites/default/files/content/nodes/recurs/file/8734/08solotrabajar.mp3" TargetMode="External"/><Relationship Id="rId638" Type="http://schemas.openxmlformats.org/officeDocument/2006/relationships/hyperlink" Target="https://www.youtube.com/watch?v=x-gJK52EB4c" TargetMode="External"/><Relationship Id="rId803" Type="http://schemas.openxmlformats.org/officeDocument/2006/relationships/hyperlink" Target="https://www.youtube.com/watch?v=qkoRnuJV6fI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8923/10hacialaluz.mp3" TargetMode="External"/><Relationship Id="rId442" Type="http://schemas.openxmlformats.org/officeDocument/2006/relationships/hyperlink" Target="https://www.maristes.cat/sites/default/files/content/nodes/recurs/file/8871/6yanoquedatiempo.mp3" TargetMode="External"/><Relationship Id="rId484" Type="http://schemas.openxmlformats.org/officeDocument/2006/relationships/hyperlink" Target="https://www.maristes.cat/sites/default/files/content/nodes/recurs/file/8753/3hermitagecasadelsenor.mp3" TargetMode="External"/><Relationship Id="rId705" Type="http://schemas.openxmlformats.org/officeDocument/2006/relationships/hyperlink" Target="https://www.youtube.com/watch?v=SrTLu4IjdSk" TargetMode="External"/><Relationship Id="rId137" Type="http://schemas.openxmlformats.org/officeDocument/2006/relationships/hyperlink" Target="https://www.youtube.com/watch?v=wwZ3zEt_vc0" TargetMode="External"/><Relationship Id="rId302" Type="http://schemas.openxmlformats.org/officeDocument/2006/relationships/hyperlink" Target="https://www.youtube.com/watch?v=dLzGuOi5Azs" TargetMode="External"/><Relationship Id="rId344" Type="http://schemas.openxmlformats.org/officeDocument/2006/relationships/hyperlink" Target="https://www.youtube.com/watch?v=E_ZKsPdIe9E" TargetMode="External"/><Relationship Id="rId691" Type="http://schemas.openxmlformats.org/officeDocument/2006/relationships/hyperlink" Target="https://www.youtube.com/watch?v=I2m01aEaXkI" TargetMode="External"/><Relationship Id="rId747" Type="http://schemas.openxmlformats.org/officeDocument/2006/relationships/hyperlink" Target="https://www.youtube.com/watch?v=0LG_MYoiQhs" TargetMode="External"/><Relationship Id="rId789" Type="http://schemas.openxmlformats.org/officeDocument/2006/relationships/hyperlink" Target="https://www.youtube.com/watch?v=PkqND-ZEOcI" TargetMode="External"/><Relationship Id="rId41" Type="http://schemas.openxmlformats.org/officeDocument/2006/relationships/hyperlink" Target="https://www.youtube.com/watch?v=Kpyl0DDOr1M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2/8keneechinekenna.mp3" TargetMode="External"/><Relationship Id="rId551" Type="http://schemas.openxmlformats.org/officeDocument/2006/relationships/hyperlink" Target="https://www.maristes.cat/sites/default/files/content/nodes/recurs/file/8848/12yonohepodidoserbueno.mp3" TargetMode="External"/><Relationship Id="rId593" Type="http://schemas.openxmlformats.org/officeDocument/2006/relationships/hyperlink" Target="https://www.maristes.cat/sites/default/files/content/nodes/recurs/file/8809/7llamadevida.mp3" TargetMode="External"/><Relationship Id="rId607" Type="http://schemas.openxmlformats.org/officeDocument/2006/relationships/hyperlink" Target="https://www.maristes.cat/sites/default/files/content/nodes/recurs/file/8964/9diosdelavida.mp3" TargetMode="External"/><Relationship Id="rId649" Type="http://schemas.openxmlformats.org/officeDocument/2006/relationships/hyperlink" Target="https://www.youtube.com/watch?v=f3uHOfRKv0s" TargetMode="External"/><Relationship Id="rId814" Type="http://schemas.openxmlformats.org/officeDocument/2006/relationships/hyperlink" Target="https://www.youtube.com/watch?v=-SxCIMC0IqM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46" Type="http://schemas.openxmlformats.org/officeDocument/2006/relationships/hyperlink" Target="https://www.youtube.com/watch?v=UtWdKrwdc0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3/11-siyocambiara.mp3" TargetMode="External"/><Relationship Id="rId453" Type="http://schemas.openxmlformats.org/officeDocument/2006/relationships/hyperlink" Target="https://www.maristes.cat/sites/default/files/content/nodes/recurs/file/8801/11somosunafamilia.mp3" TargetMode="External"/><Relationship Id="rId509" Type="http://schemas.openxmlformats.org/officeDocument/2006/relationships/hyperlink" Target="https://www.maristes.cat/sites/default/files/content/nodes/recurs/file/8907/7mascercadelsol.mp3" TargetMode="External"/><Relationship Id="rId660" Type="http://schemas.openxmlformats.org/officeDocument/2006/relationships/hyperlink" Target="https://www.youtube.com/watch?v=RsEHgxg9F2s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495" Type="http://schemas.openxmlformats.org/officeDocument/2006/relationships/hyperlink" Target="https://www.maristes.cat/sites/default/files/content/nodes/recurs/file/8742/4magnificat.mp3" TargetMode="External"/><Relationship Id="rId716" Type="http://schemas.openxmlformats.org/officeDocument/2006/relationships/hyperlink" Target="https://www.youtube.com/watch?v=Q1Ze4NaD9Ew" TargetMode="External"/><Relationship Id="rId758" Type="http://schemas.openxmlformats.org/officeDocument/2006/relationships/hyperlink" Target="https://www.youtube.com/watch?v=rHozyLHW_QI" TargetMode="External"/><Relationship Id="rId10" Type="http://schemas.openxmlformats.org/officeDocument/2006/relationships/hyperlink" Target="https://www.youtube.com/watch?v=rTuBMwY_p9Q" TargetMode="External"/><Relationship Id="rId52" Type="http://schemas.openxmlformats.org/officeDocument/2006/relationships/hyperlink" Target="https://www.youtube.com/watch?v=wHyl-83H9Ro" TargetMode="External"/><Relationship Id="rId94" Type="http://schemas.openxmlformats.org/officeDocument/2006/relationships/hyperlink" Target="https://www.youtube.com/watch?v=VupYNeJ2s_c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6/trackno02.mp3" TargetMode="External"/><Relationship Id="rId397" Type="http://schemas.openxmlformats.org/officeDocument/2006/relationships/hyperlink" Target="https://www.maristes.cat/sites/default/files/content/nodes/recurs/file/8920/7pintadeluz.mp3" TargetMode="External"/><Relationship Id="rId520" Type="http://schemas.openxmlformats.org/officeDocument/2006/relationships/hyperlink" Target="https://www.maristes.cat/sites/default/files/content/nodes/recurs/file/8976/5adela.mp3" TargetMode="External"/><Relationship Id="rId562" Type="http://schemas.openxmlformats.org/officeDocument/2006/relationships/hyperlink" Target="https://www.maristes.cat/sites/default/files/content/nodes/recurs/file/8888/11tepediranlavida.mp3" TargetMode="External"/><Relationship Id="rId618" Type="http://schemas.openxmlformats.org/officeDocument/2006/relationships/hyperlink" Target="https://www.maristes.cat/sites/default/files/content/nodes/recurs/file/8772/10padrenuestro.mp3" TargetMode="External"/><Relationship Id="rId215" Type="http://schemas.openxmlformats.org/officeDocument/2006/relationships/hyperlink" Target="https://www.youtube.com/watch?v=1l9RnH6AYaw" TargetMode="External"/><Relationship Id="rId257" Type="http://schemas.openxmlformats.org/officeDocument/2006/relationships/hyperlink" Target="https://www.youtube.com/watch?v=RElUzQhbeJ8" TargetMode="External"/><Relationship Id="rId422" Type="http://schemas.openxmlformats.org/officeDocument/2006/relationships/hyperlink" Target="https://www.maristes.cat/sites/default/files/content/nodes/recurs/file/9020/11asuimagenysemejanza.mp3" TargetMode="External"/><Relationship Id="rId464" Type="http://schemas.openxmlformats.org/officeDocument/2006/relationships/hyperlink" Target="https://www.maristes.cat/sites/default/files/content/nodes/recurs/file/8864/11noesfacil.mp3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vwCVe0mKdPs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7/trackno13.mp3" TargetMode="External"/><Relationship Id="rId573" Type="http://schemas.openxmlformats.org/officeDocument/2006/relationships/hyperlink" Target="https://www.maristes.cat/sites/default/files/content/nodes/recurs/file/8948/13hermanoadios.mp3" TargetMode="External"/><Relationship Id="rId780" Type="http://schemas.openxmlformats.org/officeDocument/2006/relationships/hyperlink" Target="https://www.youtube.com/watch?v=nnFrxZra39I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4/trackno10.mp3" TargetMode="External"/><Relationship Id="rId640" Type="http://schemas.openxmlformats.org/officeDocument/2006/relationships/hyperlink" Target="https://www.youtube.com/watch?v=s3ah9LVIprk" TargetMode="External"/><Relationship Id="rId738" Type="http://schemas.openxmlformats.org/officeDocument/2006/relationships/hyperlink" Target="https://www.youtube.com/watch?v=r22uqhWdgOM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3/11tujesus.mp3" TargetMode="External"/><Relationship Id="rId500" Type="http://schemas.openxmlformats.org/officeDocument/2006/relationships/hyperlink" Target="https://www.maristes.cat/sites/default/files/content/nodes/recurs/file/8748/10tueresdelsenor.mp3" TargetMode="External"/><Relationship Id="rId584" Type="http://schemas.openxmlformats.org/officeDocument/2006/relationships/hyperlink" Target="https://www.maristes.cat/sites/default/files/content/nodes/recurs/file/8736/10mehicieronasi.mp3" TargetMode="External"/><Relationship Id="rId805" Type="http://schemas.openxmlformats.org/officeDocument/2006/relationships/hyperlink" Target="https://www.youtube.com/watch?v=i34kWAIwwbU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u5JDSOKxxnQ" TargetMode="External"/><Relationship Id="rId444" Type="http://schemas.openxmlformats.org/officeDocument/2006/relationships/hyperlink" Target="https://www.maristes.cat/sites/default/files/content/nodes/recurs/file/8873/8padredelasmisericordias.mp3" TargetMode="External"/><Relationship Id="rId651" Type="http://schemas.openxmlformats.org/officeDocument/2006/relationships/hyperlink" Target="https://www.youtube.com/watch?v=4yNJyu7Tazs" TargetMode="External"/><Relationship Id="rId749" Type="http://schemas.openxmlformats.org/officeDocument/2006/relationships/hyperlink" Target="https://www.youtube.com/watch?v=hWzXJz98vII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5/10kikiki.mp3" TargetMode="External"/><Relationship Id="rId511" Type="http://schemas.openxmlformats.org/officeDocument/2006/relationships/hyperlink" Target="https://www.maristes.cat/sites/default/files/content/nodes/recurs/file/8909/9quenonosdenelpanbanadoensangre.mp3" TargetMode="External"/><Relationship Id="rId609" Type="http://schemas.openxmlformats.org/officeDocument/2006/relationships/hyperlink" Target="https://www.maristes.cat/sites/default/files/content/nodes/recurs/file/8763/1pazenlatierra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1/9pregonpascual.mp3" TargetMode="External"/><Relationship Id="rId816" Type="http://schemas.openxmlformats.org/officeDocument/2006/relationships/table" Target="../tables/table2.xm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1/2mehasseducidosenor.mp3" TargetMode="External"/><Relationship Id="rId662" Type="http://schemas.openxmlformats.org/officeDocument/2006/relationships/hyperlink" Target="https://www.youtube.com/watch?v=A6PxqOLW_nU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8/7pequenocorazon.mp3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2/9sonarunmundomasfeliz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2/1jesusessenor.mp3" TargetMode="External"/><Relationship Id="rId673" Type="http://schemas.openxmlformats.org/officeDocument/2006/relationships/hyperlink" Target="https://www.youtube.com/watch?v=UHGO6GMUHuY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89/kairoi-profetadelafamilia-04-siempresicelebrare.mp3" TargetMode="External"/><Relationship Id="rId740" Type="http://schemas.openxmlformats.org/officeDocument/2006/relationships/hyperlink" Target="https://www.youtube.com/watch?v=d24kzOMC0fA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8725/12cantajerusalen.mp3" TargetMode="External"/><Relationship Id="rId600" Type="http://schemas.openxmlformats.org/officeDocument/2006/relationships/hyperlink" Target="https://www.maristes.cat/sites/default/files/content/nodes/recurs/file/8955/2ysevivelavida.mp3" TargetMode="External"/><Relationship Id="rId684" Type="http://schemas.openxmlformats.org/officeDocument/2006/relationships/hyperlink" Target="https://www.youtube.com/watch?v=svph2ni-aT8" TargetMode="External"/><Relationship Id="rId337" Type="http://schemas.openxmlformats.org/officeDocument/2006/relationships/hyperlink" Target="https://www.youtube.com/watch?v=O9T7mrMtU40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1/5nohayllorosporunninomuerto.mp3" TargetMode="External"/><Relationship Id="rId751" Type="http://schemas.openxmlformats.org/officeDocument/2006/relationships/hyperlink" Target="https://www.youtube.com/watch?v=6liNeAKv9II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787/12xerinola.mp3" TargetMode="External"/><Relationship Id="rId404" Type="http://schemas.openxmlformats.org/officeDocument/2006/relationships/hyperlink" Target="https://www.maristes.cat/sites/default/files/content/nodes/recurs/file/9026/04-somosiglesia.mp3" TargetMode="External"/><Relationship Id="rId611" Type="http://schemas.openxmlformats.org/officeDocument/2006/relationships/hyperlink" Target="https://www.maristes.cat/sites/default/files/content/nodes/recurs/file/8765/3alabotubondad.mp3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8759/9hermanitosdemaria.mp3" TargetMode="External"/><Relationship Id="rId695" Type="http://schemas.openxmlformats.org/officeDocument/2006/relationships/hyperlink" Target="https://www.youtube.com/watch?v=BUWYxwx2WnQ" TargetMode="External"/><Relationship Id="rId709" Type="http://schemas.openxmlformats.org/officeDocument/2006/relationships/hyperlink" Target="https://www.youtube.com/watch?v=mCkrIz-CXg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555" Type="http://schemas.openxmlformats.org/officeDocument/2006/relationships/hyperlink" Target="https://www.maristes.cat/sites/default/files/content/nodes/recurs/file/8881/4lalibertadvivedelespiritu.mp3" TargetMode="External"/><Relationship Id="rId762" Type="http://schemas.openxmlformats.org/officeDocument/2006/relationships/hyperlink" Target="https://www.youtube.com/watch?v=qYikNLCKQhc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2/3cartaaungeneral.mp3" TargetMode="External"/><Relationship Id="rId622" Type="http://schemas.openxmlformats.org/officeDocument/2006/relationships/hyperlink" Target="https://www.youtube.com/watch?v=BKouxXuTeME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7/9arcillaentresusmanos.mp3" TargetMode="External"/><Relationship Id="rId56" Type="http://schemas.openxmlformats.org/officeDocument/2006/relationships/hyperlink" Target="https://www.youtube.com/watch?v=yZ0oDBm2vC0" TargetMode="External"/><Relationship Id="rId359" Type="http://schemas.openxmlformats.org/officeDocument/2006/relationships/hyperlink" Target="https://www.maristes.cat/sites/default/files/content/nodes/recurs/file/9460/trackno06.mp3" TargetMode="External"/><Relationship Id="rId566" Type="http://schemas.openxmlformats.org/officeDocument/2006/relationships/hyperlink" Target="https://www.maristes.cat/sites/default/files/content/nodes/recurs/file/8938/3construyenoslacasa.mp3" TargetMode="External"/><Relationship Id="rId773" Type="http://schemas.openxmlformats.org/officeDocument/2006/relationships/hyperlink" Target="https://www.youtube.com/watch?v=4jdTKrvnBQY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6/trackno02.mp3" TargetMode="External"/><Relationship Id="rId633" Type="http://schemas.openxmlformats.org/officeDocument/2006/relationships/hyperlink" Target="https://www.youtube.com/watch?v=HXz2iuN3pDE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28/03mananaquiensabra.mp3" TargetMode="External"/><Relationship Id="rId700" Type="http://schemas.openxmlformats.org/officeDocument/2006/relationships/hyperlink" Target="https://www.youtube.com/watch?v=RvZpVRLfAbc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eHJgXYCzfG0" TargetMode="External"/><Relationship Id="rId437" Type="http://schemas.openxmlformats.org/officeDocument/2006/relationships/hyperlink" Target="https://www.maristes.cat/sites/default/files/content/nodes/recurs/file/8866/1clarahijadelaluz.mp3" TargetMode="External"/><Relationship Id="rId644" Type="http://schemas.openxmlformats.org/officeDocument/2006/relationships/hyperlink" Target="https://www.youtube.com/watch?v=eOBu5UoUIjk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1/11testamentoespiritual.mp3" TargetMode="External"/><Relationship Id="rId504" Type="http://schemas.openxmlformats.org/officeDocument/2006/relationships/hyperlink" Target="https://www.maristes.cat/sites/default/files/content/nodes/recurs/file/8902/2latinoamerica.mp3" TargetMode="External"/><Relationship Id="rId711" Type="http://schemas.openxmlformats.org/officeDocument/2006/relationships/hyperlink" Target="https://www.youtube.com/watch?v=YhJY2Yk3dp0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GXgDkfu0eCM" TargetMode="External"/><Relationship Id="rId588" Type="http://schemas.openxmlformats.org/officeDocument/2006/relationships/hyperlink" Target="https://www.maristes.cat/sites/default/files/content/nodes/recurs/file/8805/3enlacruznosdaslavida.mp3" TargetMode="External"/><Relationship Id="rId795" Type="http://schemas.openxmlformats.org/officeDocument/2006/relationships/hyperlink" Target="https://www.youtube.com/watch?v=xfmynEaYmU8" TargetMode="External"/><Relationship Id="rId809" Type="http://schemas.openxmlformats.org/officeDocument/2006/relationships/hyperlink" Target="https://www.youtube.com/watch?v=r2qPCFvjB7w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88/1jesusesverdad.mp3" TargetMode="External"/><Relationship Id="rId655" Type="http://schemas.openxmlformats.org/officeDocument/2006/relationships/hyperlink" Target="https://www.youtube.com/watch?v=HBQkgtySUQM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13/13depuraraza.mp3" TargetMode="External"/><Relationship Id="rId722" Type="http://schemas.openxmlformats.org/officeDocument/2006/relationships/hyperlink" Target="https://www.youtube.com/watch?v=tbsRAE0DLVM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2/trackno08.mp3" TargetMode="External"/><Relationship Id="rId599" Type="http://schemas.openxmlformats.org/officeDocument/2006/relationships/hyperlink" Target="https://www.maristes.cat/sites/default/files/content/nodes/recurs/file/8954/1seguiramando.mp3" TargetMode="External"/><Relationship Id="rId459" Type="http://schemas.openxmlformats.org/officeDocument/2006/relationships/hyperlink" Target="https://www.maristes.cat/sites/default/files/content/nodes/recurs/file/8855/6senoryonosoydigno.mp3" TargetMode="External"/><Relationship Id="rId666" Type="http://schemas.openxmlformats.org/officeDocument/2006/relationships/hyperlink" Target="https://www.youtube.com/watch?v=V2DwSllqWZw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2/11alastresdelatarde.mp3" TargetMode="External"/><Relationship Id="rId733" Type="http://schemas.openxmlformats.org/officeDocument/2006/relationships/hyperlink" Target="https://www.youtube.com/watch?v=9RWGkSz_dX4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7/5marialamadrebuena.mp3" TargetMode="External"/><Relationship Id="rId677" Type="http://schemas.openxmlformats.org/officeDocument/2006/relationships/hyperlink" Target="https://www.youtube.com/watch?v=2B9x8InUa5w" TargetMode="External"/><Relationship Id="rId800" Type="http://schemas.openxmlformats.org/officeDocument/2006/relationships/hyperlink" Target="https://www.youtube.com/watch?v=ba9NpRJCfiQ" TargetMode="External"/><Relationship Id="rId232" Type="http://schemas.openxmlformats.org/officeDocument/2006/relationships/hyperlink" Target="https://www.youtube.com/watch?v=DVm04FWhkV8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3/kairoi-profetadelafamilia-08-tumirada.mp3" TargetMode="External"/><Relationship Id="rId744" Type="http://schemas.openxmlformats.org/officeDocument/2006/relationships/hyperlink" Target="https://www.youtube.com/watch?v=m1-TkJA8K7c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79/5eldinosaurio.mp3" TargetMode="External"/><Relationship Id="rId590" Type="http://schemas.openxmlformats.org/officeDocument/2006/relationships/hyperlink" Target="https://www.maristes.cat/sites/default/files/content/nodes/recurs/file/8807/5mariamadredeldolor.mp3" TargetMode="External"/><Relationship Id="rId604" Type="http://schemas.openxmlformats.org/officeDocument/2006/relationships/hyperlink" Target="https://www.maristes.cat/sites/default/files/content/nodes/recurs/file/8960/6alfonsahermanayamiga.mp3" TargetMode="External"/><Relationship Id="rId811" Type="http://schemas.openxmlformats.org/officeDocument/2006/relationships/hyperlink" Target="https://www.youtube.com/watch?v=PXaO49H64rs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1/4nino.mp3" TargetMode="External"/><Relationship Id="rId688" Type="http://schemas.openxmlformats.org/officeDocument/2006/relationships/hyperlink" Target="https://www.youtube.com/watch?v=8ke4CsNDfN0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5/9tusonrisanolavi.mp3" TargetMode="External"/><Relationship Id="rId755" Type="http://schemas.openxmlformats.org/officeDocument/2006/relationships/hyperlink" Target="https://www.youtube.com/watch?v=qzqdu9SzdUA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7/4consencillocorazon.mp3" TargetMode="External"/><Relationship Id="rId408" Type="http://schemas.openxmlformats.org/officeDocument/2006/relationships/hyperlink" Target="https://www.maristes.cat/sites/default/files/content/nodes/recurs/file/9030/08-padredelhombre.mp3" TargetMode="External"/><Relationship Id="rId615" Type="http://schemas.openxmlformats.org/officeDocument/2006/relationships/hyperlink" Target="https://www.maristes.cat/sites/default/files/content/nodes/recurs/file/8769/7tusenor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TpsyCkKu26c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1/8senormetienesanteti.mp3" TargetMode="External"/><Relationship Id="rId559" Type="http://schemas.openxmlformats.org/officeDocument/2006/relationships/hyperlink" Target="https://www.maristes.cat/sites/default/files/content/nodes/recurs/file/8885/8esmejorhablarcondios.mp3" TargetMode="External"/><Relationship Id="rId766" Type="http://schemas.openxmlformats.org/officeDocument/2006/relationships/hyperlink" Target="https://www.youtube.com/watch?v=POFPSgWaMbY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7/8enquemundovives.mp3" TargetMode="External"/><Relationship Id="rId626" Type="http://schemas.openxmlformats.org/officeDocument/2006/relationships/hyperlink" Target="https://www.youtube.com/watch?v=ZYLTEIGMYjw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0/7vensenorjesus.mp3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UwEar1JhMYI" TargetMode="External"/><Relationship Id="rId637" Type="http://schemas.openxmlformats.org/officeDocument/2006/relationships/hyperlink" Target="https://www.youtube.com/watch?v=06KdbYF8Q6Y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1/1unhimnosurgira.mp3" TargetMode="External"/><Relationship Id="rId690" Type="http://schemas.openxmlformats.org/officeDocument/2006/relationships/hyperlink" Target="https://www.youtube.com/watch?v=sJyIpYxlvqs" TargetMode="External"/><Relationship Id="rId704" Type="http://schemas.openxmlformats.org/officeDocument/2006/relationships/hyperlink" Target="https://www.youtube.com/watch?v=7bxo4YH1jpg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9-3PBwLcCQo" TargetMode="External"/><Relationship Id="rId550" Type="http://schemas.openxmlformats.org/officeDocument/2006/relationships/hyperlink" Target="https://www.maristes.cat/sites/default/files/content/nodes/recurs/file/8847/11memuerodehambre.mp3" TargetMode="External"/><Relationship Id="rId788" Type="http://schemas.openxmlformats.org/officeDocument/2006/relationships/hyperlink" Target="https://www.youtube.com/watch?v=a4M8Pd7q7Xg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rUsxwIHWjk0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2/10-sientotudolor.mp3" TargetMode="External"/><Relationship Id="rId494" Type="http://schemas.openxmlformats.org/officeDocument/2006/relationships/hyperlink" Target="https://www.maristes.cat/sites/default/files/content/nodes/recurs/file/8741/3madredeloshijospobres.mp3" TargetMode="External"/><Relationship Id="rId508" Type="http://schemas.openxmlformats.org/officeDocument/2006/relationships/hyperlink" Target="https://www.maristes.cat/sites/default/files/content/nodes/recurs/file/8906/6lamula.mp3" TargetMode="External"/><Relationship Id="rId715" Type="http://schemas.openxmlformats.org/officeDocument/2006/relationships/hyperlink" Target="https://www.youtube.com/watch?v=pi-j7Ume4KU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5/trackno01.mp3" TargetMode="External"/><Relationship Id="rId799" Type="http://schemas.openxmlformats.org/officeDocument/2006/relationships/hyperlink" Target="https://www.youtube.com/watch?v=6dKNkU_vNKs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7/10sontestigos.mp3" TargetMode="External"/><Relationship Id="rId659" Type="http://schemas.openxmlformats.org/officeDocument/2006/relationships/hyperlink" Target="https://www.youtube.com/watch?v=ceNH003raFI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19/10undiosquehuele.mp3" TargetMode="External"/><Relationship Id="rId519" Type="http://schemas.openxmlformats.org/officeDocument/2006/relationships/hyperlink" Target="https://www.maristes.cat/sites/default/files/content/nodes/recurs/file/8975/4danostuespiritu.mp3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FJGbSahSwjw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6/trackno12.mp3" TargetMode="External"/><Relationship Id="rId572" Type="http://schemas.openxmlformats.org/officeDocument/2006/relationships/hyperlink" Target="https://www.maristes.cat/sites/default/files/content/nodes/recurs/file/8947/12acuerdatemaria.mp3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1/trackno07.mp3" TargetMode="External"/><Relationship Id="rId737" Type="http://schemas.openxmlformats.org/officeDocument/2006/relationships/hyperlink" Target="https://www.youtube.com/watch?v=vGEwtfIkMV8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2/10cantodemaria.mp3" TargetMode="External"/><Relationship Id="rId583" Type="http://schemas.openxmlformats.org/officeDocument/2006/relationships/hyperlink" Target="https://www.maristes.cat/sites/default/files/content/nodes/recurs/file/8735/09notengoanadie.mp3" TargetMode="External"/><Relationship Id="rId790" Type="http://schemas.openxmlformats.org/officeDocument/2006/relationships/hyperlink" Target="https://www.youtube.com/watch?v=zUed26NaIz0" TargetMode="External"/><Relationship Id="rId804" Type="http://schemas.openxmlformats.org/officeDocument/2006/relationships/hyperlink" Target="https://www.youtube.com/watch?v=2Es8vuYZvhg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2/7oracionasanfrancisco.mp3" TargetMode="External"/><Relationship Id="rId650" Type="http://schemas.openxmlformats.org/officeDocument/2006/relationships/hyperlink" Target="https://www.youtube.com/watch?v=HP0E62Vb1tI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yTtfvJTUZtg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4/9alnacerelnuevodia.mp3" TargetMode="External"/><Relationship Id="rId510" Type="http://schemas.openxmlformats.org/officeDocument/2006/relationships/hyperlink" Target="https://www.maristes.cat/sites/default/files/content/nodes/recurs/file/8908/8elbrujomugandino.mp3" TargetMode="External"/><Relationship Id="rId594" Type="http://schemas.openxmlformats.org/officeDocument/2006/relationships/hyperlink" Target="https://www.maristes.cat/sites/default/files/content/nodes/recurs/file/8810/8vengatureino.mp3" TargetMode="External"/><Relationship Id="rId608" Type="http://schemas.openxmlformats.org/officeDocument/2006/relationships/hyperlink" Target="https://www.maristes.cat/sites/default/files/content/nodes/recurs/file/8966/10suena.mp3" TargetMode="External"/><Relationship Id="rId815" Type="http://schemas.openxmlformats.org/officeDocument/2006/relationships/printerSettings" Target="../printerSettings/printerSettings1.bin"/><Relationship Id="rId247" Type="http://schemas.openxmlformats.org/officeDocument/2006/relationships/hyperlink" Target="https://www.youtube.com/watch?v=yrAt-NbhINY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0/1ereselfuegoelamor.mp3" TargetMode="External"/><Relationship Id="rId661" Type="http://schemas.openxmlformats.org/officeDocument/2006/relationships/hyperlink" Target="https://www.youtube.com/watch?v=p2U_BQdrb6w" TargetMode="External"/><Relationship Id="rId759" Type="http://schemas.openxmlformats.org/officeDocument/2006/relationships/hyperlink" Target="https://www.youtube.com/watch?v=3QK_-Pw-5KE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1/8mantasdecarton.mp3" TargetMode="External"/><Relationship Id="rId521" Type="http://schemas.openxmlformats.org/officeDocument/2006/relationships/hyperlink" Target="https://www.maristes.cat/sites/default/files/content/nodes/recurs/file/8977/6gloria.mp3" TargetMode="External"/><Relationship Id="rId619" Type="http://schemas.openxmlformats.org/officeDocument/2006/relationships/hyperlink" Target="https://www.maristes.cat/sites/default/files/content/nodes/recurs/file/8773/11amaos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865/12nacidosdelacruz.mp3" TargetMode="External"/><Relationship Id="rId672" Type="http://schemas.openxmlformats.org/officeDocument/2006/relationships/hyperlink" Target="https://www.youtube.com/watch?v=TxrkTH4keL4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8/kairoi-profetadelafamilia-03-comotu.mp3" TargetMode="External"/><Relationship Id="rId171" Type="http://schemas.openxmlformats.org/officeDocument/2006/relationships/hyperlink" Target="https://www.youtube.com/watch?v=EOdBhPwOKvs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4/11elaguadelsenor.mp3" TargetMode="External"/><Relationship Id="rId683" Type="http://schemas.openxmlformats.org/officeDocument/2006/relationships/hyperlink" Target="https://www.youtube.com/watch?v=hPdMCyBmA-g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VYFvhpdbaxg" TargetMode="External"/><Relationship Id="rId543" Type="http://schemas.openxmlformats.org/officeDocument/2006/relationships/hyperlink" Target="https://www.maristes.cat/sites/default/files/content/nodes/recurs/file/8840/4alliestastu.mp3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5/03-plegaria.mp3" TargetMode="External"/><Relationship Id="rId750" Type="http://schemas.openxmlformats.org/officeDocument/2006/relationships/hyperlink" Target="https://www.youtube.com/watch?v=UbCl2vh-VyU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2072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2071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2071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2137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2073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2072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2075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2076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2074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2077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2077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2078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2081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2074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2080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2079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2082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2071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2114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2081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2076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2083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2084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2083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2085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2115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2071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2073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2086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2088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2087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2089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2079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2077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2087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2090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2137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2137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2091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2073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2088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2116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2074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2090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2080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2092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2093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2094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2087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2117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2073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2072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2071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2095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2079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2079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2137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2081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2096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2079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2093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2097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2071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2078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2094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2098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2099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2077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2077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2093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2071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2075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2072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2078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2100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2101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2080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2102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2103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2074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2113</v>
      </c>
      <c r="C299" t="s">
        <v>2079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B2068"/>
  <sheetViews>
    <sheetView tabSelected="1" topLeftCell="A358" zoomScale="85" zoomScaleNormal="85" workbookViewId="0">
      <selection activeCell="J358" sqref="J358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1" width="26.33203125" style="17" customWidth="1"/>
    <col min="22" max="22" width="26.33203125" customWidth="1"/>
    <col min="23" max="23" width="26.33203125" style="17" customWidth="1"/>
    <col min="24" max="24" width="9.109375" style="17"/>
    <col min="29" max="16384" width="9.109375" style="1"/>
  </cols>
  <sheetData>
    <row r="1" spans="1:28" x14ac:dyDescent="0.3">
      <c r="A1" s="1" t="s">
        <v>0</v>
      </c>
      <c r="B1" s="1" t="s">
        <v>790</v>
      </c>
      <c r="C1" s="1" t="s">
        <v>2126</v>
      </c>
      <c r="D1" s="1" t="s">
        <v>645</v>
      </c>
      <c r="E1" s="1" t="s">
        <v>1152</v>
      </c>
      <c r="F1" s="1" t="s">
        <v>2379</v>
      </c>
      <c r="G1" s="1" t="s">
        <v>207</v>
      </c>
      <c r="H1" s="1" t="s">
        <v>254</v>
      </c>
      <c r="I1" s="1" t="s">
        <v>2956</v>
      </c>
      <c r="J1" s="1" t="s">
        <v>2119</v>
      </c>
      <c r="K1" s="1" t="s">
        <v>2118</v>
      </c>
      <c r="L1" s="1" t="s">
        <v>271</v>
      </c>
      <c r="M1" s="1" t="s">
        <v>477</v>
      </c>
      <c r="N1" s="1" t="s">
        <v>2123</v>
      </c>
      <c r="O1" s="1" t="s">
        <v>2124</v>
      </c>
      <c r="P1" s="1" t="s">
        <v>1835</v>
      </c>
      <c r="Q1" s="1" t="s">
        <v>2127</v>
      </c>
      <c r="R1" s="1" t="s">
        <v>1019</v>
      </c>
      <c r="S1" s="1" t="s">
        <v>795</v>
      </c>
      <c r="T1" s="1" t="s">
        <v>2120</v>
      </c>
      <c r="U1" s="1" t="s">
        <v>2962</v>
      </c>
      <c r="V1" s="15" t="s">
        <v>2125</v>
      </c>
      <c r="W1" s="15" t="s">
        <v>2145</v>
      </c>
      <c r="X1"/>
      <c r="Y1" s="1"/>
      <c r="Z1" s="1"/>
      <c r="AA1" s="1"/>
      <c r="AB1" s="1"/>
    </row>
    <row r="2" spans="1:28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2" s="1"/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2" s="15" t="str">
        <f>_xlfn.TEXTBEFORE(_xlfn.TEXTAFTER(CantoralDB[[#This Row],[index.html]],"&gt;"),"&gt;")&amp;"&gt;"</f>
        <v>&lt;a href="canciones/ain_karem/yo_soy_el_que_vive.html"&gt;</v>
      </c>
      <c r="X2"/>
      <c r="Y2" s="1"/>
      <c r="Z2" s="1"/>
      <c r="AA2" s="1"/>
      <c r="AB2" s="1"/>
    </row>
    <row r="3" spans="1:28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2950</v>
      </c>
      <c r="J3" s="1" t="s">
        <v>607</v>
      </c>
      <c r="M3" s="15" t="s">
        <v>500</v>
      </c>
      <c r="N3" s="1" t="s">
        <v>1508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3" s="15" t="str">
        <f>_xlfn.TEXTBEFORE(_xlfn.TEXTAFTER(CantoralDB[[#This Row],[index.html]],"&gt;"),"&gt;")&amp;"&gt;"</f>
        <v>&lt;a href="canciones/ain_karem/que_se_alegren_tus_entrañas.html"&gt;</v>
      </c>
      <c r="X3"/>
      <c r="Y3" s="1"/>
      <c r="Z3" s="1"/>
      <c r="AA3" s="1"/>
      <c r="AB3" s="1"/>
    </row>
    <row r="4" spans="1:28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2951</v>
      </c>
      <c r="J4" s="1" t="s">
        <v>607</v>
      </c>
      <c r="M4" s="15" t="s">
        <v>500</v>
      </c>
      <c r="N4" s="1" t="s">
        <v>1508</v>
      </c>
      <c r="O4" s="15">
        <v>3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4" s="15" t="str">
        <f>_xlfn.TEXTBEFORE(_xlfn.TEXTAFTER(CantoralDB[[#This Row],[index.html]],"&gt;"),"&gt;")&amp;"&gt;"</f>
        <v>&lt;a href="canciones/ain_karem/palabra.html"&gt;</v>
      </c>
      <c r="X4"/>
      <c r="Y4" s="1"/>
      <c r="Z4" s="1"/>
      <c r="AA4" s="1"/>
      <c r="AB4" s="1"/>
    </row>
    <row r="5" spans="1:28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2952</v>
      </c>
      <c r="J5" s="1" t="s">
        <v>607</v>
      </c>
      <c r="M5" s="15" t="s">
        <v>500</v>
      </c>
      <c r="N5" s="1" t="s">
        <v>1508</v>
      </c>
      <c r="O5" s="15">
        <v>4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" s="15" t="str">
        <f>_xlfn.TEXTBEFORE(_xlfn.TEXTAFTER(CantoralDB[[#This Row],[index.html]],"&gt;"),"&gt;")&amp;"&gt;"</f>
        <v>&lt;a href="canciones/ain_karem/atraviesas.html"&gt;</v>
      </c>
      <c r="X5"/>
      <c r="Y5" s="1"/>
      <c r="Z5" s="1"/>
      <c r="AA5" s="1"/>
      <c r="AB5" s="1"/>
    </row>
    <row r="6" spans="1:28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2952</v>
      </c>
      <c r="J6" s="1" t="s">
        <v>607</v>
      </c>
      <c r="M6" s="15" t="s">
        <v>500</v>
      </c>
      <c r="N6" s="1" t="s">
        <v>1508</v>
      </c>
      <c r="O6" s="15">
        <v>5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6" s="15" t="str">
        <f>_xlfn.TEXTBEFORE(_xlfn.TEXTAFTER(CantoralDB[[#This Row],[index.html]],"&gt;"),"&gt;")&amp;"&gt;"</f>
        <v>&lt;a href="canciones/ain_karem/los_incontables.html"&gt;</v>
      </c>
      <c r="X6"/>
      <c r="Y6" s="1"/>
      <c r="Z6" s="1"/>
      <c r="AA6" s="1"/>
      <c r="AB6" s="1"/>
    </row>
    <row r="7" spans="1:28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2953</v>
      </c>
      <c r="J7" s="1" t="s">
        <v>607</v>
      </c>
      <c r="M7" s="15" t="s">
        <v>500</v>
      </c>
      <c r="N7" s="1" t="s">
        <v>1508</v>
      </c>
      <c r="O7" s="15">
        <v>6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7" s="1" t="s">
        <v>836</v>
      </c>
      <c r="T7" s="1"/>
      <c r="U7" s="15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7" s="15" t="str">
        <f>_xlfn.TEXTBEFORE(_xlfn.TEXTAFTER(CantoralDB[[#This Row],[index.html]],"&gt;"),"&gt;")&amp;"&gt;"</f>
        <v>&lt;a href="canciones/ain_karem/he_venido_a_servir.html"&gt;</v>
      </c>
      <c r="X7"/>
      <c r="Y7" s="1"/>
      <c r="Z7" s="1"/>
      <c r="AA7" s="1"/>
      <c r="AB7" s="1"/>
    </row>
    <row r="8" spans="1:28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2953</v>
      </c>
      <c r="J8" s="1" t="s">
        <v>607</v>
      </c>
      <c r="M8" s="15" t="s">
        <v>500</v>
      </c>
      <c r="N8" s="1" t="s">
        <v>1508</v>
      </c>
      <c r="O8" s="15">
        <v>7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" s="15" t="str">
        <f>_xlfn.TEXTBEFORE(_xlfn.TEXTAFTER(CantoralDB[[#This Row],[index.html]],"&gt;"),"&gt;")&amp;"&gt;"</f>
        <v>&lt;a href="canciones/ain_karem/palabra_encarnada.html"&gt;</v>
      </c>
      <c r="X8"/>
      <c r="Y8" s="1"/>
      <c r="Z8" s="1"/>
      <c r="AA8" s="1"/>
      <c r="AB8" s="1"/>
    </row>
    <row r="9" spans="1:28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9" s="15" t="str">
        <f>_xlfn.TEXTBEFORE(_xlfn.TEXTAFTER(CantoralDB[[#This Row],[index.html]],"&gt;"),"&gt;")&amp;"&gt;"</f>
        <v>&lt;a href="canciones/ain_karem/kolokoso.html"&gt;</v>
      </c>
      <c r="X9"/>
      <c r="Y9" s="1"/>
      <c r="Z9" s="1"/>
      <c r="AA9" s="1"/>
      <c r="AB9" s="1"/>
    </row>
    <row r="10" spans="1:28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2951</v>
      </c>
      <c r="J10" s="1" t="s">
        <v>607</v>
      </c>
      <c r="M10" s="15" t="s">
        <v>500</v>
      </c>
      <c r="N10" s="1" t="s">
        <v>1508</v>
      </c>
      <c r="O10" s="15">
        <v>9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0" s="1"/>
      <c r="T10" s="1"/>
      <c r="U10" s="15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0" s="15" t="str">
        <f>_xlfn.TEXTBEFORE(_xlfn.TEXTAFTER(CantoralDB[[#This Row],[index.html]],"&gt;"),"&gt;")&amp;"&gt;"</f>
        <v>&lt;a href="canciones/ain_karem/la_mujer_cananea.html"&gt;</v>
      </c>
      <c r="X10"/>
      <c r="Y10" s="1"/>
      <c r="Z10" s="1"/>
      <c r="AA10" s="1"/>
      <c r="AB10" s="1"/>
    </row>
    <row r="11" spans="1:28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11" s="1"/>
      <c r="T11" s="1"/>
      <c r="U11" s="15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11" s="15" t="str">
        <f>_xlfn.TEXTBEFORE(_xlfn.TEXTAFTER(CantoralDB[[#This Row],[index.html]],"&gt;"),"&gt;")&amp;"&gt;"</f>
        <v>&lt;a href="canciones/ain_karem/el_siervo.html"&gt;</v>
      </c>
      <c r="X11"/>
      <c r="Y11" s="1"/>
      <c r="Z11" s="1"/>
      <c r="AA11" s="1"/>
      <c r="AB11" s="1"/>
    </row>
    <row r="12" spans="1:28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12" s="15" t="str">
        <f>_xlfn.TEXTBEFORE(_xlfn.TEXTAFTER(CantoralDB[[#This Row],[index.html]],"&gt;"),"&gt;")&amp;"&gt;"</f>
        <v>&lt;a href="canciones/ain_karem/la_moneda_perdida.html"&gt;</v>
      </c>
      <c r="X12"/>
      <c r="Y12" s="1"/>
      <c r="Z12" s="1"/>
      <c r="AA12" s="1"/>
      <c r="AB12" s="1"/>
    </row>
    <row r="13" spans="1:28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2951</v>
      </c>
      <c r="J13" s="1" t="s">
        <v>607</v>
      </c>
      <c r="M13" s="15" t="s">
        <v>500</v>
      </c>
      <c r="N13" s="1" t="s">
        <v>1508</v>
      </c>
      <c r="O13" s="15">
        <v>12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13" s="15" t="str">
        <f>_xlfn.TEXTBEFORE(_xlfn.TEXTAFTER(CantoralDB[[#This Row],[index.html]],"&gt;"),"&gt;")&amp;"&gt;"</f>
        <v>&lt;a href="canciones/ain_karem/señor_mio_y_dios_mio.html"&gt;</v>
      </c>
      <c r="X13"/>
      <c r="Y13" s="1"/>
      <c r="Z13" s="1"/>
      <c r="AA13" s="1"/>
      <c r="AB13" s="1"/>
    </row>
    <row r="14" spans="1:28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14" s="1"/>
      <c r="T14" s="1"/>
      <c r="U14" s="15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14" s="15" t="str">
        <f>_xlfn.TEXTBEFORE(_xlfn.TEXTAFTER(CantoralDB[[#This Row],[index.html]],"&gt;"),"&gt;")&amp;"&gt;"</f>
        <v>&lt;a href="canciones/ain_karem/dame_una_palabra.html"&gt;</v>
      </c>
      <c r="X14"/>
      <c r="Y14" s="1"/>
      <c r="Z14" s="1"/>
      <c r="AA14" s="1"/>
      <c r="AB14" s="1"/>
    </row>
    <row r="15" spans="1:28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2953</v>
      </c>
      <c r="J15" s="1" t="s">
        <v>607</v>
      </c>
      <c r="M15" s="15" t="s">
        <v>500</v>
      </c>
      <c r="N15" s="1" t="s">
        <v>1508</v>
      </c>
      <c r="O15" s="15">
        <v>14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5" s="1"/>
      <c r="T15" s="1"/>
      <c r="U15" s="15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15" s="15" t="str">
        <f>_xlfn.TEXTBEFORE(_xlfn.TEXTAFTER(CantoralDB[[#This Row],[index.html]],"&gt;"),"&gt;")&amp;"&gt;"</f>
        <v>&lt;a href="canciones/ain_karem/somos_del_señor.html"&gt;</v>
      </c>
      <c r="X15"/>
      <c r="Y15" s="1"/>
      <c r="Z15" s="1"/>
      <c r="AA15" s="1"/>
      <c r="AB15" s="1"/>
    </row>
    <row r="16" spans="1:28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2953</v>
      </c>
      <c r="J16" s="1" t="s">
        <v>607</v>
      </c>
      <c r="M16" s="15" t="s">
        <v>500</v>
      </c>
      <c r="N16" s="1" t="s">
        <v>1508</v>
      </c>
      <c r="O16" s="15">
        <v>15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16" s="1"/>
      <c r="T16" s="1"/>
      <c r="U16" s="15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16" s="15" t="str">
        <f>_xlfn.TEXTBEFORE(_xlfn.TEXTAFTER(CantoralDB[[#This Row],[index.html]],"&gt;"),"&gt;")&amp;"&gt;"</f>
        <v>&lt;a href="canciones/ain_karem/fuertes_humildes_y_diligentes.html"&gt;</v>
      </c>
      <c r="X16"/>
      <c r="Y16" s="1"/>
      <c r="Z16" s="1"/>
      <c r="AA16" s="1"/>
      <c r="AB16" s="1"/>
    </row>
    <row r="17" spans="1:28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2953</v>
      </c>
      <c r="J17" s="1" t="s">
        <v>607</v>
      </c>
      <c r="M17" s="15" t="s">
        <v>500</v>
      </c>
      <c r="N17" s="1" t="s">
        <v>1505</v>
      </c>
      <c r="O17" s="15">
        <v>1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17" s="1"/>
      <c r="T17" s="1"/>
      <c r="U17" s="32" t="s">
        <v>3469</v>
      </c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17" s="15" t="str">
        <f>_xlfn.TEXTBEFORE(_xlfn.TEXTAFTER(CantoralDB[[#This Row],[index.html]],"&gt;"),"&gt;")&amp;"&gt;"</f>
        <v>&lt;a href="canciones/ain_karem/ain_karem.html"&gt;</v>
      </c>
      <c r="X17"/>
      <c r="Y17" s="1"/>
      <c r="Z17" s="1"/>
      <c r="AA17" s="1"/>
      <c r="AB17" s="1"/>
    </row>
    <row r="18" spans="1:28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2953</v>
      </c>
      <c r="J18" s="1" t="s">
        <v>607</v>
      </c>
      <c r="M18" s="15" t="s">
        <v>500</v>
      </c>
      <c r="N18" s="1" t="s">
        <v>1505</v>
      </c>
      <c r="O18" s="15">
        <v>2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8" s="1"/>
      <c r="T18" s="1"/>
      <c r="U18" s="32" t="s">
        <v>3470</v>
      </c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18" s="15" t="str">
        <f>_xlfn.TEXTBEFORE(_xlfn.TEXTAFTER(CantoralDB[[#This Row],[index.html]],"&gt;"),"&gt;")&amp;"&gt;"</f>
        <v>&lt;a href="canciones/ain_karem/te_basta_mi_gracia.html"&gt;</v>
      </c>
      <c r="X18"/>
      <c r="Y18" s="1"/>
      <c r="Z18" s="1"/>
      <c r="AA18" s="1"/>
      <c r="AB18" s="1"/>
    </row>
    <row r="19" spans="1:28" x14ac:dyDescent="0.3">
      <c r="A19" s="1">
        <f>ROW(CantoralDB[[#This Row],[Título]])-1</f>
        <v>18</v>
      </c>
      <c r="B19" s="1" t="s">
        <v>2885</v>
      </c>
      <c r="C19" s="1"/>
      <c r="H19" s="1" t="s">
        <v>530</v>
      </c>
      <c r="I19" s="1" t="s">
        <v>2952</v>
      </c>
      <c r="J19" s="1" t="s">
        <v>607</v>
      </c>
      <c r="M19" s="15" t="s">
        <v>500</v>
      </c>
      <c r="N19" s="1" t="s">
        <v>1505</v>
      </c>
      <c r="O19" s="15">
        <v>3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19" s="1"/>
      <c r="T19" s="1"/>
      <c r="U19" s="32" t="s">
        <v>3471</v>
      </c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19" s="15" t="str">
        <f>_xlfn.TEXTBEFORE(_xlfn.TEXTAFTER(CantoralDB[[#This Row],[index.html]],"&gt;"),"&gt;")&amp;"&gt;"</f>
        <v>&lt;a href="canciones/ain_karem/poneos_en_pie.html"&gt;</v>
      </c>
      <c r="X19"/>
      <c r="Y19" s="1"/>
      <c r="Z19" s="1"/>
      <c r="AA19" s="1"/>
      <c r="AB19" s="1"/>
    </row>
    <row r="20" spans="1:28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2952</v>
      </c>
      <c r="J20" s="1" t="s">
        <v>607</v>
      </c>
      <c r="M20" s="15" t="s">
        <v>500</v>
      </c>
      <c r="N20" s="1" t="s">
        <v>1505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" s="1"/>
      <c r="T20" s="1"/>
      <c r="U20" s="32" t="s">
        <v>3472</v>
      </c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" s="15" t="str">
        <f>_xlfn.TEXTBEFORE(_xlfn.TEXTAFTER(CantoralDB[[#This Row],[index.html]],"&gt;"),"&gt;")&amp;"&gt;"</f>
        <v>&lt;a href="canciones/ain_karem/se_mi_luz.html"&gt;</v>
      </c>
      <c r="X20"/>
      <c r="Y20" s="1"/>
      <c r="Z20" s="1"/>
      <c r="AA20" s="1"/>
      <c r="AB20" s="1"/>
    </row>
    <row r="21" spans="1:28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2953</v>
      </c>
      <c r="J21" s="1" t="s">
        <v>607</v>
      </c>
      <c r="M21" s="15" t="s">
        <v>500</v>
      </c>
      <c r="N21" s="1" t="s">
        <v>1505</v>
      </c>
      <c r="O21" s="15">
        <v>5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" s="1"/>
      <c r="T21" s="1"/>
      <c r="U21" s="32" t="s">
        <v>3473</v>
      </c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" s="15" t="str">
        <f>_xlfn.TEXTBEFORE(_xlfn.TEXTAFTER(CantoralDB[[#This Row],[index.html]],"&gt;"),"&gt;")&amp;"&gt;"</f>
        <v>&lt;a href="canciones/ain_karem/como_podre_pagarte.html"&gt;</v>
      </c>
      <c r="X21"/>
      <c r="Y21" s="1"/>
      <c r="Z21" s="1"/>
      <c r="AA21" s="1"/>
      <c r="AB21" s="1"/>
    </row>
    <row r="22" spans="1:28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2950</v>
      </c>
      <c r="J22" s="1" t="s">
        <v>607</v>
      </c>
      <c r="M22" s="15" t="s">
        <v>500</v>
      </c>
      <c r="N22" s="1" t="s">
        <v>1505</v>
      </c>
      <c r="O22" s="15">
        <v>6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2" s="1"/>
      <c r="T22" s="1"/>
      <c r="U22" s="32" t="s">
        <v>3474</v>
      </c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2" s="15" t="str">
        <f>_xlfn.TEXTBEFORE(_xlfn.TEXTAFTER(CantoralDB[[#This Row],[index.html]],"&gt;"),"&gt;")&amp;"&gt;"</f>
        <v>&lt;a href="canciones/ain_karem/palabras_de_vida.html"&gt;</v>
      </c>
      <c r="X22"/>
      <c r="Y22" s="1"/>
      <c r="Z22" s="1"/>
      <c r="AA22" s="1"/>
      <c r="AB22" s="1"/>
    </row>
    <row r="23" spans="1:28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2952</v>
      </c>
      <c r="J23" s="1" t="s">
        <v>607</v>
      </c>
      <c r="M23" s="15" t="s">
        <v>500</v>
      </c>
      <c r="N23" s="1" t="s">
        <v>1505</v>
      </c>
      <c r="O23" s="15">
        <v>7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3" s="1"/>
      <c r="T23" s="1"/>
      <c r="U23" s="32" t="s">
        <v>3475</v>
      </c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3" s="15" t="str">
        <f>_xlfn.TEXTBEFORE(_xlfn.TEXTAFTER(CantoralDB[[#This Row],[index.html]],"&gt;"),"&gt;")&amp;"&gt;"</f>
        <v>&lt;a href="canciones/ain_karem/seducida.html"&gt;</v>
      </c>
      <c r="X23"/>
      <c r="Y23" s="1"/>
      <c r="Z23" s="1"/>
      <c r="AA23" s="1"/>
      <c r="AB23" s="1"/>
    </row>
    <row r="24" spans="1:28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2951</v>
      </c>
      <c r="J24" s="1" t="s">
        <v>607</v>
      </c>
      <c r="M24" s="15" t="s">
        <v>500</v>
      </c>
      <c r="N24" s="1" t="s">
        <v>1505</v>
      </c>
      <c r="O24" s="15">
        <v>8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4" s="1"/>
      <c r="T24" s="1"/>
      <c r="U24" s="32" t="s">
        <v>3476</v>
      </c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4" s="15" t="str">
        <f>_xlfn.TEXTBEFORE(_xlfn.TEXTAFTER(CantoralDB[[#This Row],[index.html]],"&gt;"),"&gt;")&amp;"&gt;"</f>
        <v>&lt;a href="canciones/ain_karem/escucha.html"&gt;</v>
      </c>
      <c r="X24"/>
      <c r="Y24" s="1"/>
      <c r="Z24" s="1"/>
      <c r="AA24" s="1"/>
      <c r="AB24" s="1"/>
    </row>
    <row r="25" spans="1:28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5" s="1"/>
      <c r="T25" s="1"/>
      <c r="U25" s="32" t="s">
        <v>3477</v>
      </c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5" s="15" t="str">
        <f>_xlfn.TEXTBEFORE(_xlfn.TEXTAFTER(CantoralDB[[#This Row],[index.html]],"&gt;"),"&gt;")&amp;"&gt;"</f>
        <v>&lt;a href="canciones/ain_karem/ruah.html"&gt;</v>
      </c>
      <c r="X25"/>
      <c r="Y25" s="1"/>
      <c r="Z25" s="1"/>
      <c r="AA25" s="1"/>
      <c r="AB25" s="1"/>
    </row>
    <row r="26" spans="1:28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2950</v>
      </c>
      <c r="J26" s="1" t="s">
        <v>607</v>
      </c>
      <c r="M26" s="15" t="s">
        <v>500</v>
      </c>
      <c r="N26" s="1" t="s">
        <v>1505</v>
      </c>
      <c r="O26" s="15">
        <v>10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6" s="1"/>
      <c r="T26" s="1"/>
      <c r="U26" s="32" t="s">
        <v>3478</v>
      </c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6" s="15" t="str">
        <f>_xlfn.TEXTBEFORE(_xlfn.TEXTAFTER(CantoralDB[[#This Row],[index.html]],"&gt;"),"&gt;")&amp;"&gt;"</f>
        <v>&lt;a href="canciones/ain_karem/no_guardes_tu_vida.html"&gt;</v>
      </c>
      <c r="X26"/>
      <c r="Y26" s="1"/>
      <c r="Z26" s="1"/>
      <c r="AA26" s="1"/>
      <c r="AB26" s="1"/>
    </row>
    <row r="27" spans="1:28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2951</v>
      </c>
      <c r="J27" s="1" t="s">
        <v>607</v>
      </c>
      <c r="M27" s="15" t="s">
        <v>500</v>
      </c>
      <c r="N27" s="1" t="s">
        <v>1505</v>
      </c>
      <c r="O27" s="15">
        <v>11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7" s="1"/>
      <c r="T27" s="1"/>
      <c r="U27" s="32" t="s">
        <v>3479</v>
      </c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7" s="15" t="str">
        <f>_xlfn.TEXTBEFORE(_xlfn.TEXTAFTER(CantoralDB[[#This Row],[index.html]],"&gt;"),"&gt;")&amp;"&gt;"</f>
        <v>&lt;a href="canciones/ain_karem/atraeme.html"&gt;</v>
      </c>
      <c r="X27"/>
      <c r="Y27" s="1"/>
      <c r="Z27" s="1"/>
      <c r="AA27" s="1"/>
      <c r="AB27" s="1"/>
    </row>
    <row r="28" spans="1:28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2953</v>
      </c>
      <c r="J28" s="1" t="s">
        <v>607</v>
      </c>
      <c r="M28" s="15" t="s">
        <v>500</v>
      </c>
      <c r="N28" s="1" t="s">
        <v>1505</v>
      </c>
      <c r="O28" s="15">
        <v>12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8" s="1"/>
      <c r="T28" s="1"/>
      <c r="U28" s="32" t="s">
        <v>3480</v>
      </c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8" s="15" t="str">
        <f>_xlfn.TEXTBEFORE(_xlfn.TEXTAFTER(CantoralDB[[#This Row],[index.html]],"&gt;"),"&gt;")&amp;"&gt;"</f>
        <v>&lt;a href="canciones/ain_karem/dios_de_la_historia_bendice.html"&gt;</v>
      </c>
      <c r="X28"/>
      <c r="AA28" s="1"/>
      <c r="AB28" s="1"/>
    </row>
    <row r="29" spans="1:28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2954</v>
      </c>
      <c r="J29" s="1" t="s">
        <v>607</v>
      </c>
      <c r="M29" s="15" t="s">
        <v>500</v>
      </c>
      <c r="N29" s="1" t="s">
        <v>1505</v>
      </c>
      <c r="O29" s="15">
        <v>13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9" s="1"/>
      <c r="T29" s="1"/>
      <c r="U29" s="32" t="s">
        <v>3481</v>
      </c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9" s="15" t="str">
        <f>_xlfn.TEXTBEFORE(_xlfn.TEXTAFTER(CantoralDB[[#This Row],[index.html]],"&gt;"),"&gt;")&amp;"&gt;"</f>
        <v>&lt;a href="canciones/ain_karem/levantad_las_piedras.html"&gt;</v>
      </c>
      <c r="X29"/>
      <c r="Y29" s="1"/>
      <c r="Z29" s="1"/>
      <c r="AA29" s="1"/>
      <c r="AB29" s="1"/>
    </row>
    <row r="30" spans="1:28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2954</v>
      </c>
      <c r="J30" s="1" t="s">
        <v>607</v>
      </c>
      <c r="M30" s="15" t="s">
        <v>500</v>
      </c>
      <c r="N30" s="1" t="s">
        <v>1509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30" s="1"/>
      <c r="T30" s="1"/>
      <c r="U30" s="32" t="s">
        <v>3482</v>
      </c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30" s="15" t="str">
        <f>_xlfn.TEXTBEFORE(_xlfn.TEXTAFTER(CantoralDB[[#This Row],[index.html]],"&gt;"),"&gt;")&amp;"&gt;"</f>
        <v>&lt;a href="canciones/ain_karem/aleluya.html"&gt;</v>
      </c>
      <c r="X30"/>
      <c r="Y30" s="1"/>
      <c r="Z30" s="1"/>
      <c r="AA30" s="1"/>
      <c r="AB30" s="1"/>
    </row>
    <row r="31" spans="1:28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2950</v>
      </c>
      <c r="J31" s="1" t="s">
        <v>607</v>
      </c>
      <c r="M31" s="15" t="s">
        <v>500</v>
      </c>
      <c r="N31" s="1" t="s">
        <v>1509</v>
      </c>
      <c r="O31" s="15">
        <v>2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31" s="1"/>
      <c r="T31" s="1"/>
      <c r="U31" s="32" t="s">
        <v>3483</v>
      </c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31" s="15" t="str">
        <f>_xlfn.TEXTBEFORE(_xlfn.TEXTAFTER(CantoralDB[[#This Row],[index.html]],"&gt;"),"&gt;")&amp;"&gt;"</f>
        <v>&lt;a href="canciones/ain_karem/tu_eres_mi_bien.html"&gt;</v>
      </c>
      <c r="X31"/>
      <c r="Y31" s="1"/>
      <c r="Z31" s="1"/>
      <c r="AA31" s="1"/>
      <c r="AB31" s="1"/>
    </row>
    <row r="32" spans="1:28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2950</v>
      </c>
      <c r="J32" s="1" t="s">
        <v>607</v>
      </c>
      <c r="M32" s="15" t="s">
        <v>500</v>
      </c>
      <c r="N32" s="1" t="s">
        <v>1509</v>
      </c>
      <c r="O32" s="15">
        <v>3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2" s="1"/>
      <c r="T32" s="1"/>
      <c r="U32" s="32" t="s">
        <v>3484</v>
      </c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32" s="15" t="str">
        <f>_xlfn.TEXTBEFORE(_xlfn.TEXTAFTER(CantoralDB[[#This Row],[index.html]],"&gt;"),"&gt;")&amp;"&gt;"</f>
        <v>&lt;a href="canciones/ain_karem/desde_abajo.html"&gt;</v>
      </c>
      <c r="X32"/>
      <c r="Y32" s="1"/>
      <c r="Z32" s="1"/>
      <c r="AA32" s="1"/>
      <c r="AB32" s="1"/>
    </row>
    <row r="33" spans="1:28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2954</v>
      </c>
      <c r="J33" s="1" t="s">
        <v>607</v>
      </c>
      <c r="M33" s="15" t="s">
        <v>500</v>
      </c>
      <c r="N33" s="1" t="s">
        <v>1509</v>
      </c>
      <c r="O33" s="15">
        <v>4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33" s="1"/>
      <c r="T33" s="1"/>
      <c r="U33" s="32" t="s">
        <v>3485</v>
      </c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33" s="15" t="str">
        <f>_xlfn.TEXTBEFORE(_xlfn.TEXTAFTER(CantoralDB[[#This Row],[index.html]],"&gt;"),"&gt;")&amp;"&gt;"</f>
        <v>&lt;a href="canciones/ain_karem/como_la_cierva.html"&gt;</v>
      </c>
      <c r="X33"/>
      <c r="Y33" s="1"/>
      <c r="Z33" s="1"/>
      <c r="AA33" s="1"/>
      <c r="AB33" s="1"/>
    </row>
    <row r="34" spans="1:28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2951</v>
      </c>
      <c r="J34" s="1" t="s">
        <v>607</v>
      </c>
      <c r="M34" s="15" t="s">
        <v>500</v>
      </c>
      <c r="N34" s="1" t="s">
        <v>1509</v>
      </c>
      <c r="O34" s="15">
        <v>5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34" s="1"/>
      <c r="T34" s="1"/>
      <c r="U34" s="32" t="s">
        <v>3486</v>
      </c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34" s="15" t="str">
        <f>_xlfn.TEXTBEFORE(_xlfn.TEXTAFTER(CantoralDB[[#This Row],[index.html]],"&gt;"),"&gt;")&amp;"&gt;"</f>
        <v>&lt;a href="canciones/ain_karem/solo_tu.html"&gt;</v>
      </c>
      <c r="X34"/>
      <c r="Y34" s="1"/>
      <c r="Z34" s="1"/>
      <c r="AA34" s="1"/>
      <c r="AB34" s="1"/>
    </row>
    <row r="35" spans="1:28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35" s="1"/>
      <c r="T35" s="1"/>
      <c r="U35" s="32" t="s">
        <v>3487</v>
      </c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35" s="15" t="str">
        <f>_xlfn.TEXTBEFORE(_xlfn.TEXTAFTER(CantoralDB[[#This Row],[index.html]],"&gt;"),"&gt;")&amp;"&gt;"</f>
        <v>&lt;a href="canciones/ain_karem/sed_felices.html"&gt;</v>
      </c>
      <c r="X35"/>
      <c r="Y35" s="1"/>
      <c r="Z35" s="1"/>
      <c r="AA35" s="1"/>
      <c r="AB35" s="1"/>
    </row>
    <row r="36" spans="1:28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2954</v>
      </c>
      <c r="J36" s="1" t="s">
        <v>607</v>
      </c>
      <c r="M36" s="15" t="s">
        <v>500</v>
      </c>
      <c r="N36" s="1" t="s">
        <v>1509</v>
      </c>
      <c r="O36" s="15">
        <v>7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36" s="1"/>
      <c r="T36" s="1"/>
      <c r="U36" s="32" t="s">
        <v>3488</v>
      </c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36" s="15" t="str">
        <f>_xlfn.TEXTBEFORE(_xlfn.TEXTAFTER(CantoralDB[[#This Row],[index.html]],"&gt;"),"&gt;")&amp;"&gt;"</f>
        <v>&lt;a href="canciones/ain_karem/ten_piedad.html"&gt;</v>
      </c>
      <c r="X36"/>
      <c r="Y36" s="1"/>
      <c r="Z36" s="1"/>
      <c r="AA36" s="1"/>
      <c r="AB36" s="1"/>
    </row>
    <row r="37" spans="1:28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37" s="1"/>
      <c r="T37" s="1"/>
      <c r="U37" s="32" t="s">
        <v>3489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37" s="15" t="str">
        <f>_xlfn.TEXTBEFORE(_xlfn.TEXTAFTER(CantoralDB[[#This Row],[index.html]],"&gt;"),"&gt;")&amp;"&gt;"</f>
        <v>&lt;a href="canciones/ain_karem/busca_mi_rostro.html"&gt;</v>
      </c>
      <c r="X37"/>
      <c r="Y37" s="1"/>
      <c r="Z37" s="1"/>
      <c r="AA37" s="1"/>
      <c r="AB37" s="1"/>
    </row>
    <row r="38" spans="1:28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38" s="1"/>
      <c r="T38" s="1"/>
      <c r="U38" s="32" t="s">
        <v>3490</v>
      </c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38" s="15" t="str">
        <f>_xlfn.TEXTBEFORE(_xlfn.TEXTAFTER(CantoralDB[[#This Row],[index.html]],"&gt;"),"&gt;")&amp;"&gt;"</f>
        <v>&lt;a href="canciones/ain_karem/señor_de_la_sabiduria.html"&gt;</v>
      </c>
      <c r="X38"/>
      <c r="Y38" s="1"/>
      <c r="Z38" s="1"/>
      <c r="AA38" s="1"/>
      <c r="AB38" s="1"/>
    </row>
    <row r="39" spans="1:28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2952</v>
      </c>
      <c r="J39" s="1" t="s">
        <v>607</v>
      </c>
      <c r="M39" s="15" t="s">
        <v>500</v>
      </c>
      <c r="N39" s="1" t="s">
        <v>1509</v>
      </c>
      <c r="O39" s="15">
        <v>10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9" s="1"/>
      <c r="T39" s="1"/>
      <c r="U39" s="32" t="s">
        <v>3491</v>
      </c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39" s="15" t="str">
        <f>_xlfn.TEXTBEFORE(_xlfn.TEXTAFTER(CantoralDB[[#This Row],[index.html]],"&gt;"),"&gt;")&amp;"&gt;"</f>
        <v>&lt;a href="canciones/ain_karem/descansa_en_ti_su_mirada.html"&gt;</v>
      </c>
      <c r="X39"/>
      <c r="Y39" s="1"/>
      <c r="Z39" s="1"/>
      <c r="AA39" s="1"/>
      <c r="AB39" s="1"/>
    </row>
    <row r="40" spans="1:28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40" s="1"/>
      <c r="T40" s="1"/>
      <c r="U40" s="32" t="s">
        <v>3492</v>
      </c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40" s="15" t="str">
        <f>_xlfn.TEXTBEFORE(_xlfn.TEXTAFTER(CantoralDB[[#This Row],[index.html]],"&gt;"),"&gt;")&amp;"&gt;"</f>
        <v>&lt;a href="canciones/ain_karem/el_amor.html"&gt;</v>
      </c>
      <c r="X40"/>
      <c r="Y40" s="1"/>
      <c r="Z40" s="1"/>
      <c r="AA40" s="1"/>
      <c r="AB40" s="1"/>
    </row>
    <row r="41" spans="1:28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2952</v>
      </c>
      <c r="J41" s="1" t="s">
        <v>607</v>
      </c>
      <c r="M41" s="15" t="s">
        <v>500</v>
      </c>
      <c r="N41" s="1" t="s">
        <v>1509</v>
      </c>
      <c r="O41" s="15">
        <v>12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41" s="1"/>
      <c r="T41" s="1"/>
      <c r="U41" s="32" t="s">
        <v>3493</v>
      </c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41" s="15" t="str">
        <f>_xlfn.TEXTBEFORE(_xlfn.TEXTAFTER(CantoralDB[[#This Row],[index.html]],"&gt;"),"&gt;")&amp;"&gt;"</f>
        <v>&lt;a href="canciones/ain_karem/maria_de_nazaret.html"&gt;</v>
      </c>
      <c r="X41"/>
      <c r="Y41" s="1"/>
      <c r="Z41" s="1"/>
      <c r="AA41" s="1"/>
      <c r="AB41" s="1"/>
    </row>
    <row r="42" spans="1:28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2953</v>
      </c>
      <c r="J42" s="1" t="s">
        <v>607</v>
      </c>
      <c r="M42" s="15" t="s">
        <v>500</v>
      </c>
      <c r="N42" s="1" t="s">
        <v>1509</v>
      </c>
      <c r="O42" s="15">
        <v>13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42" s="1"/>
      <c r="T42" s="1"/>
      <c r="U42" s="32" t="s">
        <v>3494</v>
      </c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42" s="15" t="str">
        <f>_xlfn.TEXTBEFORE(_xlfn.TEXTAFTER(CantoralDB[[#This Row],[index.html]],"&gt;"),"&gt;")&amp;"&gt;"</f>
        <v>&lt;a href="canciones/ain_karem/miradle.html"&gt;</v>
      </c>
      <c r="X42"/>
      <c r="Y42" s="1"/>
      <c r="Z42" s="1"/>
      <c r="AA42" s="1"/>
      <c r="AB42" s="1"/>
    </row>
    <row r="43" spans="1:28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43" s="1"/>
      <c r="T43" s="1"/>
      <c r="U43" s="32" t="s">
        <v>3495</v>
      </c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43" s="15" t="str">
        <f>_xlfn.TEXTBEFORE(_xlfn.TEXTAFTER(CantoralDB[[#This Row],[index.html]],"&gt;"),"&gt;")&amp;"&gt;"</f>
        <v>&lt;a href="canciones/ain_karem/venid_conmigo.html"&gt;</v>
      </c>
      <c r="X43"/>
      <c r="Y43" s="1"/>
      <c r="Z43" s="1"/>
      <c r="AA43" s="1"/>
      <c r="AB43" s="1"/>
    </row>
    <row r="44" spans="1:28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32" t="s">
        <v>3496</v>
      </c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44" s="15" t="str">
        <f>_xlfn.TEXTBEFORE(_xlfn.TEXTAFTER(CantoralDB[[#This Row],[index.html]],"&gt;"),"&gt;")&amp;"&gt;"</f>
        <v>&lt;a href="canciones/ain_karem/somos_vedruna.html"&gt;</v>
      </c>
      <c r="X44"/>
      <c r="Y44" s="1"/>
      <c r="Z44" s="1"/>
      <c r="AA44" s="1"/>
      <c r="AB44" s="1"/>
    </row>
    <row r="45" spans="1:28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45" s="1"/>
      <c r="T45" s="1"/>
      <c r="U45" s="32" t="s">
        <v>3497</v>
      </c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45" s="15" t="str">
        <f>_xlfn.TEXTBEFORE(_xlfn.TEXTAFTER(CantoralDB[[#This Row],[index.html]],"&gt;"),"&gt;")&amp;"&gt;"</f>
        <v>&lt;a href="canciones/ain_karem/dios_fiel.html"&gt;</v>
      </c>
      <c r="X45"/>
      <c r="Y45" s="1"/>
      <c r="Z45" s="1"/>
      <c r="AA45" s="1"/>
      <c r="AB45" s="1"/>
    </row>
    <row r="46" spans="1:28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2950</v>
      </c>
      <c r="J46" s="1" t="s">
        <v>607</v>
      </c>
      <c r="M46" s="15" t="s">
        <v>500</v>
      </c>
      <c r="N46" s="1" t="s">
        <v>1506</v>
      </c>
      <c r="O46" s="15">
        <v>2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46" s="1"/>
      <c r="T46" s="1"/>
      <c r="U46" s="32" t="s">
        <v>3498</v>
      </c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46" s="15" t="str">
        <f>_xlfn.TEXTBEFORE(_xlfn.TEXTAFTER(CantoralDB[[#This Row],[index.html]],"&gt;"),"&gt;")&amp;"&gt;"</f>
        <v>&lt;a href="canciones/ain_karem/hambre_y_sed_de_ti.html"&gt;</v>
      </c>
      <c r="X46"/>
      <c r="Y46" s="1"/>
      <c r="Z46" s="1"/>
      <c r="AA46" s="1"/>
      <c r="AB46" s="1"/>
    </row>
    <row r="47" spans="1:28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47" s="1"/>
      <c r="T47" s="1"/>
      <c r="U47" s="32" t="s">
        <v>3499</v>
      </c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47" s="15" t="str">
        <f>_xlfn.TEXTBEFORE(_xlfn.TEXTAFTER(CantoralDB[[#This Row],[index.html]],"&gt;"),"&gt;")&amp;"&gt;"</f>
        <v>&lt;a href="canciones/ain_karem/confianza.html"&gt;</v>
      </c>
      <c r="X47"/>
      <c r="Y47" s="1"/>
      <c r="Z47" s="1"/>
      <c r="AA47" s="1"/>
      <c r="AB47" s="1"/>
    </row>
    <row r="48" spans="1:28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32" t="s">
        <v>3500</v>
      </c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48" s="15" t="str">
        <f>_xlfn.TEXTBEFORE(_xlfn.TEXTAFTER(CantoralDB[[#This Row],[index.html]],"&gt;"),"&gt;")&amp;"&gt;"</f>
        <v>&lt;a href="canciones/ain_karem/talita_kum.html"&gt;</v>
      </c>
      <c r="X48"/>
      <c r="Y48" s="1"/>
      <c r="Z48" s="1"/>
      <c r="AA48" s="1"/>
      <c r="AB48" s="1"/>
    </row>
    <row r="49" spans="1:28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2953</v>
      </c>
      <c r="J49" s="1" t="s">
        <v>607</v>
      </c>
      <c r="M49" s="15" t="s">
        <v>500</v>
      </c>
      <c r="N49" s="1" t="s">
        <v>1506</v>
      </c>
      <c r="O49" s="15">
        <v>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49" s="1"/>
      <c r="T49" s="1"/>
      <c r="U49" s="32" t="s">
        <v>3501</v>
      </c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49" s="15" t="str">
        <f>_xlfn.TEXTBEFORE(_xlfn.TEXTAFTER(CantoralDB[[#This Row],[index.html]],"&gt;"),"&gt;")&amp;"&gt;"</f>
        <v>&lt;a href="canciones/ain_karem/pan_compartido.html"&gt;</v>
      </c>
      <c r="X49"/>
      <c r="Y49" s="1"/>
      <c r="Z49" s="1"/>
      <c r="AA49" s="1"/>
      <c r="AB49" s="1"/>
    </row>
    <row r="50" spans="1:28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32" t="s">
        <v>3502</v>
      </c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0" s="15" t="str">
        <f>_xlfn.TEXTBEFORE(_xlfn.TEXTAFTER(CantoralDB[[#This Row],[index.html]],"&gt;"),"&gt;")&amp;"&gt;"</f>
        <v>&lt;a href="canciones/ain_karem/gloria_trinitario.html"&gt;</v>
      </c>
      <c r="X50"/>
      <c r="Y50" s="1"/>
      <c r="Z50" s="1"/>
      <c r="AA50" s="1"/>
      <c r="AB50" s="1"/>
    </row>
    <row r="51" spans="1:28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1" s="1"/>
      <c r="T51" s="1"/>
      <c r="U51" s="32" t="s">
        <v>3503</v>
      </c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1" s="15" t="str">
        <f>_xlfn.TEXTBEFORE(_xlfn.TEXTAFTER(CantoralDB[[#This Row],[index.html]],"&gt;"),"&gt;")&amp;"&gt;"</f>
        <v>&lt;a href="canciones/ain_karem/a_ti.html"&gt;</v>
      </c>
      <c r="X51"/>
      <c r="Y51" s="1"/>
      <c r="Z51" s="1"/>
      <c r="AA51" s="1"/>
      <c r="AB51" s="1"/>
    </row>
    <row r="52" spans="1:28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2" s="1"/>
      <c r="T52" s="1"/>
      <c r="U52" s="32" t="s">
        <v>3504</v>
      </c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2" s="15" t="str">
        <f>_xlfn.TEXTBEFORE(_xlfn.TEXTAFTER(CantoralDB[[#This Row],[index.html]],"&gt;"),"&gt;")&amp;"&gt;"</f>
        <v>&lt;a href="canciones/ain_karem/tu_lo_sabes.html"&gt;</v>
      </c>
      <c r="X52"/>
      <c r="Y52" s="1"/>
      <c r="Z52" s="1"/>
      <c r="AA52" s="1"/>
      <c r="AB52" s="1"/>
    </row>
    <row r="53" spans="1:28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2950</v>
      </c>
      <c r="J53" s="1" t="s">
        <v>607</v>
      </c>
      <c r="M53" s="15" t="s">
        <v>500</v>
      </c>
      <c r="N53" s="1" t="s">
        <v>1506</v>
      </c>
      <c r="O53" s="15">
        <v>9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3" s="1"/>
      <c r="T53" s="1"/>
      <c r="U53" s="32" t="s">
        <v>3505</v>
      </c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3" s="15" t="str">
        <f>_xlfn.TEXTBEFORE(_xlfn.TEXTAFTER(CantoralDB[[#This Row],[index.html]],"&gt;"),"&gt;")&amp;"&gt;"</f>
        <v>&lt;a href="canciones/ain_karem/cana.html"&gt;</v>
      </c>
      <c r="X53"/>
      <c r="Y53" s="1"/>
      <c r="Z53" s="1"/>
      <c r="AA53" s="1"/>
      <c r="AB53" s="1"/>
    </row>
    <row r="54" spans="1:28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4" s="1"/>
      <c r="T54" s="1"/>
      <c r="U54" s="32" t="s">
        <v>3506</v>
      </c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4" s="15" t="str">
        <f>_xlfn.TEXTBEFORE(_xlfn.TEXTAFTER(CantoralDB[[#This Row],[index.html]],"&gt;"),"&gt;")&amp;"&gt;"</f>
        <v>&lt;a href="canciones/ain_karem/animo_soy_yo.html"&gt;</v>
      </c>
      <c r="X54"/>
      <c r="Y54" s="1"/>
      <c r="Z54" s="1"/>
      <c r="AA54" s="1"/>
      <c r="AB54" s="1"/>
    </row>
    <row r="55" spans="1:28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" s="1"/>
      <c r="T55" s="1"/>
      <c r="U55" s="32" t="s">
        <v>3507</v>
      </c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" s="15" t="str">
        <f>_xlfn.TEXTBEFORE(_xlfn.TEXTAFTER(CantoralDB[[#This Row],[index.html]],"&gt;"),"&gt;")&amp;"&gt;"</f>
        <v>&lt;a href="canciones/ain_karem/santo.html"&gt;</v>
      </c>
      <c r="X55"/>
      <c r="Y55" s="1"/>
      <c r="Z55" s="1"/>
      <c r="AA55" s="1"/>
      <c r="AB55" s="1"/>
    </row>
    <row r="56" spans="1:28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6" s="1"/>
      <c r="T56" s="1"/>
      <c r="U56" s="32" t="s">
        <v>3508</v>
      </c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6" s="15" t="str">
        <f>_xlfn.TEXTBEFORE(_xlfn.TEXTAFTER(CantoralDB[[#This Row],[index.html]],"&gt;"),"&gt;")&amp;"&gt;"</f>
        <v>&lt;a href="canciones/ain_karem/la_mujer_del_perfume.html"&gt;</v>
      </c>
      <c r="X56"/>
      <c r="Y56" s="1"/>
      <c r="Z56" s="1"/>
      <c r="AA56" s="1"/>
      <c r="AB56" s="1"/>
    </row>
    <row r="57" spans="1:28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2954</v>
      </c>
      <c r="J57" s="1" t="s">
        <v>607</v>
      </c>
      <c r="M57" s="15" t="s">
        <v>500</v>
      </c>
      <c r="N57" s="1" t="s">
        <v>1506</v>
      </c>
      <c r="O57" s="15">
        <v>13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7" s="1"/>
      <c r="T57" s="1"/>
      <c r="U57" s="32" t="s">
        <v>3509</v>
      </c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7" s="15" t="str">
        <f>_xlfn.TEXTBEFORE(_xlfn.TEXTAFTER(CantoralDB[[#This Row],[index.html]],"&gt;"),"&gt;")&amp;"&gt;"</f>
        <v>&lt;a href="canciones/ain_karem/para_estar_contigo.html"&gt;</v>
      </c>
      <c r="X57"/>
      <c r="Y57" s="1"/>
      <c r="Z57" s="1"/>
      <c r="AA57" s="1"/>
      <c r="AB57" s="1"/>
    </row>
    <row r="58" spans="1:28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2953</v>
      </c>
      <c r="J58" s="1" t="s">
        <v>607</v>
      </c>
      <c r="M58" s="15" t="s">
        <v>500</v>
      </c>
      <c r="N58" s="1" t="s">
        <v>1506</v>
      </c>
      <c r="O58" s="15">
        <v>14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8" s="1"/>
      <c r="T58" s="1"/>
      <c r="U58" s="32" t="s">
        <v>3510</v>
      </c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8" s="15" t="str">
        <f>_xlfn.TEXTBEFORE(_xlfn.TEXTAFTER(CantoralDB[[#This Row],[index.html]],"&gt;"),"&gt;")&amp;"&gt;"</f>
        <v>&lt;a href="canciones/ain_karem/samaritano.html"&gt;</v>
      </c>
      <c r="X58"/>
      <c r="Y58" s="1"/>
      <c r="Z58" s="1"/>
      <c r="AA58" s="1"/>
      <c r="AB58" s="1"/>
    </row>
    <row r="59" spans="1:28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2950</v>
      </c>
      <c r="J59" s="1" t="s">
        <v>607</v>
      </c>
      <c r="M59" s="15" t="s">
        <v>500</v>
      </c>
      <c r="N59" s="1" t="s">
        <v>1506</v>
      </c>
      <c r="O59" s="15">
        <v>15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9" s="1"/>
      <c r="T59" s="1"/>
      <c r="U59" s="32" t="s">
        <v>3511</v>
      </c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9" s="15" t="str">
        <f>_xlfn.TEXTBEFORE(_xlfn.TEXTAFTER(CantoralDB[[#This Row],[index.html]],"&gt;"),"&gt;")&amp;"&gt;"</f>
        <v>&lt;a href="canciones/ain_karem/no_hay_fronteras.html"&gt;</v>
      </c>
      <c r="X59"/>
      <c r="Y59" s="1"/>
      <c r="Z59" s="1"/>
      <c r="AA59" s="1"/>
      <c r="AB59" s="1"/>
    </row>
    <row r="60" spans="1:28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2954</v>
      </c>
      <c r="J60" s="1" t="s">
        <v>607</v>
      </c>
      <c r="M60" s="15" t="s">
        <v>500</v>
      </c>
      <c r="N60" s="1" t="s">
        <v>1504</v>
      </c>
      <c r="O60" s="15">
        <v>1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60" s="1"/>
      <c r="T60" s="1"/>
      <c r="U60" s="32" t="s">
        <v>3512</v>
      </c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60" s="15" t="str">
        <f>_xlfn.TEXTBEFORE(_xlfn.TEXTAFTER(CantoralDB[[#This Row],[index.html]],"&gt;"),"&gt;")&amp;"&gt;"</f>
        <v>&lt;a href="canciones/ain_karem/descalzate.html"&gt;</v>
      </c>
      <c r="X60"/>
      <c r="Y60" s="1"/>
      <c r="Z60" s="1"/>
      <c r="AA60" s="1"/>
      <c r="AB60" s="1"/>
    </row>
    <row r="61" spans="1:28" x14ac:dyDescent="0.3">
      <c r="A61" s="1">
        <f>ROW(CantoralDB[[#This Row],[Título]])-1</f>
        <v>60</v>
      </c>
      <c r="B61" s="1" t="s">
        <v>2887</v>
      </c>
      <c r="C61" s="1"/>
      <c r="H61" s="1" t="s">
        <v>472</v>
      </c>
      <c r="I61" s="1" t="s">
        <v>2953</v>
      </c>
      <c r="J61" s="1" t="s">
        <v>607</v>
      </c>
      <c r="M61" s="15" t="s">
        <v>500</v>
      </c>
      <c r="N61" s="1" t="s">
        <v>1504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1" s="1"/>
      <c r="T61" s="1"/>
      <c r="U61" s="32" t="s">
        <v>3513</v>
      </c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61" s="15" t="str">
        <f>_xlfn.TEXTBEFORE(_xlfn.TEXTAFTER(CantoralDB[[#This Row],[index.html]],"&gt;"),"&gt;")&amp;"&gt;"</f>
        <v>&lt;a href="canciones/ain_karem/la_vid_verdadera.html"&gt;</v>
      </c>
      <c r="X61"/>
      <c r="Y61" s="1"/>
      <c r="Z61" s="1"/>
      <c r="AA61" s="1"/>
      <c r="AB61" s="1"/>
    </row>
    <row r="62" spans="1:28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2953</v>
      </c>
      <c r="J62" s="1" t="s">
        <v>607</v>
      </c>
      <c r="M62" s="15" t="s">
        <v>500</v>
      </c>
      <c r="N62" s="1" t="s">
        <v>1504</v>
      </c>
      <c r="O62" s="15">
        <v>3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62" s="1"/>
      <c r="T62" s="1"/>
      <c r="U62" s="32" t="s">
        <v>3514</v>
      </c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62" s="15" t="str">
        <f>_xlfn.TEXTBEFORE(_xlfn.TEXTAFTER(CantoralDB[[#This Row],[index.html]],"&gt;"),"&gt;")&amp;"&gt;"</f>
        <v>&lt;a href="canciones/ain_karem/ven_espiritu_de_dios.html"&gt;</v>
      </c>
      <c r="X62"/>
      <c r="Y62" s="1"/>
      <c r="Z62" s="1"/>
      <c r="AA62" s="1"/>
      <c r="AB62" s="1"/>
    </row>
    <row r="63" spans="1:28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2953</v>
      </c>
      <c r="J63" s="1" t="s">
        <v>607</v>
      </c>
      <c r="M63" s="15" t="s">
        <v>500</v>
      </c>
      <c r="N63" s="1" t="s">
        <v>1504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63" s="1"/>
      <c r="T63" s="1"/>
      <c r="U63" s="32" t="s">
        <v>3515</v>
      </c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63" s="15" t="str">
        <f>_xlfn.TEXTBEFORE(_xlfn.TEXTAFTER(CantoralDB[[#This Row],[index.html]],"&gt;"),"&gt;")&amp;"&gt;"</f>
        <v>&lt;a href="canciones/ain_karem/realidad.html"&gt;</v>
      </c>
      <c r="X63"/>
      <c r="Y63" s="1"/>
      <c r="Z63" s="1"/>
      <c r="AA63" s="1"/>
      <c r="AB63" s="1"/>
    </row>
    <row r="64" spans="1:28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2953</v>
      </c>
      <c r="J64" s="1" t="s">
        <v>607</v>
      </c>
      <c r="M64" s="15" t="s">
        <v>500</v>
      </c>
      <c r="N64" s="1" t="s">
        <v>1504</v>
      </c>
      <c r="O64" s="15">
        <v>5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64" s="1"/>
      <c r="T64" s="1"/>
      <c r="U64" s="32" t="s">
        <v>3516</v>
      </c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64" s="15" t="str">
        <f>_xlfn.TEXTBEFORE(_xlfn.TEXTAFTER(CantoralDB[[#This Row],[index.html]],"&gt;"),"&gt;")&amp;"&gt;"</f>
        <v>&lt;a href="canciones/ain_karem/boga_mar_adentro.html"&gt;</v>
      </c>
      <c r="X64"/>
      <c r="Y64" s="1"/>
      <c r="Z64" s="1"/>
      <c r="AA64" s="1"/>
      <c r="AB64" s="1"/>
    </row>
    <row r="65" spans="1:28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65" s="1"/>
      <c r="T65" s="1"/>
      <c r="U65" s="32" t="s">
        <v>3517</v>
      </c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65" s="15" t="str">
        <f>_xlfn.TEXTBEFORE(_xlfn.TEXTAFTER(CantoralDB[[#This Row],[index.html]],"&gt;"),"&gt;")&amp;"&gt;"</f>
        <v>&lt;a href="canciones/ain_karem/no_tengas_miedo.html"&gt;</v>
      </c>
      <c r="X65"/>
      <c r="Y65" s="1"/>
      <c r="Z65" s="1"/>
      <c r="AA65" s="1"/>
      <c r="AB65" s="1"/>
    </row>
    <row r="66" spans="1:28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2953</v>
      </c>
      <c r="J66" s="1" t="s">
        <v>607</v>
      </c>
      <c r="M66" s="15" t="s">
        <v>500</v>
      </c>
      <c r="N66" s="1" t="s">
        <v>1504</v>
      </c>
      <c r="O66" s="15">
        <v>7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6" s="1"/>
      <c r="T66" s="1"/>
      <c r="U66" s="32" t="s">
        <v>3518</v>
      </c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66" s="15" t="str">
        <f>_xlfn.TEXTBEFORE(_xlfn.TEXTAFTER(CantoralDB[[#This Row],[index.html]],"&gt;"),"&gt;")&amp;"&gt;"</f>
        <v>&lt;a href="canciones/ain_karem/magnificat.html"&gt;</v>
      </c>
      <c r="X66"/>
      <c r="Y66" s="1"/>
      <c r="Z66" s="1"/>
      <c r="AA66" s="1"/>
      <c r="AB66" s="1"/>
    </row>
    <row r="67" spans="1:28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2953</v>
      </c>
      <c r="J67" s="1" t="s">
        <v>607</v>
      </c>
      <c r="M67" s="15" t="s">
        <v>500</v>
      </c>
      <c r="N67" s="1" t="s">
        <v>1504</v>
      </c>
      <c r="O67" s="15">
        <v>8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67" s="1"/>
      <c r="T67" s="1"/>
      <c r="U67" s="32" t="s">
        <v>3519</v>
      </c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67" s="15" t="str">
        <f>_xlfn.TEXTBEFORE(_xlfn.TEXTAFTER(CantoralDB[[#This Row],[index.html]],"&gt;"),"&gt;")&amp;"&gt;"</f>
        <v>&lt;a href="canciones/ain_karem/ardo_en_celo.html"&gt;</v>
      </c>
      <c r="X67"/>
      <c r="Y67" s="1"/>
      <c r="Z67" s="1"/>
      <c r="AA67" s="1"/>
      <c r="AB67" s="1"/>
    </row>
    <row r="68" spans="1:28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2954</v>
      </c>
      <c r="J68" s="1" t="s">
        <v>607</v>
      </c>
      <c r="M68" s="15" t="s">
        <v>500</v>
      </c>
      <c r="N68" s="1" t="s">
        <v>1504</v>
      </c>
      <c r="O68" s="15">
        <v>9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68" s="1"/>
      <c r="T68" s="1"/>
      <c r="U68" s="32" t="s">
        <v>3520</v>
      </c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68" s="15" t="str">
        <f>_xlfn.TEXTBEFORE(_xlfn.TEXTAFTER(CantoralDB[[#This Row],[index.html]],"&gt;"),"&gt;")&amp;"&gt;"</f>
        <v>&lt;a href="canciones/ain_karem/el_amor_no_dice_basta.html"&gt;</v>
      </c>
      <c r="X68"/>
      <c r="Y68" s="1"/>
      <c r="Z68" s="1"/>
      <c r="AA68" s="1"/>
      <c r="AB68" s="1"/>
    </row>
    <row r="69" spans="1:28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69" s="1"/>
      <c r="T69" s="1"/>
      <c r="U69" s="32" t="s">
        <v>3521</v>
      </c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69" s="15" t="str">
        <f>_xlfn.TEXTBEFORE(_xlfn.TEXTAFTER(CantoralDB[[#This Row],[index.html]],"&gt;"),"&gt;")&amp;"&gt;"</f>
        <v>&lt;a href="canciones/ain_karem/rut_y_noemi.html"&gt;</v>
      </c>
      <c r="X69"/>
      <c r="Y69" s="1"/>
      <c r="Z69" s="1"/>
      <c r="AA69" s="1"/>
      <c r="AB69" s="1"/>
    </row>
    <row r="70" spans="1:28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2953</v>
      </c>
      <c r="J70" s="1" t="s">
        <v>607</v>
      </c>
      <c r="M70" s="15" t="s">
        <v>500</v>
      </c>
      <c r="N70" s="1" t="s">
        <v>1504</v>
      </c>
      <c r="O70" s="15">
        <v>11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70" s="1"/>
      <c r="T70" s="1"/>
      <c r="U70" s="32" t="s">
        <v>3522</v>
      </c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70" s="15" t="str">
        <f>_xlfn.TEXTBEFORE(_xlfn.TEXTAFTER(CantoralDB[[#This Row],[index.html]],"&gt;"),"&gt;")&amp;"&gt;"</f>
        <v>&lt;a href="canciones/ain_karem/ven_espiritu.html"&gt;</v>
      </c>
      <c r="X70"/>
      <c r="Y70" s="1"/>
      <c r="Z70" s="1"/>
      <c r="AA70" s="1"/>
      <c r="AB70" s="1"/>
    </row>
    <row r="71" spans="1:28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2953</v>
      </c>
      <c r="J71" s="1" t="s">
        <v>607</v>
      </c>
      <c r="M71" s="15" t="s">
        <v>500</v>
      </c>
      <c r="N71" s="1" t="s">
        <v>1504</v>
      </c>
      <c r="O71" s="15">
        <v>12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1" s="1"/>
      <c r="T71" s="1"/>
      <c r="U71" s="32" t="s">
        <v>3523</v>
      </c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71" s="15" t="str">
        <f>_xlfn.TEXTBEFORE(_xlfn.TEXTAFTER(CantoralDB[[#This Row],[index.html]],"&gt;"),"&gt;")&amp;"&gt;"</f>
        <v>&lt;a href="canciones/ain_karem/maria_magdalena.html"&gt;</v>
      </c>
      <c r="X71"/>
      <c r="Y71" s="1"/>
      <c r="Z71" s="1"/>
      <c r="AA71" s="1"/>
      <c r="AB71" s="1"/>
    </row>
    <row r="72" spans="1:28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32" t="s">
        <v>3524</v>
      </c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72" s="15" t="str">
        <f>_xlfn.TEXTBEFORE(_xlfn.TEXTAFTER(CantoralDB[[#This Row],[index.html]],"&gt;"),"&gt;")&amp;"&gt;"</f>
        <v>&lt;a href="canciones/ain_karem/joaquina_emigrante.html"&gt;</v>
      </c>
      <c r="X72"/>
      <c r="Y72" s="1"/>
      <c r="Z72" s="1"/>
      <c r="AA72" s="1"/>
      <c r="AB72" s="1"/>
    </row>
    <row r="73" spans="1:28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2954</v>
      </c>
      <c r="J73" s="1" t="s">
        <v>607</v>
      </c>
      <c r="M73" s="15" t="s">
        <v>500</v>
      </c>
      <c r="N73" s="1" t="s">
        <v>1510</v>
      </c>
      <c r="O73" s="15">
        <v>1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73" s="1"/>
      <c r="T73" s="1"/>
      <c r="U73" s="32" t="s">
        <v>3525</v>
      </c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73" s="15" t="str">
        <f>_xlfn.TEXTBEFORE(_xlfn.TEXTAFTER(CantoralDB[[#This Row],[index.html]],"&gt;"),"&gt;")&amp;"&gt;"</f>
        <v>&lt;a href="canciones/ain_karem/de_todo_corazon.html"&gt;</v>
      </c>
      <c r="X73"/>
      <c r="Y73" s="1"/>
      <c r="Z73" s="1"/>
      <c r="AA73" s="1"/>
      <c r="AB73" s="1"/>
    </row>
    <row r="74" spans="1:28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74" s="1"/>
      <c r="T74" s="1"/>
      <c r="U74" s="32" t="s">
        <v>3526</v>
      </c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74" s="15" t="str">
        <f>_xlfn.TEXTBEFORE(_xlfn.TEXTAFTER(CantoralDB[[#This Row],[index.html]],"&gt;"),"&gt;")&amp;"&gt;"</f>
        <v>&lt;a href="canciones/ain_karem/canto_de_ana.html"&gt;</v>
      </c>
      <c r="X74"/>
      <c r="Y74" s="1"/>
      <c r="Z74" s="1"/>
      <c r="AA74" s="1"/>
      <c r="AB74" s="1"/>
    </row>
    <row r="75" spans="1:28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2953</v>
      </c>
      <c r="J75" s="1" t="s">
        <v>607</v>
      </c>
      <c r="M75" s="15" t="s">
        <v>500</v>
      </c>
      <c r="N75" s="1" t="s">
        <v>1510</v>
      </c>
      <c r="O75" s="15">
        <v>3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75" s="1"/>
      <c r="T75" s="1"/>
      <c r="U75" s="32" t="s">
        <v>3527</v>
      </c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75" s="15" t="str">
        <f>_xlfn.TEXTBEFORE(_xlfn.TEXTAFTER(CantoralDB[[#This Row],[index.html]],"&gt;"),"&gt;")&amp;"&gt;"</f>
        <v>&lt;a href="canciones/ain_karem/seguirte.html"&gt;</v>
      </c>
      <c r="X75"/>
      <c r="Y75" s="1"/>
      <c r="Z75" s="1"/>
      <c r="AA75" s="1"/>
      <c r="AB75" s="1"/>
    </row>
    <row r="76" spans="1:28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2950</v>
      </c>
      <c r="J76" s="1" t="s">
        <v>607</v>
      </c>
      <c r="M76" s="15" t="s">
        <v>500</v>
      </c>
      <c r="N76" s="1" t="s">
        <v>1510</v>
      </c>
      <c r="O76" s="15">
        <v>4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76" s="1"/>
      <c r="T76" s="1"/>
      <c r="U76" s="32" t="s">
        <v>3528</v>
      </c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76" s="15" t="str">
        <f>_xlfn.TEXTBEFORE(_xlfn.TEXTAFTER(CantoralDB[[#This Row],[index.html]],"&gt;"),"&gt;")&amp;"&gt;"</f>
        <v>&lt;a href="canciones/ain_karem/pueblo_suyo.html"&gt;</v>
      </c>
      <c r="X76"/>
      <c r="Y76" s="1"/>
      <c r="Z76" s="1"/>
      <c r="AA76" s="1"/>
      <c r="AB76" s="1"/>
    </row>
    <row r="77" spans="1:28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2955</v>
      </c>
      <c r="J77" s="1" t="s">
        <v>607</v>
      </c>
      <c r="M77" s="15" t="s">
        <v>500</v>
      </c>
      <c r="N77" s="1" t="s">
        <v>1510</v>
      </c>
      <c r="O77" s="15">
        <v>5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77" s="1"/>
      <c r="T77" s="1"/>
      <c r="U77" s="32" t="s">
        <v>3529</v>
      </c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77" s="15" t="str">
        <f>_xlfn.TEXTBEFORE(_xlfn.TEXTAFTER(CantoralDB[[#This Row],[index.html]],"&gt;"),"&gt;")&amp;"&gt;"</f>
        <v>&lt;a href="canciones/ain_karem/quedas_libre.html"&gt;</v>
      </c>
      <c r="X77"/>
      <c r="Y77" s="1"/>
      <c r="Z77" s="1"/>
      <c r="AA77" s="1"/>
      <c r="AB77" s="1"/>
    </row>
    <row r="78" spans="1:28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78" s="1"/>
      <c r="T78" s="1"/>
      <c r="U78" s="32" t="s">
        <v>3530</v>
      </c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78" s="15" t="str">
        <f>_xlfn.TEXTBEFORE(_xlfn.TEXTAFTER(CantoralDB[[#This Row],[index.html]],"&gt;"),"&gt;")&amp;"&gt;"</f>
        <v>&lt;a href="canciones/ain_karem/si_le_dais_posada.html"&gt;</v>
      </c>
      <c r="X78"/>
      <c r="Y78" s="1"/>
      <c r="Z78" s="1"/>
      <c r="AA78" s="1"/>
      <c r="AB78" s="1"/>
    </row>
    <row r="79" spans="1:28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2952</v>
      </c>
      <c r="J79" s="1" t="s">
        <v>607</v>
      </c>
      <c r="M79" s="15" t="s">
        <v>500</v>
      </c>
      <c r="N79" s="1" t="s">
        <v>1510</v>
      </c>
      <c r="O79" s="15">
        <v>7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79" s="1"/>
      <c r="T79" s="1"/>
      <c r="U79" s="32" t="s">
        <v>3531</v>
      </c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79" s="15" t="str">
        <f>_xlfn.TEXTBEFORE(_xlfn.TEXTAFTER(CantoralDB[[#This Row],[index.html]],"&gt;"),"&gt;")&amp;"&gt;"</f>
        <v>&lt;a href="canciones/ain_karem/es_mi_hermano.html"&gt;</v>
      </c>
      <c r="X79"/>
      <c r="Y79" s="1"/>
      <c r="Z79" s="1"/>
      <c r="AA79" s="1"/>
      <c r="AB79" s="1"/>
    </row>
    <row r="80" spans="1:28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0" s="1"/>
      <c r="T80" s="1"/>
      <c r="U80" s="32" t="s">
        <v>3532</v>
      </c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0" s="15" t="str">
        <f>_xlfn.TEXTBEFORE(_xlfn.TEXTAFTER(CantoralDB[[#This Row],[index.html]],"&gt;"),"&gt;")&amp;"&gt;"</f>
        <v>&lt;a href="canciones/ain_karem/jesus.html"&gt;</v>
      </c>
      <c r="X80"/>
      <c r="Y80" s="1"/>
      <c r="Z80" s="1"/>
      <c r="AA80" s="1"/>
      <c r="AB80" s="1"/>
    </row>
    <row r="81" spans="1:28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1" s="1"/>
      <c r="T81" s="1"/>
      <c r="U81" s="32" t="s">
        <v>3533</v>
      </c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1" s="15" t="str">
        <f>_xlfn.TEXTBEFORE(_xlfn.TEXTAFTER(CantoralDB[[#This Row],[index.html]],"&gt;"),"&gt;")&amp;"&gt;"</f>
        <v>&lt;a href="canciones/ain_karem/el_reino_de_dios.html"&gt;</v>
      </c>
      <c r="X81"/>
      <c r="Y81" s="1"/>
      <c r="Z81" s="1"/>
      <c r="AA81" s="1"/>
      <c r="AB81" s="1"/>
    </row>
    <row r="82" spans="1:28" x14ac:dyDescent="0.3">
      <c r="A82" s="1">
        <f>ROW(CantoralDB[[#This Row],[Título]])-1</f>
        <v>81</v>
      </c>
      <c r="B82" s="1" t="s">
        <v>2146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82" s="1"/>
      <c r="T82" s="1"/>
      <c r="U82" s="32" t="s">
        <v>3534</v>
      </c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82" s="15" t="str">
        <f>_xlfn.TEXTBEFORE(_xlfn.TEXTAFTER(CantoralDB[[#This Row],[index.html]],"&gt;"),"&gt;")&amp;"&gt;"</f>
        <v>&lt;a href="canciones/ain_karem/recibid_mi_espiritu.html"&gt;</v>
      </c>
      <c r="X82"/>
      <c r="Y82" s="1"/>
      <c r="Z82" s="1"/>
      <c r="AA82" s="1"/>
      <c r="AB82" s="1"/>
    </row>
    <row r="83" spans="1:28" x14ac:dyDescent="0.3">
      <c r="A83" s="1">
        <f>ROW(CantoralDB[[#This Row],[Título]])-1</f>
        <v>82</v>
      </c>
      <c r="B83" s="1" t="s">
        <v>2880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83" s="1"/>
      <c r="T83" s="1"/>
      <c r="U83" s="32" t="s">
        <v>3535</v>
      </c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83" s="15" t="str">
        <f>_xlfn.TEXTBEFORE(_xlfn.TEXTAFTER(CantoralDB[[#This Row],[index.html]],"&gt;"),"&gt;")&amp;"&gt;"</f>
        <v>&lt;a href="canciones/ain_karem/confia.html"&gt;</v>
      </c>
      <c r="X83"/>
      <c r="Y83" s="1"/>
      <c r="Z83" s="1"/>
      <c r="AA83" s="1"/>
      <c r="AB83" s="1"/>
    </row>
    <row r="84" spans="1:28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84" s="1"/>
      <c r="T84" s="1"/>
      <c r="U84" s="32" t="s">
        <v>3536</v>
      </c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84" s="15" t="str">
        <f>_xlfn.TEXTBEFORE(_xlfn.TEXTAFTER(CantoralDB[[#This Row],[index.html]],"&gt;"),"&gt;")&amp;"&gt;"</f>
        <v>&lt;a href="canciones/ain_karem/como_tu.html"&gt;</v>
      </c>
      <c r="X84"/>
      <c r="Y84" s="1"/>
      <c r="Z84" s="1"/>
      <c r="AA84" s="1"/>
      <c r="AB84" s="1"/>
    </row>
    <row r="85" spans="1:28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32" t="s">
        <v>3537</v>
      </c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85" s="15" t="str">
        <f>_xlfn.TEXTBEFORE(_xlfn.TEXTAFTER(CantoralDB[[#This Row],[index.html]],"&gt;"),"&gt;")&amp;"&gt;"</f>
        <v>&lt;a href="canciones/ain_karem/pequeño_israel.html"&gt;</v>
      </c>
      <c r="X85"/>
      <c r="Y85" s="1"/>
      <c r="Z85" s="1"/>
      <c r="AA85" s="1"/>
      <c r="AB85" s="1"/>
    </row>
    <row r="86" spans="1:28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86" s="1"/>
      <c r="T86" s="1"/>
      <c r="U86" s="32" t="s">
        <v>3538</v>
      </c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86" s="15" t="str">
        <f>_xlfn.TEXTBEFORE(_xlfn.TEXTAFTER(CantoralDB[[#This Row],[index.html]],"&gt;"),"&gt;")&amp;"&gt;"</f>
        <v>&lt;a href="canciones/ain_karem/vivid_en_comunion.html"&gt;</v>
      </c>
      <c r="X86"/>
      <c r="Y86" s="1"/>
      <c r="Z86" s="1"/>
      <c r="AA86" s="1"/>
      <c r="AB86" s="1"/>
    </row>
    <row r="87" spans="1:28" x14ac:dyDescent="0.3">
      <c r="A87" s="1">
        <f>ROW(CantoralDB[[#This Row],[Título]])-1</f>
        <v>86</v>
      </c>
      <c r="B87" s="1" t="s">
        <v>2228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87" s="1"/>
      <c r="T87" s="1"/>
      <c r="U87" s="32" t="s">
        <v>3539</v>
      </c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87" s="15" t="str">
        <f>_xlfn.TEXTBEFORE(_xlfn.TEXTAFTER(CantoralDB[[#This Row],[index.html]],"&gt;"),"&gt;")&amp;"&gt;"</f>
        <v>&lt;a href="canciones/ain_karem/vengan_a_mi.html"&gt;</v>
      </c>
      <c r="X87"/>
      <c r="Y87" s="1"/>
      <c r="Z87" s="1"/>
      <c r="AA87" s="1"/>
      <c r="AB87" s="1"/>
    </row>
    <row r="88" spans="1:28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2954</v>
      </c>
      <c r="J88" s="1" t="s">
        <v>607</v>
      </c>
      <c r="M88" s="15" t="s">
        <v>500</v>
      </c>
      <c r="N88" s="1" t="s">
        <v>1510</v>
      </c>
      <c r="O88" s="15">
        <v>16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88" s="1"/>
      <c r="T88" s="1"/>
      <c r="U88" s="32" t="s">
        <v>3540</v>
      </c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88" s="15" t="str">
        <f>_xlfn.TEXTBEFORE(_xlfn.TEXTAFTER(CantoralDB[[#This Row],[index.html]],"&gt;"),"&gt;")&amp;"&gt;"</f>
        <v>&lt;a href="canciones/ain_karem/os_envio.html"&gt;</v>
      </c>
      <c r="X88"/>
      <c r="Y88" s="1"/>
      <c r="Z88" s="1"/>
      <c r="AA88" s="1"/>
      <c r="AB88" s="1"/>
    </row>
    <row r="89" spans="1:28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2952</v>
      </c>
      <c r="J89" s="1" t="s">
        <v>607</v>
      </c>
      <c r="M89" s="15" t="s">
        <v>500</v>
      </c>
      <c r="N89" s="1" t="s">
        <v>1511</v>
      </c>
      <c r="O89" s="15">
        <v>1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89" s="1"/>
      <c r="T89" s="1"/>
      <c r="U89" s="32" t="s">
        <v>3541</v>
      </c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89" s="15" t="str">
        <f>_xlfn.TEXTBEFORE(_xlfn.TEXTAFTER(CantoralDB[[#This Row],[index.html]],"&gt;"),"&gt;")&amp;"&gt;"</f>
        <v>&lt;a href="canciones/ain_karem/fuego.html"&gt;</v>
      </c>
      <c r="X89"/>
      <c r="Y89" s="1"/>
      <c r="Z89" s="1"/>
      <c r="AA89" s="1"/>
      <c r="AB89" s="1"/>
    </row>
    <row r="90" spans="1:28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" s="1"/>
      <c r="T90" s="1"/>
      <c r="U90" s="32" t="s">
        <v>3542</v>
      </c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" s="15" t="str">
        <f>_xlfn.TEXTBEFORE(_xlfn.TEXTAFTER(CantoralDB[[#This Row],[index.html]],"&gt;"),"&gt;")&amp;"&gt;"</f>
        <v>&lt;a href="canciones/ain_karem/mujeres_en_camino.html"&gt;</v>
      </c>
      <c r="X90"/>
      <c r="Y90" s="1"/>
      <c r="Z90" s="1"/>
      <c r="AA90" s="1"/>
      <c r="AB90" s="1"/>
    </row>
    <row r="91" spans="1:28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1" s="1"/>
      <c r="T91" s="1"/>
      <c r="U91" s="32" t="s">
        <v>3543</v>
      </c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1" s="15" t="str">
        <f>_xlfn.TEXTBEFORE(_xlfn.TEXTAFTER(CantoralDB[[#This Row],[index.html]],"&gt;"),"&gt;")&amp;"&gt;"</f>
        <v>&lt;a href="canciones/ain_karem/no_temas.html"&gt;</v>
      </c>
      <c r="X91"/>
      <c r="Y91" s="1"/>
      <c r="Z91" s="1"/>
      <c r="AA91" s="1"/>
      <c r="AB91" s="1"/>
    </row>
    <row r="92" spans="1:28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2" s="1"/>
      <c r="T92" s="1"/>
      <c r="U92" s="32" t="s">
        <v>3544</v>
      </c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2" s="15" t="str">
        <f>_xlfn.TEXTBEFORE(_xlfn.TEXTAFTER(CantoralDB[[#This Row],[index.html]],"&gt;"),"&gt;")&amp;"&gt;"</f>
        <v>&lt;a href="canciones/ain_karem/abre_mis_puertas.html"&gt;</v>
      </c>
      <c r="X92"/>
      <c r="Y92" s="1"/>
      <c r="Z92" s="1"/>
      <c r="AA92" s="1"/>
      <c r="AB92" s="1"/>
    </row>
    <row r="93" spans="1:28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3" s="1"/>
      <c r="T93" s="1"/>
      <c r="U93" s="32" t="s">
        <v>3545</v>
      </c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3" s="15" t="str">
        <f>_xlfn.TEXTBEFORE(_xlfn.TEXTAFTER(CantoralDB[[#This Row],[index.html]],"&gt;"),"&gt;")&amp;"&gt;"</f>
        <v>&lt;a href="canciones/ain_karem/danos_de_beber.html"&gt;</v>
      </c>
      <c r="X93"/>
      <c r="Y93" s="1"/>
      <c r="Z93" s="1"/>
      <c r="AA93" s="1"/>
      <c r="AB93" s="1"/>
    </row>
    <row r="94" spans="1:28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2954</v>
      </c>
      <c r="J94" s="1" t="s">
        <v>607</v>
      </c>
      <c r="M94" s="15" t="s">
        <v>500</v>
      </c>
      <c r="N94" s="1" t="s">
        <v>1511</v>
      </c>
      <c r="O94" s="15">
        <v>6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4" s="1"/>
      <c r="T94" s="1"/>
      <c r="U94" s="32" t="s">
        <v>3546</v>
      </c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4" s="15" t="str">
        <f>_xlfn.TEXTBEFORE(_xlfn.TEXTAFTER(CantoralDB[[#This Row],[index.html]],"&gt;"),"&gt;")&amp;"&gt;"</f>
        <v>&lt;a href="canciones/ain_karem/secuencia_pascual.html"&gt;</v>
      </c>
      <c r="X94"/>
      <c r="Y94" s="1"/>
      <c r="Z94" s="1"/>
      <c r="AA94" s="1"/>
      <c r="AB94" s="1"/>
    </row>
    <row r="95" spans="1:28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2953</v>
      </c>
      <c r="J95" s="1" t="s">
        <v>607</v>
      </c>
      <c r="M95" s="15" t="s">
        <v>500</v>
      </c>
      <c r="N95" s="1" t="s">
        <v>1511</v>
      </c>
      <c r="O95" s="15">
        <v>7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5" s="1"/>
      <c r="T95" s="1"/>
      <c r="U95" s="32" t="s">
        <v>3547</v>
      </c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5" s="15" t="str">
        <f>_xlfn.TEXTBEFORE(_xlfn.TEXTAFTER(CantoralDB[[#This Row],[index.html]],"&gt;"),"&gt;")&amp;"&gt;"</f>
        <v>&lt;a href="canciones/ain_karem/solo_en_dios.html"&gt;</v>
      </c>
      <c r="X95"/>
      <c r="Y95" s="1"/>
      <c r="Z95" s="1"/>
      <c r="AA95" s="1"/>
      <c r="AB95" s="1"/>
    </row>
    <row r="96" spans="1:28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2950</v>
      </c>
      <c r="J96" s="1" t="s">
        <v>607</v>
      </c>
      <c r="M96" s="15" t="s">
        <v>500</v>
      </c>
      <c r="N96" s="1" t="s">
        <v>1511</v>
      </c>
      <c r="O96" s="15">
        <v>8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6" s="1"/>
      <c r="T96" s="1"/>
      <c r="U96" s="32" t="s">
        <v>3548</v>
      </c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6" s="15" t="str">
        <f>_xlfn.TEXTBEFORE(_xlfn.TEXTAFTER(CantoralDB[[#This Row],[index.html]],"&gt;"),"&gt;")&amp;"&gt;"</f>
        <v>&lt;a href="canciones/ain_karem/cantad_al_señor.html"&gt;</v>
      </c>
      <c r="X96"/>
      <c r="Y96" s="1"/>
      <c r="Z96" s="1"/>
      <c r="AA96" s="1"/>
      <c r="AB96" s="1"/>
    </row>
    <row r="97" spans="1:28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2953</v>
      </c>
      <c r="J97" s="1" t="s">
        <v>607</v>
      </c>
      <c r="M97" s="15" t="s">
        <v>500</v>
      </c>
      <c r="N97" s="1" t="s">
        <v>1511</v>
      </c>
      <c r="O97" s="15">
        <v>9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7" s="1"/>
      <c r="T97" s="1"/>
      <c r="U97" s="32" t="s">
        <v>3549</v>
      </c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7" s="15" t="str">
        <f>_xlfn.TEXTBEFORE(_xlfn.TEXTAFTER(CantoralDB[[#This Row],[index.html]],"&gt;"),"&gt;")&amp;"&gt;"</f>
        <v>&lt;a href="canciones/ain_karem/agua_viva.html"&gt;</v>
      </c>
      <c r="X97"/>
      <c r="Y97" s="1"/>
      <c r="Z97" s="1"/>
      <c r="AA97" s="1"/>
      <c r="AB97" s="1"/>
    </row>
    <row r="98" spans="1:28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8" s="1"/>
      <c r="T98" s="1"/>
      <c r="U98" s="32" t="s">
        <v>3550</v>
      </c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8" s="15" t="str">
        <f>_xlfn.TEXTBEFORE(_xlfn.TEXTAFTER(CantoralDB[[#This Row],[index.html]],"&gt;"),"&gt;")&amp;"&gt;"</f>
        <v>&lt;a href="canciones/ain_karem/fuego_y_abrazo.html"&gt;</v>
      </c>
      <c r="X98"/>
      <c r="Y98" s="1"/>
      <c r="Z98" s="1"/>
      <c r="AA98" s="1"/>
      <c r="AB98" s="1"/>
    </row>
    <row r="99" spans="1:28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9" s="1"/>
      <c r="T99" s="1"/>
      <c r="U99" s="32" t="s">
        <v>3551</v>
      </c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9" s="15" t="str">
        <f>_xlfn.TEXTBEFORE(_xlfn.TEXTAFTER(CantoralDB[[#This Row],[index.html]],"&gt;"),"&gt;")&amp;"&gt;"</f>
        <v>&lt;a href="canciones/ain_karem/habitare.html"&gt;</v>
      </c>
      <c r="X99"/>
      <c r="Y99" s="1"/>
      <c r="Z99" s="1"/>
      <c r="AA99" s="1"/>
      <c r="AB99" s="1"/>
    </row>
    <row r="100" spans="1:28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100" s="1"/>
      <c r="T100" s="1"/>
      <c r="U100" s="32" t="s">
        <v>3552</v>
      </c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100" s="15" t="str">
        <f>_xlfn.TEXTBEFORE(_xlfn.TEXTAFTER(CantoralDB[[#This Row],[index.html]],"&gt;"),"&gt;")&amp;"&gt;"</f>
        <v>&lt;a href="canciones/ain_karem/discipulos.html"&gt;</v>
      </c>
      <c r="X100"/>
      <c r="Y100" s="1"/>
      <c r="Z100" s="1"/>
      <c r="AA100" s="1"/>
      <c r="AB100" s="1"/>
    </row>
    <row r="101" spans="1:28" x14ac:dyDescent="0.3">
      <c r="A101" s="1">
        <f>ROW(CantoralDB[[#This Row],[Título]])-1</f>
        <v>100</v>
      </c>
      <c r="B101" s="1" t="s">
        <v>2943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101" s="1"/>
      <c r="T101" s="1"/>
      <c r="U101" s="32" t="s">
        <v>3553</v>
      </c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101" s="15" t="str">
        <f>_xlfn.TEXTBEFORE(_xlfn.TEXTAFTER(CantoralDB[[#This Row],[index.html]],"&gt;"),"&gt;")&amp;"&gt;"</f>
        <v>&lt;a href="canciones/ain_karem/no_os_dejo_solos.html"&gt;</v>
      </c>
      <c r="X101"/>
      <c r="Y101" s="1"/>
      <c r="Z101" s="1"/>
      <c r="AA101" s="1"/>
      <c r="AB101" s="1"/>
    </row>
    <row r="102" spans="1:28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2950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102" s="1"/>
      <c r="T102" s="1"/>
      <c r="U102" s="32" t="s">
        <v>3554</v>
      </c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102" s="15" t="str">
        <f>_xlfn.TEXTBEFORE(_xlfn.TEXTAFTER(CantoralDB[[#This Row],[index.html]],"&gt;"),"&gt;")&amp;"&gt;"</f>
        <v>&lt;a href="canciones/ain_karem/por_amor_a_tu_pueblo.html"&gt;</v>
      </c>
      <c r="X102"/>
      <c r="Y102" s="1"/>
      <c r="Z102" s="1"/>
      <c r="AA102" s="1"/>
      <c r="AB102" s="1"/>
    </row>
    <row r="103" spans="1:28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2953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103" s="1"/>
      <c r="T103" s="1"/>
      <c r="U103" s="32" t="s">
        <v>3555</v>
      </c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103" s="15" t="str">
        <f>_xlfn.TEXTBEFORE(_xlfn.TEXTAFTER(CantoralDB[[#This Row],[index.html]],"&gt;"),"&gt;")&amp;"&gt;"</f>
        <v>&lt;a href="canciones/ain_karem/llama_de_amor_viva.html"&gt;</v>
      </c>
      <c r="X103"/>
      <c r="Y103" s="1"/>
      <c r="Z103" s="1"/>
      <c r="AA103" s="1"/>
      <c r="AB103" s="1"/>
    </row>
    <row r="104" spans="1:28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2950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104" s="1"/>
      <c r="T104" s="1"/>
      <c r="U104" s="32" t="s">
        <v>3556</v>
      </c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104" s="15" t="str">
        <f>_xlfn.TEXTBEFORE(_xlfn.TEXTAFTER(CantoralDB[[#This Row],[index.html]],"&gt;"),"&gt;")&amp;"&gt;"</f>
        <v>&lt;a href="canciones/ain_karem/la_piedra_angular.html"&gt;</v>
      </c>
      <c r="X104"/>
      <c r="Y104" s="1"/>
      <c r="Z104" s="1"/>
      <c r="AA104" s="1"/>
      <c r="AB104" s="1"/>
    </row>
    <row r="105" spans="1:28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105" s="1"/>
      <c r="T105" s="1"/>
      <c r="U105" s="32" t="s">
        <v>3557</v>
      </c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105" s="15" t="str">
        <f>_xlfn.TEXTBEFORE(_xlfn.TEXTAFTER(CantoralDB[[#This Row],[index.html]],"&gt;"),"&gt;")&amp;"&gt;"</f>
        <v>&lt;a href="canciones/ain_karem/como_pan_pequeño.html"&gt;</v>
      </c>
      <c r="X105"/>
      <c r="Y105" s="1"/>
      <c r="Z105" s="1"/>
      <c r="AA105" s="1"/>
      <c r="AB105" s="1"/>
    </row>
    <row r="106" spans="1:28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2952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106" s="1"/>
      <c r="T106" s="1"/>
      <c r="U106" s="32" t="s">
        <v>3558</v>
      </c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106" s="15" t="str">
        <f>_xlfn.TEXTBEFORE(_xlfn.TEXTAFTER(CantoralDB[[#This Row],[index.html]],"&gt;"),"&gt;")&amp;"&gt;"</f>
        <v>&lt;a href="canciones/ain_karem/en_ti.html"&gt;</v>
      </c>
      <c r="X106"/>
      <c r="Y106" s="1"/>
      <c r="Z106" s="1"/>
      <c r="AA106" s="1"/>
      <c r="AB106" s="1"/>
    </row>
    <row r="107" spans="1:28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07" s="1"/>
      <c r="T107" s="1"/>
      <c r="U107" s="32" t="s">
        <v>3559</v>
      </c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107" s="15" t="str">
        <f>_xlfn.TEXTBEFORE(_xlfn.TEXTAFTER(CantoralDB[[#This Row],[index.html]],"&gt;"),"&gt;")&amp;"&gt;"</f>
        <v>&lt;a href="canciones/ain_karem/ven_señor.html"&gt;</v>
      </c>
      <c r="X107"/>
      <c r="Y107" s="1"/>
      <c r="Z107" s="1"/>
      <c r="AA107" s="1"/>
      <c r="AB107" s="1"/>
    </row>
    <row r="108" spans="1:28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08" s="1"/>
      <c r="T108" s="1"/>
      <c r="U108" s="32" t="s">
        <v>3560</v>
      </c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108" s="15" t="str">
        <f>_xlfn.TEXTBEFORE(_xlfn.TEXTAFTER(CantoralDB[[#This Row],[index.html]],"&gt;"),"&gt;")&amp;"&gt;"</f>
        <v>&lt;a href="canciones/ain_karem/volemos.html"&gt;</v>
      </c>
      <c r="X108"/>
      <c r="Y108" s="1"/>
      <c r="Z108" s="1"/>
      <c r="AA108" s="1"/>
      <c r="AB108" s="1"/>
    </row>
    <row r="109" spans="1:28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2952</v>
      </c>
      <c r="J109" s="1" t="s">
        <v>607</v>
      </c>
      <c r="M109" s="15" t="s">
        <v>500</v>
      </c>
      <c r="N109" s="1" t="s">
        <v>1507</v>
      </c>
      <c r="O109" s="15">
        <v>1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109" s="15" t="str">
        <f>_xlfn.TEXTBEFORE(_xlfn.TEXTAFTER(CantoralDB[[#This Row],[index.html]],"&gt;"),"&gt;")&amp;"&gt;"</f>
        <v>&lt;a href="canciones/ain_karem/yo_soy.html"&gt;</v>
      </c>
      <c r="X109"/>
      <c r="Y109" s="1"/>
      <c r="Z109" s="1"/>
      <c r="AA109" s="1"/>
      <c r="AB109" s="1"/>
    </row>
    <row r="110" spans="1:28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2950</v>
      </c>
      <c r="J110" s="1" t="s">
        <v>607</v>
      </c>
      <c r="M110" s="15" t="s">
        <v>500</v>
      </c>
      <c r="N110" s="1" t="s">
        <v>1507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110" s="15" t="str">
        <f>_xlfn.TEXTBEFORE(_xlfn.TEXTAFTER(CantoralDB[[#This Row],[index.html]],"&gt;"),"&gt;")&amp;"&gt;"</f>
        <v>&lt;a href="canciones/ain_karem/a_toda_la_tierra_alcanza_su_pregon.html"&gt;</v>
      </c>
      <c r="X110"/>
      <c r="Y110" s="1"/>
      <c r="Z110" s="1"/>
      <c r="AA110" s="1"/>
      <c r="AB110" s="1"/>
    </row>
    <row r="111" spans="1:28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2953</v>
      </c>
      <c r="J111" s="1" t="s">
        <v>607</v>
      </c>
      <c r="M111" s="15" t="s">
        <v>500</v>
      </c>
      <c r="N111" s="1" t="s">
        <v>1507</v>
      </c>
      <c r="O111" s="15">
        <v>3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111" s="15" t="str">
        <f>_xlfn.TEXTBEFORE(_xlfn.TEXTAFTER(CantoralDB[[#This Row],[index.html]],"&gt;"),"&gt;")&amp;"&gt;"</f>
        <v>&lt;a href="canciones/ain_karem/con_amor_eterno.html"&gt;</v>
      </c>
      <c r="X111"/>
      <c r="Y111" s="1"/>
      <c r="Z111" s="1"/>
      <c r="AA111" s="1"/>
      <c r="AB111" s="1"/>
    </row>
    <row r="112" spans="1:28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2953</v>
      </c>
      <c r="J112" s="1" t="s">
        <v>607</v>
      </c>
      <c r="M112" s="15" t="s">
        <v>500</v>
      </c>
      <c r="N112" s="1" t="s">
        <v>1507</v>
      </c>
      <c r="O112" s="15">
        <v>4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112" s="1" t="s">
        <v>841</v>
      </c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112" s="15" t="str">
        <f>_xlfn.TEXTBEFORE(_xlfn.TEXTAFTER(CantoralDB[[#This Row],[index.html]],"&gt;"),"&gt;")&amp;"&gt;"</f>
        <v>&lt;a href="canciones/ain_karem/lampara_es_tu_palabra.html"&gt;</v>
      </c>
      <c r="X112"/>
      <c r="Y112" s="1"/>
      <c r="Z112" s="1"/>
      <c r="AA112" s="1"/>
      <c r="AB112" s="1"/>
    </row>
    <row r="113" spans="1:28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2953</v>
      </c>
      <c r="J113" s="1" t="s">
        <v>607</v>
      </c>
      <c r="M113" s="15" t="s">
        <v>500</v>
      </c>
      <c r="N113" s="1" t="s">
        <v>1507</v>
      </c>
      <c r="O113" s="15">
        <v>5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113" s="15" t="str">
        <f>_xlfn.TEXTBEFORE(_xlfn.TEXTAFTER(CantoralDB[[#This Row],[index.html]],"&gt;"),"&gt;")&amp;"&gt;"</f>
        <v>&lt;a href="canciones/ain_karem/anunciarte.html"&gt;</v>
      </c>
      <c r="X113"/>
      <c r="Y113" s="1"/>
      <c r="Z113" s="1"/>
      <c r="AA113" s="1"/>
      <c r="AB113" s="1"/>
    </row>
    <row r="114" spans="1:28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2953</v>
      </c>
      <c r="J114" s="1" t="s">
        <v>607</v>
      </c>
      <c r="M114" s="15" t="s">
        <v>500</v>
      </c>
      <c r="N114" s="1" t="s">
        <v>1507</v>
      </c>
      <c r="O114" s="15">
        <v>6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114" s="15" t="str">
        <f>_xlfn.TEXTBEFORE(_xlfn.TEXTAFTER(CantoralDB[[#This Row],[index.html]],"&gt;"),"&gt;")&amp;"&gt;"</f>
        <v>&lt;a href="canciones/ain_karem/invitanos.html"&gt;</v>
      </c>
      <c r="X114"/>
      <c r="Y114" s="1"/>
      <c r="Z114" s="1"/>
      <c r="AA114" s="1"/>
      <c r="AB114" s="1"/>
    </row>
    <row r="115" spans="1:28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2951</v>
      </c>
      <c r="J115" s="1" t="s">
        <v>607</v>
      </c>
      <c r="M115" s="15" t="s">
        <v>500</v>
      </c>
      <c r="N115" s="1" t="s">
        <v>1507</v>
      </c>
      <c r="O115" s="15">
        <v>7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115" s="15" t="str">
        <f>_xlfn.TEXTBEFORE(_xlfn.TEXTAFTER(CantoralDB[[#This Row],[index.html]],"&gt;"),"&gt;")&amp;"&gt;"</f>
        <v>&lt;a href="canciones/ain_karem/hagase.html"&gt;</v>
      </c>
      <c r="X115"/>
      <c r="Y115" s="1"/>
      <c r="Z115" s="1"/>
      <c r="AA115" s="1"/>
      <c r="AB115" s="1"/>
    </row>
    <row r="116" spans="1:28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2954</v>
      </c>
      <c r="J116" s="1" t="s">
        <v>607</v>
      </c>
      <c r="M116" s="15" t="s">
        <v>500</v>
      </c>
      <c r="N116" s="1" t="s">
        <v>1507</v>
      </c>
      <c r="O116" s="15">
        <v>8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116" s="15" t="str">
        <f>_xlfn.TEXTBEFORE(_xlfn.TEXTAFTER(CantoralDB[[#This Row],[index.html]],"&gt;"),"&gt;")&amp;"&gt;"</f>
        <v>&lt;a href="canciones/ain_karem/creatura_habitada.html"&gt;</v>
      </c>
      <c r="X116"/>
      <c r="Y116" s="1"/>
      <c r="Z116" s="1"/>
      <c r="AA116" s="1"/>
      <c r="AB116" s="1"/>
    </row>
    <row r="117" spans="1:28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2952</v>
      </c>
      <c r="J117" s="1" t="s">
        <v>607</v>
      </c>
      <c r="M117" s="15" t="s">
        <v>500</v>
      </c>
      <c r="N117" s="1" t="s">
        <v>1507</v>
      </c>
      <c r="O117" s="15">
        <v>9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117" s="15" t="str">
        <f>_xlfn.TEXTBEFORE(_xlfn.TEXTAFTER(CantoralDB[[#This Row],[index.html]],"&gt;"),"&gt;")&amp;"&gt;"</f>
        <v>&lt;a href="canciones/ain_karem/el_hombre_de_gerasa.html"&gt;</v>
      </c>
      <c r="X117"/>
      <c r="Y117" s="1"/>
      <c r="Z117" s="1"/>
      <c r="AA117" s="1"/>
      <c r="AB117" s="1"/>
    </row>
    <row r="118" spans="1:28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118" s="15" t="str">
        <f>_xlfn.TEXTBEFORE(_xlfn.TEXTAFTER(CantoralDB[[#This Row],[index.html]],"&gt;"),"&gt;")&amp;"&gt;"</f>
        <v>&lt;a href="canciones/ain_karem/llueve_tu.html"&gt;</v>
      </c>
      <c r="X118"/>
      <c r="Y118" s="1"/>
      <c r="Z118" s="1"/>
      <c r="AA118" s="1"/>
      <c r="AB118" s="1"/>
    </row>
    <row r="119" spans="1:28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2953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119" s="15" t="str">
        <f>_xlfn.TEXTBEFORE(_xlfn.TEXTAFTER(CantoralDB[[#This Row],[index.html]],"&gt;"),"&gt;")&amp;"&gt;"</f>
        <v>&lt;a href="canciones/ain_karem/benedictus.html"&gt;</v>
      </c>
      <c r="X119"/>
      <c r="Y119" s="1"/>
      <c r="Z119" s="1"/>
      <c r="AA119" s="1"/>
      <c r="AB119" s="1"/>
    </row>
    <row r="120" spans="1:28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2951</v>
      </c>
      <c r="J120" s="1"/>
      <c r="M120" s="15" t="s">
        <v>500</v>
      </c>
      <c r="N120" s="1" t="s">
        <v>1507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120" s="15" t="str">
        <f>_xlfn.TEXTBEFORE(_xlfn.TEXTAFTER(CantoralDB[[#This Row],[index.html]],"&gt;"),"&gt;")&amp;"&gt;"</f>
        <v>&lt;a href="canciones/ain_karem/oracion_de_una_mujer.html"&gt;</v>
      </c>
      <c r="X120"/>
      <c r="Y120" s="1"/>
      <c r="Z120" s="1"/>
      <c r="AA120" s="1"/>
      <c r="AB120" s="1"/>
    </row>
    <row r="121" spans="1:28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2952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121" s="15" t="str">
        <f>_xlfn.TEXTBEFORE(_xlfn.TEXTAFTER(CantoralDB[[#This Row],[index.html]],"&gt;"),"&gt;")&amp;"&gt;"</f>
        <v>&lt;a href="canciones/ain_karem/heme_aqui.html"&gt;</v>
      </c>
      <c r="X121"/>
      <c r="Y121" s="1"/>
      <c r="Z121" s="1"/>
      <c r="AA121" s="1"/>
      <c r="AB121" s="1"/>
    </row>
    <row r="122" spans="1:28" x14ac:dyDescent="0.3">
      <c r="A122" s="1">
        <f>ROW(CantoralDB[[#This Row],[Título]])-1</f>
        <v>121</v>
      </c>
      <c r="B122" s="1" t="s">
        <v>3562</v>
      </c>
      <c r="C122" s="1"/>
      <c r="J122" s="1"/>
      <c r="M122" s="15" t="s">
        <v>500</v>
      </c>
      <c r="N122" s="1" t="s">
        <v>3561</v>
      </c>
      <c r="O122" s="15">
        <v>1</v>
      </c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S122" s="1"/>
      <c r="T122" s="1"/>
      <c r="U122" s="32" t="s">
        <v>3577</v>
      </c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W122" s="15" t="str">
        <f>_xlfn.TEXTBEFORE(_xlfn.TEXTAFTER(CantoralDB[[#This Row],[index.html]],"&gt;"),"&gt;")&amp;"&gt;"</f>
        <v>&lt;a href="canciones/ain_karem/baja.html"&gt;</v>
      </c>
      <c r="X122"/>
      <c r="Y122" s="1"/>
      <c r="Z122" s="1"/>
      <c r="AA122" s="1"/>
      <c r="AB122" s="1"/>
    </row>
    <row r="123" spans="1:28" x14ac:dyDescent="0.3">
      <c r="A123" s="1">
        <f>ROW(CantoralDB[[#This Row],[Título]])-1</f>
        <v>122</v>
      </c>
      <c r="B123" s="1" t="s">
        <v>3563</v>
      </c>
      <c r="C123" s="1"/>
      <c r="J123" s="1"/>
      <c r="M123" s="15" t="s">
        <v>500</v>
      </c>
      <c r="N123" s="1" t="s">
        <v>3561</v>
      </c>
      <c r="O123" s="15">
        <v>2</v>
      </c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S123" s="1"/>
      <c r="T123" s="1"/>
      <c r="U123" s="32" t="s">
        <v>3578</v>
      </c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W123" s="15" t="str">
        <f>_xlfn.TEXTBEFORE(_xlfn.TEXTAFTER(CantoralDB[[#This Row],[index.html]],"&gt;"),"&gt;")&amp;"&gt;"</f>
        <v>&lt;a href="canciones/ain_karem/mi_alegria.html"&gt;</v>
      </c>
      <c r="X123"/>
      <c r="Y123" s="1"/>
      <c r="Z123" s="1"/>
      <c r="AA123" s="1"/>
      <c r="AB123" s="1"/>
    </row>
    <row r="124" spans="1:28" x14ac:dyDescent="0.3">
      <c r="A124" s="1">
        <f>ROW(CantoralDB[[#This Row],[Título]])-1</f>
        <v>123</v>
      </c>
      <c r="B124" s="1" t="s">
        <v>3564</v>
      </c>
      <c r="C124" s="1"/>
      <c r="J124" s="1"/>
      <c r="M124" s="15" t="s">
        <v>500</v>
      </c>
      <c r="N124" s="1" t="s">
        <v>3561</v>
      </c>
      <c r="O124" s="15">
        <v>3</v>
      </c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S124" s="1"/>
      <c r="T124" s="1"/>
      <c r="U124" s="32" t="s">
        <v>3579</v>
      </c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W124" s="15" t="str">
        <f>_xlfn.TEXTBEFORE(_xlfn.TEXTAFTER(CantoralDB[[#This Row],[index.html]],"&gt;"),"&gt;")&amp;"&gt;"</f>
        <v>&lt;a href="canciones/ain_karem/raices.html"&gt;</v>
      </c>
      <c r="X124"/>
      <c r="Y124" s="1"/>
      <c r="Z124" s="1"/>
      <c r="AA124" s="1"/>
      <c r="AB124" s="1"/>
    </row>
    <row r="125" spans="1:28" x14ac:dyDescent="0.3">
      <c r="A125" s="1">
        <f>ROW(CantoralDB[[#This Row],[Título]])-1</f>
        <v>124</v>
      </c>
      <c r="B125" s="1" t="s">
        <v>3565</v>
      </c>
      <c r="C125" s="1"/>
      <c r="J125" s="1"/>
      <c r="M125" s="15" t="s">
        <v>500</v>
      </c>
      <c r="N125" s="1" t="s">
        <v>3561</v>
      </c>
      <c r="O125" s="15">
        <v>4</v>
      </c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S125" s="1"/>
      <c r="T125" s="1"/>
      <c r="U125" s="32" t="s">
        <v>3580</v>
      </c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W125" s="15" t="str">
        <f>_xlfn.TEXTBEFORE(_xlfn.TEXTAFTER(CantoralDB[[#This Row],[index.html]],"&gt;"),"&gt;")&amp;"&gt;"</f>
        <v>&lt;a href="canciones/ain_karem/como_un_joven_mas.html"&gt;</v>
      </c>
      <c r="X125"/>
      <c r="Y125" s="1"/>
      <c r="Z125" s="1"/>
      <c r="AA125" s="1"/>
      <c r="AB125" s="1"/>
    </row>
    <row r="126" spans="1:28" x14ac:dyDescent="0.3">
      <c r="A126" s="1">
        <f>ROW(CantoralDB[[#This Row],[Título]])-1</f>
        <v>125</v>
      </c>
      <c r="B126" s="1" t="s">
        <v>3566</v>
      </c>
      <c r="C126" s="1"/>
      <c r="J126" s="1"/>
      <c r="M126" s="15" t="s">
        <v>500</v>
      </c>
      <c r="N126" s="1" t="s">
        <v>3561</v>
      </c>
      <c r="O126" s="15">
        <v>5</v>
      </c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S126" s="1"/>
      <c r="T126" s="1"/>
      <c r="U126" s="32" t="s">
        <v>3581</v>
      </c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W126" s="15" t="str">
        <f>_xlfn.TEXTBEFORE(_xlfn.TEXTAFTER(CantoralDB[[#This Row],[index.html]],"&gt;"),"&gt;")&amp;"&gt;"</f>
        <v>&lt;a href="canciones/ain_karem/nacer_de_nuevo.html"&gt;</v>
      </c>
      <c r="X126"/>
      <c r="Y126" s="1"/>
      <c r="Z126" s="1"/>
      <c r="AA126" s="1"/>
      <c r="AB126" s="1"/>
    </row>
    <row r="127" spans="1:28" x14ac:dyDescent="0.3">
      <c r="A127" s="1">
        <f>ROW(CantoralDB[[#This Row],[Título]])-1</f>
        <v>126</v>
      </c>
      <c r="B127" s="1" t="s">
        <v>3567</v>
      </c>
      <c r="C127" s="1"/>
      <c r="J127" s="1"/>
      <c r="M127" s="15" t="s">
        <v>500</v>
      </c>
      <c r="N127" s="1" t="s">
        <v>3561</v>
      </c>
      <c r="O127" s="15">
        <v>6</v>
      </c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S127" s="1"/>
      <c r="T127" s="1"/>
      <c r="U127" s="32" t="s">
        <v>3582</v>
      </c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W127" s="15" t="str">
        <f>_xlfn.TEXTBEFORE(_xlfn.TEXTAFTER(CantoralDB[[#This Row],[index.html]],"&gt;"),"&gt;")&amp;"&gt;"</f>
        <v>&lt;a href="canciones/ain_karem/descendio.html"&gt;</v>
      </c>
      <c r="X127"/>
      <c r="Y127" s="1"/>
      <c r="Z127" s="1"/>
      <c r="AA127" s="1"/>
      <c r="AB127" s="1"/>
    </row>
    <row r="128" spans="1:28" x14ac:dyDescent="0.3">
      <c r="A128" s="1">
        <f>ROW(CantoralDB[[#This Row],[Título]])-1</f>
        <v>127</v>
      </c>
      <c r="B128" s="1" t="s">
        <v>3568</v>
      </c>
      <c r="C128" s="1"/>
      <c r="J128" s="1"/>
      <c r="M128" s="15" t="s">
        <v>500</v>
      </c>
      <c r="N128" s="1" t="s">
        <v>3561</v>
      </c>
      <c r="O128" s="15">
        <v>7</v>
      </c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S128" s="1"/>
      <c r="T128" s="1"/>
      <c r="U128" s="32" t="s">
        <v>3583</v>
      </c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W128" s="15" t="str">
        <f>_xlfn.TEXTBEFORE(_xlfn.TEXTAFTER(CantoralDB[[#This Row],[index.html]],"&gt;"),"&gt;")&amp;"&gt;"</f>
        <v>&lt;a href="canciones/ain_karem/mirad_el_arbol_de_la_cruz.html"&gt;</v>
      </c>
      <c r="X128"/>
      <c r="Y128" s="1"/>
      <c r="Z128" s="1"/>
      <c r="AA128" s="1"/>
      <c r="AB128" s="1"/>
    </row>
    <row r="129" spans="1:28" x14ac:dyDescent="0.3">
      <c r="A129" s="1">
        <f>ROW(CantoralDB[[#This Row],[Título]])-1</f>
        <v>128</v>
      </c>
      <c r="B129" s="1" t="s">
        <v>3569</v>
      </c>
      <c r="C129" s="1"/>
      <c r="J129" s="1"/>
      <c r="M129" s="15" t="s">
        <v>500</v>
      </c>
      <c r="N129" s="1" t="s">
        <v>3561</v>
      </c>
      <c r="O129" s="15">
        <v>8</v>
      </c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S129" s="1"/>
      <c r="T129" s="1"/>
      <c r="U129" s="32" t="s">
        <v>3584</v>
      </c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W129" s="15" t="str">
        <f>_xlfn.TEXTBEFORE(_xlfn.TEXTAFTER(CantoralDB[[#This Row],[index.html]],"&gt;"),"&gt;")&amp;"&gt;"</f>
        <v>&lt;a href="canciones/ain_karem/conectada.html"&gt;</v>
      </c>
      <c r="X129"/>
      <c r="Y129" s="1"/>
      <c r="Z129" s="1"/>
      <c r="AA129" s="1"/>
      <c r="AB129" s="1"/>
    </row>
    <row r="130" spans="1:28" x14ac:dyDescent="0.3">
      <c r="A130" s="1">
        <f>ROW(CantoralDB[[#This Row],[Título]])-1</f>
        <v>129</v>
      </c>
      <c r="B130" s="1" t="s">
        <v>3561</v>
      </c>
      <c r="C130" s="1"/>
      <c r="J130" s="1"/>
      <c r="M130" s="15" t="s">
        <v>500</v>
      </c>
      <c r="N130" s="1" t="s">
        <v>3561</v>
      </c>
      <c r="O130" s="15">
        <v>9</v>
      </c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S130" s="1"/>
      <c r="T130" s="1"/>
      <c r="U130" s="32" t="s">
        <v>3585</v>
      </c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W130" s="15" t="str">
        <f>_xlfn.TEXTBEFORE(_xlfn.TEXTAFTER(CantoralDB[[#This Row],[index.html]],"&gt;"),"&gt;")&amp;"&gt;"</f>
        <v>&lt;a href="canciones/ain_karem/viviras.html"&gt;</v>
      </c>
      <c r="X130"/>
      <c r="Y130" s="1"/>
      <c r="Z130" s="1"/>
      <c r="AA130" s="1"/>
      <c r="AB130" s="1"/>
    </row>
    <row r="131" spans="1:28" x14ac:dyDescent="0.3">
      <c r="A131" s="1">
        <f>ROW(CantoralDB[[#This Row],[Título]])-1</f>
        <v>130</v>
      </c>
      <c r="B131" s="1" t="s">
        <v>3570</v>
      </c>
      <c r="C131" s="1"/>
      <c r="J131" s="1"/>
      <c r="M131" s="15" t="s">
        <v>500</v>
      </c>
      <c r="N131" s="1" t="s">
        <v>3561</v>
      </c>
      <c r="O131" s="15">
        <v>10</v>
      </c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canciones/ain_karem/fieles_y_unidas.html</v>
      </c>
      <c r="S131" s="1"/>
      <c r="T131" s="1"/>
      <c r="U131" s="32" t="s">
        <v>3586</v>
      </c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href="canciones/ain_karem/fieles_y_unidas.html"&gt;Fieles y unidas&lt;/a&gt;&lt;/li&gt;</v>
      </c>
      <c r="W131" s="15" t="str">
        <f>_xlfn.TEXTBEFORE(_xlfn.TEXTAFTER(CantoralDB[[#This Row],[index.html]],"&gt;"),"&gt;")&amp;"&gt;"</f>
        <v>&lt;a href="canciones/ain_karem/fieles_y_unidas.html"&gt;</v>
      </c>
      <c r="X131"/>
      <c r="Y131" s="1"/>
      <c r="Z131" s="1"/>
      <c r="AA131" s="1"/>
      <c r="AB131" s="1"/>
    </row>
    <row r="132" spans="1:28" x14ac:dyDescent="0.3">
      <c r="A132" s="1">
        <f>ROW(CantoralDB[[#This Row],[Título]])-1</f>
        <v>131</v>
      </c>
      <c r="B132" s="1" t="s">
        <v>3571</v>
      </c>
      <c r="C132" s="1"/>
      <c r="J132" s="1"/>
      <c r="M132" s="15" t="s">
        <v>500</v>
      </c>
      <c r="N132" s="1" t="s">
        <v>3561</v>
      </c>
      <c r="O132" s="15">
        <v>11</v>
      </c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S132" s="1"/>
      <c r="T132" s="1"/>
      <c r="U132" s="32" t="s">
        <v>3587</v>
      </c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W132" s="15" t="str">
        <f>_xlfn.TEXTBEFORE(_xlfn.TEXTAFTER(CantoralDB[[#This Row],[index.html]],"&gt;"),"&gt;")&amp;"&gt;"</f>
        <v>&lt;a href="canciones/ain_karem/luz_de_pascua.html"&gt;</v>
      </c>
      <c r="X132"/>
      <c r="Y132" s="1"/>
      <c r="Z132" s="1"/>
      <c r="AA132" s="1"/>
      <c r="AB132" s="1"/>
    </row>
    <row r="133" spans="1:28" x14ac:dyDescent="0.3">
      <c r="A133" s="1">
        <f>ROW(CantoralDB[[#This Row],[Título]])-1</f>
        <v>132</v>
      </c>
      <c r="B133" s="1" t="s">
        <v>3572</v>
      </c>
      <c r="C133" s="1"/>
      <c r="J133" s="1"/>
      <c r="M133" s="15" t="s">
        <v>500</v>
      </c>
      <c r="N133" s="1" t="s">
        <v>3561</v>
      </c>
      <c r="O133" s="15">
        <v>12</v>
      </c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S133" s="1"/>
      <c r="T133" s="1"/>
      <c r="U133" s="32" t="s">
        <v>3588</v>
      </c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W133" s="15" t="str">
        <f>_xlfn.TEXTBEFORE(_xlfn.TEXTAFTER(CantoralDB[[#This Row],[index.html]],"&gt;"),"&gt;")&amp;"&gt;"</f>
        <v>&lt;a href="canciones/ain_karem/mi_todo.html"&gt;</v>
      </c>
      <c r="X133"/>
      <c r="Y133" s="1"/>
      <c r="Z133" s="1"/>
      <c r="AA133" s="1"/>
      <c r="AB133" s="1"/>
    </row>
    <row r="134" spans="1:28" x14ac:dyDescent="0.3">
      <c r="A134" s="1">
        <f>ROW(CantoralDB[[#This Row],[Título]])-1</f>
        <v>133</v>
      </c>
      <c r="B134" s="1" t="s">
        <v>3573</v>
      </c>
      <c r="C134" s="1"/>
      <c r="J134" s="1"/>
      <c r="M134" s="15" t="s">
        <v>500</v>
      </c>
      <c r="N134" s="1" t="s">
        <v>3561</v>
      </c>
      <c r="O134" s="15">
        <v>13</v>
      </c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S134" s="1"/>
      <c r="T134" s="1"/>
      <c r="U134" s="32" t="s">
        <v>3589</v>
      </c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W134" s="15" t="str">
        <f>_xlfn.TEXTBEFORE(_xlfn.TEXTAFTER(CantoralDB[[#This Row],[index.html]],"&gt;"),"&gt;")&amp;"&gt;"</f>
        <v>&lt;a href="canciones/ain_karem/acompañame_maria.html"&gt;</v>
      </c>
      <c r="X134"/>
      <c r="Y134" s="1"/>
      <c r="Z134" s="1"/>
      <c r="AA134" s="1"/>
      <c r="AB134" s="1"/>
    </row>
    <row r="135" spans="1:28" x14ac:dyDescent="0.3">
      <c r="A135" s="1">
        <f>ROW(CantoralDB[[#This Row],[Título]])-1</f>
        <v>134</v>
      </c>
      <c r="B135" s="1" t="s">
        <v>3574</v>
      </c>
      <c r="C135" s="1"/>
      <c r="J135" s="1"/>
      <c r="M135" s="15" t="s">
        <v>500</v>
      </c>
      <c r="N135" s="1" t="s">
        <v>3561</v>
      </c>
      <c r="O135" s="15">
        <v>14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S135" s="1"/>
      <c r="T135" s="1"/>
      <c r="U135" s="32" t="s">
        <v>3590</v>
      </c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W135" s="15" t="str">
        <f>_xlfn.TEXTBEFORE(_xlfn.TEXTAFTER(CantoralDB[[#This Row],[index.html]],"&gt;"),"&gt;")&amp;"&gt;"</f>
        <v>&lt;a href="canciones/ain_karem/hoy_mas_fuertes_humildes_y_diligentes.html"&gt;</v>
      </c>
      <c r="X135"/>
      <c r="Y135" s="1"/>
      <c r="Z135" s="1"/>
      <c r="AA135" s="1"/>
      <c r="AB135" s="1"/>
    </row>
    <row r="136" spans="1:28" x14ac:dyDescent="0.3">
      <c r="A136" s="1">
        <f>ROW(CantoralDB[[#This Row],[Título]])-1</f>
        <v>135</v>
      </c>
      <c r="B136" s="1" t="s">
        <v>3575</v>
      </c>
      <c r="C136" s="1"/>
      <c r="J136" s="1"/>
      <c r="M136" s="15" t="s">
        <v>500</v>
      </c>
      <c r="N136" s="1" t="s">
        <v>3561</v>
      </c>
      <c r="O136" s="15">
        <v>15</v>
      </c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S136" s="1"/>
      <c r="T136" s="1"/>
      <c r="U136" s="32" t="s">
        <v>3591</v>
      </c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W136" s="15" t="str">
        <f>_xlfn.TEXTBEFORE(_xlfn.TEXTAFTER(CantoralDB[[#This Row],[index.html]],"&gt;"),"&gt;")&amp;"&gt;"</f>
        <v>&lt;a href="canciones/ain_karem/mujer_del_si_confiado.html"&gt;</v>
      </c>
      <c r="X136"/>
      <c r="Y136" s="1"/>
      <c r="Z136" s="1"/>
      <c r="AA136" s="1"/>
      <c r="AB136" s="1"/>
    </row>
    <row r="137" spans="1:28" x14ac:dyDescent="0.3">
      <c r="A137" s="1">
        <f>ROW(CantoralDB[[#This Row],[Título]])-1</f>
        <v>136</v>
      </c>
      <c r="B137" s="1" t="s">
        <v>3576</v>
      </c>
      <c r="C137" s="1"/>
      <c r="J137" s="1"/>
      <c r="M137" s="15" t="s">
        <v>500</v>
      </c>
      <c r="N137" s="1" t="s">
        <v>3561</v>
      </c>
      <c r="O137" s="15">
        <v>16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S137" s="1"/>
      <c r="T137" s="1"/>
      <c r="U137" s="32" t="s">
        <v>3592</v>
      </c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W137" s="15" t="str">
        <f>_xlfn.TEXTBEFORE(_xlfn.TEXTAFTER(CantoralDB[[#This Row],[index.html]],"&gt;"),"&gt;")&amp;"&gt;"</f>
        <v>&lt;a href="canciones/ain_karem/yo_estoy.html"&gt;</v>
      </c>
      <c r="X137"/>
      <c r="Y137" s="1"/>
      <c r="Z137" s="1"/>
      <c r="AA137" s="1"/>
      <c r="AB137" s="1"/>
    </row>
    <row r="138" spans="1:28" x14ac:dyDescent="0.3">
      <c r="A138" s="1">
        <f>ROW(CantoralDB[[#This Row],[Título]])-1</f>
        <v>137</v>
      </c>
      <c r="B138" s="1" t="s">
        <v>2684</v>
      </c>
      <c r="C138" s="1" t="s">
        <v>190</v>
      </c>
      <c r="D138" s="1" t="s">
        <v>1363</v>
      </c>
      <c r="E138" s="1">
        <v>401</v>
      </c>
      <c r="F138" s="1">
        <v>365</v>
      </c>
      <c r="G138" s="1" t="s">
        <v>208</v>
      </c>
      <c r="H138" s="1" t="s">
        <v>1029</v>
      </c>
      <c r="J138" s="1" t="s">
        <v>607</v>
      </c>
      <c r="M138" s="15" t="s">
        <v>589</v>
      </c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38" s="1" t="s">
        <v>798</v>
      </c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138" s="15" t="str">
        <f>_xlfn.TEXTBEFORE(_xlfn.TEXTAFTER(CantoralDB[[#This Row],[index.html]],"&gt;"),"&gt;")&amp;"&gt;"</f>
        <v>&lt;a href="canciones/alejandro_ruiz/abba_padre.html"&gt;</v>
      </c>
      <c r="X138"/>
      <c r="Y138" s="1"/>
      <c r="Z138" s="1"/>
      <c r="AA138" s="1"/>
      <c r="AB138" s="1"/>
    </row>
    <row r="139" spans="1:28" x14ac:dyDescent="0.3">
      <c r="A139" s="1">
        <f>ROW(CantoralDB[[#This Row],[Título]])-1</f>
        <v>138</v>
      </c>
      <c r="B139" s="1" t="s">
        <v>2831</v>
      </c>
      <c r="C139" s="1"/>
      <c r="F139" s="1">
        <v>438</v>
      </c>
      <c r="J139" s="1"/>
      <c r="M139" s="15" t="s">
        <v>589</v>
      </c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139" s="15" t="str">
        <f>_xlfn.TEXTBEFORE(_xlfn.TEXTAFTER(CantoralDB[[#This Row],[index.html]],"&gt;"),"&gt;")&amp;"&gt;"</f>
        <v>&lt;a href="canciones/alejandro_ruiz/alabad_al_señor_todas_las_naciones.html"&gt;</v>
      </c>
      <c r="X139"/>
      <c r="Y139" s="1"/>
      <c r="Z139" s="1"/>
      <c r="AA139" s="1"/>
      <c r="AB139" s="1"/>
    </row>
    <row r="140" spans="1:28" x14ac:dyDescent="0.3">
      <c r="A140" s="1">
        <f>ROW(CantoralDB[[#This Row],[Título]])-1</f>
        <v>139</v>
      </c>
      <c r="B140" s="1" t="s">
        <v>2703</v>
      </c>
      <c r="C140" s="1"/>
      <c r="F140" s="1">
        <v>332</v>
      </c>
      <c r="H140" s="1" t="s">
        <v>1029</v>
      </c>
      <c r="J140" s="1" t="s">
        <v>607</v>
      </c>
      <c r="M140" s="15" t="s">
        <v>589</v>
      </c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140" s="15" t="str">
        <f>_xlfn.TEXTBEFORE(_xlfn.TEXTAFTER(CantoralDB[[#This Row],[index.html]],"&gt;"),"&gt;")&amp;"&gt;"</f>
        <v>&lt;a href="canciones/alejandro_ruiz/arranca_de_mi_pecho.html"&gt;</v>
      </c>
      <c r="X140"/>
      <c r="Y140" s="1"/>
      <c r="Z140" s="1"/>
      <c r="AA140" s="1"/>
      <c r="AB140" s="1"/>
    </row>
    <row r="141" spans="1:28" x14ac:dyDescent="0.3">
      <c r="A141" s="1">
        <f>ROW(CantoralDB[[#This Row],[Título]])-1</f>
        <v>140</v>
      </c>
      <c r="B141" s="1" t="s">
        <v>2792</v>
      </c>
      <c r="C141" s="1"/>
      <c r="F141" s="1">
        <v>407</v>
      </c>
      <c r="J141" s="1"/>
      <c r="M141" s="15" t="s">
        <v>589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141" s="15" t="str">
        <f>_xlfn.TEXTBEFORE(_xlfn.TEXTAFTER(CantoralDB[[#This Row],[index.html]],"&gt;"),"&gt;")&amp;"&gt;"</f>
        <v>&lt;a href="canciones/alejandro_ruiz/confiad.html"&gt;</v>
      </c>
      <c r="X141"/>
      <c r="Y141" s="1"/>
      <c r="Z141" s="1"/>
      <c r="AA141" s="1"/>
      <c r="AB141" s="1"/>
    </row>
    <row r="142" spans="1:28" x14ac:dyDescent="0.3">
      <c r="A142" s="1">
        <f>ROW(CantoralDB[[#This Row],[Título]])-1</f>
        <v>141</v>
      </c>
      <c r="B142" s="1" t="s">
        <v>2823</v>
      </c>
      <c r="C142" s="1"/>
      <c r="F142" s="1">
        <v>432</v>
      </c>
      <c r="J142" s="1"/>
      <c r="M142" s="15" t="s">
        <v>589</v>
      </c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42" s="1"/>
      <c r="T142" s="1"/>
      <c r="U142" s="15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142" s="15" t="str">
        <f>_xlfn.TEXTBEFORE(_xlfn.TEXTAFTER(CantoralDB[[#This Row],[index.html]],"&gt;"),"&gt;")&amp;"&gt;"</f>
        <v>&lt;a href="canciones/alejandro_ruiz/demos_gloria.html"&gt;</v>
      </c>
      <c r="X142"/>
      <c r="Y142" s="1"/>
      <c r="Z142" s="1"/>
      <c r="AA142" s="1"/>
      <c r="AB142" s="1"/>
    </row>
    <row r="143" spans="1:28" x14ac:dyDescent="0.3">
      <c r="A143" s="1">
        <f>ROW(CantoralDB[[#This Row],[Título]])-1</f>
        <v>142</v>
      </c>
      <c r="B143" s="1" t="s">
        <v>2838</v>
      </c>
      <c r="C143" s="1"/>
      <c r="F143" s="1">
        <v>446</v>
      </c>
      <c r="J143" s="1"/>
      <c r="M143" s="15" t="s">
        <v>589</v>
      </c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143" s="15" t="str">
        <f>_xlfn.TEXTBEFORE(_xlfn.TEXTAFTER(CantoralDB[[#This Row],[index.html]],"&gt;"),"&gt;")&amp;"&gt;"</f>
        <v>&lt;a href="canciones/alejandro_ruiz/el_alfa_y_la_omega.html"&gt;</v>
      </c>
      <c r="X143"/>
      <c r="Y143" s="1"/>
      <c r="Z143" s="1"/>
      <c r="AA143" s="1"/>
      <c r="AB143" s="1"/>
    </row>
    <row r="144" spans="1:28" x14ac:dyDescent="0.3">
      <c r="A144" s="1">
        <f>ROW(CantoralDB[[#This Row],[Título]])-1</f>
        <v>143</v>
      </c>
      <c r="B144" s="1" t="s">
        <v>2800</v>
      </c>
      <c r="C144" s="1"/>
      <c r="F144" s="1">
        <v>412</v>
      </c>
      <c r="J144" s="1"/>
      <c r="M144" s="15" t="s">
        <v>589</v>
      </c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144" s="15" t="str">
        <f>_xlfn.TEXTBEFORE(_xlfn.TEXTAFTER(CantoralDB[[#This Row],[index.html]],"&gt;"),"&gt;")&amp;"&gt;"</f>
        <v>&lt;a href="canciones/alejandro_ruiz/hijo_de_david.html"&gt;</v>
      </c>
      <c r="X144"/>
      <c r="Y144" s="1"/>
      <c r="Z144" s="1"/>
      <c r="AA144" s="1"/>
      <c r="AB144" s="1"/>
    </row>
    <row r="145" spans="1:28" x14ac:dyDescent="0.3">
      <c r="A145" s="1">
        <f>ROW(CantoralDB[[#This Row],[Título]])-1</f>
        <v>144</v>
      </c>
      <c r="B145" s="1" t="s">
        <v>2833</v>
      </c>
      <c r="C145" s="1"/>
      <c r="F145" s="1">
        <v>440</v>
      </c>
      <c r="J145" s="1"/>
      <c r="M145" s="15" t="s">
        <v>589</v>
      </c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145" s="15" t="str">
        <f>_xlfn.TEXTBEFORE(_xlfn.TEXTAFTER(CantoralDB[[#This Row],[index.html]],"&gt;"),"&gt;")&amp;"&gt;"</f>
        <v>&lt;a href="canciones/alejandro_ruiz/la_victoria_es_de_nuestro_dios.html"&gt;</v>
      </c>
      <c r="X145"/>
      <c r="Y145" s="1"/>
      <c r="Z145" s="1"/>
      <c r="AA145" s="1"/>
      <c r="AB145" s="1"/>
    </row>
    <row r="146" spans="1:28" x14ac:dyDescent="0.3">
      <c r="A146" s="1">
        <f>ROW(CantoralDB[[#This Row],[Título]])-1</f>
        <v>145</v>
      </c>
      <c r="B146" s="1" t="s">
        <v>2687</v>
      </c>
      <c r="C146" s="1"/>
      <c r="F146" s="1">
        <v>312</v>
      </c>
      <c r="J146" s="1"/>
      <c r="M146" s="15" t="s">
        <v>589</v>
      </c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146" s="15" t="str">
        <f>_xlfn.TEXTBEFORE(_xlfn.TEXTAFTER(CantoralDB[[#This Row],[index.html]],"&gt;"),"&gt;")&amp;"&gt;"</f>
        <v>&lt;a href="canciones/alejandro_ruiz/no_hay_nadie_como_tu.html"&gt;</v>
      </c>
      <c r="X146"/>
      <c r="Y146" s="1"/>
      <c r="Z146" s="1"/>
      <c r="AA146" s="1"/>
      <c r="AB146" s="1"/>
    </row>
    <row r="147" spans="1:28" x14ac:dyDescent="0.3">
      <c r="A147" s="1">
        <f>ROW(CantoralDB[[#This Row],[Título]])-1</f>
        <v>146</v>
      </c>
      <c r="B147" s="1" t="s">
        <v>2806</v>
      </c>
      <c r="C147" s="1"/>
      <c r="F147" s="1">
        <v>417</v>
      </c>
      <c r="J147" s="1"/>
      <c r="M147" s="15" t="s">
        <v>589</v>
      </c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47" s="1"/>
      <c r="T147" s="1"/>
      <c r="U147" s="15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147" s="15" t="str">
        <f>_xlfn.TEXTBEFORE(_xlfn.TEXTAFTER(CantoralDB[[#This Row],[index.html]],"&gt;"),"&gt;")&amp;"&gt;"</f>
        <v>&lt;a href="canciones/alejandro_ruiz/que_tendras_tu.html"&gt;</v>
      </c>
      <c r="X147"/>
      <c r="Y147" s="1"/>
      <c r="Z147" s="1"/>
      <c r="AA147" s="1"/>
      <c r="AB147" s="1"/>
    </row>
    <row r="148" spans="1:28" x14ac:dyDescent="0.3">
      <c r="A148" s="1">
        <f>ROW(CantoralDB[[#This Row],[Título]])-1</f>
        <v>147</v>
      </c>
      <c r="B148" s="1" t="s">
        <v>2835</v>
      </c>
      <c r="C148" s="1"/>
      <c r="F148" s="1">
        <v>442</v>
      </c>
      <c r="J148" s="1"/>
      <c r="M148" s="15" t="s">
        <v>589</v>
      </c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148" s="15" t="str">
        <f>_xlfn.TEXTBEFORE(_xlfn.TEXTAFTER(CantoralDB[[#This Row],[index.html]],"&gt;"),"&gt;")&amp;"&gt;"</f>
        <v>&lt;a href="canciones/alejandro_ruiz/tu_me_has_vestido.html"&gt;</v>
      </c>
      <c r="X148"/>
      <c r="Y148" s="1"/>
      <c r="Z148" s="1"/>
      <c r="AA148" s="1"/>
      <c r="AB148" s="1"/>
    </row>
    <row r="149" spans="1:28" x14ac:dyDescent="0.3">
      <c r="A149" s="1">
        <f>ROW(CantoralDB[[#This Row],[Título]])-1</f>
        <v>148</v>
      </c>
      <c r="B149" s="1" t="s">
        <v>2381</v>
      </c>
      <c r="C149" s="1"/>
      <c r="F149" s="1">
        <v>2</v>
      </c>
      <c r="H149" s="1" t="s">
        <v>1027</v>
      </c>
      <c r="J149" s="1" t="s">
        <v>607</v>
      </c>
      <c r="M149" s="15" t="s">
        <v>589</v>
      </c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149" s="15" t="str">
        <f>_xlfn.TEXTBEFORE(_xlfn.TEXTAFTER(CantoralDB[[#This Row],[index.html]],"&gt;"),"&gt;")&amp;"&gt;"</f>
        <v>&lt;a href="canciones/alejandro_ruiz/tu_rompes_cadenas.html"&gt;</v>
      </c>
      <c r="X149"/>
      <c r="Y149" s="1"/>
      <c r="Z149" s="1"/>
      <c r="AA149" s="1"/>
      <c r="AB149" s="1"/>
    </row>
    <row r="150" spans="1:28" x14ac:dyDescent="0.3">
      <c r="A150" s="1">
        <f>ROW(CantoralDB[[#This Row],[Título]])-1</f>
        <v>149</v>
      </c>
      <c r="B150" s="1" t="s">
        <v>2655</v>
      </c>
      <c r="C150" s="1"/>
      <c r="F150" s="1">
        <v>277</v>
      </c>
      <c r="J150" s="1"/>
      <c r="M150" s="15" t="s">
        <v>589</v>
      </c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150" s="15" t="str">
        <f>_xlfn.TEXTBEFORE(_xlfn.TEXTAFTER(CantoralDB[[#This Row],[index.html]],"&gt;"),"&gt;")&amp;"&gt;"</f>
        <v>&lt;a href="canciones/alejandro_ruiz/tuya_es_la_victoria.html"&gt;</v>
      </c>
      <c r="X150"/>
      <c r="Y150" s="1"/>
      <c r="Z150" s="1"/>
      <c r="AA150" s="1"/>
      <c r="AB150" s="1"/>
    </row>
    <row r="151" spans="1:28" x14ac:dyDescent="0.3">
      <c r="A151" s="1">
        <f>ROW(CantoralDB[[#This Row],[Título]])-1</f>
        <v>150</v>
      </c>
      <c r="B151" s="1" t="s">
        <v>1748</v>
      </c>
      <c r="C151" s="1"/>
      <c r="F151" s="1">
        <v>175</v>
      </c>
      <c r="J151" s="1"/>
      <c r="M151" s="15" t="s">
        <v>589</v>
      </c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51" s="15" t="str">
        <f>_xlfn.TEXTBEFORE(_xlfn.TEXTAFTER(CantoralDB[[#This Row],[index.html]],"&gt;"),"&gt;")&amp;"&gt;"</f>
        <v>&lt;a href="canciones/alejandro_ruiz/ven_espiritu.html"&gt;</v>
      </c>
      <c r="X151"/>
      <c r="Y151" s="1"/>
      <c r="Z151" s="1"/>
      <c r="AA151" s="1"/>
      <c r="AB151" s="1"/>
    </row>
    <row r="152" spans="1:28" x14ac:dyDescent="0.3">
      <c r="A152" s="1">
        <f>ROW(CantoralDB[[#This Row],[Título]])-1</f>
        <v>151</v>
      </c>
      <c r="B152" s="1" t="s">
        <v>2813</v>
      </c>
      <c r="C152" s="1"/>
      <c r="F152" s="1">
        <v>424</v>
      </c>
      <c r="J152" s="1"/>
      <c r="M152" s="15" t="s">
        <v>589</v>
      </c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152" s="15" t="str">
        <f>_xlfn.TEXTBEFORE(_xlfn.TEXTAFTER(CantoralDB[[#This Row],[index.html]],"&gt;"),"&gt;")&amp;"&gt;"</f>
        <v>&lt;a href="canciones/alejandro_ruiz/ven_espiritu_santo_de_dios.html"&gt;</v>
      </c>
      <c r="X152"/>
      <c r="Y152" s="1"/>
      <c r="Z152" s="1"/>
      <c r="AA152" s="1"/>
      <c r="AB152" s="1"/>
    </row>
    <row r="153" spans="1:28" x14ac:dyDescent="0.3">
      <c r="A153" s="1">
        <f>ROW(CantoralDB[[#This Row],[Título]])-1</f>
        <v>152</v>
      </c>
      <c r="B153" s="1" t="s">
        <v>1184</v>
      </c>
      <c r="C153" s="1"/>
      <c r="E153" s="1">
        <v>56</v>
      </c>
      <c r="H153" s="1" t="s">
        <v>530</v>
      </c>
      <c r="J153" s="1" t="s">
        <v>607</v>
      </c>
      <c r="M153" s="15" t="s">
        <v>487</v>
      </c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153" s="15" t="str">
        <f>_xlfn.TEXTBEFORE(_xlfn.TEXTAFTER(CantoralDB[[#This Row],[index.html]],"&gt;"),"&gt;")&amp;"&gt;"</f>
        <v>&lt;a href="canciones/al-haraca/como_jonas.html"&gt;</v>
      </c>
      <c r="X153"/>
      <c r="Y153" s="1"/>
      <c r="Z153" s="1"/>
      <c r="AA153" s="1"/>
      <c r="AB153" s="1"/>
    </row>
    <row r="154" spans="1:28" x14ac:dyDescent="0.3">
      <c r="A154" s="1">
        <f>ROW(CantoralDB[[#This Row],[Título]])-1</f>
        <v>153</v>
      </c>
      <c r="B154" s="1" t="s">
        <v>1248</v>
      </c>
      <c r="C154" s="1"/>
      <c r="E154" s="1">
        <v>114</v>
      </c>
      <c r="J154" s="1"/>
      <c r="M154" s="15" t="s">
        <v>487</v>
      </c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154" s="15" t="str">
        <f>_xlfn.TEXTBEFORE(_xlfn.TEXTAFTER(CantoralDB[[#This Row],[index.html]],"&gt;"),"&gt;")&amp;"&gt;"</f>
        <v>&lt;a href="canciones/al-haraca/en_esto_conoceran.html"&gt;</v>
      </c>
      <c r="X154"/>
      <c r="Y154" s="1"/>
      <c r="Z154" s="1"/>
      <c r="AA154" s="1"/>
      <c r="AB154" s="1"/>
    </row>
    <row r="155" spans="1:28" x14ac:dyDescent="0.3">
      <c r="A155" s="1">
        <f>ROW(CantoralDB[[#This Row],[Título]])-1</f>
        <v>154</v>
      </c>
      <c r="B155" s="1" t="s">
        <v>2898</v>
      </c>
      <c r="C155" s="1"/>
      <c r="E155" s="1">
        <v>197</v>
      </c>
      <c r="H155" s="1" t="s">
        <v>1029</v>
      </c>
      <c r="J155" s="1" t="s">
        <v>607</v>
      </c>
      <c r="M155" s="15" t="s">
        <v>487</v>
      </c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155" s="15" t="str">
        <f>_xlfn.TEXTBEFORE(_xlfn.TEXTAFTER(CantoralDB[[#This Row],[index.html]],"&gt;"),"&gt;")&amp;"&gt;"</f>
        <v>&lt;a href="canciones/al-haraca/padre_me_pongo_en_tu_regazo.html"&gt;</v>
      </c>
      <c r="X155"/>
      <c r="Y155" s="1"/>
      <c r="Z155" s="1"/>
      <c r="AA155" s="1"/>
      <c r="AB155" s="1"/>
    </row>
    <row r="156" spans="1:28" x14ac:dyDescent="0.3">
      <c r="A156" s="1">
        <f>ROW(CantoralDB[[#This Row],[Título]])-1</f>
        <v>155</v>
      </c>
      <c r="B156" s="1" t="s">
        <v>185</v>
      </c>
      <c r="C156" s="1" t="s">
        <v>197</v>
      </c>
      <c r="D156" s="1" t="s">
        <v>1453</v>
      </c>
      <c r="E156" s="1">
        <v>209</v>
      </c>
      <c r="G156" s="1" t="s">
        <v>208</v>
      </c>
      <c r="H156" s="1" t="s">
        <v>530</v>
      </c>
      <c r="I156" s="1" t="s">
        <v>2953</v>
      </c>
      <c r="J156" s="1" t="s">
        <v>607</v>
      </c>
      <c r="M156" s="15" t="s">
        <v>487</v>
      </c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156" s="15" t="str">
        <f>_xlfn.TEXTBEFORE(_xlfn.TEXTAFTER(CantoralDB[[#This Row],[index.html]],"&gt;"),"&gt;")&amp;"&gt;"</f>
        <v>&lt;a href="canciones/al-haraca/por_la_paz_no_callare.html"&gt;</v>
      </c>
      <c r="X156"/>
      <c r="Y156" s="1"/>
      <c r="Z156" s="1"/>
      <c r="AA156" s="1"/>
      <c r="AB156" s="1"/>
    </row>
    <row r="157" spans="1:28" x14ac:dyDescent="0.3">
      <c r="A157" s="1">
        <f>ROW(CantoralDB[[#This Row],[Título]])-1</f>
        <v>156</v>
      </c>
      <c r="B157" s="1" t="s">
        <v>2899</v>
      </c>
      <c r="C157" s="1"/>
      <c r="E157" s="1">
        <v>213</v>
      </c>
      <c r="H157" s="1" t="s">
        <v>530</v>
      </c>
      <c r="J157" s="1" t="s">
        <v>607</v>
      </c>
      <c r="M157" s="15" t="s">
        <v>487</v>
      </c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57" s="1"/>
      <c r="T157" s="1"/>
      <c r="U157" s="15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157" s="15" t="str">
        <f>_xlfn.TEXTBEFORE(_xlfn.TEXTAFTER(CantoralDB[[#This Row],[index.html]],"&gt;"),"&gt;")&amp;"&gt;"</f>
        <v>&lt;a href="canciones/al-haraca/santa_maria_servidora.html"&gt;</v>
      </c>
      <c r="X157"/>
      <c r="Y157" s="1"/>
      <c r="Z157" s="1"/>
      <c r="AA157" s="1"/>
      <c r="AB157" s="1"/>
    </row>
    <row r="158" spans="1:28" x14ac:dyDescent="0.3">
      <c r="A158" s="1">
        <f>ROW(CantoralDB[[#This Row],[Título]])-1</f>
        <v>157</v>
      </c>
      <c r="B158" s="1" t="s">
        <v>2549</v>
      </c>
      <c r="C158" s="1"/>
      <c r="F158" s="1">
        <v>160</v>
      </c>
      <c r="J158" s="1"/>
      <c r="M158" s="15" t="s">
        <v>487</v>
      </c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58" s="15" t="str">
        <f>_xlfn.TEXTBEFORE(_xlfn.TEXTAFTER(CantoralDB[[#This Row],[index.html]],"&gt;"),"&gt;")&amp;"&gt;"</f>
        <v>&lt;a href="canciones/al-haraca/si_con_vosotros_estoy.html"&gt;</v>
      </c>
      <c r="X158"/>
      <c r="Y158" s="1"/>
      <c r="Z158" s="1"/>
      <c r="AA158" s="1"/>
      <c r="AB158" s="1"/>
    </row>
    <row r="159" spans="1:28" x14ac:dyDescent="0.3">
      <c r="A159" s="1">
        <f>ROW(CantoralDB[[#This Row],[Título]])-1</f>
        <v>158</v>
      </c>
      <c r="B159" s="1" t="s">
        <v>169</v>
      </c>
      <c r="C159" s="1" t="s">
        <v>190</v>
      </c>
      <c r="D159" s="1" t="s">
        <v>763</v>
      </c>
      <c r="E159" s="1">
        <v>294</v>
      </c>
      <c r="G159" s="1" t="s">
        <v>208</v>
      </c>
      <c r="H159" s="1" t="s">
        <v>1029</v>
      </c>
      <c r="J159" s="1" t="s">
        <v>607</v>
      </c>
      <c r="M159" s="15" t="s">
        <v>487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59" s="1" t="s">
        <v>869</v>
      </c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159" s="15" t="str">
        <f>_xlfn.TEXTBEFORE(_xlfn.TEXTAFTER(CantoralDB[[#This Row],[index.html]],"&gt;"),"&gt;")&amp;"&gt;"</f>
        <v>&lt;a href="canciones/al-haraca/yo_soy_la_luz_del_mundo.html"&gt;</v>
      </c>
      <c r="X159"/>
      <c r="Y159" s="1"/>
      <c r="Z159" s="1"/>
      <c r="AA159" s="1"/>
      <c r="AB159" s="1"/>
    </row>
    <row r="160" spans="1:28" x14ac:dyDescent="0.3">
      <c r="A160" s="1">
        <f>ROW(CantoralDB[[#This Row],[Título]])-1</f>
        <v>159</v>
      </c>
      <c r="B160" s="1" t="s">
        <v>1181</v>
      </c>
      <c r="C160" s="1"/>
      <c r="E160" s="1" t="s">
        <v>1186</v>
      </c>
      <c r="J160" s="1"/>
      <c r="M160" s="15" t="s">
        <v>485</v>
      </c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160" s="15" t="str">
        <f>_xlfn.TEXTBEFORE(_xlfn.TEXTAFTER(CantoralDB[[#This Row],[index.html]],"&gt;"),"&gt;")&amp;"&gt;"</f>
        <v>&lt;a href="canciones/antonio_alcalde/cielos_destilad_el_rocio.html"&gt;</v>
      </c>
      <c r="X160"/>
      <c r="Y160" s="1"/>
      <c r="Z160" s="1"/>
      <c r="AA160" s="1"/>
      <c r="AB160" s="1"/>
    </row>
    <row r="161" spans="1:28" x14ac:dyDescent="0.3">
      <c r="A161" s="1">
        <f>ROW(CantoralDB[[#This Row],[Título]])-1</f>
        <v>160</v>
      </c>
      <c r="B161" s="1" t="s">
        <v>1209</v>
      </c>
      <c r="C161" s="1"/>
      <c r="E161" s="1">
        <v>88</v>
      </c>
      <c r="H161" s="1" t="s">
        <v>1028</v>
      </c>
      <c r="J161" s="1" t="s">
        <v>607</v>
      </c>
      <c r="M161" s="15" t="s">
        <v>485</v>
      </c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161" s="15" t="str">
        <f>_xlfn.TEXTBEFORE(_xlfn.TEXTAFTER(CantoralDB[[#This Row],[index.html]],"&gt;"),"&gt;")&amp;"&gt;"</f>
        <v>&lt;a href="canciones/antonio_alcalde/de_la_virgen_ha_nacido_el_niño.html"&gt;</v>
      </c>
      <c r="X161"/>
      <c r="Y161" s="1"/>
      <c r="Z161" s="1"/>
      <c r="AA161" s="1"/>
      <c r="AB161" s="1"/>
    </row>
    <row r="162" spans="1:28" x14ac:dyDescent="0.3">
      <c r="A162" s="1">
        <f>ROW(CantoralDB[[#This Row],[Título]])-1</f>
        <v>161</v>
      </c>
      <c r="B162" s="1" t="s">
        <v>1253</v>
      </c>
      <c r="C162" s="1"/>
      <c r="E162" s="1">
        <v>120</v>
      </c>
      <c r="H162" s="1" t="s">
        <v>1029</v>
      </c>
      <c r="J162" s="1" t="s">
        <v>607</v>
      </c>
      <c r="M162" s="15" t="s">
        <v>485</v>
      </c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162" s="15" t="str">
        <f>_xlfn.TEXTBEFORE(_xlfn.TEXTAFTER(CantoralDB[[#This Row],[index.html]],"&gt;"),"&gt;")&amp;"&gt;"</f>
        <v>&lt;a href="canciones/antonio_alcalde/esta_noche_he_visto_a_dios.html"&gt;</v>
      </c>
      <c r="X162"/>
      <c r="Y162" s="1"/>
      <c r="Z162" s="1"/>
      <c r="AA162" s="1"/>
      <c r="AB162" s="1"/>
    </row>
    <row r="163" spans="1:28" x14ac:dyDescent="0.3">
      <c r="A163" s="1">
        <f>ROW(CantoralDB[[#This Row],[Título]])-1</f>
        <v>162</v>
      </c>
      <c r="B163" s="1" t="s">
        <v>86</v>
      </c>
      <c r="C163" s="1" t="s">
        <v>198</v>
      </c>
      <c r="D163" s="1" t="s">
        <v>1438</v>
      </c>
      <c r="E163" s="1">
        <v>152</v>
      </c>
      <c r="G163" s="1" t="s">
        <v>208</v>
      </c>
      <c r="H163" s="1" t="s">
        <v>1029</v>
      </c>
      <c r="J163" s="1" t="s">
        <v>607</v>
      </c>
      <c r="M163" s="15" t="s">
        <v>485</v>
      </c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163" s="15" t="str">
        <f>_xlfn.TEXTBEFORE(_xlfn.TEXTAFTER(CantoralDB[[#This Row],[index.html]],"&gt;"),"&gt;")&amp;"&gt;"</f>
        <v>&lt;a href="canciones/antonio_alcalde/lo_que_hemos_visto_y_oido.html"&gt;</v>
      </c>
      <c r="X163"/>
      <c r="Y163" s="1"/>
      <c r="Z163" s="1"/>
      <c r="AA163" s="1"/>
      <c r="AB163" s="1"/>
    </row>
    <row r="164" spans="1:28" x14ac:dyDescent="0.3">
      <c r="A164" s="1">
        <f>ROW(CantoralDB[[#This Row],[Título]])-1</f>
        <v>163</v>
      </c>
      <c r="B164" s="1" t="s">
        <v>1290</v>
      </c>
      <c r="C164" s="1"/>
      <c r="E164" s="1">
        <v>181</v>
      </c>
      <c r="H164" s="1" t="s">
        <v>1029</v>
      </c>
      <c r="J164" s="1" t="s">
        <v>607</v>
      </c>
      <c r="M164" s="15" t="s">
        <v>485</v>
      </c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64" s="1"/>
      <c r="T164" s="1"/>
      <c r="U164" s="32" t="s">
        <v>2964</v>
      </c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164" s="15" t="str">
        <f>_xlfn.TEXTBEFORE(_xlfn.TEXTAFTER(CantoralDB[[#This Row],[index.html]],"&gt;"),"&gt;")&amp;"&gt;"</f>
        <v>&lt;a href="canciones/antonio_alcalde/nos_has_llamado_al_desierto.html"&gt;</v>
      </c>
      <c r="X164"/>
      <c r="Y164" s="1"/>
      <c r="Z164" s="1"/>
      <c r="AA164" s="1"/>
      <c r="AB164" s="1"/>
    </row>
    <row r="165" spans="1:28" x14ac:dyDescent="0.3">
      <c r="A165" s="1">
        <f>ROW(CantoralDB[[#This Row],[Título]])-1</f>
        <v>164</v>
      </c>
      <c r="B165" s="1" t="s">
        <v>246</v>
      </c>
      <c r="C165" s="1" t="s">
        <v>190</v>
      </c>
      <c r="D165" s="1" t="s">
        <v>745</v>
      </c>
      <c r="E165" s="1">
        <v>208</v>
      </c>
      <c r="G165" s="1" t="s">
        <v>247</v>
      </c>
      <c r="H165" s="1" t="s">
        <v>1027</v>
      </c>
      <c r="J165" s="1" t="s">
        <v>607</v>
      </c>
      <c r="M165" s="15" t="s">
        <v>485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165" s="15" t="str">
        <f>_xlfn.TEXTBEFORE(_xlfn.TEXTAFTER(CantoralDB[[#This Row],[index.html]],"&gt;"),"&gt;")&amp;"&gt;"</f>
        <v>&lt;a href="canciones/antonio_alcalde/peregrinos_de_la_paz_y_la_alegria.html"&gt;</v>
      </c>
      <c r="X165"/>
      <c r="Y165" s="1"/>
      <c r="Z165" s="1"/>
      <c r="AA165" s="1"/>
      <c r="AB165" s="1"/>
    </row>
    <row r="166" spans="1:28" x14ac:dyDescent="0.3">
      <c r="A166" s="1">
        <f>ROW(CantoralDB[[#This Row],[Título]])-1</f>
        <v>165</v>
      </c>
      <c r="B166" s="1" t="s">
        <v>121</v>
      </c>
      <c r="C166" s="1" t="s">
        <v>992</v>
      </c>
      <c r="D166" s="1" t="s">
        <v>995</v>
      </c>
      <c r="E166" s="1">
        <v>217</v>
      </c>
      <c r="G166" s="1" t="s">
        <v>208</v>
      </c>
      <c r="H166" s="1" t="s">
        <v>1026</v>
      </c>
      <c r="J166" s="1" t="s">
        <v>607</v>
      </c>
      <c r="M166" s="15" t="s">
        <v>485</v>
      </c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166" s="15" t="str">
        <f>_xlfn.TEXTBEFORE(_xlfn.TEXTAFTER(CantoralDB[[#This Row],[index.html]],"&gt;"),"&gt;")&amp;"&gt;"</f>
        <v>&lt;a href="canciones/antonio_alcalde/que_tendra_lo_pequeño.html"&gt;</v>
      </c>
      <c r="X166"/>
      <c r="Y166" s="1"/>
      <c r="Z166" s="1"/>
      <c r="AA166" s="1"/>
      <c r="AB166" s="1"/>
    </row>
    <row r="167" spans="1:28" x14ac:dyDescent="0.3">
      <c r="A167" s="1">
        <f>ROW(CantoralDB[[#This Row],[Título]])-1</f>
        <v>166</v>
      </c>
      <c r="B167" s="1" t="s">
        <v>1324</v>
      </c>
      <c r="C167" s="1"/>
      <c r="E167" s="1" t="s">
        <v>2098</v>
      </c>
      <c r="J167" s="1"/>
      <c r="M167" s="15" t="s">
        <v>485</v>
      </c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167" s="15" t="str">
        <f>_xlfn.TEXTBEFORE(_xlfn.TEXTAFTER(CantoralDB[[#This Row],[index.html]],"&gt;"),"&gt;")&amp;"&gt;"</f>
        <v>&lt;a href="canciones/antonio_alcalde/señor_dios_nuestro_restauranos.html"&gt;</v>
      </c>
      <c r="X167"/>
      <c r="Y167" s="1"/>
      <c r="Z167" s="1"/>
      <c r="AA167" s="1"/>
      <c r="AB167" s="1"/>
    </row>
    <row r="168" spans="1:28" x14ac:dyDescent="0.3">
      <c r="A168" s="1">
        <f>ROW(CantoralDB[[#This Row],[Título]])-1</f>
        <v>167</v>
      </c>
      <c r="B168" s="1" t="s">
        <v>1339</v>
      </c>
      <c r="C168" s="1"/>
      <c r="E168" s="1" t="s">
        <v>2100</v>
      </c>
      <c r="J168" s="1"/>
      <c r="M168" s="15" t="s">
        <v>485</v>
      </c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168" s="15" t="str">
        <f>_xlfn.TEXTBEFORE(_xlfn.TEXTAFTER(CantoralDB[[#This Row],[index.html]],"&gt;"),"&gt;")&amp;"&gt;"</f>
        <v>&lt;a href="canciones/antonio_alcalde/unenos_señor_jesus.html"&gt;</v>
      </c>
      <c r="X168"/>
      <c r="Y168" s="1"/>
      <c r="Z168" s="1"/>
      <c r="AA168" s="1"/>
      <c r="AB168" s="1"/>
    </row>
    <row r="169" spans="1:28" x14ac:dyDescent="0.3">
      <c r="A169" s="1">
        <f>ROW(CantoralDB[[#This Row],[Título]])-1</f>
        <v>168</v>
      </c>
      <c r="B169" s="1" t="s">
        <v>1347</v>
      </c>
      <c r="C169" s="1"/>
      <c r="E169" s="1">
        <v>291</v>
      </c>
      <c r="H169" s="1" t="s">
        <v>1029</v>
      </c>
      <c r="J169" s="1" t="s">
        <v>607</v>
      </c>
      <c r="M169" s="15" t="s">
        <v>485</v>
      </c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69" s="1"/>
      <c r="T169" s="1"/>
      <c r="U169" s="32" t="s">
        <v>2965</v>
      </c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169" s="15" t="str">
        <f>_xlfn.TEXTBEFORE(_xlfn.TEXTAFTER(CantoralDB[[#This Row],[index.html]],"&gt;"),"&gt;")&amp;"&gt;"</f>
        <v>&lt;a href="canciones/antonio_alcalde/ven_señor_a_nuestra_vida.html"&gt;</v>
      </c>
      <c r="X169"/>
      <c r="Y169" s="1"/>
      <c r="Z169" s="1"/>
      <c r="AA169" s="1"/>
      <c r="AB169" s="1"/>
    </row>
    <row r="170" spans="1:28" x14ac:dyDescent="0.3">
      <c r="A170" s="1">
        <f>ROW(CantoralDB[[#This Row],[Título]])-1</f>
        <v>169</v>
      </c>
      <c r="B170" s="1" t="s">
        <v>2392</v>
      </c>
      <c r="C170" s="1"/>
      <c r="F170" s="1">
        <v>13</v>
      </c>
      <c r="H170" s="1" t="s">
        <v>1026</v>
      </c>
      <c r="J170" s="1" t="s">
        <v>607</v>
      </c>
      <c r="M170" s="15" t="s">
        <v>498</v>
      </c>
      <c r="N170" s="1" t="s">
        <v>2686</v>
      </c>
      <c r="O170" s="15">
        <v>18</v>
      </c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70" s="1"/>
      <c r="T170" s="1"/>
      <c r="U170" s="32" t="s">
        <v>3016</v>
      </c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70" s="15" t="str">
        <f>_xlfn.TEXTBEFORE(_xlfn.TEXTAFTER(CantoralDB[[#This Row],[index.html]],"&gt;"),"&gt;")&amp;"&gt;"</f>
        <v>&lt;a href="canciones/brotes_de_olivo/se_que_voy_contigo.html"&gt;</v>
      </c>
      <c r="X170"/>
      <c r="Y170" s="1"/>
      <c r="Z170" s="1"/>
      <c r="AA170" s="1"/>
      <c r="AB170" s="1"/>
    </row>
    <row r="171" spans="1:28" x14ac:dyDescent="0.3">
      <c r="A171" s="1">
        <f>ROW(CantoralDB[[#This Row],[Título]])-1</f>
        <v>170</v>
      </c>
      <c r="B171" s="1" t="s">
        <v>2842</v>
      </c>
      <c r="C171" s="1"/>
      <c r="H171" s="1" t="s">
        <v>530</v>
      </c>
      <c r="I171" s="1" t="s">
        <v>2951</v>
      </c>
      <c r="J171" s="1" t="s">
        <v>607</v>
      </c>
      <c r="M171" s="15" t="s">
        <v>498</v>
      </c>
      <c r="N171" s="1" t="s">
        <v>2841</v>
      </c>
      <c r="O171" s="15">
        <v>1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171" s="15" t="str">
        <f>_xlfn.TEXTBEFORE(_xlfn.TEXTAFTER(CantoralDB[[#This Row],[index.html]],"&gt;"),"&gt;")&amp;"&gt;"</f>
        <v>&lt;a href="canciones/brotes_de_olivo/señor_mirame.html"&gt;</v>
      </c>
      <c r="X171"/>
      <c r="Y171" s="1"/>
      <c r="Z171" s="1"/>
      <c r="AA171" s="1"/>
      <c r="AB171" s="1"/>
    </row>
    <row r="172" spans="1:28" x14ac:dyDescent="0.3">
      <c r="A172" s="1">
        <f>ROW(CantoralDB[[#This Row],[Título]])-1</f>
        <v>171</v>
      </c>
      <c r="B172" s="1" t="s">
        <v>1581</v>
      </c>
      <c r="C172" s="1"/>
      <c r="H172" s="1" t="s">
        <v>530</v>
      </c>
      <c r="J172" s="1" t="s">
        <v>607</v>
      </c>
      <c r="M172" s="15" t="s">
        <v>498</v>
      </c>
      <c r="N172" s="1" t="s">
        <v>2841</v>
      </c>
      <c r="O172" s="15">
        <v>2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172" s="15" t="str">
        <f>_xlfn.TEXTBEFORE(_xlfn.TEXTAFTER(CantoralDB[[#This Row],[index.html]],"&gt;"),"&gt;")&amp;"&gt;"</f>
        <v>&lt;a href="canciones/brotes_de_olivo/ten_piedad.html"&gt;</v>
      </c>
      <c r="X172"/>
      <c r="Y172" s="1"/>
      <c r="Z172" s="1"/>
      <c r="AA172" s="1"/>
      <c r="AB172" s="1"/>
    </row>
    <row r="173" spans="1:28" x14ac:dyDescent="0.3">
      <c r="A173" s="1">
        <f>ROW(CantoralDB[[#This Row],[Título]])-1</f>
        <v>172</v>
      </c>
      <c r="B173" s="1" t="s">
        <v>2843</v>
      </c>
      <c r="C173" s="1"/>
      <c r="H173" s="1" t="s">
        <v>530</v>
      </c>
      <c r="J173" s="1" t="s">
        <v>607</v>
      </c>
      <c r="M173" s="15" t="s">
        <v>498</v>
      </c>
      <c r="N173" s="1" t="s">
        <v>2841</v>
      </c>
      <c r="O173" s="15">
        <v>3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173" s="15" t="str">
        <f>_xlfn.TEXTBEFORE(_xlfn.TEXTAFTER(CantoralDB[[#This Row],[index.html]],"&gt;"),"&gt;")&amp;"&gt;"</f>
        <v>&lt;a href="canciones/brotes_de_olivo/he_oido_tu_voz.html"&gt;</v>
      </c>
      <c r="X173"/>
      <c r="Y173" s="1"/>
      <c r="Z173" s="1"/>
      <c r="AA173" s="1"/>
      <c r="AB173" s="1"/>
    </row>
    <row r="174" spans="1:28" x14ac:dyDescent="0.3">
      <c r="A174" s="1">
        <f>ROW(CantoralDB[[#This Row],[Título]])-1</f>
        <v>173</v>
      </c>
      <c r="B174" s="1" t="s">
        <v>2844</v>
      </c>
      <c r="C174" s="1"/>
      <c r="H174" s="1" t="s">
        <v>1026</v>
      </c>
      <c r="J174" s="1" t="s">
        <v>607</v>
      </c>
      <c r="M174" s="15" t="s">
        <v>498</v>
      </c>
      <c r="N174" s="1" t="s">
        <v>2841</v>
      </c>
      <c r="O174" s="15">
        <v>4</v>
      </c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174" s="15" t="str">
        <f>_xlfn.TEXTBEFORE(_xlfn.TEXTAFTER(CantoralDB[[#This Row],[index.html]],"&gt;"),"&gt;")&amp;"&gt;"</f>
        <v>&lt;a href="canciones/brotes_de_olivo/pan_y_vino_de_amor.html"&gt;</v>
      </c>
      <c r="X174"/>
      <c r="Y174" s="1"/>
      <c r="Z174" s="1"/>
      <c r="AA174" s="1"/>
      <c r="AB174" s="1"/>
    </row>
    <row r="175" spans="1:28" x14ac:dyDescent="0.3">
      <c r="A175" s="1">
        <f>ROW(CantoralDB[[#This Row],[Título]])-1</f>
        <v>174</v>
      </c>
      <c r="B175" s="1" t="s">
        <v>195</v>
      </c>
      <c r="C175" s="1"/>
      <c r="H175" s="1" t="s">
        <v>530</v>
      </c>
      <c r="I175" s="1" t="s">
        <v>2953</v>
      </c>
      <c r="J175" s="1" t="s">
        <v>607</v>
      </c>
      <c r="M175" s="15" t="s">
        <v>498</v>
      </c>
      <c r="N175" s="1" t="s">
        <v>2841</v>
      </c>
      <c r="O175" s="15">
        <v>5</v>
      </c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175" s="15" t="str">
        <f>_xlfn.TEXTBEFORE(_xlfn.TEXTAFTER(CantoralDB[[#This Row],[index.html]],"&gt;"),"&gt;")&amp;"&gt;"</f>
        <v>&lt;a href="canciones/brotes_de_olivo/santo.html"&gt;</v>
      </c>
      <c r="X175"/>
      <c r="Y175" s="1"/>
      <c r="Z175" s="1"/>
      <c r="AA175" s="1"/>
      <c r="AB175" s="1"/>
    </row>
    <row r="176" spans="1:28" x14ac:dyDescent="0.3">
      <c r="A176" s="1">
        <f>ROW(CantoralDB[[#This Row],[Título]])-1</f>
        <v>175</v>
      </c>
      <c r="B176" s="1" t="s">
        <v>1555</v>
      </c>
      <c r="C176" s="1"/>
      <c r="H176" s="1" t="s">
        <v>530</v>
      </c>
      <c r="J176" s="1" t="s">
        <v>607</v>
      </c>
      <c r="M176" s="15" t="s">
        <v>498</v>
      </c>
      <c r="N176" s="1" t="s">
        <v>2841</v>
      </c>
      <c r="O176" s="15">
        <v>6</v>
      </c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176" s="15" t="str">
        <f>_xlfn.TEXTBEFORE(_xlfn.TEXTAFTER(CantoralDB[[#This Row],[index.html]],"&gt;"),"&gt;")&amp;"&gt;"</f>
        <v>&lt;a href="canciones/brotes_de_olivo/padre_nuestro.html"&gt;</v>
      </c>
      <c r="X176"/>
      <c r="Y176" s="1"/>
      <c r="Z176" s="1"/>
      <c r="AA176" s="1"/>
      <c r="AB176" s="1"/>
    </row>
    <row r="177" spans="1:28" x14ac:dyDescent="0.3">
      <c r="A177" s="1">
        <f>ROW(CantoralDB[[#This Row],[Título]])-1</f>
        <v>176</v>
      </c>
      <c r="B177" s="1" t="s">
        <v>2845</v>
      </c>
      <c r="C177" s="1"/>
      <c r="H177" s="1" t="s">
        <v>472</v>
      </c>
      <c r="I177" s="1" t="s">
        <v>2951</v>
      </c>
      <c r="J177" s="1" t="s">
        <v>607</v>
      </c>
      <c r="M177" s="15" t="s">
        <v>498</v>
      </c>
      <c r="N177" s="1" t="s">
        <v>2841</v>
      </c>
      <c r="O177" s="15">
        <v>7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177" s="15" t="str">
        <f>_xlfn.TEXTBEFORE(_xlfn.TEXTAFTER(CantoralDB[[#This Row],[index.html]],"&gt;"),"&gt;")&amp;"&gt;"</f>
        <v>&lt;a href="canciones/brotes_de_olivo/ven_junto_a_mi.html"&gt;</v>
      </c>
      <c r="X177"/>
      <c r="Y177" s="1"/>
      <c r="Z177" s="1"/>
      <c r="AA177" s="1"/>
      <c r="AB177" s="1"/>
    </row>
    <row r="178" spans="1:28" x14ac:dyDescent="0.3">
      <c r="A178" s="1">
        <f>ROW(CantoralDB[[#This Row],[Título]])-1</f>
        <v>177</v>
      </c>
      <c r="B178" s="1" t="s">
        <v>2846</v>
      </c>
      <c r="C178" s="1"/>
      <c r="H178" s="1" t="s">
        <v>1026</v>
      </c>
      <c r="J178" s="1" t="s">
        <v>607</v>
      </c>
      <c r="M178" s="15" t="s">
        <v>498</v>
      </c>
      <c r="N178" s="1" t="s">
        <v>2841</v>
      </c>
      <c r="O178" s="15">
        <v>8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178" s="15" t="str">
        <f>_xlfn.TEXTBEFORE(_xlfn.TEXTAFTER(CantoralDB[[#This Row],[index.html]],"&gt;"),"&gt;")&amp;"&gt;"</f>
        <v>&lt;a href="canciones/brotes_de_olivo/nadie_contesto.html"&gt;</v>
      </c>
      <c r="X178"/>
      <c r="Y178" s="1"/>
      <c r="Z178" s="1"/>
      <c r="AA178" s="1"/>
      <c r="AB178" s="1"/>
    </row>
    <row r="179" spans="1:28" x14ac:dyDescent="0.3">
      <c r="A179" s="1">
        <f>ROW(CantoralDB[[#This Row],[Título]])-1</f>
        <v>178</v>
      </c>
      <c r="B179" s="1" t="s">
        <v>2847</v>
      </c>
      <c r="C179" s="1"/>
      <c r="H179" s="1" t="s">
        <v>530</v>
      </c>
      <c r="I179" s="1" t="s">
        <v>2951</v>
      </c>
      <c r="J179" s="1" t="s">
        <v>607</v>
      </c>
      <c r="M179" s="15" t="s">
        <v>498</v>
      </c>
      <c r="N179" s="1" t="s">
        <v>2841</v>
      </c>
      <c r="O179" s="15">
        <v>9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179" s="15" t="str">
        <f>_xlfn.TEXTBEFORE(_xlfn.TEXTAFTER(CantoralDB[[#This Row],[index.html]],"&gt;"),"&gt;")&amp;"&gt;"</f>
        <v>&lt;a href="canciones/brotes_de_olivo/tras_las_huellas_del_padre.html"&gt;</v>
      </c>
      <c r="X179"/>
      <c r="Y179" s="1"/>
      <c r="Z179" s="1"/>
      <c r="AA179" s="1"/>
      <c r="AB179" s="1"/>
    </row>
    <row r="180" spans="1:28" x14ac:dyDescent="0.3">
      <c r="A180" s="1">
        <f>ROW(CantoralDB[[#This Row],[Título]])-1</f>
        <v>179</v>
      </c>
      <c r="B180" s="1" t="s">
        <v>2848</v>
      </c>
      <c r="C180" s="1"/>
      <c r="H180" s="1" t="s">
        <v>530</v>
      </c>
      <c r="I180" s="1" t="s">
        <v>2951</v>
      </c>
      <c r="J180" s="1" t="s">
        <v>607</v>
      </c>
      <c r="M180" s="15" t="s">
        <v>498</v>
      </c>
      <c r="N180" s="1" t="s">
        <v>2841</v>
      </c>
      <c r="O180" s="15">
        <v>10</v>
      </c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180" s="15" t="str">
        <f>_xlfn.TEXTBEFORE(_xlfn.TEXTAFTER(CantoralDB[[#This Row],[index.html]],"&gt;"),"&gt;")&amp;"&gt;"</f>
        <v>&lt;a href="canciones/brotes_de_olivo/tierra.html"&gt;</v>
      </c>
      <c r="X180"/>
      <c r="Y180" s="1"/>
      <c r="Z180" s="1"/>
      <c r="AA180" s="1"/>
      <c r="AB180" s="1"/>
    </row>
    <row r="181" spans="1:28" x14ac:dyDescent="0.3">
      <c r="A181" s="1">
        <f>ROW(CantoralDB[[#This Row],[Título]])-1</f>
        <v>180</v>
      </c>
      <c r="B181" s="1" t="s">
        <v>2849</v>
      </c>
      <c r="C181" s="1"/>
      <c r="J181" s="1"/>
      <c r="M181" s="15" t="s">
        <v>498</v>
      </c>
      <c r="N181" s="1" t="s">
        <v>2841</v>
      </c>
      <c r="O181" s="15">
        <v>11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181" s="15" t="str">
        <f>_xlfn.TEXTBEFORE(_xlfn.TEXTAFTER(CantoralDB[[#This Row],[index.html]],"&gt;"),"&gt;")&amp;"&gt;"</f>
        <v>&lt;a href="canciones/brotes_de_olivo/sinfonia_de_las_vocales.html"&gt;</v>
      </c>
      <c r="X181"/>
      <c r="Y181" s="1"/>
      <c r="Z181" s="1"/>
      <c r="AA181" s="1"/>
      <c r="AB181" s="1"/>
    </row>
    <row r="182" spans="1:28" x14ac:dyDescent="0.3">
      <c r="A182" s="1">
        <f>ROW(CantoralDB[[#This Row],[Título]])-1</f>
        <v>181</v>
      </c>
      <c r="B182" s="1" t="s">
        <v>2850</v>
      </c>
      <c r="C182" s="1"/>
      <c r="H182" s="1" t="s">
        <v>530</v>
      </c>
      <c r="J182" s="1" t="s">
        <v>607</v>
      </c>
      <c r="M182" s="15" t="s">
        <v>498</v>
      </c>
      <c r="N182" s="1" t="s">
        <v>2841</v>
      </c>
      <c r="O182" s="15">
        <v>12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182" s="15" t="str">
        <f>_xlfn.TEXTBEFORE(_xlfn.TEXTAFTER(CantoralDB[[#This Row],[index.html]],"&gt;"),"&gt;")&amp;"&gt;"</f>
        <v>&lt;a href="canciones/brotes_de_olivo/todos_juntos.html"&gt;</v>
      </c>
      <c r="X182"/>
      <c r="Y182" s="1"/>
      <c r="Z182" s="1"/>
      <c r="AA182" s="1"/>
      <c r="AB182" s="1"/>
    </row>
    <row r="183" spans="1:28" x14ac:dyDescent="0.3">
      <c r="A183" s="1">
        <f>ROW(CantoralDB[[#This Row],[Título]])-1</f>
        <v>182</v>
      </c>
      <c r="B183" s="1" t="s">
        <v>2851</v>
      </c>
      <c r="C183" s="1"/>
      <c r="J183" s="1"/>
      <c r="M183" s="15" t="s">
        <v>498</v>
      </c>
      <c r="N183" s="1" t="s">
        <v>2841</v>
      </c>
      <c r="O183" s="15">
        <v>13</v>
      </c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83" s="1"/>
      <c r="T183" s="1"/>
      <c r="U183" s="15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183" s="15" t="str">
        <f>_xlfn.TEXTBEFORE(_xlfn.TEXTAFTER(CantoralDB[[#This Row],[index.html]],"&gt;"),"&gt;")&amp;"&gt;"</f>
        <v>&lt;a href="canciones/brotes_de_olivo/y_el_septimo_descanso.html"&gt;</v>
      </c>
      <c r="X183"/>
      <c r="Y183" s="1"/>
      <c r="Z183" s="1"/>
      <c r="AA183" s="1"/>
      <c r="AB183" s="1"/>
    </row>
    <row r="184" spans="1:28" x14ac:dyDescent="0.3">
      <c r="A184" s="1">
        <f>ROW(CantoralDB[[#This Row],[Título]])-1</f>
        <v>183</v>
      </c>
      <c r="B184" s="1" t="s">
        <v>2364</v>
      </c>
      <c r="C184" s="1"/>
      <c r="H184" s="1" t="s">
        <v>530</v>
      </c>
      <c r="J184" s="1" t="s">
        <v>607</v>
      </c>
      <c r="M184" s="15" t="s">
        <v>498</v>
      </c>
      <c r="N184" s="1" t="s">
        <v>2363</v>
      </c>
      <c r="O184" s="15">
        <v>1</v>
      </c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184" s="15" t="str">
        <f>_xlfn.TEXTBEFORE(_xlfn.TEXTAFTER(CantoralDB[[#This Row],[index.html]],"&gt;"),"&gt;")&amp;"&gt;"</f>
        <v>&lt;a href="canciones/brotes_de_olivo/allanad_los_caminos.html"&gt;</v>
      </c>
      <c r="X184"/>
      <c r="Y184" s="1"/>
      <c r="Z184" s="1"/>
      <c r="AA184" s="1"/>
      <c r="AB184" s="1"/>
    </row>
    <row r="185" spans="1:28" x14ac:dyDescent="0.3">
      <c r="A185" s="1">
        <f>ROW(CantoralDB[[#This Row],[Título]])-1</f>
        <v>184</v>
      </c>
      <c r="B185" s="1" t="s">
        <v>2365</v>
      </c>
      <c r="C185" s="1"/>
      <c r="H185" s="1" t="s">
        <v>1026</v>
      </c>
      <c r="I185" s="1" t="s">
        <v>2952</v>
      </c>
      <c r="J185" s="1" t="s">
        <v>607</v>
      </c>
      <c r="M185" s="15" t="s">
        <v>498</v>
      </c>
      <c r="N185" s="1" t="s">
        <v>2363</v>
      </c>
      <c r="O185" s="15">
        <v>2</v>
      </c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85" s="1"/>
      <c r="T185" s="1"/>
      <c r="U185" s="15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185" s="15" t="str">
        <f>_xlfn.TEXTBEFORE(_xlfn.TEXTAFTER(CantoralDB[[#This Row],[index.html]],"&gt;"),"&gt;")&amp;"&gt;"</f>
        <v>&lt;a href="canciones/brotes_de_olivo/las_bodas_de_cana.html"&gt;</v>
      </c>
      <c r="X185"/>
      <c r="Y185" s="1"/>
      <c r="Z185" s="1"/>
      <c r="AA185" s="1"/>
      <c r="AB185" s="1"/>
    </row>
    <row r="186" spans="1:28" x14ac:dyDescent="0.3">
      <c r="A186" s="1">
        <f>ROW(CantoralDB[[#This Row],[Título]])-1</f>
        <v>185</v>
      </c>
      <c r="B186" s="1" t="s">
        <v>2366</v>
      </c>
      <c r="C186" s="1"/>
      <c r="H186" s="1" t="s">
        <v>530</v>
      </c>
      <c r="J186" s="1" t="s">
        <v>607</v>
      </c>
      <c r="M186" s="15" t="s">
        <v>498</v>
      </c>
      <c r="N186" s="1" t="s">
        <v>2363</v>
      </c>
      <c r="O186" s="15">
        <v>3</v>
      </c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186" s="15" t="str">
        <f>_xlfn.TEXTBEFORE(_xlfn.TEXTAFTER(CantoralDB[[#This Row],[index.html]],"&gt;"),"&gt;")&amp;"&gt;"</f>
        <v>&lt;a href="canciones/brotes_de_olivo/el_soplo_de_dios.html"&gt;</v>
      </c>
      <c r="X186"/>
      <c r="Y186" s="1"/>
      <c r="Z186" s="1"/>
      <c r="AA186" s="1"/>
      <c r="AB186" s="1"/>
    </row>
    <row r="187" spans="1:28" x14ac:dyDescent="0.3">
      <c r="A187" s="1">
        <f>ROW(CantoralDB[[#This Row],[Título]])-1</f>
        <v>186</v>
      </c>
      <c r="B187" s="1" t="s">
        <v>2367</v>
      </c>
      <c r="C187" s="1"/>
      <c r="H187" s="1" t="s">
        <v>530</v>
      </c>
      <c r="I187" s="1" t="s">
        <v>2952</v>
      </c>
      <c r="J187" s="1" t="s">
        <v>607</v>
      </c>
      <c r="M187" s="15" t="s">
        <v>498</v>
      </c>
      <c r="N187" s="1" t="s">
        <v>2363</v>
      </c>
      <c r="O187" s="15">
        <v>4</v>
      </c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187" s="15" t="str">
        <f>_xlfn.TEXTBEFORE(_xlfn.TEXTAFTER(CantoralDB[[#This Row],[index.html]],"&gt;"),"&gt;")&amp;"&gt;"</f>
        <v>&lt;a href="canciones/brotes_de_olivo/el_agua_viva.html"&gt;</v>
      </c>
      <c r="X187"/>
      <c r="Y187" s="1"/>
      <c r="Z187" s="1"/>
      <c r="AA187" s="1"/>
      <c r="AB187" s="1"/>
    </row>
    <row r="188" spans="1:28" x14ac:dyDescent="0.3">
      <c r="A188" s="1">
        <f>ROW(CantoralDB[[#This Row],[Título]])-1</f>
        <v>187</v>
      </c>
      <c r="B188" s="1" t="s">
        <v>2368</v>
      </c>
      <c r="C188" s="1"/>
      <c r="J188" s="1"/>
      <c r="M188" s="15" t="s">
        <v>498</v>
      </c>
      <c r="N188" s="1" t="s">
        <v>2363</v>
      </c>
      <c r="O188" s="15">
        <v>5</v>
      </c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188" s="15" t="str">
        <f>_xlfn.TEXTBEFORE(_xlfn.TEXTAFTER(CantoralDB[[#This Row],[index.html]],"&gt;"),"&gt;")&amp;"&gt;"</f>
        <v>&lt;a href="canciones/brotes_de_olivo/la_piscina_probatica.html"&gt;</v>
      </c>
      <c r="X188"/>
      <c r="Y188" s="1"/>
      <c r="Z188" s="1"/>
      <c r="AA188" s="1"/>
      <c r="AB188" s="1"/>
    </row>
    <row r="189" spans="1:28" x14ac:dyDescent="0.3">
      <c r="A189" s="1">
        <f>ROW(CantoralDB[[#This Row],[Título]])-1</f>
        <v>188</v>
      </c>
      <c r="B189" s="1" t="s">
        <v>2369</v>
      </c>
      <c r="C189" s="1"/>
      <c r="H189" s="1" t="s">
        <v>1026</v>
      </c>
      <c r="I189" s="1" t="s">
        <v>2953</v>
      </c>
      <c r="J189" s="1" t="s">
        <v>607</v>
      </c>
      <c r="M189" s="15" t="s">
        <v>498</v>
      </c>
      <c r="N189" s="1" t="s">
        <v>2363</v>
      </c>
      <c r="O189" s="15">
        <v>6</v>
      </c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189" s="15" t="str">
        <f>_xlfn.TEXTBEFORE(_xlfn.TEXTAFTER(CantoralDB[[#This Row],[index.html]],"&gt;"),"&gt;")&amp;"&gt;"</f>
        <v>&lt;a href="canciones/brotes_de_olivo/el_pan_de_vida.html"&gt;</v>
      </c>
      <c r="X189"/>
      <c r="Y189" s="1"/>
      <c r="Z189" s="1"/>
      <c r="AA189" s="1"/>
      <c r="AB189" s="1"/>
    </row>
    <row r="190" spans="1:28" x14ac:dyDescent="0.3">
      <c r="A190" s="1">
        <f>ROW(CantoralDB[[#This Row],[Título]])-1</f>
        <v>189</v>
      </c>
      <c r="B190" s="1" t="s">
        <v>2370</v>
      </c>
      <c r="C190" s="1"/>
      <c r="H190" s="1" t="s">
        <v>472</v>
      </c>
      <c r="I190" s="1" t="s">
        <v>2951</v>
      </c>
      <c r="J190" s="1" t="s">
        <v>607</v>
      </c>
      <c r="M190" s="15" t="s">
        <v>498</v>
      </c>
      <c r="N190" s="1" t="s">
        <v>2363</v>
      </c>
      <c r="O190" s="15">
        <v>7</v>
      </c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190" s="15" t="str">
        <f>_xlfn.TEXTBEFORE(_xlfn.TEXTAFTER(CantoralDB[[#This Row],[index.html]],"&gt;"),"&gt;")&amp;"&gt;"</f>
        <v>&lt;a href="canciones/brotes_de_olivo/quien_tirara_la_primera_piedra.html"&gt;</v>
      </c>
      <c r="X190"/>
      <c r="Y190" s="1"/>
      <c r="Z190" s="1"/>
      <c r="AA190" s="1"/>
      <c r="AB190" s="1"/>
    </row>
    <row r="191" spans="1:28" x14ac:dyDescent="0.3">
      <c r="A191" s="1">
        <f>ROW(CantoralDB[[#This Row],[Título]])-1</f>
        <v>190</v>
      </c>
      <c r="B191" s="1" t="s">
        <v>2371</v>
      </c>
      <c r="C191" s="1"/>
      <c r="H191" s="1" t="s">
        <v>530</v>
      </c>
      <c r="I191" s="1" t="s">
        <v>2953</v>
      </c>
      <c r="J191" s="1" t="s">
        <v>607</v>
      </c>
      <c r="M191" s="15" t="s">
        <v>498</v>
      </c>
      <c r="N191" s="1" t="s">
        <v>2363</v>
      </c>
      <c r="O191" s="15">
        <v>8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191" s="15" t="str">
        <f>_xlfn.TEXTBEFORE(_xlfn.TEXTAFTER(CantoralDB[[#This Row],[index.html]],"&gt;"),"&gt;")&amp;"&gt;"</f>
        <v>&lt;a href="canciones/brotes_de_olivo/el_buen_pastor.html"&gt;</v>
      </c>
      <c r="X191"/>
      <c r="Y191" s="1"/>
      <c r="Z191" s="1"/>
      <c r="AA191" s="1"/>
      <c r="AB191" s="1"/>
    </row>
    <row r="192" spans="1:28" x14ac:dyDescent="0.3">
      <c r="A192" s="1">
        <f>ROW(CantoralDB[[#This Row],[Título]])-1</f>
        <v>191</v>
      </c>
      <c r="B192" s="1" t="s">
        <v>2372</v>
      </c>
      <c r="C192" s="1"/>
      <c r="H192" s="1" t="s">
        <v>530</v>
      </c>
      <c r="I192" s="1" t="s">
        <v>2954</v>
      </c>
      <c r="J192" s="1" t="s">
        <v>607</v>
      </c>
      <c r="M192" s="15" t="s">
        <v>498</v>
      </c>
      <c r="N192" s="1" t="s">
        <v>2363</v>
      </c>
      <c r="O192" s="15">
        <v>9</v>
      </c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192" s="15" t="str">
        <f>_xlfn.TEXTBEFORE(_xlfn.TEXTAFTER(CantoralDB[[#This Row],[index.html]],"&gt;"),"&gt;")&amp;"&gt;"</f>
        <v>&lt;a href="canciones/brotes_de_olivo/vivir_en_el_señor.html"&gt;</v>
      </c>
      <c r="X192"/>
      <c r="Y192" s="1"/>
      <c r="Z192" s="1"/>
      <c r="AA192" s="1"/>
      <c r="AB192" s="1"/>
    </row>
    <row r="193" spans="1:28" x14ac:dyDescent="0.3">
      <c r="A193" s="1">
        <f>ROW(CantoralDB[[#This Row],[Título]])-1</f>
        <v>192</v>
      </c>
      <c r="B193" s="1" t="s">
        <v>2373</v>
      </c>
      <c r="C193" s="1"/>
      <c r="H193" s="1" t="s">
        <v>1026</v>
      </c>
      <c r="J193" s="1" t="s">
        <v>607</v>
      </c>
      <c r="M193" s="15" t="s">
        <v>498</v>
      </c>
      <c r="N193" s="1" t="s">
        <v>2363</v>
      </c>
      <c r="O193" s="15">
        <v>10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193" s="15" t="str">
        <f>_xlfn.TEXTBEFORE(_xlfn.TEXTAFTER(CantoralDB[[#This Row],[index.html]],"&gt;"),"&gt;")&amp;"&gt;"</f>
        <v>&lt;a href="canciones/brotes_de_olivo/amaos_unos_a_otros.html"&gt;</v>
      </c>
      <c r="X193"/>
      <c r="Y193" s="1"/>
      <c r="Z193" s="1"/>
      <c r="AA193" s="1"/>
      <c r="AB193" s="1"/>
    </row>
    <row r="194" spans="1:28" x14ac:dyDescent="0.3">
      <c r="A194" s="1">
        <f>ROW(CantoralDB[[#This Row],[Título]])-1</f>
        <v>193</v>
      </c>
      <c r="B194" s="1" t="s">
        <v>2374</v>
      </c>
      <c r="C194" s="1"/>
      <c r="H194" s="1" t="s">
        <v>1029</v>
      </c>
      <c r="I194" s="1" t="s">
        <v>2952</v>
      </c>
      <c r="J194" s="1" t="s">
        <v>607</v>
      </c>
      <c r="M194" s="15" t="s">
        <v>498</v>
      </c>
      <c r="N194" s="1" t="s">
        <v>2363</v>
      </c>
      <c r="O194" s="15">
        <v>11</v>
      </c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194" s="15" t="str">
        <f>_xlfn.TEXTBEFORE(_xlfn.TEXTAFTER(CantoralDB[[#This Row],[index.html]],"&gt;"),"&gt;")&amp;"&gt;"</f>
        <v>&lt;a href="canciones/brotes_de_olivo/yo_soy_el_que_sirve.html"&gt;</v>
      </c>
      <c r="X194"/>
      <c r="Y194" s="1"/>
      <c r="Z194" s="1"/>
      <c r="AA194" s="1"/>
      <c r="AB194" s="1"/>
    </row>
    <row r="195" spans="1:28" x14ac:dyDescent="0.3">
      <c r="A195" s="1">
        <f>ROW(CantoralDB[[#This Row],[Título]])-1</f>
        <v>194</v>
      </c>
      <c r="B195" s="1" t="s">
        <v>2375</v>
      </c>
      <c r="C195" s="1"/>
      <c r="H195" s="1" t="s">
        <v>530</v>
      </c>
      <c r="I195" s="1" t="s">
        <v>2953</v>
      </c>
      <c r="J195" s="1" t="s">
        <v>607</v>
      </c>
      <c r="M195" s="15" t="s">
        <v>498</v>
      </c>
      <c r="N195" s="1" t="s">
        <v>2363</v>
      </c>
      <c r="O195" s="15">
        <v>12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195" s="15" t="str">
        <f>_xlfn.TEXTBEFORE(_xlfn.TEXTAFTER(CantoralDB[[#This Row],[index.html]],"&gt;"),"&gt;")&amp;"&gt;"</f>
        <v>&lt;a href="canciones/brotes_de_olivo/la_vid_y_los_sarmientos.html"&gt;</v>
      </c>
      <c r="X195"/>
      <c r="Y195" s="1"/>
      <c r="Z195" s="1"/>
      <c r="AA195" s="1"/>
      <c r="AB195" s="1"/>
    </row>
    <row r="196" spans="1:28" x14ac:dyDescent="0.3">
      <c r="A196" s="1">
        <f>ROW(CantoralDB[[#This Row],[Título]])-1</f>
        <v>195</v>
      </c>
      <c r="B196" s="1" t="s">
        <v>2376</v>
      </c>
      <c r="C196" s="1"/>
      <c r="H196" s="1" t="s">
        <v>1029</v>
      </c>
      <c r="I196" s="1" t="s">
        <v>2951</v>
      </c>
      <c r="J196" s="1" t="s">
        <v>607</v>
      </c>
      <c r="M196" s="15" t="s">
        <v>498</v>
      </c>
      <c r="N196" s="1" t="s">
        <v>2363</v>
      </c>
      <c r="O196" s="15">
        <v>13</v>
      </c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196" s="15" t="str">
        <f>_xlfn.TEXTBEFORE(_xlfn.TEXTAFTER(CantoralDB[[#This Row],[index.html]],"&gt;"),"&gt;")&amp;"&gt;"</f>
        <v>&lt;a href="canciones/brotes_de_olivo/siempre_estare_con_vosotros.html"&gt;</v>
      </c>
      <c r="X196"/>
      <c r="Y196" s="1"/>
      <c r="Z196" s="1"/>
      <c r="AA196" s="1"/>
      <c r="AB196" s="1"/>
    </row>
    <row r="197" spans="1:28" x14ac:dyDescent="0.3">
      <c r="A197" s="1">
        <f>ROW(CantoralDB[[#This Row],[Título]])-1</f>
        <v>196</v>
      </c>
      <c r="B197" s="1" t="s">
        <v>2377</v>
      </c>
      <c r="C197" s="1"/>
      <c r="H197" s="1" t="s">
        <v>530</v>
      </c>
      <c r="I197" s="1" t="s">
        <v>2952</v>
      </c>
      <c r="J197" s="1" t="s">
        <v>607</v>
      </c>
      <c r="M197" s="15" t="s">
        <v>498</v>
      </c>
      <c r="N197" s="1" t="s">
        <v>2363</v>
      </c>
      <c r="O197" s="15">
        <v>14</v>
      </c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197" s="15" t="str">
        <f>_xlfn.TEXTBEFORE(_xlfn.TEXTAFTER(CantoralDB[[#This Row],[index.html]],"&gt;"),"&gt;")&amp;"&gt;"</f>
        <v>&lt;a href="canciones/brotes_de_olivo/el_juicio_de_cristo.html"&gt;</v>
      </c>
      <c r="X197"/>
      <c r="Y197" s="1"/>
      <c r="Z197" s="1"/>
      <c r="AA197" s="1"/>
      <c r="AB197" s="1"/>
    </row>
    <row r="198" spans="1:28" x14ac:dyDescent="0.3">
      <c r="A198" s="1">
        <f>ROW(CantoralDB[[#This Row],[Título]])-1</f>
        <v>197</v>
      </c>
      <c r="B198" s="1" t="s">
        <v>2378</v>
      </c>
      <c r="C198" s="1"/>
      <c r="H198" s="1" t="s">
        <v>472</v>
      </c>
      <c r="J198" s="1" t="s">
        <v>607</v>
      </c>
      <c r="M198" s="15" t="s">
        <v>498</v>
      </c>
      <c r="N198" s="1" t="s">
        <v>2363</v>
      </c>
      <c r="O198" s="15">
        <v>15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98" s="1"/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198" s="15" t="str">
        <f>_xlfn.TEXTBEFORE(_xlfn.TEXTAFTER(CantoralDB[[#This Row],[index.html]],"&gt;"),"&gt;")&amp;"&gt;"</f>
        <v>&lt;a href="canciones/brotes_de_olivo/aleluya_el_señor_resucito.html"&gt;</v>
      </c>
      <c r="X198"/>
      <c r="Y198" s="1"/>
      <c r="Z198" s="1"/>
      <c r="AA198" s="1"/>
      <c r="AB198" s="1"/>
    </row>
    <row r="199" spans="1:28" x14ac:dyDescent="0.3">
      <c r="A199" s="1">
        <f>ROW(CantoralDB[[#This Row],[Título]])-1</f>
        <v>198</v>
      </c>
      <c r="B199" s="1" t="s">
        <v>3102</v>
      </c>
      <c r="C199" s="1"/>
      <c r="H199" s="1" t="s">
        <v>530</v>
      </c>
      <c r="I199" s="1" t="s">
        <v>2952</v>
      </c>
      <c r="J199" s="1" t="s">
        <v>607</v>
      </c>
      <c r="M199" s="15" t="s">
        <v>498</v>
      </c>
      <c r="N199" s="1" t="s">
        <v>3101</v>
      </c>
      <c r="O199" s="15">
        <v>1</v>
      </c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S199" s="1"/>
      <c r="T199" s="1"/>
      <c r="U199" s="32" t="s">
        <v>3113</v>
      </c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W199" s="15" t="str">
        <f>_xlfn.TEXTBEFORE(_xlfn.TEXTAFTER(CantoralDB[[#This Row],[index.html]],"&gt;"),"&gt;")&amp;"&gt;"</f>
        <v>&lt;a href="canciones/brotes_de_olivo/señor_envianos_a_tu_hijo.html"&gt;</v>
      </c>
      <c r="X199"/>
      <c r="Y199" s="1"/>
      <c r="Z199" s="1"/>
      <c r="AA199" s="1"/>
      <c r="AB199" s="1"/>
    </row>
    <row r="200" spans="1:28" x14ac:dyDescent="0.3">
      <c r="A200" s="1">
        <f>ROW(CantoralDB[[#This Row],[Título]])-1</f>
        <v>199</v>
      </c>
      <c r="B200" s="1" t="s">
        <v>3103</v>
      </c>
      <c r="C200" s="1"/>
      <c r="J200" s="1"/>
      <c r="M200" s="15" t="s">
        <v>498</v>
      </c>
      <c r="N200" s="1" t="s">
        <v>3101</v>
      </c>
      <c r="O200" s="15">
        <v>2</v>
      </c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W200" s="15" t="str">
        <f>_xlfn.TEXTBEFORE(_xlfn.TEXTAFTER(CantoralDB[[#This Row],[index.html]],"&gt;"),"&gt;")&amp;"&gt;"</f>
        <v>&lt;a href="canciones/brotes_de_olivo/monologo_de_zacarias.html"&gt;</v>
      </c>
      <c r="X200"/>
      <c r="Y200" s="1"/>
      <c r="Z200" s="1"/>
      <c r="AA200" s="1"/>
      <c r="AB200" s="1"/>
    </row>
    <row r="201" spans="1:28" x14ac:dyDescent="0.3">
      <c r="A201" s="1">
        <f>ROW(CantoralDB[[#This Row],[Título]])-1</f>
        <v>200</v>
      </c>
      <c r="B201" s="1" t="s">
        <v>1543</v>
      </c>
      <c r="C201" s="1"/>
      <c r="H201" s="1" t="s">
        <v>1029</v>
      </c>
      <c r="I201" s="1" t="s">
        <v>2950</v>
      </c>
      <c r="J201" s="1"/>
      <c r="M201" s="15" t="s">
        <v>498</v>
      </c>
      <c r="N201" s="1" t="s">
        <v>3101</v>
      </c>
      <c r="O201" s="15">
        <v>3</v>
      </c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S201" s="1"/>
      <c r="T201" s="1"/>
      <c r="U201" s="32" t="s">
        <v>3114</v>
      </c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W201" s="15" t="str">
        <f>_xlfn.TEXTBEFORE(_xlfn.TEXTAFTER(CantoralDB[[#This Row],[index.html]],"&gt;"),"&gt;")&amp;"&gt;"</f>
        <v>&lt;a href="canciones/brotes_de_olivo/magnificat.html"&gt;</v>
      </c>
      <c r="X201"/>
      <c r="Y201" s="1"/>
      <c r="Z201" s="1"/>
      <c r="AA201" s="1"/>
      <c r="AB201" s="1"/>
    </row>
    <row r="202" spans="1:28" x14ac:dyDescent="0.3">
      <c r="A202" s="1">
        <f>ROW(CantoralDB[[#This Row],[Título]])-1</f>
        <v>201</v>
      </c>
      <c r="B202" s="1" t="s">
        <v>3104</v>
      </c>
      <c r="C202" s="1"/>
      <c r="J202" s="1"/>
      <c r="M202" s="15" t="s">
        <v>498</v>
      </c>
      <c r="N202" s="1" t="s">
        <v>3101</v>
      </c>
      <c r="O202" s="15">
        <v>4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W202" s="15" t="str">
        <f>_xlfn.TEXTBEFORE(_xlfn.TEXTAFTER(CantoralDB[[#This Row],[index.html]],"&gt;"),"&gt;")&amp;"&gt;"</f>
        <v>&lt;a href="canciones/brotes_de_olivo/buscando_posada.html"&gt;</v>
      </c>
      <c r="X202"/>
      <c r="Y202" s="1"/>
      <c r="Z202" s="1"/>
      <c r="AA202" s="1"/>
      <c r="AB202" s="1"/>
    </row>
    <row r="203" spans="1:28" x14ac:dyDescent="0.3">
      <c r="A203" s="1">
        <f>ROW(CantoralDB[[#This Row],[Título]])-1</f>
        <v>202</v>
      </c>
      <c r="B203" s="1" t="s">
        <v>3105</v>
      </c>
      <c r="C203" s="1"/>
      <c r="J203" s="1"/>
      <c r="M203" s="15" t="s">
        <v>498</v>
      </c>
      <c r="N203" s="1" t="s">
        <v>3101</v>
      </c>
      <c r="O203" s="15">
        <v>5</v>
      </c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W203" s="15" t="str">
        <f>_xlfn.TEXTBEFORE(_xlfn.TEXTAFTER(CantoralDB[[#This Row],[index.html]],"&gt;"),"&gt;")&amp;"&gt;"</f>
        <v>&lt;a href="canciones/brotes_de_olivo/madre_de_dios.html"&gt;</v>
      </c>
      <c r="X203"/>
      <c r="Y203" s="1"/>
      <c r="Z203" s="1"/>
      <c r="AA203" s="1"/>
      <c r="AB203" s="1"/>
    </row>
    <row r="204" spans="1:28" x14ac:dyDescent="0.3">
      <c r="A204" s="1">
        <f>ROW(CantoralDB[[#This Row],[Título]])-1</f>
        <v>203</v>
      </c>
      <c r="B204" s="1" t="s">
        <v>67</v>
      </c>
      <c r="C204" s="1"/>
      <c r="J204" s="1"/>
      <c r="M204" s="15" t="s">
        <v>498</v>
      </c>
      <c r="N204" s="1" t="s">
        <v>3101</v>
      </c>
      <c r="O204" s="15">
        <v>6</v>
      </c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S204" s="1"/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W204" s="15" t="str">
        <f>_xlfn.TEXTBEFORE(_xlfn.TEXTAFTER(CantoralDB[[#This Row],[index.html]],"&gt;"),"&gt;")&amp;"&gt;"</f>
        <v>&lt;a href="canciones/brotes_de_olivo/gloria_a_dios_en_el_cielo.html"&gt;</v>
      </c>
      <c r="X204"/>
      <c r="Y204" s="1"/>
      <c r="Z204" s="1"/>
      <c r="AA204" s="1"/>
      <c r="AB204" s="1"/>
    </row>
    <row r="205" spans="1:28" x14ac:dyDescent="0.3">
      <c r="A205" s="1">
        <f>ROW(CantoralDB[[#This Row],[Título]])-1</f>
        <v>204</v>
      </c>
      <c r="B205" s="1" t="s">
        <v>3106</v>
      </c>
      <c r="C205" s="1"/>
      <c r="J205" s="1"/>
      <c r="M205" s="15" t="s">
        <v>498</v>
      </c>
      <c r="N205" s="1" t="s">
        <v>3101</v>
      </c>
      <c r="O205" s="15">
        <v>7</v>
      </c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S205" s="1"/>
      <c r="T205" s="1"/>
      <c r="U205" s="15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W205" s="15" t="str">
        <f>_xlfn.TEXTBEFORE(_xlfn.TEXTAFTER(CantoralDB[[#This Row],[index.html]],"&gt;"),"&gt;")&amp;"&gt;"</f>
        <v>&lt;a href="canciones/brotes_de_olivo/navidad_en_el_corazon.html"&gt;</v>
      </c>
      <c r="X205"/>
      <c r="Y205" s="1"/>
      <c r="Z205" s="1"/>
      <c r="AA205" s="1"/>
      <c r="AB205" s="1"/>
    </row>
    <row r="206" spans="1:28" x14ac:dyDescent="0.3">
      <c r="A206" s="1">
        <f>ROW(CantoralDB[[#This Row],[Título]])-1</f>
        <v>205</v>
      </c>
      <c r="B206" s="1" t="s">
        <v>3107</v>
      </c>
      <c r="C206" s="1"/>
      <c r="J206" s="1"/>
      <c r="M206" s="15" t="s">
        <v>498</v>
      </c>
      <c r="N206" s="1" t="s">
        <v>3101</v>
      </c>
      <c r="O206" s="15">
        <v>8</v>
      </c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S206" s="1"/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W206" s="15" t="str">
        <f>_xlfn.TEXTBEFORE(_xlfn.TEXTAFTER(CantoralDB[[#This Row],[index.html]],"&gt;"),"&gt;")&amp;"&gt;"</f>
        <v>&lt;a href="canciones/brotes_de_olivo/bien_nacido.html"&gt;</v>
      </c>
      <c r="X206"/>
      <c r="Y206" s="1"/>
      <c r="Z206" s="1"/>
      <c r="AA206" s="1"/>
      <c r="AB206" s="1"/>
    </row>
    <row r="207" spans="1:28" x14ac:dyDescent="0.3">
      <c r="A207" s="1">
        <f>ROW(CantoralDB[[#This Row],[Título]])-1</f>
        <v>206</v>
      </c>
      <c r="B207" s="1" t="s">
        <v>3108</v>
      </c>
      <c r="C207" s="1"/>
      <c r="J207" s="1"/>
      <c r="M207" s="15" t="s">
        <v>498</v>
      </c>
      <c r="N207" s="1" t="s">
        <v>3101</v>
      </c>
      <c r="O207" s="15">
        <v>9</v>
      </c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W207" s="15" t="str">
        <f>_xlfn.TEXTBEFORE(_xlfn.TEXTAFTER(CantoralDB[[#This Row],[index.html]],"&gt;"),"&gt;")&amp;"&gt;"</f>
        <v>&lt;a href="canciones/brotes_de_olivo/las_ropas_de_dios.html"&gt;</v>
      </c>
      <c r="X207"/>
      <c r="Y207" s="1"/>
      <c r="Z207" s="1"/>
      <c r="AA207" s="1"/>
      <c r="AB207" s="1"/>
    </row>
    <row r="208" spans="1:28" x14ac:dyDescent="0.3">
      <c r="A208" s="1">
        <f>ROW(CantoralDB[[#This Row],[Título]])-1</f>
        <v>207</v>
      </c>
      <c r="B208" s="1" t="s">
        <v>3109</v>
      </c>
      <c r="C208" s="1"/>
      <c r="J208" s="1"/>
      <c r="M208" s="15" t="s">
        <v>498</v>
      </c>
      <c r="N208" s="1" t="s">
        <v>3101</v>
      </c>
      <c r="O208" s="15">
        <v>10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W208" s="15" t="str">
        <f>_xlfn.TEXTBEFORE(_xlfn.TEXTAFTER(CantoralDB[[#This Row],[index.html]],"&gt;"),"&gt;")&amp;"&gt;"</f>
        <v>&lt;a href="canciones/brotes_de_olivo/los_pajaros_pastores.html"&gt;</v>
      </c>
      <c r="X208"/>
      <c r="Y208" s="1"/>
      <c r="Z208" s="1"/>
      <c r="AA208" s="1"/>
      <c r="AB208" s="1"/>
    </row>
    <row r="209" spans="1:28" x14ac:dyDescent="0.3">
      <c r="A209" s="1">
        <f>ROW(CantoralDB[[#This Row],[Título]])-1</f>
        <v>208</v>
      </c>
      <c r="B209" s="1" t="s">
        <v>3110</v>
      </c>
      <c r="C209" s="1"/>
      <c r="J209" s="1"/>
      <c r="M209" s="15" t="s">
        <v>498</v>
      </c>
      <c r="N209" s="1" t="s">
        <v>3101</v>
      </c>
      <c r="O209" s="15">
        <v>11</v>
      </c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W209" s="15" t="str">
        <f>_xlfn.TEXTBEFORE(_xlfn.TEXTAFTER(CantoralDB[[#This Row],[index.html]],"&gt;"),"&gt;")&amp;"&gt;"</f>
        <v>&lt;a href="canciones/brotes_de_olivo/la_serranilla.html"&gt;</v>
      </c>
      <c r="X209"/>
      <c r="Y209" s="1"/>
      <c r="Z209" s="1"/>
      <c r="AA209" s="1"/>
      <c r="AB209" s="1"/>
    </row>
    <row r="210" spans="1:28" x14ac:dyDescent="0.3">
      <c r="A210" s="1">
        <f>ROW(CantoralDB[[#This Row],[Título]])-1</f>
        <v>209</v>
      </c>
      <c r="B210" s="1" t="s">
        <v>3111</v>
      </c>
      <c r="C210" s="1"/>
      <c r="J210" s="1"/>
      <c r="M210" s="15" t="s">
        <v>498</v>
      </c>
      <c r="N210" s="1" t="s">
        <v>3101</v>
      </c>
      <c r="O210" s="15">
        <v>12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S210" s="1"/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W210" s="15" t="str">
        <f>_xlfn.TEXTBEFORE(_xlfn.TEXTAFTER(CantoralDB[[#This Row],[index.html]],"&gt;"),"&gt;")&amp;"&gt;"</f>
        <v>&lt;a href="canciones/brotes_de_olivo/el_golfillo.html"&gt;</v>
      </c>
      <c r="X210"/>
      <c r="Y210" s="1"/>
      <c r="Z210" s="1"/>
      <c r="AA210" s="1"/>
      <c r="AB210" s="1"/>
    </row>
    <row r="211" spans="1:28" x14ac:dyDescent="0.3">
      <c r="A211" s="1">
        <f>ROW(CantoralDB[[#This Row],[Título]])-1</f>
        <v>210</v>
      </c>
      <c r="B211" s="1" t="s">
        <v>3112</v>
      </c>
      <c r="C211" s="1"/>
      <c r="J211" s="1"/>
      <c r="M211" s="15" t="s">
        <v>498</v>
      </c>
      <c r="N211" s="1" t="s">
        <v>3101</v>
      </c>
      <c r="O211" s="15">
        <v>13</v>
      </c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W211" s="15" t="str">
        <f>_xlfn.TEXTBEFORE(_xlfn.TEXTAFTER(CantoralDB[[#This Row],[index.html]],"&gt;"),"&gt;")&amp;"&gt;"</f>
        <v>&lt;a href="canciones/brotes_de_olivo/sueños_de_riqueza.html"&gt;</v>
      </c>
      <c r="X211"/>
      <c r="Y211" s="1"/>
      <c r="Z211" s="1"/>
      <c r="AA211" s="1"/>
      <c r="AB211" s="1"/>
    </row>
    <row r="212" spans="1:28" x14ac:dyDescent="0.3">
      <c r="A212" s="1">
        <f>ROW(CantoralDB[[#This Row],[Título]])-1</f>
        <v>211</v>
      </c>
      <c r="B212" s="1" t="s">
        <v>226</v>
      </c>
      <c r="C212" s="1" t="s">
        <v>191</v>
      </c>
      <c r="D212" s="1" t="s">
        <v>1366</v>
      </c>
      <c r="F212" s="1">
        <v>431</v>
      </c>
      <c r="G212" s="1" t="s">
        <v>215</v>
      </c>
      <c r="H212" s="1" t="s">
        <v>530</v>
      </c>
      <c r="J212" s="1" t="s">
        <v>607</v>
      </c>
      <c r="M212" s="15" t="s">
        <v>498</v>
      </c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212" s="15" t="str">
        <f>_xlfn.TEXTBEFORE(_xlfn.TEXTAFTER(CantoralDB[[#This Row],[index.html]],"&gt;"),"&gt;")&amp;"&gt;"</f>
        <v>&lt;a href="canciones/brotes_de_olivo/agua_lavame.html"&gt;</v>
      </c>
      <c r="X212"/>
      <c r="Y212" s="1"/>
      <c r="Z212" s="1"/>
      <c r="AA212" s="1"/>
      <c r="AB212" s="1"/>
    </row>
    <row r="213" spans="1:28" x14ac:dyDescent="0.3">
      <c r="A213" s="1">
        <f>ROW(CantoralDB[[#This Row],[Título]])-1</f>
        <v>212</v>
      </c>
      <c r="B213" s="1" t="s">
        <v>15</v>
      </c>
      <c r="C213" s="1" t="s">
        <v>193</v>
      </c>
      <c r="D213" s="1" t="s">
        <v>1373</v>
      </c>
      <c r="E213" s="1">
        <v>405</v>
      </c>
      <c r="G213" s="1" t="s">
        <v>208</v>
      </c>
      <c r="H213" s="1" t="s">
        <v>1029</v>
      </c>
      <c r="J213" s="1" t="s">
        <v>607</v>
      </c>
      <c r="M213" s="15" t="s">
        <v>498</v>
      </c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213" s="15" t="str">
        <f>_xlfn.TEXTBEFORE(_xlfn.TEXTAFTER(CantoralDB[[#This Row],[index.html]],"&gt;"),"&gt;")&amp;"&gt;"</f>
        <v>&lt;a href="canciones/brotes_de_olivo/aleluya_cantara.html"&gt;</v>
      </c>
      <c r="X213"/>
      <c r="Y213" s="1"/>
      <c r="Z213" s="1"/>
      <c r="AA213" s="1"/>
      <c r="AB213" s="1"/>
    </row>
    <row r="214" spans="1:28" x14ac:dyDescent="0.3">
      <c r="A214" s="1">
        <f>ROW(CantoralDB[[#This Row],[Título]])-1</f>
        <v>213</v>
      </c>
      <c r="B214" s="1" t="s">
        <v>2575</v>
      </c>
      <c r="C214" s="1"/>
      <c r="F214" s="1">
        <v>185</v>
      </c>
      <c r="J214" s="1"/>
      <c r="M214" s="15" t="s">
        <v>498</v>
      </c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214" s="1"/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214" s="15" t="str">
        <f>_xlfn.TEXTBEFORE(_xlfn.TEXTAFTER(CantoralDB[[#This Row],[index.html]],"&gt;"),"&gt;")&amp;"&gt;"</f>
        <v>&lt;a href="canciones/brotes_de_olivo/bendita_la_nacion.html"&gt;</v>
      </c>
      <c r="X214"/>
      <c r="Y214" s="1"/>
      <c r="Z214" s="1"/>
      <c r="AA214" s="1"/>
      <c r="AB214" s="1"/>
    </row>
    <row r="215" spans="1:28" x14ac:dyDescent="0.3">
      <c r="A215" s="1">
        <f>ROW(CantoralDB[[#This Row],[Título]])-1</f>
        <v>214</v>
      </c>
      <c r="B215" s="1" t="s">
        <v>2686</v>
      </c>
      <c r="C215" s="1"/>
      <c r="F215" s="1">
        <v>311</v>
      </c>
      <c r="J215" s="1"/>
      <c r="M215" s="15" t="s">
        <v>498</v>
      </c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215" s="1"/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215" s="15" t="str">
        <f>_xlfn.TEXTBEFORE(_xlfn.TEXTAFTER(CantoralDB[[#This Row],[index.html]],"&gt;"),"&gt;")&amp;"&gt;"</f>
        <v>&lt;a href="canciones/brotes_de_olivo/dame_vida.html"&gt;</v>
      </c>
      <c r="X215"/>
      <c r="Y215" s="1"/>
      <c r="Z215" s="1"/>
      <c r="AA215" s="1"/>
      <c r="AB215" s="1"/>
    </row>
    <row r="216" spans="1:28" x14ac:dyDescent="0.3">
      <c r="A216" s="1">
        <f>ROW(CantoralDB[[#This Row],[Título]])-1</f>
        <v>215</v>
      </c>
      <c r="B216" s="1" t="s">
        <v>49</v>
      </c>
      <c r="C216" s="1" t="s">
        <v>992</v>
      </c>
      <c r="D216" s="1" t="s">
        <v>697</v>
      </c>
      <c r="E216" s="1">
        <v>419</v>
      </c>
      <c r="G216" s="1" t="s">
        <v>208</v>
      </c>
      <c r="H216" s="1" t="s">
        <v>1026</v>
      </c>
      <c r="J216" s="1" t="s">
        <v>607</v>
      </c>
      <c r="M216" s="15" t="s">
        <v>498</v>
      </c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216" s="15" t="str">
        <f>_xlfn.TEXTBEFORE(_xlfn.TEXTAFTER(CantoralDB[[#This Row],[index.html]],"&gt;"),"&gt;")&amp;"&gt;"</f>
        <v>&lt;a href="canciones/brotes_de_olivo/el_calor_de_tu_palabra.html"&gt;</v>
      </c>
      <c r="X216"/>
      <c r="Y216" s="1"/>
      <c r="Z216" s="1"/>
      <c r="AA216" s="1"/>
      <c r="AB216" s="1"/>
    </row>
    <row r="217" spans="1:28" x14ac:dyDescent="0.3">
      <c r="A217" s="1">
        <f>ROW(CantoralDB[[#This Row],[Título]])-1</f>
        <v>216</v>
      </c>
      <c r="B217" s="1" t="s">
        <v>59</v>
      </c>
      <c r="C217" s="1" t="s">
        <v>200</v>
      </c>
      <c r="D217" s="1" t="s">
        <v>653</v>
      </c>
      <c r="E217" s="1">
        <v>423</v>
      </c>
      <c r="G217" s="1" t="s">
        <v>208</v>
      </c>
      <c r="H217" s="1" t="s">
        <v>1026</v>
      </c>
      <c r="J217" s="1" t="s">
        <v>607</v>
      </c>
      <c r="M217" s="15" t="s">
        <v>498</v>
      </c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217" s="1" t="s">
        <v>829</v>
      </c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217" s="15" t="str">
        <f>_xlfn.TEXTBEFORE(_xlfn.TEXTAFTER(CantoralDB[[#This Row],[index.html]],"&gt;"),"&gt;")&amp;"&gt;"</f>
        <v>&lt;a href="canciones/brotes_de_olivo/en_mi_debilidad.html"&gt;</v>
      </c>
      <c r="X217"/>
      <c r="Y217" s="1"/>
      <c r="Z217" s="1"/>
      <c r="AA217" s="1"/>
      <c r="AB217" s="1"/>
    </row>
    <row r="218" spans="1:28" x14ac:dyDescent="0.3">
      <c r="A218" s="1">
        <f>ROW(CantoralDB[[#This Row],[Título]])-1</f>
        <v>217</v>
      </c>
      <c r="B218" s="1" t="s">
        <v>213</v>
      </c>
      <c r="C218" s="1" t="s">
        <v>992</v>
      </c>
      <c r="D218" s="1" t="s">
        <v>703</v>
      </c>
      <c r="G218" s="1" t="s">
        <v>212</v>
      </c>
      <c r="H218" s="1" t="s">
        <v>1026</v>
      </c>
      <c r="J218" s="1" t="s">
        <v>607</v>
      </c>
      <c r="M218" s="15" t="s">
        <v>498</v>
      </c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218" s="1"/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218" s="15" t="str">
        <f>_xlfn.TEXTBEFORE(_xlfn.TEXTAFTER(CantoralDB[[#This Row],[index.html]],"&gt;"),"&gt;")&amp;"&gt;"</f>
        <v>&lt;a href="canciones/brotes_de_olivo/enviame.html"&gt;</v>
      </c>
      <c r="X218"/>
      <c r="Y218" s="1"/>
      <c r="Z218" s="1"/>
      <c r="AA218" s="1"/>
      <c r="AB218" s="1"/>
    </row>
    <row r="219" spans="1:28" x14ac:dyDescent="0.3">
      <c r="A219" s="1">
        <f>ROW(CantoralDB[[#This Row],[Título]])-1</f>
        <v>218</v>
      </c>
      <c r="B219" s="1" t="s">
        <v>235</v>
      </c>
      <c r="C219" s="1" t="s">
        <v>992</v>
      </c>
      <c r="D219" s="1" t="s">
        <v>709</v>
      </c>
      <c r="F219" s="1">
        <v>339</v>
      </c>
      <c r="G219" s="1" t="s">
        <v>215</v>
      </c>
      <c r="H219" s="1" t="s">
        <v>530</v>
      </c>
      <c r="J219" s="1" t="s">
        <v>607</v>
      </c>
      <c r="M219" s="15" t="s">
        <v>498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219" s="15" t="str">
        <f>_xlfn.TEXTBEFORE(_xlfn.TEXTAFTER(CantoralDB[[#This Row],[index.html]],"&gt;"),"&gt;")&amp;"&gt;"</f>
        <v>&lt;a href="canciones/brotes_de_olivo/hoy_señor_te_dare.html"&gt;</v>
      </c>
      <c r="X219"/>
      <c r="Y219" s="1"/>
      <c r="Z219" s="1"/>
      <c r="AA219" s="1"/>
      <c r="AB219" s="1"/>
    </row>
    <row r="220" spans="1:28" x14ac:dyDescent="0.3">
      <c r="A220" s="1">
        <f>ROW(CantoralDB[[#This Row],[Título]])-1</f>
        <v>219</v>
      </c>
      <c r="B220" s="1" t="s">
        <v>227</v>
      </c>
      <c r="C220" s="1" t="s">
        <v>200</v>
      </c>
      <c r="D220" s="1" t="s">
        <v>660</v>
      </c>
      <c r="G220" s="1" t="s">
        <v>215</v>
      </c>
      <c r="H220" s="1" t="s">
        <v>530</v>
      </c>
      <c r="J220" s="1" t="s">
        <v>607</v>
      </c>
      <c r="M220" s="15" t="s">
        <v>498</v>
      </c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220" s="1" t="s">
        <v>842</v>
      </c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220" s="15" t="str">
        <f>_xlfn.TEXTBEFORE(_xlfn.TEXTAFTER(CantoralDB[[#This Row],[index.html]],"&gt;"),"&gt;")&amp;"&gt;"</f>
        <v>&lt;a href="canciones/brotes_de_olivo/me_levantare.html"&gt;</v>
      </c>
      <c r="X220"/>
      <c r="Y220" s="1"/>
      <c r="Z220" s="1"/>
      <c r="AA220" s="1"/>
      <c r="AB220" s="1"/>
    </row>
    <row r="221" spans="1:28" x14ac:dyDescent="0.3">
      <c r="A221" s="1">
        <f>ROW(CantoralDB[[#This Row],[Título]])-1</f>
        <v>220</v>
      </c>
      <c r="B221" s="1" t="s">
        <v>642</v>
      </c>
      <c r="C221" s="1" t="s">
        <v>200</v>
      </c>
      <c r="D221" s="1" t="s">
        <v>662</v>
      </c>
      <c r="G221" s="1" t="s">
        <v>643</v>
      </c>
      <c r="H221" s="1" t="s">
        <v>530</v>
      </c>
      <c r="I221" s="1" t="s">
        <v>2952</v>
      </c>
      <c r="J221" s="1" t="s">
        <v>607</v>
      </c>
      <c r="M221" s="15" t="s">
        <v>498</v>
      </c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221" s="1" t="s">
        <v>844</v>
      </c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221" s="15" t="str">
        <f>_xlfn.TEXTBEFORE(_xlfn.TEXTAFTER(CantoralDB[[#This Row],[index.html]],"&gt;"),"&gt;")&amp;"&gt;"</f>
        <v>&lt;a href="canciones/brotes_de_olivo/nada_has_pensado.html"&gt;</v>
      </c>
      <c r="X221"/>
      <c r="Y221" s="1"/>
      <c r="Z221" s="1"/>
      <c r="AA221" s="1"/>
      <c r="AB221" s="1"/>
    </row>
    <row r="222" spans="1:28" x14ac:dyDescent="0.3">
      <c r="A222" s="1">
        <f>ROW(CantoralDB[[#This Row],[Título]])-1</f>
        <v>221</v>
      </c>
      <c r="B222" s="1" t="s">
        <v>95</v>
      </c>
      <c r="C222" s="1" t="s">
        <v>200</v>
      </c>
      <c r="D222" s="1" t="s">
        <v>663</v>
      </c>
      <c r="E222" s="1">
        <v>438</v>
      </c>
      <c r="F222" s="1">
        <v>317</v>
      </c>
      <c r="G222" s="1" t="s">
        <v>208</v>
      </c>
      <c r="H222" s="1" t="s">
        <v>530</v>
      </c>
      <c r="J222" s="1" t="s">
        <v>607</v>
      </c>
      <c r="M222" s="15" t="s">
        <v>498</v>
      </c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222" s="15" t="str">
        <f>_xlfn.TEXTBEFORE(_xlfn.TEXTAFTER(CantoralDB[[#This Row],[index.html]],"&gt;"),"&gt;")&amp;"&gt;"</f>
        <v>&lt;a href="canciones/brotes_de_olivo/nada_nos_separara.html"&gt;</v>
      </c>
      <c r="X222"/>
      <c r="Y222" s="1"/>
      <c r="Z222" s="1"/>
      <c r="AA222" s="1"/>
      <c r="AB222" s="1"/>
    </row>
    <row r="223" spans="1:28" x14ac:dyDescent="0.3">
      <c r="A223" s="1">
        <f>ROW(CantoralDB[[#This Row],[Título]])-1</f>
        <v>222</v>
      </c>
      <c r="B223" s="1" t="s">
        <v>264</v>
      </c>
      <c r="C223" s="1" t="s">
        <v>198</v>
      </c>
      <c r="D223" s="1" t="s">
        <v>1456</v>
      </c>
      <c r="G223" s="1" t="s">
        <v>265</v>
      </c>
      <c r="H223" s="1" t="s">
        <v>530</v>
      </c>
      <c r="J223" s="1" t="s">
        <v>607</v>
      </c>
      <c r="M223" s="15" t="s">
        <v>498</v>
      </c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223" s="1" t="s">
        <v>814</v>
      </c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223" s="15" t="str">
        <f>_xlfn.TEXTBEFORE(_xlfn.TEXTAFTER(CantoralDB[[#This Row],[index.html]],"&gt;"),"&gt;")&amp;"&gt;"</f>
        <v>&lt;a href="canciones/brotes_de_olivo/que_sea_mi_vida_la_sal.html"&gt;</v>
      </c>
      <c r="X223"/>
      <c r="Y223" s="1"/>
      <c r="Z223" s="1"/>
      <c r="AA223" s="1"/>
      <c r="AB223" s="1"/>
    </row>
    <row r="224" spans="1:28" x14ac:dyDescent="0.3">
      <c r="A224" s="1">
        <f>ROW(CantoralDB[[#This Row],[Título]])-1</f>
        <v>223</v>
      </c>
      <c r="B224" s="1" t="s">
        <v>562</v>
      </c>
      <c r="C224" s="1" t="s">
        <v>200</v>
      </c>
      <c r="D224" s="1" t="s">
        <v>677</v>
      </c>
      <c r="G224" s="1" t="s">
        <v>552</v>
      </c>
      <c r="H224" s="1" t="s">
        <v>472</v>
      </c>
      <c r="J224" s="1" t="s">
        <v>607</v>
      </c>
      <c r="M224" s="15" t="s">
        <v>498</v>
      </c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224" s="15" t="str">
        <f>_xlfn.TEXTBEFORE(_xlfn.TEXTAFTER(CantoralDB[[#This Row],[index.html]],"&gt;"),"&gt;")&amp;"&gt;"</f>
        <v>&lt;a href="canciones/brotes_de_olivo/ven_no_apartes_de_mi_los_ojos.html"&gt;</v>
      </c>
      <c r="X224"/>
      <c r="Y224" s="1"/>
      <c r="Z224" s="1"/>
      <c r="AA224" s="1"/>
      <c r="AB224" s="1"/>
    </row>
    <row r="225" spans="1:28" x14ac:dyDescent="0.3">
      <c r="A225" s="1">
        <f>ROW(CantoralDB[[#This Row],[Título]])-1</f>
        <v>224</v>
      </c>
      <c r="B225" s="1" t="s">
        <v>6</v>
      </c>
      <c r="C225" s="1" t="s">
        <v>190</v>
      </c>
      <c r="D225" s="1" t="s">
        <v>1364</v>
      </c>
      <c r="E225" s="1">
        <v>8</v>
      </c>
      <c r="G225" s="1" t="s">
        <v>208</v>
      </c>
      <c r="H225" s="1" t="s">
        <v>1026</v>
      </c>
      <c r="I225" s="1" t="s">
        <v>2953</v>
      </c>
      <c r="J225" s="1" t="s">
        <v>607</v>
      </c>
      <c r="M225" s="15" t="s">
        <v>478</v>
      </c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225" s="15" t="str">
        <f>_xlfn.TEXTBEFORE(_xlfn.TEXTAFTER(CantoralDB[[#This Row],[index.html]],"&gt;"),"&gt;")&amp;"&gt;"</f>
        <v>&lt;a href="canciones/carmelo_erdozain/abre_tu_tienda_al_señor.html"&gt;</v>
      </c>
      <c r="X225"/>
      <c r="Y225" s="1"/>
      <c r="Z225" s="1"/>
      <c r="AA225" s="1"/>
      <c r="AB225" s="1"/>
    </row>
    <row r="226" spans="1:28" x14ac:dyDescent="0.3">
      <c r="A226" s="1">
        <f>ROW(CantoralDB[[#This Row],[Título]])-1</f>
        <v>225</v>
      </c>
      <c r="B226" s="1" t="s">
        <v>19</v>
      </c>
      <c r="C226" s="1" t="s">
        <v>193</v>
      </c>
      <c r="D226" s="1" t="s">
        <v>1378</v>
      </c>
      <c r="E226" s="1">
        <v>13</v>
      </c>
      <c r="G226" s="1" t="s">
        <v>208</v>
      </c>
      <c r="H226" s="1" t="s">
        <v>1026</v>
      </c>
      <c r="I226" s="1" t="s">
        <v>2953</v>
      </c>
      <c r="J226" s="1" t="s">
        <v>607</v>
      </c>
      <c r="M226" s="15" t="s">
        <v>478</v>
      </c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226" s="15" t="str">
        <f>_xlfn.TEXTBEFORE(_xlfn.TEXTAFTER(CantoralDB[[#This Row],[index.html]],"&gt;"),"&gt;")&amp;"&gt;"</f>
        <v>&lt;a href="canciones/carmelo_erdozain/aleluya_es_la_fiesta_del_señor.html"&gt;</v>
      </c>
      <c r="X226"/>
      <c r="Y226" s="1"/>
      <c r="Z226" s="1"/>
      <c r="AA226" s="1"/>
      <c r="AB226" s="1"/>
    </row>
    <row r="227" spans="1:28" x14ac:dyDescent="0.3">
      <c r="A227" s="1">
        <f>ROW(CantoralDB[[#This Row],[Título]])-1</f>
        <v>226</v>
      </c>
      <c r="B227" s="1" t="s">
        <v>1164</v>
      </c>
      <c r="C227" s="1" t="s">
        <v>194</v>
      </c>
      <c r="D227" s="1" t="s">
        <v>1383</v>
      </c>
      <c r="E227" s="1">
        <v>24</v>
      </c>
      <c r="G227" s="1" t="s">
        <v>208</v>
      </c>
      <c r="H227" s="1" t="s">
        <v>530</v>
      </c>
      <c r="I227" s="1" t="s">
        <v>2953</v>
      </c>
      <c r="J227" s="1" t="s">
        <v>607</v>
      </c>
      <c r="M227" s="15" t="s">
        <v>478</v>
      </c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227" s="15" t="str">
        <f>_xlfn.TEXTBEFORE(_xlfn.TEXTAFTER(CantoralDB[[#This Row],[index.html]],"&gt;"),"&gt;")&amp;"&gt;"</f>
        <v>&lt;a href="canciones/carmelo_erdozain/ante_ti_señor.html"&gt;</v>
      </c>
      <c r="X227"/>
      <c r="Y227" s="1"/>
      <c r="Z227" s="1"/>
      <c r="AA227" s="1"/>
      <c r="AB227" s="1"/>
    </row>
    <row r="228" spans="1:28" x14ac:dyDescent="0.3">
      <c r="A228" s="1">
        <f>ROW(CantoralDB[[#This Row],[Título]])-1</f>
        <v>227</v>
      </c>
      <c r="B228" s="1" t="s">
        <v>2902</v>
      </c>
      <c r="C228" s="1"/>
      <c r="E228" s="1">
        <v>261</v>
      </c>
      <c r="H228" s="1" t="s">
        <v>1026</v>
      </c>
      <c r="J228" s="1" t="s">
        <v>607</v>
      </c>
      <c r="M228" s="15" t="s">
        <v>478</v>
      </c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228" s="15" t="str">
        <f>_xlfn.TEXTBEFORE(_xlfn.TEXTAFTER(CantoralDB[[#This Row],[index.html]],"&gt;"),"&gt;")&amp;"&gt;"</f>
        <v>&lt;a href="canciones/carmelo_erdozain/arriesgate.html"&gt;</v>
      </c>
      <c r="X228"/>
      <c r="Y228" s="1"/>
      <c r="Z228" s="1"/>
      <c r="AA228" s="1"/>
      <c r="AB228" s="1"/>
    </row>
    <row r="229" spans="1:28" x14ac:dyDescent="0.3">
      <c r="A229" s="1">
        <f>ROW(CantoralDB[[#This Row],[Título]])-1</f>
        <v>228</v>
      </c>
      <c r="B229" s="1" t="s">
        <v>33</v>
      </c>
      <c r="C229" s="1" t="s">
        <v>992</v>
      </c>
      <c r="D229" s="1" t="s">
        <v>687</v>
      </c>
      <c r="E229" s="1">
        <v>52</v>
      </c>
      <c r="G229" s="1" t="s">
        <v>208</v>
      </c>
      <c r="H229" s="1" t="s">
        <v>472</v>
      </c>
      <c r="I229" s="1" t="s">
        <v>2952</v>
      </c>
      <c r="J229" s="1" t="s">
        <v>607</v>
      </c>
      <c r="M229" s="15" t="s">
        <v>478</v>
      </c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29" s="1" t="s">
        <v>813</v>
      </c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229" s="15" t="str">
        <f>_xlfn.TEXTBEFORE(_xlfn.TEXTAFTER(CantoralDB[[#This Row],[index.html]],"&gt;"),"&gt;")&amp;"&gt;"</f>
        <v>&lt;a href="canciones/carmelo_erdozain/cerca_esta_el_señor.html"&gt;</v>
      </c>
      <c r="X229"/>
      <c r="Y229" s="1"/>
      <c r="Z229" s="1"/>
      <c r="AA229" s="1"/>
      <c r="AB229" s="1"/>
    </row>
    <row r="230" spans="1:28" x14ac:dyDescent="0.3">
      <c r="A230" s="1">
        <f>ROW(CantoralDB[[#This Row],[Título]])-1</f>
        <v>229</v>
      </c>
      <c r="B230" s="1" t="s">
        <v>35</v>
      </c>
      <c r="C230" s="1" t="s">
        <v>200</v>
      </c>
      <c r="D230" s="1" t="s">
        <v>647</v>
      </c>
      <c r="E230" s="1">
        <v>51</v>
      </c>
      <c r="G230" s="1" t="s">
        <v>208</v>
      </c>
      <c r="H230" s="1" t="s">
        <v>530</v>
      </c>
      <c r="I230" s="1" t="s">
        <v>2952</v>
      </c>
      <c r="J230" s="1" t="s">
        <v>607</v>
      </c>
      <c r="M230" s="15" t="s">
        <v>478</v>
      </c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230" s="15" t="str">
        <f>_xlfn.TEXTBEFORE(_xlfn.TEXTAFTER(CantoralDB[[#This Row],[index.html]],"&gt;"),"&gt;")&amp;"&gt;"</f>
        <v>&lt;a href="canciones/carmelo_erdozain/compartir_junto_al_señor.html"&gt;</v>
      </c>
      <c r="X230"/>
      <c r="Y230" s="1"/>
      <c r="Z230" s="1"/>
      <c r="AA230" s="1"/>
      <c r="AB230" s="1"/>
    </row>
    <row r="231" spans="1:28" x14ac:dyDescent="0.3">
      <c r="A231" s="1">
        <f>ROW(CantoralDB[[#This Row],[Título]])-1</f>
        <v>230</v>
      </c>
      <c r="B231" s="1" t="s">
        <v>1175</v>
      </c>
      <c r="C231" s="1"/>
      <c r="E231" s="1">
        <v>44</v>
      </c>
      <c r="H231" s="1" t="s">
        <v>530</v>
      </c>
      <c r="J231" s="1" t="s">
        <v>607</v>
      </c>
      <c r="M231" s="15" t="s">
        <v>478</v>
      </c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231" s="15" t="str">
        <f>_xlfn.TEXTBEFORE(_xlfn.TEXTAFTER(CantoralDB[[#This Row],[index.html]],"&gt;"),"&gt;")&amp;"&gt;"</f>
        <v>&lt;a href="canciones/carmelo_erdozain/con_nosotros_esta_el_señor.html"&gt;</v>
      </c>
      <c r="X231"/>
      <c r="Y231" s="1"/>
      <c r="Z231" s="1"/>
      <c r="AA231" s="1"/>
      <c r="AB231" s="1"/>
    </row>
    <row r="232" spans="1:28" x14ac:dyDescent="0.3">
      <c r="A232" s="1">
        <f>ROW(CantoralDB[[#This Row],[Título]])-1</f>
        <v>231</v>
      </c>
      <c r="B232" s="1" t="s">
        <v>1222</v>
      </c>
      <c r="C232" s="1"/>
      <c r="E232" s="1">
        <v>301</v>
      </c>
      <c r="H232" s="1" t="s">
        <v>1027</v>
      </c>
      <c r="J232" s="1" t="s">
        <v>607</v>
      </c>
      <c r="M232" s="15" t="s">
        <v>478</v>
      </c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232" s="15" t="str">
        <f>_xlfn.TEXTBEFORE(_xlfn.TEXTAFTER(CantoralDB[[#This Row],[index.html]],"&gt;"),"&gt;")&amp;"&gt;"</f>
        <v>&lt;a href="canciones/carmelo_erdozain/creo_en_jesus.html"&gt;</v>
      </c>
      <c r="X232"/>
      <c r="Y232" s="1"/>
      <c r="Z232" s="1"/>
      <c r="AA232" s="1"/>
      <c r="AB232" s="1"/>
    </row>
    <row r="233" spans="1:28" x14ac:dyDescent="0.3">
      <c r="A233" s="1">
        <f>ROW(CantoralDB[[#This Row],[Título]])-1</f>
        <v>232</v>
      </c>
      <c r="B233" s="1" t="s">
        <v>1187</v>
      </c>
      <c r="C233" s="1"/>
      <c r="E233" s="1">
        <v>58</v>
      </c>
      <c r="H233" s="1" t="s">
        <v>1027</v>
      </c>
      <c r="J233" s="1" t="s">
        <v>607</v>
      </c>
      <c r="M233" s="15" t="s">
        <v>478</v>
      </c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233" s="15" t="str">
        <f>_xlfn.TEXTBEFORE(_xlfn.TEXTAFTER(CantoralDB[[#This Row],[index.html]],"&gt;"),"&gt;")&amp;"&gt;"</f>
        <v>&lt;a href="canciones/carmelo_erdozain/cristo_es_la_imagen_de_dios.html"&gt;</v>
      </c>
      <c r="X233"/>
      <c r="Y233" s="1"/>
      <c r="Z233" s="1"/>
      <c r="AA233" s="1"/>
      <c r="AB233" s="1"/>
    </row>
    <row r="234" spans="1:28" x14ac:dyDescent="0.3">
      <c r="A234" s="1">
        <f>ROW(CantoralDB[[#This Row],[Título]])-1</f>
        <v>233</v>
      </c>
      <c r="B234" s="1" t="s">
        <v>1183</v>
      </c>
      <c r="C234" s="1"/>
      <c r="E234" s="1">
        <v>55</v>
      </c>
      <c r="H234" s="1" t="s">
        <v>1027</v>
      </c>
      <c r="J234" s="1" t="s">
        <v>607</v>
      </c>
      <c r="M234" s="15" t="s">
        <v>478</v>
      </c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234" s="15" t="str">
        <f>_xlfn.TEXTBEFORE(_xlfn.TEXTAFTER(CantoralDB[[#This Row],[index.html]],"&gt;"),"&gt;")&amp;"&gt;"</f>
        <v>&lt;a href="canciones/carmelo_erdozain/cristo_fue_sincero.html"&gt;</v>
      </c>
      <c r="X234"/>
      <c r="Y234" s="1"/>
      <c r="Z234" s="1"/>
      <c r="AA234" s="1"/>
      <c r="AB234" s="1"/>
    </row>
    <row r="235" spans="1:28" x14ac:dyDescent="0.3">
      <c r="A235" s="1">
        <f>ROW(CantoralDB[[#This Row],[Título]])-1</f>
        <v>234</v>
      </c>
      <c r="B235" s="1" t="s">
        <v>40</v>
      </c>
      <c r="C235" s="1" t="s">
        <v>992</v>
      </c>
      <c r="D235" s="1" t="s">
        <v>691</v>
      </c>
      <c r="E235" s="1">
        <v>63</v>
      </c>
      <c r="G235" s="1" t="s">
        <v>208</v>
      </c>
      <c r="H235" s="1" t="s">
        <v>530</v>
      </c>
      <c r="J235" s="1" t="s">
        <v>607</v>
      </c>
      <c r="M235" s="15" t="s">
        <v>478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235" s="15" t="str">
        <f>_xlfn.TEXTBEFORE(_xlfn.TEXTAFTER(CantoralDB[[#This Row],[index.html]],"&gt;"),"&gt;")&amp;"&gt;"</f>
        <v>&lt;a href="canciones/carmelo_erdozain/cristo_nos_da_la_libertad.html"&gt;</v>
      </c>
      <c r="X235"/>
      <c r="Y235" s="1"/>
      <c r="Z235" s="1"/>
      <c r="AA235" s="1"/>
      <c r="AB235" s="1"/>
    </row>
    <row r="236" spans="1:28" x14ac:dyDescent="0.3">
      <c r="A236" s="1">
        <f>ROW(CantoralDB[[#This Row],[Título]])-1</f>
        <v>235</v>
      </c>
      <c r="B236" s="1" t="s">
        <v>41</v>
      </c>
      <c r="C236" s="1" t="s">
        <v>200</v>
      </c>
      <c r="D236" s="1" t="s">
        <v>648</v>
      </c>
      <c r="E236" s="1">
        <v>59</v>
      </c>
      <c r="G236" s="1" t="s">
        <v>208</v>
      </c>
      <c r="H236" s="1" t="s">
        <v>472</v>
      </c>
      <c r="I236" s="1" t="s">
        <v>2950</v>
      </c>
      <c r="J236" s="1" t="s">
        <v>607</v>
      </c>
      <c r="M236" s="15" t="s">
        <v>478</v>
      </c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36" s="1" t="s">
        <v>817</v>
      </c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236" s="15" t="str">
        <f>_xlfn.TEXTBEFORE(_xlfn.TEXTAFTER(CantoralDB[[#This Row],[index.html]],"&gt;"),"&gt;")&amp;"&gt;"</f>
        <v>&lt;a href="canciones/carmelo_erdozain/cristo_por_nosotros.html"&gt;</v>
      </c>
      <c r="X236"/>
      <c r="Y236" s="1"/>
      <c r="Z236" s="1"/>
      <c r="AA236" s="1"/>
      <c r="AB236" s="1"/>
    </row>
    <row r="237" spans="1:28" x14ac:dyDescent="0.3">
      <c r="A237" s="1">
        <f>ROW(CantoralDB[[#This Row],[Título]])-1</f>
        <v>236</v>
      </c>
      <c r="B237" s="1" t="s">
        <v>1185</v>
      </c>
      <c r="C237" s="1"/>
      <c r="E237" s="1">
        <v>57</v>
      </c>
      <c r="H237" s="1" t="s">
        <v>1028</v>
      </c>
      <c r="J237" s="1" t="s">
        <v>607</v>
      </c>
      <c r="M237" s="15" t="s">
        <v>478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237" s="15" t="str">
        <f>_xlfn.TEXTBEFORE(_xlfn.TEXTAFTER(CantoralDB[[#This Row],[index.html]],"&gt;"),"&gt;")&amp;"&gt;"</f>
        <v>&lt;a href="canciones/carmelo_erdozain/cristo_se_entrego_por_nosotros.html"&gt;</v>
      </c>
      <c r="X237"/>
      <c r="Y237" s="1"/>
      <c r="Z237" s="1"/>
      <c r="AA237" s="1"/>
      <c r="AB237" s="1"/>
    </row>
    <row r="238" spans="1:28" x14ac:dyDescent="0.3">
      <c r="A238" s="1">
        <f>ROW(CantoralDB[[#This Row],[Título]])-1</f>
        <v>237</v>
      </c>
      <c r="B238" s="1" t="s">
        <v>1193</v>
      </c>
      <c r="C238" s="1"/>
      <c r="E238" s="1">
        <v>68</v>
      </c>
      <c r="H238" s="1" t="s">
        <v>1029</v>
      </c>
      <c r="J238" s="1" t="s">
        <v>607</v>
      </c>
      <c r="M238" s="15" t="s">
        <v>478</v>
      </c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238" s="15" t="str">
        <f>_xlfn.TEXTBEFORE(_xlfn.TEXTAFTER(CantoralDB[[#This Row],[index.html]],"&gt;"),"&gt;")&amp;"&gt;"</f>
        <v>&lt;a href="canciones/carmelo_erdozain/cuantos_años_han_de_pasar.html"&gt;</v>
      </c>
      <c r="X238"/>
      <c r="Y238" s="1"/>
      <c r="Z238" s="1"/>
      <c r="AA238" s="1"/>
      <c r="AB238" s="1"/>
    </row>
    <row r="239" spans="1:28" x14ac:dyDescent="0.3">
      <c r="A239" s="1">
        <f>ROW(CantoralDB[[#This Row],[Título]])-1</f>
        <v>238</v>
      </c>
      <c r="B239" s="1" t="s">
        <v>221</v>
      </c>
      <c r="C239" s="1" t="s">
        <v>190</v>
      </c>
      <c r="D239" s="1" t="s">
        <v>733</v>
      </c>
      <c r="G239" s="1" t="s">
        <v>215</v>
      </c>
      <c r="H239" s="1" t="s">
        <v>530</v>
      </c>
      <c r="J239" s="1" t="s">
        <v>607</v>
      </c>
      <c r="M239" s="15" t="s">
        <v>478</v>
      </c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39" s="1"/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239" s="15" t="str">
        <f>_xlfn.TEXTBEFORE(_xlfn.TEXTAFTER(CantoralDB[[#This Row],[index.html]],"&gt;"),"&gt;")&amp;"&gt;"</f>
        <v>&lt;a href="canciones/carmelo_erdozain/dios_nos_convoca.html"&gt;</v>
      </c>
      <c r="X239"/>
      <c r="Y239" s="1"/>
      <c r="Z239" s="1"/>
      <c r="AA239" s="1"/>
      <c r="AB239" s="1"/>
    </row>
    <row r="240" spans="1:28" x14ac:dyDescent="0.3">
      <c r="A240" s="1">
        <f>ROW(CantoralDB[[#This Row],[Título]])-1</f>
        <v>239</v>
      </c>
      <c r="B240" s="1" t="s">
        <v>1206</v>
      </c>
      <c r="C240" s="1"/>
      <c r="E240" s="1">
        <v>82</v>
      </c>
      <c r="H240" s="1" t="s">
        <v>1029</v>
      </c>
      <c r="J240" s="1" t="s">
        <v>607</v>
      </c>
      <c r="M240" s="15" t="s">
        <v>478</v>
      </c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240" s="15" t="str">
        <f>_xlfn.TEXTBEFORE(_xlfn.TEXTAFTER(CantoralDB[[#This Row],[index.html]],"&gt;"),"&gt;")&amp;"&gt;"</f>
        <v>&lt;a href="canciones/carmelo_erdozain/dios_te_salve_maria.html"&gt;</v>
      </c>
      <c r="X240"/>
      <c r="Y240" s="1"/>
      <c r="Z240" s="1"/>
      <c r="AA240" s="1"/>
      <c r="AB240" s="1"/>
    </row>
    <row r="241" spans="1:28" x14ac:dyDescent="0.3">
      <c r="A241" s="1">
        <f>ROW(CantoralDB[[#This Row],[Título]])-1</f>
        <v>240</v>
      </c>
      <c r="B241" s="1" t="s">
        <v>1208</v>
      </c>
      <c r="C241" s="1"/>
      <c r="E241" s="1">
        <v>87</v>
      </c>
      <c r="H241" s="1" t="s">
        <v>1029</v>
      </c>
      <c r="J241" s="1" t="s">
        <v>607</v>
      </c>
      <c r="M241" s="15" t="s">
        <v>478</v>
      </c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241" s="15" t="str">
        <f>_xlfn.TEXTBEFORE(_xlfn.TEXTAFTER(CantoralDB[[#This Row],[index.html]],"&gt;"),"&gt;")&amp;"&gt;"</f>
        <v>&lt;a href="canciones/carmelo_erdozain/dios_te_salve_maria_llena_eres_de_gracia.html"&gt;</v>
      </c>
      <c r="X241"/>
      <c r="Y241" s="1"/>
      <c r="Z241" s="1"/>
      <c r="AA241" s="1"/>
      <c r="AB241" s="1"/>
    </row>
    <row r="242" spans="1:28" x14ac:dyDescent="0.3">
      <c r="A242" s="1">
        <f>ROW(CantoralDB[[#This Row],[Título]])-1</f>
        <v>241</v>
      </c>
      <c r="B242" s="1" t="s">
        <v>2882</v>
      </c>
      <c r="C242" s="1" t="s">
        <v>200</v>
      </c>
      <c r="D242" s="1" t="s">
        <v>654</v>
      </c>
      <c r="E242" s="1">
        <v>116</v>
      </c>
      <c r="G242" s="1" t="s">
        <v>208</v>
      </c>
      <c r="H242" s="1" t="s">
        <v>1026</v>
      </c>
      <c r="J242" s="1" t="s">
        <v>607</v>
      </c>
      <c r="M242" s="15" t="s">
        <v>478</v>
      </c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242" s="15" t="str">
        <f>_xlfn.TEXTBEFORE(_xlfn.TEXTAFTER(CantoralDB[[#This Row],[index.html]],"&gt;"),"&gt;")&amp;"&gt;"</f>
        <v>&lt;a href="canciones/carmelo_erdozain/escucha_tu_la_palabra_de_dios.html"&gt;</v>
      </c>
      <c r="X242"/>
      <c r="Y242" s="1"/>
      <c r="Z242" s="1"/>
      <c r="AA242" s="1"/>
      <c r="AB242" s="1"/>
    </row>
    <row r="243" spans="1:28" x14ac:dyDescent="0.3">
      <c r="A243" s="1">
        <f>ROW(CantoralDB[[#This Row],[Título]])-1</f>
        <v>242</v>
      </c>
      <c r="B243" s="1" t="s">
        <v>2148</v>
      </c>
      <c r="C243" s="1"/>
      <c r="H243" s="1" t="s">
        <v>1026</v>
      </c>
      <c r="J243" s="1" t="s">
        <v>607</v>
      </c>
      <c r="M243" s="15" t="s">
        <v>478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43" s="1"/>
      <c r="T243" s="1"/>
      <c r="U243" s="32" t="s">
        <v>2966</v>
      </c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243" s="15" t="str">
        <f>_xlfn.TEXTBEFORE(_xlfn.TEXTAFTER(CantoralDB[[#This Row],[index.html]],"&gt;"),"&gt;")&amp;"&gt;"</f>
        <v>&lt;a href="canciones/carmelo_erdozain/este_pan_y_vino.html"&gt;</v>
      </c>
      <c r="X243"/>
      <c r="Y243" s="1"/>
      <c r="Z243" s="1"/>
      <c r="AA243" s="1"/>
      <c r="AB243" s="1"/>
    </row>
    <row r="244" spans="1:28" x14ac:dyDescent="0.3">
      <c r="A244" s="1">
        <f>ROW(CantoralDB[[#This Row],[Título]])-1</f>
        <v>243</v>
      </c>
      <c r="B244" s="1" t="s">
        <v>1256</v>
      </c>
      <c r="C244" s="1"/>
      <c r="E244" s="1">
        <v>126</v>
      </c>
      <c r="H244" s="1" t="s">
        <v>1027</v>
      </c>
      <c r="J244" s="1" t="s">
        <v>607</v>
      </c>
      <c r="M244" s="15" t="s">
        <v>478</v>
      </c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44" s="1"/>
      <c r="T244" s="1"/>
      <c r="U244" s="15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244" s="15" t="str">
        <f>_xlfn.TEXTBEFORE(_xlfn.TEXTAFTER(CantoralDB[[#This Row],[index.html]],"&gt;"),"&gt;")&amp;"&gt;"</f>
        <v>&lt;a href="canciones/carmelo_erdozain/gracias_señor_por_tu_palabra.html"&gt;</v>
      </c>
      <c r="X244"/>
      <c r="Y244" s="1"/>
      <c r="Z244" s="1"/>
      <c r="AA244" s="1"/>
      <c r="AB244" s="1"/>
    </row>
    <row r="245" spans="1:28" x14ac:dyDescent="0.3">
      <c r="A245" s="1">
        <f>ROW(CantoralDB[[#This Row],[Título]])-1</f>
        <v>244</v>
      </c>
      <c r="B245" s="1" t="s">
        <v>75</v>
      </c>
      <c r="C245" s="1" t="s">
        <v>210</v>
      </c>
      <c r="D245" s="1" t="s">
        <v>1429</v>
      </c>
      <c r="E245" s="1">
        <v>136</v>
      </c>
      <c r="G245" s="1" t="s">
        <v>208</v>
      </c>
      <c r="H245" s="1" t="s">
        <v>1026</v>
      </c>
      <c r="I245" s="1" t="s">
        <v>2950</v>
      </c>
      <c r="J245" s="1" t="s">
        <v>607</v>
      </c>
      <c r="M245" s="15" t="s">
        <v>478</v>
      </c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45" s="1" t="s">
        <v>837</v>
      </c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245" s="15" t="str">
        <f>_xlfn.TEXTBEFORE(_xlfn.TEXTAFTER(CantoralDB[[#This Row],[index.html]],"&gt;"),"&gt;")&amp;"&gt;"</f>
        <v>&lt;a href="canciones/carmelo_erdozain/hosanna_hosanna_hosanna.html"&gt;</v>
      </c>
      <c r="X245"/>
      <c r="Y245" s="1"/>
      <c r="Z245" s="1"/>
      <c r="AA245" s="1"/>
      <c r="AB245" s="1"/>
    </row>
    <row r="246" spans="1:28" x14ac:dyDescent="0.3">
      <c r="A246" s="1">
        <f>ROW(CantoralDB[[#This Row],[Título]])-1</f>
        <v>245</v>
      </c>
      <c r="B246" s="1" t="s">
        <v>1264</v>
      </c>
      <c r="C246" s="1"/>
      <c r="E246" s="1">
        <v>137</v>
      </c>
      <c r="H246" s="1" t="s">
        <v>530</v>
      </c>
      <c r="J246" s="1" t="s">
        <v>607</v>
      </c>
      <c r="M246" s="15" t="s">
        <v>478</v>
      </c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246" s="15" t="str">
        <f>_xlfn.TEXTBEFORE(_xlfn.TEXTAFTER(CantoralDB[[#This Row],[index.html]],"&gt;"),"&gt;")&amp;"&gt;"</f>
        <v>&lt;a href="canciones/carmelo_erdozain/hoy_me_siento_peregrino.html"&gt;</v>
      </c>
      <c r="X246"/>
      <c r="Y246" s="1"/>
      <c r="Z246" s="1"/>
      <c r="AA246" s="1"/>
      <c r="AB246" s="1"/>
    </row>
    <row r="247" spans="1:28" x14ac:dyDescent="0.3">
      <c r="A247" s="1">
        <f>ROW(CantoralDB[[#This Row],[Título]])-1</f>
        <v>246</v>
      </c>
      <c r="B247" s="1" t="s">
        <v>77</v>
      </c>
      <c r="C247" s="1" t="s">
        <v>992</v>
      </c>
      <c r="D247" s="1" t="s">
        <v>710</v>
      </c>
      <c r="E247" s="1">
        <v>138</v>
      </c>
      <c r="G247" s="1" t="s">
        <v>208</v>
      </c>
      <c r="H247" s="1" t="s">
        <v>530</v>
      </c>
      <c r="I247" s="1" t="s">
        <v>2952</v>
      </c>
      <c r="J247" s="1" t="s">
        <v>607</v>
      </c>
      <c r="M247" s="15" t="s">
        <v>478</v>
      </c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47" s="1" t="s">
        <v>838</v>
      </c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247" s="15" t="str">
        <f>_xlfn.TEXTBEFORE(_xlfn.TEXTAFTER(CantoralDB[[#This Row],[index.html]],"&gt;"),"&gt;")&amp;"&gt;"</f>
        <v>&lt;a href="canciones/carmelo_erdozain/hoy_vuelvo_de_lejos.html"&gt;</v>
      </c>
      <c r="X247"/>
      <c r="Y247" s="1"/>
      <c r="Z247" s="1"/>
      <c r="AA247" s="1"/>
      <c r="AB247" s="1"/>
    </row>
    <row r="248" spans="1:28" x14ac:dyDescent="0.3">
      <c r="A248" s="1">
        <f>ROW(CantoralDB[[#This Row],[Título]])-1</f>
        <v>247</v>
      </c>
      <c r="B248" s="1" t="s">
        <v>1272</v>
      </c>
      <c r="C248" s="1"/>
      <c r="E248" s="1">
        <v>154</v>
      </c>
      <c r="H248" s="1" t="s">
        <v>1026</v>
      </c>
      <c r="J248" s="1" t="s">
        <v>607</v>
      </c>
      <c r="M248" s="15" t="s">
        <v>478</v>
      </c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248" s="15" t="str">
        <f>_xlfn.TEXTBEFORE(_xlfn.TEXTAFTER(CantoralDB[[#This Row],[index.html]],"&gt;"),"&gt;")&amp;"&gt;"</f>
        <v>&lt;a href="canciones/carmelo_erdozain/las_puertas_de_la_nueva_ciudad.html"&gt;</v>
      </c>
      <c r="X248"/>
      <c r="Y248" s="1"/>
      <c r="Z248" s="1"/>
      <c r="AA248" s="1"/>
      <c r="AB248" s="1"/>
    </row>
    <row r="249" spans="1:28" x14ac:dyDescent="0.3">
      <c r="A249" s="1">
        <f>ROW(CantoralDB[[#This Row],[Título]])-1</f>
        <v>248</v>
      </c>
      <c r="B249" s="1" t="s">
        <v>1274</v>
      </c>
      <c r="C249" s="1"/>
      <c r="E249" s="1">
        <v>156</v>
      </c>
      <c r="H249" s="1" t="s">
        <v>1029</v>
      </c>
      <c r="J249" s="1" t="s">
        <v>607</v>
      </c>
      <c r="M249" s="15" t="s">
        <v>478</v>
      </c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49" s="1"/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249" s="15" t="str">
        <f>_xlfn.TEXTBEFORE(_xlfn.TEXTAFTER(CantoralDB[[#This Row],[index.html]],"&gt;"),"&gt;")&amp;"&gt;"</f>
        <v>&lt;a href="canciones/carmelo_erdozain/levantate_pueblo_mio.html"&gt;</v>
      </c>
      <c r="X249"/>
      <c r="Y249" s="1"/>
      <c r="Z249" s="1"/>
      <c r="AA249" s="1"/>
      <c r="AB249" s="1"/>
    </row>
    <row r="250" spans="1:28" x14ac:dyDescent="0.3">
      <c r="A250" s="1">
        <f>ROW(CantoralDB[[#This Row],[Título]])-1</f>
        <v>249</v>
      </c>
      <c r="B250" s="1" t="s">
        <v>1275</v>
      </c>
      <c r="C250" s="1"/>
      <c r="E250" s="1">
        <v>159</v>
      </c>
      <c r="H250" s="1" t="s">
        <v>530</v>
      </c>
      <c r="J250" s="1" t="s">
        <v>607</v>
      </c>
      <c r="M250" s="15" t="s">
        <v>478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250" s="15" t="str">
        <f>_xlfn.TEXTBEFORE(_xlfn.TEXTAFTER(CantoralDB[[#This Row],[index.html]],"&gt;"),"&gt;")&amp;"&gt;"</f>
        <v>&lt;a href="canciones/carmelo_erdozain/llego_la_noche.html"&gt;</v>
      </c>
      <c r="X250"/>
      <c r="Y250" s="1"/>
      <c r="Z250" s="1"/>
      <c r="AA250" s="1"/>
      <c r="AB250" s="1"/>
    </row>
    <row r="251" spans="1:28" x14ac:dyDescent="0.3">
      <c r="A251" s="1">
        <f>ROW(CantoralDB[[#This Row],[Título]])-1</f>
        <v>250</v>
      </c>
      <c r="B251" s="1" t="s">
        <v>1279</v>
      </c>
      <c r="C251" s="1"/>
      <c r="E251" s="1">
        <v>167</v>
      </c>
      <c r="J251" s="1"/>
      <c r="M251" s="15" t="s">
        <v>478</v>
      </c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251" s="15" t="str">
        <f>_xlfn.TEXTBEFORE(_xlfn.TEXTAFTER(CantoralDB[[#This Row],[index.html]],"&gt;"),"&gt;")&amp;"&gt;"</f>
        <v>&lt;a href="canciones/carmelo_erdozain/mas_alla_las_redes_mas_alla.html"&gt;</v>
      </c>
      <c r="X251"/>
      <c r="Y251" s="1"/>
      <c r="Z251" s="1"/>
      <c r="AA251" s="1"/>
      <c r="AB251" s="1"/>
    </row>
    <row r="252" spans="1:28" x14ac:dyDescent="0.3">
      <c r="A252" s="1">
        <f>ROW(CantoralDB[[#This Row],[Título]])-1</f>
        <v>251</v>
      </c>
      <c r="B252" s="1" t="s">
        <v>1288</v>
      </c>
      <c r="C252" s="1"/>
      <c r="E252" s="1">
        <v>179</v>
      </c>
      <c r="H252" s="1" t="s">
        <v>1027</v>
      </c>
      <c r="J252" s="1" t="s">
        <v>607</v>
      </c>
      <c r="M252" s="15" t="s">
        <v>478</v>
      </c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252" s="15" t="str">
        <f>_xlfn.TEXTBEFORE(_xlfn.TEXTAFTER(CantoralDB[[#This Row],[index.html]],"&gt;"),"&gt;")&amp;"&gt;"</f>
        <v>&lt;a href="canciones/carmelo_erdozain/nochebuena_nochebuena.html"&gt;</v>
      </c>
      <c r="X252"/>
      <c r="Y252" s="1"/>
      <c r="Z252" s="1"/>
      <c r="AA252" s="1"/>
      <c r="AB252" s="1"/>
    </row>
    <row r="253" spans="1:28" x14ac:dyDescent="0.3">
      <c r="A253" s="1">
        <f>ROW(CantoralDB[[#This Row],[Título]])-1</f>
        <v>252</v>
      </c>
      <c r="B253" s="1" t="s">
        <v>100</v>
      </c>
      <c r="C253" s="1" t="s">
        <v>200</v>
      </c>
      <c r="D253" s="1" t="s">
        <v>667</v>
      </c>
      <c r="E253" s="1">
        <v>189</v>
      </c>
      <c r="G253" s="1" t="s">
        <v>208</v>
      </c>
      <c r="H253" s="1" t="s">
        <v>1027</v>
      </c>
      <c r="J253" s="1" t="s">
        <v>607</v>
      </c>
      <c r="M253" s="15" t="s">
        <v>478</v>
      </c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53" s="1" t="s">
        <v>849</v>
      </c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253" s="15" t="str">
        <f>_xlfn.TEXTBEFORE(_xlfn.TEXTAFTER(CantoralDB[[#This Row],[index.html]],"&gt;"),"&gt;")&amp;"&gt;"</f>
        <v>&lt;a href="canciones/carmelo_erdozain/oh_mi_dios_crea_en_mi.html"&gt;</v>
      </c>
      <c r="X253"/>
      <c r="Y253" s="1"/>
      <c r="Z253" s="1"/>
      <c r="AA253" s="1"/>
      <c r="AB253" s="1"/>
    </row>
    <row r="254" spans="1:28" x14ac:dyDescent="0.3">
      <c r="A254" s="1">
        <f>ROW(CantoralDB[[#This Row],[Título]])-1</f>
        <v>253</v>
      </c>
      <c r="B254" s="1" t="s">
        <v>2117</v>
      </c>
      <c r="C254" s="1"/>
      <c r="E254" s="1">
        <v>184</v>
      </c>
      <c r="H254" s="1" t="s">
        <v>1029</v>
      </c>
      <c r="J254" s="1" t="s">
        <v>607</v>
      </c>
      <c r="M254" s="15" t="s">
        <v>478</v>
      </c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54" s="1"/>
      <c r="T254" s="1"/>
      <c r="U254" s="32" t="s">
        <v>2967</v>
      </c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254" s="15" t="str">
        <f>_xlfn.TEXTBEFORE(_xlfn.TEXTAFTER(CantoralDB[[#This Row],[index.html]],"&gt;"),"&gt;")&amp;"&gt;"</f>
        <v>&lt;a href="canciones/carmelo_erdozain/oi_tu_voz.html"&gt;</v>
      </c>
      <c r="X254"/>
      <c r="Y254" s="1"/>
      <c r="Z254" s="1"/>
      <c r="AA254" s="1"/>
      <c r="AB254" s="1"/>
    </row>
    <row r="255" spans="1:28" x14ac:dyDescent="0.3">
      <c r="A255" s="1">
        <f>ROW(CantoralDB[[#This Row],[Título]])-1</f>
        <v>254</v>
      </c>
      <c r="B255" s="1" t="s">
        <v>617</v>
      </c>
      <c r="C255" s="1" t="s">
        <v>196</v>
      </c>
      <c r="D255" s="1" t="s">
        <v>1443</v>
      </c>
      <c r="G255" s="1" t="s">
        <v>247</v>
      </c>
      <c r="H255" s="1" t="s">
        <v>530</v>
      </c>
      <c r="J255" s="1" t="s">
        <v>607</v>
      </c>
      <c r="M255" s="15" t="s">
        <v>478</v>
      </c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255" s="15" t="str">
        <f>_xlfn.TEXTBEFORE(_xlfn.TEXTAFTER(CantoralDB[[#This Row],[index.html]],"&gt;"),"&gt;")&amp;"&gt;"</f>
        <v>&lt;a href="canciones/carmelo_erdozain/padre_nuestro_(erdozain).html"&gt;</v>
      </c>
      <c r="X255"/>
      <c r="Y255" s="1"/>
      <c r="Z255" s="1"/>
      <c r="AA255" s="1"/>
      <c r="AB255" s="1"/>
    </row>
    <row r="256" spans="1:28" x14ac:dyDescent="0.3">
      <c r="A256" s="1">
        <f>ROW(CantoralDB[[#This Row],[Título]])-1</f>
        <v>255</v>
      </c>
      <c r="B256" s="1" t="s">
        <v>118</v>
      </c>
      <c r="C256" s="1" t="s">
        <v>992</v>
      </c>
      <c r="D256" s="1" t="s">
        <v>994</v>
      </c>
      <c r="E256" s="1">
        <v>211</v>
      </c>
      <c r="G256" s="1" t="s">
        <v>208</v>
      </c>
      <c r="H256" s="1" t="s">
        <v>1029</v>
      </c>
      <c r="J256" s="1" t="s">
        <v>607</v>
      </c>
      <c r="M256" s="15" t="s">
        <v>478</v>
      </c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256" s="15" t="str">
        <f>_xlfn.TEXTBEFORE(_xlfn.TEXTAFTER(CantoralDB[[#This Row],[index.html]],"&gt;"),"&gt;")&amp;"&gt;"</f>
        <v>&lt;a href="canciones/carmelo_erdozain/purificame_señor.html"&gt;</v>
      </c>
      <c r="X256"/>
      <c r="Y256" s="1"/>
      <c r="Z256" s="1"/>
      <c r="AA256" s="1"/>
      <c r="AB256" s="1"/>
    </row>
    <row r="257" spans="1:28" x14ac:dyDescent="0.3">
      <c r="A257" s="1">
        <f>ROW(CantoralDB[[#This Row],[Título]])-1</f>
        <v>256</v>
      </c>
      <c r="B257" s="1" t="s">
        <v>1322</v>
      </c>
      <c r="C257" s="1"/>
      <c r="E257" s="1">
        <v>244</v>
      </c>
      <c r="H257" s="1" t="s">
        <v>1029</v>
      </c>
      <c r="J257" s="1" t="s">
        <v>607</v>
      </c>
      <c r="M257" s="15" t="s">
        <v>478</v>
      </c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57" s="1"/>
      <c r="T257" s="1"/>
      <c r="U257" s="32" t="s">
        <v>2968</v>
      </c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257" s="15" t="str">
        <f>_xlfn.TEXTBEFORE(_xlfn.TEXTAFTER(CantoralDB[[#This Row],[index.html]],"&gt;"),"&gt;")&amp;"&gt;"</f>
        <v>&lt;a href="canciones/carmelo_erdozain/se_acerca_el_reino_de_dios.html"&gt;</v>
      </c>
      <c r="X257"/>
      <c r="Y257" s="1"/>
      <c r="Z257" s="1"/>
      <c r="AA257" s="1"/>
      <c r="AB257" s="1"/>
    </row>
    <row r="258" spans="1:28" x14ac:dyDescent="0.3">
      <c r="A258" s="1">
        <f>ROW(CantoralDB[[#This Row],[Título]])-1</f>
        <v>257</v>
      </c>
      <c r="B258" s="1" t="s">
        <v>2897</v>
      </c>
      <c r="C258" s="1"/>
      <c r="E258" s="1" t="s">
        <v>1205</v>
      </c>
      <c r="H258" s="1" t="s">
        <v>1027</v>
      </c>
      <c r="J258" s="1" t="s">
        <v>607</v>
      </c>
      <c r="M258" s="15" t="s">
        <v>478</v>
      </c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58" s="1"/>
      <c r="T258" s="1"/>
      <c r="U258" s="32" t="s">
        <v>2104</v>
      </c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258" s="15" t="str">
        <f>_xlfn.TEXTBEFORE(_xlfn.TEXTAFTER(CantoralDB[[#This Row],[index.html]],"&gt;"),"&gt;")&amp;"&gt;"</f>
        <v>&lt;a href="canciones/carmelo_erdozain/tened_encendida_la_lampara.html"&gt;</v>
      </c>
      <c r="X258"/>
      <c r="Y258" s="1"/>
      <c r="Z258" s="1"/>
      <c r="AA258" s="1"/>
      <c r="AB258" s="1"/>
    </row>
    <row r="259" spans="1:28" x14ac:dyDescent="0.3">
      <c r="A259" s="1">
        <f>ROW(CantoralDB[[#This Row],[Título]])-1</f>
        <v>258</v>
      </c>
      <c r="B259" s="1" t="s">
        <v>156</v>
      </c>
      <c r="C259" s="1" t="s">
        <v>190</v>
      </c>
      <c r="D259" s="1" t="s">
        <v>755</v>
      </c>
      <c r="E259" s="1">
        <v>284</v>
      </c>
      <c r="G259" s="1" t="s">
        <v>208</v>
      </c>
      <c r="H259" s="1" t="s">
        <v>530</v>
      </c>
      <c r="J259" s="1" t="s">
        <v>607</v>
      </c>
      <c r="M259" s="15" t="s">
        <v>478</v>
      </c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259" s="15" t="str">
        <f>_xlfn.TEXTBEFORE(_xlfn.TEXTAFTER(CantoralDB[[#This Row],[index.html]],"&gt;"),"&gt;")&amp;"&gt;"</f>
        <v>&lt;a href="canciones/carmelo_erdozain/vamos_a_preparar.html"&gt;</v>
      </c>
      <c r="X259"/>
      <c r="Y259" s="1"/>
      <c r="Z259" s="1"/>
      <c r="AA259" s="1"/>
      <c r="AB259" s="1"/>
    </row>
    <row r="260" spans="1:28" x14ac:dyDescent="0.3">
      <c r="A260" s="1">
        <f>ROW(CantoralDB[[#This Row],[Título]])-1</f>
        <v>259</v>
      </c>
      <c r="B260" s="1" t="s">
        <v>1346</v>
      </c>
      <c r="C260" s="1"/>
      <c r="E260" s="1">
        <v>290</v>
      </c>
      <c r="H260" s="1" t="s">
        <v>1026</v>
      </c>
      <c r="J260" s="1" t="s">
        <v>607</v>
      </c>
      <c r="M260" s="15" t="s">
        <v>478</v>
      </c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60" s="1"/>
      <c r="T260" s="1"/>
      <c r="U260" s="32" t="s">
        <v>2969</v>
      </c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260" s="15" t="str">
        <f>_xlfn.TEXTBEFORE(_xlfn.TEXTAFTER(CantoralDB[[#This Row],[index.html]],"&gt;"),"&gt;")&amp;"&gt;"</f>
        <v>&lt;a href="canciones/carmelo_erdozain/ven_espiritu_santo.html"&gt;</v>
      </c>
      <c r="X260"/>
      <c r="Y260" s="1"/>
      <c r="Z260" s="1"/>
      <c r="AA260" s="1"/>
      <c r="AB260" s="1"/>
    </row>
    <row r="261" spans="1:28" x14ac:dyDescent="0.3">
      <c r="A261" s="1">
        <f>ROW(CantoralDB[[#This Row],[Título]])-1</f>
        <v>260</v>
      </c>
      <c r="B261" s="1" t="s">
        <v>160</v>
      </c>
      <c r="C261" s="1" t="s">
        <v>190</v>
      </c>
      <c r="D261" s="1" t="s">
        <v>760</v>
      </c>
      <c r="E261" s="1">
        <v>283</v>
      </c>
      <c r="G261" s="1" t="s">
        <v>208</v>
      </c>
      <c r="H261" s="1" t="s">
        <v>1028</v>
      </c>
      <c r="J261" s="1" t="s">
        <v>607</v>
      </c>
      <c r="M261" s="15" t="s">
        <v>478</v>
      </c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261" s="15" t="str">
        <f>_xlfn.TEXTBEFORE(_xlfn.TEXTAFTER(CantoralDB[[#This Row],[index.html]],"&gt;"),"&gt;")&amp;"&gt;"</f>
        <v>&lt;a href="canciones/carmelo_erdozain/ven_salvador.html"&gt;</v>
      </c>
      <c r="X261"/>
      <c r="Y261" s="1"/>
      <c r="Z261" s="1"/>
      <c r="AA261" s="1"/>
      <c r="AB261" s="1"/>
    </row>
    <row r="262" spans="1:28" x14ac:dyDescent="0.3">
      <c r="A262" s="1">
        <f>ROW(CantoralDB[[#This Row],[Título]])-1</f>
        <v>261</v>
      </c>
      <c r="B262" s="1" t="s">
        <v>1350</v>
      </c>
      <c r="C262" s="1"/>
      <c r="E262" s="1">
        <v>296</v>
      </c>
      <c r="H262" s="1" t="s">
        <v>1026</v>
      </c>
      <c r="J262" s="1" t="s">
        <v>607</v>
      </c>
      <c r="M262" s="15" t="s">
        <v>478</v>
      </c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62" s="1"/>
      <c r="T262" s="1"/>
      <c r="U262" s="32" t="s">
        <v>2970</v>
      </c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262" s="15" t="str">
        <f>_xlfn.TEXTBEFORE(_xlfn.TEXTAFTER(CantoralDB[[#This Row],[index.html]],"&gt;"),"&gt;")&amp;"&gt;"</f>
        <v>&lt;a href="canciones/carmelo_erdozain/yo_estare_con_vosotros.html"&gt;</v>
      </c>
      <c r="X262"/>
      <c r="Y262" s="1"/>
      <c r="Z262" s="1"/>
      <c r="AA262" s="1"/>
      <c r="AB262" s="1"/>
    </row>
    <row r="263" spans="1:28" x14ac:dyDescent="0.3">
      <c r="A263" s="1">
        <f>ROW(CantoralDB[[#This Row],[Título]])-1</f>
        <v>262</v>
      </c>
      <c r="B263" s="1" t="s">
        <v>1244</v>
      </c>
      <c r="C263" s="1"/>
      <c r="E263" s="1">
        <v>105</v>
      </c>
      <c r="H263" s="1" t="s">
        <v>1026</v>
      </c>
      <c r="J263" s="1" t="s">
        <v>607</v>
      </c>
      <c r="M263" s="15" t="s">
        <v>482</v>
      </c>
      <c r="N263" s="1" t="s">
        <v>3021</v>
      </c>
      <c r="O263" s="15" t="s">
        <v>3022</v>
      </c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263" s="1"/>
      <c r="T263" s="1"/>
      <c r="U263" s="32" t="s">
        <v>3019</v>
      </c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263" s="15" t="str">
        <f>_xlfn.TEXTBEFORE(_xlfn.TEXTAFTER(CantoralDB[[#This Row],[index.html]],"&gt;"),"&gt;")&amp;"&gt;"</f>
        <v>&lt;a href="canciones/cesareo_gabarain/enseñame_señor_tus_caminos.html"&gt;</v>
      </c>
      <c r="X263"/>
      <c r="Y263" s="1"/>
      <c r="Z263" s="1"/>
      <c r="AA263" s="1"/>
      <c r="AB263" s="1"/>
    </row>
    <row r="264" spans="1:28" x14ac:dyDescent="0.3">
      <c r="A264" s="1">
        <f>ROW(CantoralDB[[#This Row],[Título]])-1</f>
        <v>263</v>
      </c>
      <c r="B264" s="1" t="s">
        <v>102</v>
      </c>
      <c r="C264" s="1" t="s">
        <v>200</v>
      </c>
      <c r="D264" s="1" t="s">
        <v>668</v>
      </c>
      <c r="E264" s="1">
        <v>193</v>
      </c>
      <c r="G264" s="1" t="s">
        <v>208</v>
      </c>
      <c r="H264" s="1" t="s">
        <v>1029</v>
      </c>
      <c r="J264" s="1" t="s">
        <v>607</v>
      </c>
      <c r="M264" s="15" t="s">
        <v>482</v>
      </c>
      <c r="N264" s="1" t="s">
        <v>3021</v>
      </c>
      <c r="O264" s="15" t="s">
        <v>3020</v>
      </c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264" s="1"/>
      <c r="T264" s="1"/>
      <c r="U264" s="32" t="s">
        <v>3019</v>
      </c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264" s="15" t="str">
        <f>_xlfn.TEXTBEFORE(_xlfn.TEXTAFTER(CantoralDB[[#This Row],[index.html]],"&gt;"),"&gt;")&amp;"&gt;"</f>
        <v>&lt;a href="canciones/cesareo_gabarain/ojala_escuchemos_hoy_su_voz.html"&gt;</v>
      </c>
      <c r="X264"/>
      <c r="Y264" s="1"/>
      <c r="Z264" s="1"/>
      <c r="AA264" s="1"/>
      <c r="AB264" s="1"/>
    </row>
    <row r="265" spans="1:28" x14ac:dyDescent="0.3">
      <c r="A265" s="1">
        <f>ROW(CantoralDB[[#This Row],[Título]])-1</f>
        <v>264</v>
      </c>
      <c r="B265" s="1" t="s">
        <v>1261</v>
      </c>
      <c r="C265" s="1"/>
      <c r="E265" s="1">
        <v>133</v>
      </c>
      <c r="H265" s="1" t="s">
        <v>1027</v>
      </c>
      <c r="J265" s="1" t="s">
        <v>607</v>
      </c>
      <c r="M265" s="15" t="s">
        <v>482</v>
      </c>
      <c r="N265" s="1" t="s">
        <v>3021</v>
      </c>
      <c r="O265" s="15" t="s">
        <v>3025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265" s="1"/>
      <c r="T265" s="1"/>
      <c r="U265" s="32" t="s">
        <v>3019</v>
      </c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265" s="15" t="str">
        <f>_xlfn.TEXTBEFORE(_xlfn.TEXTAFTER(CantoralDB[[#This Row],[index.html]],"&gt;"),"&gt;")&amp;"&gt;"</f>
        <v>&lt;a href="canciones/cesareo_gabarain/haz_señor.html"&gt;</v>
      </c>
      <c r="X265"/>
      <c r="Y265" s="1"/>
      <c r="Z265" s="1"/>
      <c r="AA265" s="1"/>
      <c r="AB265" s="1"/>
    </row>
    <row r="266" spans="1:28" x14ac:dyDescent="0.3">
      <c r="A266" s="1">
        <f>ROW(CantoralDB[[#This Row],[Título]])-1</f>
        <v>265</v>
      </c>
      <c r="B266" s="1" t="s">
        <v>2853</v>
      </c>
      <c r="C266" s="1"/>
      <c r="H266" s="1" t="s">
        <v>472</v>
      </c>
      <c r="J266" s="1" t="s">
        <v>607</v>
      </c>
      <c r="M266" s="15" t="s">
        <v>482</v>
      </c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266" s="15" t="str">
        <f>_xlfn.TEXTBEFORE(_xlfn.TEXTAFTER(CantoralDB[[#This Row],[index.html]],"&gt;"),"&gt;")&amp;"&gt;"</f>
        <v>&lt;a href="canciones/cesareo_gabarain/a_quien_temere.html"&gt;</v>
      </c>
      <c r="X266"/>
      <c r="Y266" s="1"/>
      <c r="Z266" s="1"/>
      <c r="AA266" s="1"/>
      <c r="AB266" s="1"/>
    </row>
    <row r="267" spans="1:28" x14ac:dyDescent="0.3">
      <c r="A267" s="1">
        <f>ROW(CantoralDB[[#This Row],[Título]])-1</f>
        <v>266</v>
      </c>
      <c r="B267" s="1" t="s">
        <v>9</v>
      </c>
      <c r="C267" s="1" t="s">
        <v>992</v>
      </c>
      <c r="D267" s="1" t="s">
        <v>1034</v>
      </c>
      <c r="E267" s="1">
        <v>19</v>
      </c>
      <c r="G267" s="1" t="s">
        <v>208</v>
      </c>
      <c r="H267" s="1" t="s">
        <v>530</v>
      </c>
      <c r="I267" s="1" t="s">
        <v>2953</v>
      </c>
      <c r="J267" s="1" t="s">
        <v>607</v>
      </c>
      <c r="M267" s="15" t="s">
        <v>482</v>
      </c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67" s="1" t="s">
        <v>797</v>
      </c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267" s="15" t="str">
        <f>_xlfn.TEXTBEFORE(_xlfn.TEXTAFTER(CantoralDB[[#This Row],[index.html]],"&gt;"),"&gt;")&amp;"&gt;"</f>
        <v>&lt;a href="canciones/cesareo_gabarain/al_atardecer_de_la_vida.html"&gt;</v>
      </c>
      <c r="X267"/>
      <c r="Y267" s="1"/>
      <c r="Z267" s="1"/>
      <c r="AA267" s="1"/>
      <c r="AB267" s="1"/>
    </row>
    <row r="268" spans="1:28" x14ac:dyDescent="0.3">
      <c r="A268" s="1">
        <f>ROW(CantoralDB[[#This Row],[Título]])-1</f>
        <v>267</v>
      </c>
      <c r="B268" s="1" t="s">
        <v>13</v>
      </c>
      <c r="C268" s="1" t="s">
        <v>193</v>
      </c>
      <c r="D268" s="1" t="s">
        <v>1370</v>
      </c>
      <c r="E268" s="1">
        <v>20</v>
      </c>
      <c r="F268" s="1">
        <v>293</v>
      </c>
      <c r="G268" s="1" t="s">
        <v>208</v>
      </c>
      <c r="H268" s="1" t="s">
        <v>530</v>
      </c>
      <c r="J268" s="1" t="s">
        <v>607</v>
      </c>
      <c r="M268" s="15" t="s">
        <v>482</v>
      </c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68" s="15" t="str">
        <f>_xlfn.TEXTBEFORE(_xlfn.TEXTAFTER(CantoralDB[[#This Row],[index.html]],"&gt;"),"&gt;")&amp;"&gt;"</f>
        <v>&lt;a href="canciones/cesareo_gabarain/alelu-aleluya.html"&gt;</v>
      </c>
      <c r="X268"/>
      <c r="Y268" s="1"/>
      <c r="Z268" s="1"/>
      <c r="AA268" s="1"/>
      <c r="AB268" s="1"/>
    </row>
    <row r="269" spans="1:28" x14ac:dyDescent="0.3">
      <c r="A269" s="1">
        <f>ROW(CantoralDB[[#This Row],[Título]])-1</f>
        <v>268</v>
      </c>
      <c r="B269" s="1" t="s">
        <v>17</v>
      </c>
      <c r="C269" s="1" t="s">
        <v>193</v>
      </c>
      <c r="D269" s="1" t="s">
        <v>1376</v>
      </c>
      <c r="G269" s="1" t="s">
        <v>208</v>
      </c>
      <c r="H269" s="1" t="s">
        <v>1029</v>
      </c>
      <c r="I269" s="1" t="s">
        <v>2953</v>
      </c>
      <c r="J269" s="1" t="s">
        <v>607</v>
      </c>
      <c r="M269" s="15" t="s">
        <v>482</v>
      </c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269" s="15" t="str">
        <f>_xlfn.TEXTBEFORE(_xlfn.TEXTAFTER(CantoralDB[[#This Row],[index.html]],"&gt;"),"&gt;")&amp;"&gt;"</f>
        <v>&lt;a href="canciones/cesareo_gabarain/aleluya_creo_en_ti_señor.html"&gt;</v>
      </c>
      <c r="X269"/>
      <c r="Y269" s="1"/>
      <c r="Z269" s="1"/>
      <c r="AA269" s="1"/>
      <c r="AB269" s="1"/>
    </row>
    <row r="270" spans="1:28" x14ac:dyDescent="0.3">
      <c r="A270" s="1">
        <f>ROW(CantoralDB[[#This Row],[Título]])-1</f>
        <v>269</v>
      </c>
      <c r="B270" s="1" t="s">
        <v>28</v>
      </c>
      <c r="C270" s="1" t="s">
        <v>190</v>
      </c>
      <c r="D270" s="1" t="s">
        <v>729</v>
      </c>
      <c r="E270" s="1">
        <v>38</v>
      </c>
      <c r="G270" s="1" t="s">
        <v>208</v>
      </c>
      <c r="H270" s="1" t="s">
        <v>1026</v>
      </c>
      <c r="J270" s="1" t="s">
        <v>607</v>
      </c>
      <c r="M270" s="15" t="s">
        <v>482</v>
      </c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270" s="15" t="str">
        <f>_xlfn.TEXTBEFORE(_xlfn.TEXTAFTER(CantoralDB[[#This Row],[index.html]],"&gt;"),"&gt;")&amp;"&gt;"</f>
        <v>&lt;a href="canciones/cesareo_gabarain/caminando_voy.html"&gt;</v>
      </c>
      <c r="X270"/>
      <c r="Y270" s="1"/>
      <c r="Z270" s="1"/>
      <c r="AA270" s="1"/>
      <c r="AB270" s="1"/>
    </row>
    <row r="271" spans="1:28" x14ac:dyDescent="0.3">
      <c r="A271" s="1">
        <f>ROW(CantoralDB[[#This Row],[Título]])-1</f>
        <v>270</v>
      </c>
      <c r="B271" s="1" t="s">
        <v>1223</v>
      </c>
      <c r="C271" s="1"/>
      <c r="E271" s="1">
        <v>302</v>
      </c>
      <c r="H271" s="1" t="s">
        <v>1027</v>
      </c>
      <c r="J271" s="1" t="s">
        <v>607</v>
      </c>
      <c r="M271" s="15" t="s">
        <v>482</v>
      </c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271" s="15" t="str">
        <f>_xlfn.TEXTBEFORE(_xlfn.TEXTAFTER(CantoralDB[[#This Row],[index.html]],"&gt;"),"&gt;")&amp;"&gt;"</f>
        <v>&lt;a href="canciones/cesareo_gabarain/cristo_te_necesita_para_amar.html"&gt;</v>
      </c>
      <c r="X271"/>
      <c r="Y271" s="1"/>
      <c r="Z271" s="1"/>
      <c r="AA271" s="1"/>
      <c r="AB271" s="1"/>
    </row>
    <row r="272" spans="1:28" x14ac:dyDescent="0.3">
      <c r="A272" s="1">
        <f>ROW(CantoralDB[[#This Row],[Título]])-1</f>
        <v>271</v>
      </c>
      <c r="B272" s="1" t="s">
        <v>1195</v>
      </c>
      <c r="C272" s="1"/>
      <c r="E272" s="1">
        <v>70</v>
      </c>
      <c r="H272" s="1" t="s">
        <v>1026</v>
      </c>
      <c r="J272" s="1" t="s">
        <v>607</v>
      </c>
      <c r="M272" s="15" t="s">
        <v>482</v>
      </c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272" s="15" t="str">
        <f>_xlfn.TEXTBEFORE(_xlfn.TEXTAFTER(CantoralDB[[#This Row],[index.html]],"&gt;"),"&gt;")&amp;"&gt;"</f>
        <v>&lt;a href="canciones/cesareo_gabarain/cuando_rezamos_cuando_cantamos.html"&gt;</v>
      </c>
      <c r="X272"/>
      <c r="Y272" s="1"/>
      <c r="Z272" s="1"/>
      <c r="AA272" s="1"/>
      <c r="AB272" s="1"/>
    </row>
    <row r="273" spans="1:28" x14ac:dyDescent="0.3">
      <c r="A273" s="1">
        <f>ROW(CantoralDB[[#This Row],[Título]])-1</f>
        <v>272</v>
      </c>
      <c r="B273" s="1" t="s">
        <v>177</v>
      </c>
      <c r="C273" s="1" t="s">
        <v>190</v>
      </c>
      <c r="D273" s="1" t="s">
        <v>731</v>
      </c>
      <c r="G273" s="1" t="s">
        <v>208</v>
      </c>
      <c r="H273" s="1" t="s">
        <v>530</v>
      </c>
      <c r="J273" s="1" t="s">
        <v>607</v>
      </c>
      <c r="M273" s="15" t="s">
        <v>482</v>
      </c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273" s="1" t="s">
        <v>819</v>
      </c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273" s="15" t="str">
        <f>_xlfn.TEXTBEFORE(_xlfn.TEXTAFTER(CantoralDB[[#This Row],[index.html]],"&gt;"),"&gt;")&amp;"&gt;"</f>
        <v>&lt;a href="canciones/cesareo_gabarain/dios_es_amor.html"&gt;</v>
      </c>
      <c r="X273"/>
      <c r="Y273" s="1"/>
      <c r="Z273" s="1"/>
      <c r="AA273" s="1"/>
      <c r="AB273" s="1"/>
    </row>
    <row r="274" spans="1:28" x14ac:dyDescent="0.3">
      <c r="A274" s="1">
        <f>ROW(CantoralDB[[#This Row],[Título]])-1</f>
        <v>273</v>
      </c>
      <c r="B274" s="1" t="s">
        <v>179</v>
      </c>
      <c r="C274" s="1" t="s">
        <v>475</v>
      </c>
      <c r="D274" s="1" t="s">
        <v>1412</v>
      </c>
      <c r="G274" s="1" t="s">
        <v>208</v>
      </c>
      <c r="H274" s="1" t="s">
        <v>1029</v>
      </c>
      <c r="J274" s="1" t="s">
        <v>607</v>
      </c>
      <c r="M274" s="15" t="s">
        <v>482</v>
      </c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274" s="15" t="str">
        <f>_xlfn.TEXTBEFORE(_xlfn.TEXTAFTER(CantoralDB[[#This Row],[index.html]],"&gt;"),"&gt;")&amp;"&gt;"</f>
        <v>&lt;a href="canciones/cesareo_gabarain/el_niño_dios_ha_nacido_en_belen.html"&gt;</v>
      </c>
      <c r="X274"/>
      <c r="Y274" s="1"/>
      <c r="Z274" s="1"/>
      <c r="AA274" s="1"/>
      <c r="AB274" s="1"/>
    </row>
    <row r="275" spans="1:28" x14ac:dyDescent="0.3">
      <c r="A275" s="1">
        <f>ROW(CantoralDB[[#This Row],[Título]])-1</f>
        <v>274</v>
      </c>
      <c r="B275" s="1" t="s">
        <v>1210</v>
      </c>
      <c r="C275" s="1"/>
      <c r="E275" s="1">
        <v>89</v>
      </c>
      <c r="H275" s="1" t="s">
        <v>1027</v>
      </c>
      <c r="J275" s="1" t="s">
        <v>607</v>
      </c>
      <c r="M275" s="15" t="s">
        <v>482</v>
      </c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75" s="1"/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275" s="15" t="str">
        <f>_xlfn.TEXTBEFORE(_xlfn.TEXTAFTER(CantoralDB[[#This Row],[index.html]],"&gt;"),"&gt;")&amp;"&gt;"</f>
        <v>&lt;a href="canciones/cesareo_gabarain/en_el_trabajo_de_cada_dia.html"&gt;</v>
      </c>
      <c r="X275"/>
      <c r="Y275" s="1"/>
      <c r="Z275" s="1"/>
      <c r="AA275" s="1"/>
      <c r="AB275" s="1"/>
    </row>
    <row r="276" spans="1:28" x14ac:dyDescent="0.3">
      <c r="A276" s="1">
        <f>ROW(CantoralDB[[#This Row],[Título]])-1</f>
        <v>275</v>
      </c>
      <c r="B276" s="1" t="s">
        <v>62</v>
      </c>
      <c r="C276" s="1" t="s">
        <v>992</v>
      </c>
      <c r="D276" s="1" t="s">
        <v>704</v>
      </c>
      <c r="E276" s="1">
        <v>106</v>
      </c>
      <c r="G276" s="1" t="s">
        <v>208</v>
      </c>
      <c r="H276" s="1" t="s">
        <v>472</v>
      </c>
      <c r="I276" s="1" t="s">
        <v>2953</v>
      </c>
      <c r="J276" s="1" t="s">
        <v>607</v>
      </c>
      <c r="M276" s="15" t="s">
        <v>482</v>
      </c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76" s="1" t="s">
        <v>832</v>
      </c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276" s="15" t="str">
        <f>_xlfn.TEXTBEFORE(_xlfn.TEXTAFTER(CantoralDB[[#This Row],[index.html]],"&gt;"),"&gt;")&amp;"&gt;"</f>
        <v>&lt;a href="canciones/cesareo_gabarain/eres_mi_riqueza.html"&gt;</v>
      </c>
      <c r="X276"/>
      <c r="Y276" s="1"/>
      <c r="Z276" s="1"/>
      <c r="AA276" s="1"/>
      <c r="AB276" s="1"/>
    </row>
    <row r="277" spans="1:28" x14ac:dyDescent="0.3">
      <c r="A277" s="1">
        <f>ROW(CantoralDB[[#This Row],[Título]])-1</f>
        <v>276</v>
      </c>
      <c r="B277" s="1" t="s">
        <v>1247</v>
      </c>
      <c r="C277" s="1"/>
      <c r="E277" s="1">
        <v>115</v>
      </c>
      <c r="H277" s="1" t="s">
        <v>530</v>
      </c>
      <c r="J277" s="1" t="s">
        <v>607</v>
      </c>
      <c r="M277" s="15" t="s">
        <v>482</v>
      </c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277" s="15" t="str">
        <f>_xlfn.TEXTBEFORE(_xlfn.TEXTAFTER(CantoralDB[[#This Row],[index.html]],"&gt;"),"&gt;")&amp;"&gt;"</f>
        <v>&lt;a href="canciones/cesareo_gabarain/esperando_esperando.html"&gt;</v>
      </c>
      <c r="X277"/>
      <c r="Y277" s="1"/>
      <c r="Z277" s="1"/>
      <c r="AA277" s="1"/>
      <c r="AB277" s="1"/>
    </row>
    <row r="278" spans="1:28" x14ac:dyDescent="0.3">
      <c r="A278" s="1">
        <f>ROW(CantoralDB[[#This Row],[Título]])-1</f>
        <v>277</v>
      </c>
      <c r="B278" s="1" t="s">
        <v>79</v>
      </c>
      <c r="C278" s="1" t="s">
        <v>992</v>
      </c>
      <c r="D278" s="1" t="s">
        <v>712</v>
      </c>
      <c r="E278" s="1">
        <v>142</v>
      </c>
      <c r="G278" s="1" t="s">
        <v>208</v>
      </c>
      <c r="H278" s="1" t="s">
        <v>530</v>
      </c>
      <c r="I278" s="1" t="s">
        <v>2950</v>
      </c>
      <c r="J278" s="1" t="s">
        <v>607</v>
      </c>
      <c r="M278" s="15" t="s">
        <v>482</v>
      </c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278" s="15" t="str">
        <f>_xlfn.TEXTBEFORE(_xlfn.TEXTAFTER(CantoralDB[[#This Row],[index.html]],"&gt;"),"&gt;")&amp;"&gt;"</f>
        <v>&lt;a href="canciones/cesareo_gabarain/iglesia_soy.html"&gt;</v>
      </c>
      <c r="X278"/>
      <c r="Y278" s="1"/>
      <c r="Z278" s="1"/>
      <c r="AA278" s="1"/>
      <c r="AB278" s="1"/>
    </row>
    <row r="279" spans="1:28" x14ac:dyDescent="0.3">
      <c r="A279" s="1">
        <f>ROW(CantoralDB[[#This Row],[Título]])-1</f>
        <v>278</v>
      </c>
      <c r="B279" s="1" t="s">
        <v>83</v>
      </c>
      <c r="C279" s="1" t="s">
        <v>190</v>
      </c>
      <c r="D279" s="1" t="s">
        <v>742</v>
      </c>
      <c r="E279" s="1">
        <v>145</v>
      </c>
      <c r="G279" s="1" t="s">
        <v>208</v>
      </c>
      <c r="H279" s="1" t="s">
        <v>530</v>
      </c>
      <c r="J279" s="1" t="s">
        <v>607</v>
      </c>
      <c r="M279" s="15" t="s">
        <v>482</v>
      </c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279" s="15" t="str">
        <f>_xlfn.TEXTBEFORE(_xlfn.TEXTAFTER(CantoralDB[[#This Row],[index.html]],"&gt;"),"&gt;")&amp;"&gt;"</f>
        <v>&lt;a href="canciones/cesareo_gabarain/juntos_como_hermanos.html"&gt;</v>
      </c>
      <c r="X279"/>
      <c r="Y279" s="1"/>
      <c r="Z279" s="1"/>
      <c r="AA279" s="1"/>
      <c r="AB279" s="1"/>
    </row>
    <row r="280" spans="1:28" x14ac:dyDescent="0.3">
      <c r="A280" s="1">
        <f>ROW(CantoralDB[[#This Row],[Título]])-1</f>
        <v>279</v>
      </c>
      <c r="B280" s="1" t="s">
        <v>2892</v>
      </c>
      <c r="C280" s="1"/>
      <c r="E280" s="1">
        <v>306</v>
      </c>
      <c r="H280" s="1" t="s">
        <v>1026</v>
      </c>
      <c r="J280" s="1" t="s">
        <v>607</v>
      </c>
      <c r="M280" s="15" t="s">
        <v>482</v>
      </c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280" s="15" t="str">
        <f>_xlfn.TEXTBEFORE(_xlfn.TEXTAFTER(CantoralDB[[#This Row],[index.html]],"&gt;"),"&gt;")&amp;"&gt;"</f>
        <v>&lt;a href="canciones/cesareo_gabarain/la_misa_es_una_fiesta_muy_alegre.html"&gt;</v>
      </c>
      <c r="X280"/>
      <c r="Y280" s="1"/>
      <c r="Z280" s="1"/>
      <c r="AA280" s="1"/>
      <c r="AB280" s="1"/>
    </row>
    <row r="281" spans="1:28" x14ac:dyDescent="0.3">
      <c r="A281" s="1">
        <f>ROW(CantoralDB[[#This Row],[Título]])-1</f>
        <v>280</v>
      </c>
      <c r="B281" s="1" t="s">
        <v>2893</v>
      </c>
      <c r="C281" s="1"/>
      <c r="E281" s="1">
        <v>307</v>
      </c>
      <c r="H281" s="1" t="s">
        <v>1026</v>
      </c>
      <c r="J281" s="1" t="s">
        <v>607</v>
      </c>
      <c r="M281" s="15" t="s">
        <v>482</v>
      </c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281" s="1"/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281" s="15" t="str">
        <f>_xlfn.TEXTBEFORE(_xlfn.TEXTAFTER(CantoralDB[[#This Row],[index.html]],"&gt;"),"&gt;")&amp;"&gt;"</f>
        <v>&lt;a href="canciones/cesareo_gabarain/la_misa_no_termina_aqui_en_la_iglesia.html"&gt;</v>
      </c>
      <c r="X281"/>
      <c r="Y281" s="1"/>
      <c r="Z281" s="1"/>
      <c r="AA281" s="1"/>
      <c r="AB281" s="1"/>
    </row>
    <row r="282" spans="1:28" x14ac:dyDescent="0.3">
      <c r="A282" s="1">
        <f>ROW(CantoralDB[[#This Row],[Título]])-1</f>
        <v>281</v>
      </c>
      <c r="B282" s="1" t="s">
        <v>1276</v>
      </c>
      <c r="C282" s="1"/>
      <c r="E282" s="1">
        <v>160</v>
      </c>
      <c r="J282" s="1"/>
      <c r="M282" s="15" t="s">
        <v>482</v>
      </c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282" s="15" t="str">
        <f>_xlfn.TEXTBEFORE(_xlfn.TEXTAFTER(CantoralDB[[#This Row],[index.html]],"&gt;"),"&gt;")&amp;"&gt;"</f>
        <v>&lt;a href="canciones/cesareo_gabarain/los_que_a_la_pobreza.html"&gt;</v>
      </c>
      <c r="X282"/>
      <c r="Y282" s="1"/>
      <c r="Z282" s="1"/>
      <c r="AA282" s="1"/>
      <c r="AB282" s="1"/>
    </row>
    <row r="283" spans="1:28" x14ac:dyDescent="0.3">
      <c r="A283" s="1">
        <f>ROW(CantoralDB[[#This Row],[Título]])-1</f>
        <v>282</v>
      </c>
      <c r="B283" s="1" t="s">
        <v>1353</v>
      </c>
      <c r="C283" s="1"/>
      <c r="E283" s="1">
        <v>308</v>
      </c>
      <c r="F283" s="1">
        <v>206</v>
      </c>
      <c r="H283" s="1" t="s">
        <v>1026</v>
      </c>
      <c r="J283" s="1" t="s">
        <v>607</v>
      </c>
      <c r="M283" s="15" t="s">
        <v>482</v>
      </c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83" s="15" t="str">
        <f>_xlfn.TEXTBEFORE(_xlfn.TEXTAFTER(CantoralDB[[#This Row],[index.html]],"&gt;"),"&gt;")&amp;"&gt;"</f>
        <v>&lt;a href="canciones/cesareo_gabarain/nadie_hay_tan_grande_como_tu.html"&gt;</v>
      </c>
      <c r="X283"/>
      <c r="Y283" s="1"/>
      <c r="Z283" s="1"/>
      <c r="AA283" s="1"/>
      <c r="AB283" s="1"/>
    </row>
    <row r="284" spans="1:28" x14ac:dyDescent="0.3">
      <c r="A284" s="1">
        <f>ROW(CantoralDB[[#This Row],[Título]])-1</f>
        <v>283</v>
      </c>
      <c r="B284" s="1" t="s">
        <v>488</v>
      </c>
      <c r="C284" s="1" t="s">
        <v>190</v>
      </c>
      <c r="D284" s="1" t="s">
        <v>744</v>
      </c>
      <c r="G284" s="1" t="s">
        <v>215</v>
      </c>
      <c r="H284" s="1" t="s">
        <v>1029</v>
      </c>
      <c r="J284" s="1" t="s">
        <v>607</v>
      </c>
      <c r="M284" s="15" t="s">
        <v>482</v>
      </c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284" s="15" t="str">
        <f>_xlfn.TEXTBEFORE(_xlfn.TEXTAFTER(CantoralDB[[#This Row],[index.html]],"&gt;"),"&gt;")&amp;"&gt;"</f>
        <v>&lt;a href="canciones/cesareo_gabarain/peregrino_(exodo_y_liberacion).html"&gt;</v>
      </c>
      <c r="X284"/>
      <c r="Y284" s="1"/>
      <c r="Z284" s="1"/>
      <c r="AA284" s="1"/>
      <c r="AB284" s="1"/>
    </row>
    <row r="285" spans="1:28" x14ac:dyDescent="0.3">
      <c r="A285" s="1">
        <f>ROW(CantoralDB[[#This Row],[Título]])-1</f>
        <v>284</v>
      </c>
      <c r="B285" s="1" t="s">
        <v>111</v>
      </c>
      <c r="C285" s="1" t="s">
        <v>992</v>
      </c>
      <c r="D285" s="1" t="s">
        <v>726</v>
      </c>
      <c r="E285" s="1">
        <v>313</v>
      </c>
      <c r="F285" s="1">
        <v>318</v>
      </c>
      <c r="G285" s="1" t="s">
        <v>208</v>
      </c>
      <c r="H285" s="1" t="s">
        <v>530</v>
      </c>
      <c r="I285" s="1" t="s">
        <v>2953</v>
      </c>
      <c r="J285" s="1" t="s">
        <v>607</v>
      </c>
      <c r="M285" s="15" t="s">
        <v>482</v>
      </c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85" s="1" t="s">
        <v>852</v>
      </c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285" s="15" t="str">
        <f>_xlfn.TEXTBEFORE(_xlfn.TEXTAFTER(CantoralDB[[#This Row],[index.html]],"&gt;"),"&gt;")&amp;"&gt;"</f>
        <v>&lt;a href="canciones/cesareo_gabarain/pescador_de_hombres.html"&gt;</v>
      </c>
      <c r="X285"/>
      <c r="Y285" s="1"/>
      <c r="Z285" s="1"/>
      <c r="AA285" s="1"/>
      <c r="AB285" s="1"/>
    </row>
    <row r="286" spans="1:28" x14ac:dyDescent="0.3">
      <c r="A286" s="1">
        <f>ROW(CantoralDB[[#This Row],[Título]])-1</f>
        <v>285</v>
      </c>
      <c r="B286" s="1" t="s">
        <v>137</v>
      </c>
      <c r="C286" s="1" t="s">
        <v>992</v>
      </c>
      <c r="D286" s="1" t="s">
        <v>1004</v>
      </c>
      <c r="E286" s="1">
        <v>241</v>
      </c>
      <c r="G286" s="1" t="s">
        <v>208</v>
      </c>
      <c r="H286" s="1" t="s">
        <v>530</v>
      </c>
      <c r="J286" s="1" t="s">
        <v>607</v>
      </c>
      <c r="M286" s="15" t="s">
        <v>482</v>
      </c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86" s="1" t="s">
        <v>859</v>
      </c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286" s="15" t="str">
        <f>_xlfn.TEXTBEFORE(_xlfn.TEXTAFTER(CantoralDB[[#This Row],[index.html]],"&gt;"),"&gt;")&amp;"&gt;"</f>
        <v>&lt;a href="canciones/cesareo_gabarain/sois_la_semilla.html"&gt;</v>
      </c>
      <c r="X286"/>
      <c r="Y286" s="1"/>
      <c r="Z286" s="1"/>
      <c r="AA286" s="1"/>
      <c r="AB286" s="1"/>
    </row>
    <row r="287" spans="1:28" x14ac:dyDescent="0.3">
      <c r="A287" s="1">
        <f>ROW(CantoralDB[[#This Row],[Título]])-1</f>
        <v>286</v>
      </c>
      <c r="B287" s="1" t="s">
        <v>143</v>
      </c>
      <c r="C287" s="1" t="s">
        <v>992</v>
      </c>
      <c r="D287" s="1" t="s">
        <v>1010</v>
      </c>
      <c r="E287" s="1">
        <v>266</v>
      </c>
      <c r="G287" s="1" t="s">
        <v>208</v>
      </c>
      <c r="H287" s="1" t="s">
        <v>530</v>
      </c>
      <c r="I287" s="1" t="s">
        <v>2953</v>
      </c>
      <c r="J287" s="1" t="s">
        <v>607</v>
      </c>
      <c r="M287" s="15" t="s">
        <v>482</v>
      </c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287" s="15" t="str">
        <f>_xlfn.TEXTBEFORE(_xlfn.TEXTAFTER(CantoralDB[[#This Row],[index.html]],"&gt;"),"&gt;")&amp;"&gt;"</f>
        <v>&lt;a href="canciones/cesareo_gabarain/todos_unidos.html"&gt;</v>
      </c>
      <c r="X287"/>
      <c r="Y287" s="1"/>
      <c r="Z287" s="1"/>
      <c r="AA287" s="1"/>
      <c r="AB287" s="1"/>
    </row>
    <row r="288" spans="1:28" x14ac:dyDescent="0.3">
      <c r="A288" s="1">
        <f>ROW(CantoralDB[[#This Row],[Título]])-1</f>
        <v>287</v>
      </c>
      <c r="B288" s="1" t="s">
        <v>596</v>
      </c>
      <c r="C288" s="1" t="s">
        <v>992</v>
      </c>
      <c r="D288" s="1" t="s">
        <v>1014</v>
      </c>
      <c r="E288" s="1">
        <v>251</v>
      </c>
      <c r="G288" s="1" t="s">
        <v>208</v>
      </c>
      <c r="H288" s="1" t="s">
        <v>1029</v>
      </c>
      <c r="J288" s="1" t="s">
        <v>607</v>
      </c>
      <c r="M288" s="15" t="s">
        <v>482</v>
      </c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288" s="15" t="str">
        <f>_xlfn.TEXTBEFORE(_xlfn.TEXTAFTER(CantoralDB[[#This Row],[index.html]],"&gt;"),"&gt;")&amp;"&gt;"</f>
        <v>&lt;a href="canciones/cesareo_gabarain/tu_nos_dijiste_que_la_muerte.html"&gt;</v>
      </c>
      <c r="X288"/>
      <c r="Y288" s="1"/>
      <c r="Z288" s="1"/>
      <c r="AA288" s="1"/>
      <c r="AB288" s="1"/>
    </row>
    <row r="289" spans="1:28" x14ac:dyDescent="0.3">
      <c r="A289" s="1">
        <f>ROW(CantoralDB[[#This Row],[Título]])-1</f>
        <v>288</v>
      </c>
      <c r="B289" s="1" t="s">
        <v>2894</v>
      </c>
      <c r="C289" s="1"/>
      <c r="E289" s="1">
        <v>312</v>
      </c>
      <c r="H289" s="1" t="s">
        <v>1026</v>
      </c>
      <c r="J289" s="1" t="s">
        <v>607</v>
      </c>
      <c r="M289" s="15" t="s">
        <v>482</v>
      </c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289" s="15" t="str">
        <f>_xlfn.TEXTBEFORE(_xlfn.TEXTAFTER(CantoralDB[[#This Row],[index.html]],"&gt;"),"&gt;")&amp;"&gt;"</f>
        <v>&lt;a href="canciones/cesareo_gabarain/tu_que_siempre_nos_perdonas.html"&gt;</v>
      </c>
      <c r="X289"/>
      <c r="Y289" s="1"/>
      <c r="Z289" s="1"/>
      <c r="AA289" s="1"/>
      <c r="AB289" s="1"/>
    </row>
    <row r="290" spans="1:28" x14ac:dyDescent="0.3">
      <c r="A290" s="1">
        <f>ROW(CantoralDB[[#This Row],[Título]])-1</f>
        <v>289</v>
      </c>
      <c r="B290" s="1" t="s">
        <v>151</v>
      </c>
      <c r="C290" s="1" t="s">
        <v>194</v>
      </c>
      <c r="D290" s="1" t="s">
        <v>772</v>
      </c>
      <c r="E290" s="1">
        <v>468</v>
      </c>
      <c r="G290" s="1" t="s">
        <v>208</v>
      </c>
      <c r="H290" s="1" t="s">
        <v>472</v>
      </c>
      <c r="I290" s="1" t="s">
        <v>2953</v>
      </c>
      <c r="J290" s="1" t="s">
        <v>607</v>
      </c>
      <c r="M290" s="15" t="s">
        <v>482</v>
      </c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290" s="1" t="s">
        <v>865</v>
      </c>
      <c r="T290" s="1"/>
      <c r="U290" s="15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290" s="15" t="str">
        <f>_xlfn.TEXTBEFORE(_xlfn.TEXTAFTER(CantoralDB[[#This Row],[index.html]],"&gt;"),"&gt;")&amp;"&gt;"</f>
        <v>&lt;a href="canciones/cesareo_gabarain/un_niño_se_te_acerco.html"&gt;</v>
      </c>
      <c r="X290"/>
      <c r="Y290" s="1"/>
      <c r="Z290" s="1"/>
      <c r="AA290" s="1"/>
      <c r="AB290" s="1"/>
    </row>
    <row r="291" spans="1:28" x14ac:dyDescent="0.3">
      <c r="A291" s="1">
        <f>ROW(CantoralDB[[#This Row],[Título]])-1</f>
        <v>290</v>
      </c>
      <c r="B291" s="1" t="s">
        <v>153</v>
      </c>
      <c r="C291" s="1" t="s">
        <v>194</v>
      </c>
      <c r="D291" s="1" t="s">
        <v>773</v>
      </c>
      <c r="E291" s="1">
        <v>271</v>
      </c>
      <c r="G291" s="1" t="s">
        <v>208</v>
      </c>
      <c r="H291" s="1" t="s">
        <v>1029</v>
      </c>
      <c r="J291" s="1" t="s">
        <v>607</v>
      </c>
      <c r="M291" s="15" t="s">
        <v>482</v>
      </c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291" s="15" t="str">
        <f>_xlfn.TEXTBEFORE(_xlfn.TEXTAFTER(CantoralDB[[#This Row],[index.html]],"&gt;"),"&gt;")&amp;"&gt;"</f>
        <v>&lt;a href="canciones/cesareo_gabarain/una_espiga_dorada.html"&gt;</v>
      </c>
      <c r="X291"/>
      <c r="Y291" s="1"/>
      <c r="Z291" s="1"/>
      <c r="AA291" s="1"/>
      <c r="AB291" s="1"/>
    </row>
    <row r="292" spans="1:28" x14ac:dyDescent="0.3">
      <c r="A292" s="1">
        <f>ROW(CantoralDB[[#This Row],[Título]])-1</f>
        <v>291</v>
      </c>
      <c r="B292" s="1" t="s">
        <v>154</v>
      </c>
      <c r="C292" s="1" t="s">
        <v>191</v>
      </c>
      <c r="D292" s="1" t="s">
        <v>1472</v>
      </c>
      <c r="E292" s="1">
        <v>274</v>
      </c>
      <c r="G292" s="1" t="s">
        <v>208</v>
      </c>
      <c r="H292" s="1" t="s">
        <v>530</v>
      </c>
      <c r="J292" s="1" t="s">
        <v>607</v>
      </c>
      <c r="M292" s="15" t="s">
        <v>482</v>
      </c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292" s="15" t="str">
        <f>_xlfn.TEXTBEFORE(_xlfn.TEXTAFTER(CantoralDB[[#This Row],[index.html]],"&gt;"),"&gt;")&amp;"&gt;"</f>
        <v>&lt;a href="canciones/cesareo_gabarain/una_nueva_vida.html"&gt;</v>
      </c>
      <c r="X292"/>
      <c r="Y292" s="1"/>
      <c r="Z292" s="1"/>
      <c r="AA292" s="1"/>
      <c r="AB292" s="1"/>
    </row>
    <row r="293" spans="1:28" x14ac:dyDescent="0.3">
      <c r="A293" s="1">
        <f>ROW(CantoralDB[[#This Row],[Título]])-1</f>
        <v>292</v>
      </c>
      <c r="B293" s="1" t="s">
        <v>163</v>
      </c>
      <c r="C293" s="1" t="s">
        <v>190</v>
      </c>
      <c r="D293" s="1" t="s">
        <v>762</v>
      </c>
      <c r="E293" s="1">
        <v>278</v>
      </c>
      <c r="G293" s="1" t="s">
        <v>208</v>
      </c>
      <c r="H293" s="1" t="s">
        <v>530</v>
      </c>
      <c r="J293" s="1" t="s">
        <v>607</v>
      </c>
      <c r="M293" s="15" t="s">
        <v>482</v>
      </c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293" s="15" t="str">
        <f>_xlfn.TEXTBEFORE(_xlfn.TEXTAFTER(CantoralDB[[#This Row],[index.html]],"&gt;"),"&gt;")&amp;"&gt;"</f>
        <v>&lt;a href="canciones/cesareo_gabarain/vienen_con_alegria.html"&gt;</v>
      </c>
      <c r="X293"/>
      <c r="Y293" s="1"/>
      <c r="Z293" s="1"/>
      <c r="AA293" s="1"/>
      <c r="AB293" s="1"/>
    </row>
    <row r="294" spans="1:28" x14ac:dyDescent="0.3">
      <c r="A294" s="1">
        <f>ROW(CantoralDB[[#This Row],[Título]])-1</f>
        <v>293</v>
      </c>
      <c r="B294" s="1" t="s">
        <v>1348</v>
      </c>
      <c r="C294" s="1"/>
      <c r="E294" s="1">
        <v>292</v>
      </c>
      <c r="H294" s="1" t="s">
        <v>1029</v>
      </c>
      <c r="J294" s="1" t="s">
        <v>607</v>
      </c>
      <c r="M294" s="15" t="s">
        <v>482</v>
      </c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294" s="15" t="str">
        <f>_xlfn.TEXTBEFORE(_xlfn.TEXTAFTER(CantoralDB[[#This Row],[index.html]],"&gt;"),"&gt;")&amp;"&gt;"</f>
        <v>&lt;a href="canciones/cesareo_gabarain/yo_confio_en_ti_señor.html"&gt;</v>
      </c>
      <c r="X294"/>
      <c r="Y294" s="1"/>
      <c r="Z294" s="1"/>
      <c r="AA294" s="1"/>
      <c r="AB294" s="1"/>
    </row>
    <row r="295" spans="1:28" x14ac:dyDescent="0.3">
      <c r="A295" s="1">
        <f>ROW(CantoralDB[[#This Row],[Título]])-1</f>
        <v>294</v>
      </c>
      <c r="B295" s="1" t="s">
        <v>1356</v>
      </c>
      <c r="C295" s="1"/>
      <c r="E295" s="1">
        <v>315</v>
      </c>
      <c r="H295" s="1" t="s">
        <v>1026</v>
      </c>
      <c r="J295" s="1" t="s">
        <v>607</v>
      </c>
      <c r="M295" s="15" t="s">
        <v>482</v>
      </c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295" s="15" t="str">
        <f>_xlfn.TEXTBEFORE(_xlfn.TEXTAFTER(CantoralDB[[#This Row],[index.html]],"&gt;"),"&gt;")&amp;"&gt;"</f>
        <v>&lt;a href="canciones/cesareo_gabarain/yo_pensaba_que_el_hombre_era_grande.html"&gt;</v>
      </c>
      <c r="X295"/>
      <c r="Y295" s="1"/>
      <c r="Z295" s="1"/>
      <c r="AA295" s="1"/>
      <c r="AB295" s="1"/>
    </row>
    <row r="296" spans="1:28" x14ac:dyDescent="0.3">
      <c r="A296" s="1">
        <f>ROW(CantoralDB[[#This Row],[Título]])-1</f>
        <v>295</v>
      </c>
      <c r="B296" s="1" t="s">
        <v>1355</v>
      </c>
      <c r="C296" s="1"/>
      <c r="E296" s="1">
        <v>311</v>
      </c>
      <c r="H296" s="1" t="s">
        <v>1026</v>
      </c>
      <c r="J296" s="1" t="s">
        <v>607</v>
      </c>
      <c r="M296" s="15" t="s">
        <v>482</v>
      </c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296" s="15" t="str">
        <f>_xlfn.TEXTBEFORE(_xlfn.TEXTAFTER(CantoralDB[[#This Row],[index.html]],"&gt;"),"&gt;")&amp;"&gt;"</f>
        <v>&lt;a href="canciones/cesareo_gabarain/yo_tengo_un_amigo_que_me_ama.html"&gt;</v>
      </c>
      <c r="X296"/>
      <c r="Y296" s="1"/>
      <c r="Z296" s="1"/>
      <c r="AA296" s="1"/>
      <c r="AB296" s="1"/>
    </row>
    <row r="297" spans="1:28" x14ac:dyDescent="0.3">
      <c r="A297" s="1">
        <f>ROW(CantoralDB[[#This Row],[Título]])-1</f>
        <v>296</v>
      </c>
      <c r="B297" s="1" t="s">
        <v>24</v>
      </c>
      <c r="C297" s="1" t="s">
        <v>992</v>
      </c>
      <c r="D297" s="1" t="s">
        <v>1038</v>
      </c>
      <c r="E297" s="1">
        <v>410</v>
      </c>
      <c r="G297" s="1" t="s">
        <v>208</v>
      </c>
      <c r="H297" s="1" t="s">
        <v>1026</v>
      </c>
      <c r="J297" s="1" t="s">
        <v>607</v>
      </c>
      <c r="M297" s="15" t="s">
        <v>542</v>
      </c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297" s="1"/>
      <c r="T297" s="1"/>
      <c r="U297" s="15"/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297" s="15" t="str">
        <f>_xlfn.TEXTBEFORE(_xlfn.TEXTAFTER(CantoralDB[[#This Row],[index.html]],"&gt;"),"&gt;")&amp;"&gt;"</f>
        <v>&lt;a href="canciones/emilio_vicente_mateu/amar_es_darse.html"&gt;</v>
      </c>
      <c r="X297"/>
      <c r="Y297" s="1"/>
      <c r="Z297" s="1"/>
      <c r="AA297" s="1"/>
      <c r="AB297" s="1"/>
    </row>
    <row r="298" spans="1:28" x14ac:dyDescent="0.3">
      <c r="A298" s="1">
        <f>ROW(CantoralDB[[#This Row],[Título]])-1</f>
        <v>297</v>
      </c>
      <c r="B298" s="1" t="s">
        <v>27</v>
      </c>
      <c r="C298" s="1" t="s">
        <v>992</v>
      </c>
      <c r="D298" s="1" t="s">
        <v>685</v>
      </c>
      <c r="E298" s="1">
        <v>34</v>
      </c>
      <c r="G298" s="1" t="s">
        <v>208</v>
      </c>
      <c r="H298" s="1" t="s">
        <v>1029</v>
      </c>
      <c r="I298" s="1" t="s">
        <v>2952</v>
      </c>
      <c r="J298" s="1" t="s">
        <v>607</v>
      </c>
      <c r="M298" s="15" t="s">
        <v>542</v>
      </c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298" s="1" t="s">
        <v>808</v>
      </c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298" s="15" t="str">
        <f>_xlfn.TEXTBEFORE(_xlfn.TEXTAFTER(CantoralDB[[#This Row],[index.html]],"&gt;"),"&gt;")&amp;"&gt;"</f>
        <v>&lt;a href="canciones/emilio_vicente_mateu/bienaventurados_seremos_señor.html"&gt;</v>
      </c>
      <c r="X298"/>
      <c r="Y298" s="1"/>
      <c r="Z298" s="1"/>
      <c r="AA298" s="1"/>
      <c r="AB298" s="1"/>
    </row>
    <row r="299" spans="1:28" x14ac:dyDescent="0.3">
      <c r="A299" s="1">
        <f>ROW(CantoralDB[[#This Row],[Título]])-1</f>
        <v>298</v>
      </c>
      <c r="B299" s="1" t="s">
        <v>32</v>
      </c>
      <c r="C299" s="1" t="s">
        <v>475</v>
      </c>
      <c r="D299" s="1" t="s">
        <v>1397</v>
      </c>
      <c r="E299" s="1">
        <v>50</v>
      </c>
      <c r="G299" s="1" t="s">
        <v>208</v>
      </c>
      <c r="H299" s="1" t="s">
        <v>1026</v>
      </c>
      <c r="J299" s="1" t="s">
        <v>607</v>
      </c>
      <c r="M299" s="15" t="s">
        <v>542</v>
      </c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299" s="15" t="str">
        <f>_xlfn.TEXTBEFORE(_xlfn.TEXTAFTER(CantoralDB[[#This Row],[index.html]],"&gt;"),"&gt;")&amp;"&gt;"</f>
        <v>&lt;a href="canciones/emilio_vicente_mateu/cantemos_todos_la_navidad.html"&gt;</v>
      </c>
      <c r="X299"/>
      <c r="Y299" s="1"/>
      <c r="Z299" s="1"/>
      <c r="AA299" s="1"/>
      <c r="AB299" s="1"/>
    </row>
    <row r="300" spans="1:28" x14ac:dyDescent="0.3">
      <c r="A300" s="1">
        <f>ROW(CantoralDB[[#This Row],[Título]])-1</f>
        <v>299</v>
      </c>
      <c r="B300" s="1" t="s">
        <v>1207</v>
      </c>
      <c r="C300" s="1"/>
      <c r="E300" s="1">
        <v>85</v>
      </c>
      <c r="J300" s="1"/>
      <c r="M300" s="15" t="s">
        <v>542</v>
      </c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300" s="15" t="str">
        <f>_xlfn.TEXTBEFORE(_xlfn.TEXTAFTER(CantoralDB[[#This Row],[index.html]],"&gt;"),"&gt;")&amp;"&gt;"</f>
        <v>&lt;a href="canciones/emilio_vicente_mateu/dios_te_salve_mi_señora.html"&gt;</v>
      </c>
      <c r="X300"/>
      <c r="Y300" s="1"/>
      <c r="Z300" s="1"/>
      <c r="AA300" s="1"/>
      <c r="AB300" s="1"/>
    </row>
    <row r="301" spans="1:28" x14ac:dyDescent="0.3">
      <c r="A301" s="1">
        <f>ROW(CantoralDB[[#This Row],[Título]])-1</f>
        <v>300</v>
      </c>
      <c r="B301" s="1" t="s">
        <v>54</v>
      </c>
      <c r="C301" s="1" t="s">
        <v>475</v>
      </c>
      <c r="D301" s="1" t="s">
        <v>1413</v>
      </c>
      <c r="E301" s="1">
        <v>92</v>
      </c>
      <c r="G301" s="1" t="s">
        <v>208</v>
      </c>
      <c r="H301" s="1" t="s">
        <v>1029</v>
      </c>
      <c r="J301" s="1" t="s">
        <v>607</v>
      </c>
      <c r="M301" s="15" t="s">
        <v>542</v>
      </c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301" s="15" t="str">
        <f>_xlfn.TEXTBEFORE(_xlfn.TEXTAFTER(CantoralDB[[#This Row],[index.html]],"&gt;"),"&gt;")&amp;"&gt;"</f>
        <v>&lt;a href="canciones/emilio_vicente_mateu/el_señor_nos_ha_nacido_en_belen.html"&gt;</v>
      </c>
      <c r="X301"/>
      <c r="Y301" s="1"/>
      <c r="Z301" s="1"/>
      <c r="AA301" s="1"/>
      <c r="AB301" s="1"/>
    </row>
    <row r="302" spans="1:28" x14ac:dyDescent="0.3">
      <c r="A302" s="1">
        <f>ROW(CantoralDB[[#This Row],[Título]])-1</f>
        <v>301</v>
      </c>
      <c r="B302" s="1" t="s">
        <v>87</v>
      </c>
      <c r="C302" s="1" t="s">
        <v>475</v>
      </c>
      <c r="D302" s="1" t="s">
        <v>1059</v>
      </c>
      <c r="E302" s="1">
        <v>158</v>
      </c>
      <c r="G302" s="1" t="s">
        <v>208</v>
      </c>
      <c r="H302" s="1" t="s">
        <v>530</v>
      </c>
      <c r="J302" s="1" t="s">
        <v>607</v>
      </c>
      <c r="M302" s="15" t="s">
        <v>542</v>
      </c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302" s="15" t="str">
        <f>_xlfn.TEXTBEFORE(_xlfn.TEXTAFTER(CantoralDB[[#This Row],[index.html]],"&gt;"),"&gt;")&amp;"&gt;"</f>
        <v>&lt;a href="canciones/emilio_vicente_mateu/los_magos_vienen_de_oriente.html"&gt;</v>
      </c>
      <c r="X302"/>
      <c r="Y302" s="1"/>
      <c r="Z302" s="1"/>
      <c r="AA302" s="1"/>
      <c r="AB302" s="1"/>
    </row>
    <row r="303" spans="1:28" x14ac:dyDescent="0.3">
      <c r="A303" s="1">
        <f>ROW(CantoralDB[[#This Row],[Título]])-1</f>
        <v>302</v>
      </c>
      <c r="B303" s="1" t="s">
        <v>1318</v>
      </c>
      <c r="C303" s="1"/>
      <c r="E303" s="1">
        <v>239</v>
      </c>
      <c r="H303" s="1" t="s">
        <v>530</v>
      </c>
      <c r="J303" s="1" t="s">
        <v>607</v>
      </c>
      <c r="M303" s="15" t="s">
        <v>542</v>
      </c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303" s="1"/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303" s="15" t="str">
        <f>_xlfn.TEXTBEFORE(_xlfn.TEXTAFTER(CantoralDB[[#This Row],[index.html]],"&gt;"),"&gt;")&amp;"&gt;"</f>
        <v>&lt;a href="canciones/emilio_vicente_mateu/siempre_unidos_mano_a_mano.html"&gt;</v>
      </c>
      <c r="X303"/>
      <c r="Y303" s="1"/>
      <c r="Z303" s="1"/>
      <c r="AA303" s="1"/>
      <c r="AB303" s="1"/>
    </row>
    <row r="304" spans="1:28" x14ac:dyDescent="0.3">
      <c r="A304" s="1">
        <f>ROW(CantoralDB[[#This Row],[Título]])-1</f>
        <v>303</v>
      </c>
      <c r="B304" s="1" t="s">
        <v>138</v>
      </c>
      <c r="C304" s="1" t="s">
        <v>992</v>
      </c>
      <c r="D304" s="1" t="s">
        <v>1005</v>
      </c>
      <c r="E304" s="1">
        <v>237</v>
      </c>
      <c r="G304" s="1" t="s">
        <v>208</v>
      </c>
      <c r="H304" s="1" t="s">
        <v>1029</v>
      </c>
      <c r="I304" s="1" t="s">
        <v>2954</v>
      </c>
      <c r="J304" s="1" t="s">
        <v>607</v>
      </c>
      <c r="M304" s="15" t="s">
        <v>542</v>
      </c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304" s="15" t="str">
        <f>_xlfn.TEXTBEFORE(_xlfn.TEXTAFTER(CantoralDB[[#This Row],[index.html]],"&gt;"),"&gt;")&amp;"&gt;"</f>
        <v>&lt;a href="canciones/emilio_vicente_mateu/somos_un_pueblo_que_camina.html"&gt;</v>
      </c>
      <c r="X304"/>
      <c r="Y304" s="1"/>
      <c r="Z304" s="1"/>
      <c r="AA304" s="1"/>
      <c r="AB304" s="1"/>
    </row>
    <row r="305" spans="1:28" x14ac:dyDescent="0.3">
      <c r="A305" s="1">
        <f>ROW(CantoralDB[[#This Row],[Título]])-1</f>
        <v>304</v>
      </c>
      <c r="B305" s="1" t="s">
        <v>1323</v>
      </c>
      <c r="C305" s="1"/>
      <c r="E305" s="1">
        <v>246</v>
      </c>
      <c r="J305" s="1"/>
      <c r="M305" s="15" t="s">
        <v>542</v>
      </c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305" s="15" t="str">
        <f>_xlfn.TEXTBEFORE(_xlfn.TEXTAFTER(CantoralDB[[#This Row],[index.html]],"&gt;"),"&gt;")&amp;"&gt;"</f>
        <v>&lt;a href="canciones/emilio_vicente_mateu/somos_un_solo_cuerpo.html"&gt;</v>
      </c>
      <c r="X305"/>
      <c r="Y305" s="1"/>
      <c r="Z305" s="1"/>
      <c r="AA305" s="1"/>
      <c r="AB305" s="1"/>
    </row>
    <row r="306" spans="1:28" x14ac:dyDescent="0.3">
      <c r="A306" s="1">
        <f>ROW(CantoralDB[[#This Row],[Título]])-1</f>
        <v>305</v>
      </c>
      <c r="B306" s="1" t="s">
        <v>1330</v>
      </c>
      <c r="C306" s="1"/>
      <c r="E306" s="1">
        <v>256</v>
      </c>
      <c r="J306" s="1"/>
      <c r="M306" s="15" t="s">
        <v>542</v>
      </c>
      <c r="O306" s="15"/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306" s="15" t="str">
        <f>_xlfn.TEXTBEFORE(_xlfn.TEXTAFTER(CantoralDB[[#This Row],[index.html]],"&gt;"),"&gt;")&amp;"&gt;"</f>
        <v>&lt;a href="canciones/emilio_vicente_mateu/te_buscamos_señor.html"&gt;</v>
      </c>
      <c r="X306"/>
      <c r="Y306" s="1"/>
      <c r="Z306" s="1"/>
      <c r="AA306" s="1"/>
      <c r="AB306" s="1"/>
    </row>
    <row r="307" spans="1:28" x14ac:dyDescent="0.3">
      <c r="A307" s="1">
        <f>ROW(CantoralDB[[#This Row],[Título]])-1</f>
        <v>306</v>
      </c>
      <c r="B307" s="1" t="s">
        <v>1332</v>
      </c>
      <c r="C307" s="1"/>
      <c r="E307" s="1">
        <v>260</v>
      </c>
      <c r="H307" s="1" t="s">
        <v>1029</v>
      </c>
      <c r="J307" s="1" t="s">
        <v>607</v>
      </c>
      <c r="M307" s="15" t="s">
        <v>542</v>
      </c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307" s="1"/>
      <c r="T307" s="1"/>
      <c r="U307" s="32" t="s">
        <v>2971</v>
      </c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307" s="15" t="str">
        <f>_xlfn.TEXTBEFORE(_xlfn.TEXTAFTER(CantoralDB[[#This Row],[index.html]],"&gt;"),"&gt;")&amp;"&gt;"</f>
        <v>&lt;a href="canciones/emilio_vicente_mateu/tiempo_de_espera.html"&gt;</v>
      </c>
      <c r="X307"/>
      <c r="Y307" s="1"/>
      <c r="Z307" s="1"/>
      <c r="AA307" s="1"/>
      <c r="AB307" s="1"/>
    </row>
    <row r="308" spans="1:28" x14ac:dyDescent="0.3">
      <c r="A308" s="1">
        <f>ROW(CantoralDB[[#This Row],[Título]])-1</f>
        <v>307</v>
      </c>
      <c r="B308" s="1" t="s">
        <v>1240</v>
      </c>
      <c r="C308" s="1"/>
      <c r="E308" s="1">
        <v>282</v>
      </c>
      <c r="H308" s="1" t="s">
        <v>472</v>
      </c>
      <c r="J308" s="1" t="s">
        <v>607</v>
      </c>
      <c r="M308" s="15" t="s">
        <v>542</v>
      </c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308" s="15" t="str">
        <f>_xlfn.TEXTBEFORE(_xlfn.TEXTAFTER(CantoralDB[[#This Row],[index.html]],"&gt;"),"&gt;")&amp;"&gt;"</f>
        <v>&lt;a href="canciones/emilio_vicente_mateu/vendra_la_libertad.html"&gt;</v>
      </c>
      <c r="X308"/>
      <c r="Y308" s="1"/>
      <c r="Z308" s="1"/>
      <c r="AA308" s="1"/>
      <c r="AB308" s="1"/>
    </row>
    <row r="309" spans="1:28" x14ac:dyDescent="0.3">
      <c r="A309" s="1">
        <f>ROW(CantoralDB[[#This Row],[Título]])-1</f>
        <v>308</v>
      </c>
      <c r="B309" s="1" t="s">
        <v>2113</v>
      </c>
      <c r="C309" s="1"/>
      <c r="E309" s="1">
        <v>293</v>
      </c>
      <c r="H309" s="1" t="s">
        <v>472</v>
      </c>
      <c r="J309" s="1" t="s">
        <v>607</v>
      </c>
      <c r="M309" s="15" t="s">
        <v>2138</v>
      </c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309" s="15" t="str">
        <f>_xlfn.TEXTBEFORE(_xlfn.TEXTAFTER(CantoralDB[[#This Row],[index.html]],"&gt;"),"&gt;")&amp;"&gt;"</f>
        <v>&lt;a href="canciones/fernando_viejo/como_era_pedro.html"&gt;</v>
      </c>
      <c r="X309"/>
      <c r="Y309" s="1"/>
      <c r="Z309" s="1"/>
      <c r="AA309" s="1"/>
      <c r="AB309" s="1"/>
    </row>
    <row r="310" spans="1:28" x14ac:dyDescent="0.3">
      <c r="A310" s="1">
        <f>ROW(CantoralDB[[#This Row],[Título]])-1</f>
        <v>309</v>
      </c>
      <c r="B310" s="1" t="s">
        <v>1190</v>
      </c>
      <c r="C310" s="1"/>
      <c r="E310" s="1">
        <v>64</v>
      </c>
      <c r="H310" s="1" t="s">
        <v>1026</v>
      </c>
      <c r="J310" s="1" t="s">
        <v>607</v>
      </c>
      <c r="M310" s="15" t="s">
        <v>2138</v>
      </c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310" s="1"/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310" s="15" t="str">
        <f>_xlfn.TEXTBEFORE(_xlfn.TEXTAFTER(CantoralDB[[#This Row],[index.html]],"&gt;"),"&gt;")&amp;"&gt;"</f>
        <v>&lt;a href="canciones/fernando_viejo/creo_en_dios_y_en_su_palabra.html"&gt;</v>
      </c>
      <c r="X310"/>
      <c r="Y310" s="1"/>
      <c r="Z310" s="1"/>
      <c r="AA310" s="1"/>
      <c r="AB310" s="1"/>
    </row>
    <row r="311" spans="1:28" x14ac:dyDescent="0.3">
      <c r="A311" s="1">
        <f>ROW(CantoralDB[[#This Row],[Título]])-1</f>
        <v>310</v>
      </c>
      <c r="B311" s="1" t="s">
        <v>1260</v>
      </c>
      <c r="C311" s="1"/>
      <c r="E311" s="1">
        <v>132</v>
      </c>
      <c r="H311" s="1" t="s">
        <v>1029</v>
      </c>
      <c r="J311" s="1" t="s">
        <v>607</v>
      </c>
      <c r="M311" s="15" t="s">
        <v>2138</v>
      </c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311" s="1"/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311" s="15" t="str">
        <f>_xlfn.TEXTBEFORE(_xlfn.TEXTAFTER(CantoralDB[[#This Row],[index.html]],"&gt;"),"&gt;")&amp;"&gt;"</f>
        <v>&lt;a href="canciones/fernando_viejo/hasta_cuando_señor.html"&gt;</v>
      </c>
      <c r="X311"/>
      <c r="Y311" s="1"/>
      <c r="Z311" s="1"/>
      <c r="AA311" s="1"/>
      <c r="AB311" s="1"/>
    </row>
    <row r="312" spans="1:28" x14ac:dyDescent="0.3">
      <c r="A312" s="1">
        <f>ROW(CantoralDB[[#This Row],[Título]])-1</f>
        <v>311</v>
      </c>
      <c r="B312" s="1" t="s">
        <v>1299</v>
      </c>
      <c r="C312" s="1"/>
      <c r="E312" s="1">
        <v>199</v>
      </c>
      <c r="H312" s="1" t="s">
        <v>1029</v>
      </c>
      <c r="J312" s="1" t="s">
        <v>607</v>
      </c>
      <c r="M312" s="15" t="s">
        <v>2138</v>
      </c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312" s="1"/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312" s="15" t="str">
        <f>_xlfn.TEXTBEFORE(_xlfn.TEXTAFTER(CantoralDB[[#This Row],[index.html]],"&gt;"),"&gt;")&amp;"&gt;"</f>
        <v>&lt;a href="canciones/fernando_viejo/padre_nuestro_que_estas_en_la_tierra.html"&gt;</v>
      </c>
      <c r="X312"/>
      <c r="Y312" s="1"/>
      <c r="Z312" s="1"/>
      <c r="AA312" s="1"/>
      <c r="AB312" s="1"/>
    </row>
    <row r="313" spans="1:28" x14ac:dyDescent="0.3">
      <c r="A313" s="1">
        <f>ROW(CantoralDB[[#This Row],[Título]])-1</f>
        <v>312</v>
      </c>
      <c r="B313" s="1" t="s">
        <v>1300</v>
      </c>
      <c r="C313" s="1"/>
      <c r="E313" s="1">
        <v>204</v>
      </c>
      <c r="H313" s="1" t="s">
        <v>1028</v>
      </c>
      <c r="J313" s="1" t="s">
        <v>607</v>
      </c>
      <c r="M313" s="15" t="s">
        <v>2138</v>
      </c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313" s="1"/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313" s="15" t="str">
        <f>_xlfn.TEXTBEFORE(_xlfn.TEXTAFTER(CantoralDB[[#This Row],[index.html]],"&gt;"),"&gt;")&amp;"&gt;"</f>
        <v>&lt;a href="canciones/fernando_viejo/piedad_señor_piedad.html"&gt;</v>
      </c>
      <c r="X313"/>
      <c r="Y313" s="1"/>
      <c r="Z313" s="1"/>
      <c r="AA313" s="1"/>
      <c r="AB313" s="1"/>
    </row>
    <row r="314" spans="1:28" x14ac:dyDescent="0.3">
      <c r="A314" s="1">
        <f>ROW(CantoralDB[[#This Row],[Título]])-1</f>
        <v>313</v>
      </c>
      <c r="B314" s="1" t="s">
        <v>1309</v>
      </c>
      <c r="C314" s="1"/>
      <c r="E314" s="1">
        <v>223</v>
      </c>
      <c r="H314" s="1" t="s">
        <v>472</v>
      </c>
      <c r="J314" s="1" t="s">
        <v>607</v>
      </c>
      <c r="M314" s="15" t="s">
        <v>2138</v>
      </c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314" s="1"/>
      <c r="T314" s="1"/>
      <c r="U314" s="32" t="s">
        <v>2972</v>
      </c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314" s="15" t="str">
        <f>_xlfn.TEXTBEFORE(_xlfn.TEXTAFTER(CantoralDB[[#This Row],[index.html]],"&gt;"),"&gt;")&amp;"&gt;"</f>
        <v>&lt;a href="canciones/fernando_viejo/que_detalle_señor.html"&gt;</v>
      </c>
      <c r="X314"/>
      <c r="Y314" s="1"/>
      <c r="Z314" s="1"/>
      <c r="AA314" s="1"/>
      <c r="AB314" s="1"/>
    </row>
    <row r="315" spans="1:28" x14ac:dyDescent="0.3">
      <c r="A315" s="1">
        <f>ROW(CantoralDB[[#This Row],[Título]])-1</f>
        <v>314</v>
      </c>
      <c r="B315" s="1" t="s">
        <v>21</v>
      </c>
      <c r="C315" s="1" t="s">
        <v>190</v>
      </c>
      <c r="D315" s="1" t="s">
        <v>1381</v>
      </c>
      <c r="E315" s="1">
        <v>21</v>
      </c>
      <c r="G315" s="1" t="s">
        <v>208</v>
      </c>
      <c r="H315" s="1" t="s">
        <v>1026</v>
      </c>
      <c r="I315" s="1" t="s">
        <v>2953</v>
      </c>
      <c r="J315" s="1" t="s">
        <v>607</v>
      </c>
      <c r="M315" s="15" t="s">
        <v>480</v>
      </c>
      <c r="N315" s="1" t="s">
        <v>21</v>
      </c>
      <c r="O315" s="15">
        <v>1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315" s="1"/>
      <c r="T315" s="1"/>
      <c r="U315" s="32" t="s">
        <v>3593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315" s="15" t="str">
        <f>_xlfn.TEXTBEFORE(_xlfn.TEXTAFTER(CantoralDB[[#This Row],[index.html]],"&gt;"),"&gt;")&amp;"&gt;"</f>
        <v>&lt;a href="canciones/francisco_palazon/alrededor_de_tu_mesa.html"&gt;</v>
      </c>
      <c r="X315"/>
      <c r="Y315" s="1"/>
      <c r="Z315" s="1"/>
      <c r="AA315" s="1"/>
      <c r="AB315" s="1"/>
    </row>
    <row r="316" spans="1:28" x14ac:dyDescent="0.3">
      <c r="A316" s="1">
        <f>ROW(CantoralDB[[#This Row],[Título]])-1</f>
        <v>315</v>
      </c>
      <c r="B316" s="1" t="s">
        <v>2192</v>
      </c>
      <c r="C316" s="1"/>
      <c r="H316" s="1" t="s">
        <v>1027</v>
      </c>
      <c r="J316" s="1" t="s">
        <v>607</v>
      </c>
      <c r="M316" s="15" t="s">
        <v>480</v>
      </c>
      <c r="N316" s="1" t="s">
        <v>21</v>
      </c>
      <c r="O316" s="15">
        <v>2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316" s="1"/>
      <c r="T316" s="1"/>
      <c r="U316" s="32" t="s">
        <v>3594</v>
      </c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316" s="15" t="str">
        <f>_xlfn.TEXTBEFORE(_xlfn.TEXTAFTER(CantoralDB[[#This Row],[index.html]],"&gt;"),"&gt;")&amp;"&gt;"</f>
        <v>&lt;a href="canciones/francisco_palazon/señor_ten_piedad_(alrededor_de_tu_mesa).html"&gt;</v>
      </c>
      <c r="X316"/>
      <c r="Y316" s="1"/>
      <c r="Z316" s="1"/>
      <c r="AA316" s="1"/>
      <c r="AB316" s="1"/>
    </row>
    <row r="317" spans="1:28" x14ac:dyDescent="0.3">
      <c r="A317" s="1">
        <f>ROW(CantoralDB[[#This Row],[Título]])-1</f>
        <v>316</v>
      </c>
      <c r="B317" s="1" t="s">
        <v>67</v>
      </c>
      <c r="C317" s="1" t="s">
        <v>192</v>
      </c>
      <c r="D317" s="1" t="s">
        <v>1421</v>
      </c>
      <c r="E317" s="1">
        <v>128</v>
      </c>
      <c r="G317" s="1" t="s">
        <v>208</v>
      </c>
      <c r="H317" s="1" t="s">
        <v>530</v>
      </c>
      <c r="J317" s="1" t="s">
        <v>607</v>
      </c>
      <c r="M317" s="15" t="s">
        <v>480</v>
      </c>
      <c r="N317" s="1" t="s">
        <v>21</v>
      </c>
      <c r="O317" s="15">
        <v>3</v>
      </c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17" s="1"/>
      <c r="T317" s="1"/>
      <c r="U317" s="32" t="s">
        <v>3595</v>
      </c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317" s="15" t="str">
        <f>_xlfn.TEXTBEFORE(_xlfn.TEXTAFTER(CantoralDB[[#This Row],[index.html]],"&gt;"),"&gt;")&amp;"&gt;"</f>
        <v>&lt;a href="canciones/francisco_palazon/gloria_a_dios_en_el_cielo.html"&gt;</v>
      </c>
      <c r="X317"/>
      <c r="Y317" s="1"/>
      <c r="Z317" s="1"/>
      <c r="AA317" s="1"/>
      <c r="AB317" s="1"/>
    </row>
    <row r="318" spans="1:28" x14ac:dyDescent="0.3">
      <c r="A318" s="1">
        <f>ROW(CantoralDB[[#This Row],[Título]])-1</f>
        <v>317</v>
      </c>
      <c r="B318" s="1" t="s">
        <v>1917</v>
      </c>
      <c r="C318" s="1"/>
      <c r="H318" s="1" t="s">
        <v>1027</v>
      </c>
      <c r="J318" s="1" t="s">
        <v>607</v>
      </c>
      <c r="M318" s="15" t="s">
        <v>480</v>
      </c>
      <c r="N318" s="1" t="s">
        <v>21</v>
      </c>
      <c r="O318" s="15">
        <v>4</v>
      </c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318" s="1"/>
      <c r="T318" s="1"/>
      <c r="U318" s="32" t="s">
        <v>3596</v>
      </c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318" s="15" t="str">
        <f>_xlfn.TEXTBEFORE(_xlfn.TEXTAFTER(CantoralDB[[#This Row],[index.html]],"&gt;"),"&gt;")&amp;"&gt;"</f>
        <v>&lt;a href="canciones/francisco_palazon/acabamos_de_oir_tu_palabra.html"&gt;</v>
      </c>
      <c r="X318"/>
      <c r="Y318" s="1"/>
      <c r="Z318" s="1"/>
      <c r="AA318" s="1"/>
      <c r="AB318" s="1"/>
    </row>
    <row r="319" spans="1:28" x14ac:dyDescent="0.3">
      <c r="A319" s="1">
        <f>ROW(CantoralDB[[#This Row],[Título]])-1</f>
        <v>318</v>
      </c>
      <c r="B319" s="1" t="s">
        <v>1918</v>
      </c>
      <c r="C319" s="1"/>
      <c r="H319" s="1" t="s">
        <v>1027</v>
      </c>
      <c r="J319" s="1" t="s">
        <v>607</v>
      </c>
      <c r="M319" s="15" t="s">
        <v>480</v>
      </c>
      <c r="N319" s="1" t="s">
        <v>21</v>
      </c>
      <c r="O319" s="15">
        <v>5</v>
      </c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19" s="1"/>
      <c r="T319" s="1"/>
      <c r="U319" s="32" t="s">
        <v>3597</v>
      </c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319" s="15" t="str">
        <f>_xlfn.TEXTBEFORE(_xlfn.TEXTAFTER(CantoralDB[[#This Row],[index.html]],"&gt;"),"&gt;")&amp;"&gt;"</f>
        <v>&lt;a href="canciones/francisco_palazon/bendito_seas_señor.html"&gt;</v>
      </c>
      <c r="X319"/>
      <c r="Y319" s="1"/>
      <c r="Z319" s="1"/>
      <c r="AA319" s="1"/>
      <c r="AB319" s="1"/>
    </row>
    <row r="320" spans="1:28" x14ac:dyDescent="0.3">
      <c r="A320" s="1">
        <f>ROW(CantoralDB[[#This Row],[Título]])-1</f>
        <v>319</v>
      </c>
      <c r="B320" s="1" t="s">
        <v>1234</v>
      </c>
      <c r="C320" s="1" t="s">
        <v>195</v>
      </c>
      <c r="D320" s="1" t="s">
        <v>1463</v>
      </c>
      <c r="E320" s="1">
        <v>245</v>
      </c>
      <c r="G320" s="1" t="s">
        <v>208</v>
      </c>
      <c r="H320" s="1" t="s">
        <v>530</v>
      </c>
      <c r="I320" s="1" t="s">
        <v>2950</v>
      </c>
      <c r="J320" s="1" t="s">
        <v>607</v>
      </c>
      <c r="M320" s="15" t="s">
        <v>480</v>
      </c>
      <c r="N320" s="1" t="s">
        <v>21</v>
      </c>
      <c r="O320" s="15">
        <v>6</v>
      </c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20" s="1"/>
      <c r="T320" s="1"/>
      <c r="U320" s="32" t="s">
        <v>3598</v>
      </c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320" s="15" t="str">
        <f>_xlfn.TEXTBEFORE(_xlfn.TEXTAFTER(CantoralDB[[#This Row],[index.html]],"&gt;"),"&gt;")&amp;"&gt;"</f>
        <v>&lt;a href="canciones/francisco_palazon/santo_(palazon).html"&gt;</v>
      </c>
      <c r="X320"/>
      <c r="Y320" s="1"/>
      <c r="Z320" s="1"/>
      <c r="AA320" s="1"/>
      <c r="AB320" s="1"/>
    </row>
    <row r="321" spans="1:28" x14ac:dyDescent="0.3">
      <c r="A321" s="1">
        <f>ROW(CantoralDB[[#This Row],[Título]])-1</f>
        <v>320</v>
      </c>
      <c r="B321" s="1" t="s">
        <v>1919</v>
      </c>
      <c r="C321" s="1"/>
      <c r="H321" s="1" t="s">
        <v>1027</v>
      </c>
      <c r="J321" s="1" t="s">
        <v>607</v>
      </c>
      <c r="M321" s="15" t="s">
        <v>480</v>
      </c>
      <c r="N321" s="1" t="s">
        <v>21</v>
      </c>
      <c r="O321" s="15">
        <v>7</v>
      </c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321" s="1"/>
      <c r="T321" s="1"/>
      <c r="U321" s="32" t="s">
        <v>3599</v>
      </c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321" s="15" t="str">
        <f>_xlfn.TEXTBEFORE(_xlfn.TEXTAFTER(CantoralDB[[#This Row],[index.html]],"&gt;"),"&gt;")&amp;"&gt;"</f>
        <v>&lt;a href="canciones/francisco_palazon/anunciamos_tu_muerte.html"&gt;</v>
      </c>
      <c r="X321"/>
      <c r="Y321" s="1"/>
      <c r="Z321" s="1"/>
      <c r="AA321" s="1"/>
      <c r="AB321" s="1"/>
    </row>
    <row r="322" spans="1:28" x14ac:dyDescent="0.3">
      <c r="A322" s="1">
        <f>ROW(CantoralDB[[#This Row],[Título]])-1</f>
        <v>321</v>
      </c>
      <c r="B322" s="1" t="s">
        <v>1555</v>
      </c>
      <c r="C322" s="1"/>
      <c r="H322" s="1" t="s">
        <v>1027</v>
      </c>
      <c r="J322" s="1" t="s">
        <v>607</v>
      </c>
      <c r="M322" s="15" t="s">
        <v>480</v>
      </c>
      <c r="N322" s="1" t="s">
        <v>21</v>
      </c>
      <c r="O322" s="15">
        <v>8</v>
      </c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22" s="1"/>
      <c r="T322" s="1"/>
      <c r="U322" s="32" t="s">
        <v>3600</v>
      </c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322" s="15" t="str">
        <f>_xlfn.TEXTBEFORE(_xlfn.TEXTAFTER(CantoralDB[[#This Row],[index.html]],"&gt;"),"&gt;")&amp;"&gt;"</f>
        <v>&lt;a href="canciones/francisco_palazon/padre_nuestro.html"&gt;</v>
      </c>
      <c r="X322"/>
      <c r="Y322" s="1"/>
      <c r="Z322" s="1"/>
      <c r="AA322" s="1"/>
      <c r="AB322" s="1"/>
    </row>
    <row r="323" spans="1:28" x14ac:dyDescent="0.3">
      <c r="A323" s="1">
        <f>ROW(CantoralDB[[#This Row],[Título]])-1</f>
        <v>322</v>
      </c>
      <c r="B323" s="1" t="s">
        <v>201</v>
      </c>
      <c r="C323" s="1"/>
      <c r="H323" s="1" t="s">
        <v>1027</v>
      </c>
      <c r="J323" s="1" t="s">
        <v>607</v>
      </c>
      <c r="M323" s="15" t="s">
        <v>480</v>
      </c>
      <c r="N323" s="1" t="s">
        <v>21</v>
      </c>
      <c r="O323" s="15">
        <v>10</v>
      </c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23" s="1"/>
      <c r="T323" s="1"/>
      <c r="U323" s="32" t="s">
        <v>3601</v>
      </c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323" s="15" t="str">
        <f>_xlfn.TEXTBEFORE(_xlfn.TEXTAFTER(CantoralDB[[#This Row],[index.html]],"&gt;"),"&gt;")&amp;"&gt;"</f>
        <v>&lt;a href="canciones/francisco_palazon/cordero_de_dios.html"&gt;</v>
      </c>
      <c r="X323"/>
      <c r="Y323" s="1"/>
      <c r="Z323" s="1"/>
      <c r="AA323" s="1"/>
      <c r="AB323" s="1"/>
    </row>
    <row r="324" spans="1:28" x14ac:dyDescent="0.3">
      <c r="A324" s="1">
        <f>ROW(CantoralDB[[#This Row],[Título]])-1</f>
        <v>323</v>
      </c>
      <c r="B324" s="1" t="s">
        <v>8</v>
      </c>
      <c r="C324" s="1" t="s">
        <v>190</v>
      </c>
      <c r="D324" s="1" t="s">
        <v>1365</v>
      </c>
      <c r="E324" s="1">
        <v>9</v>
      </c>
      <c r="G324" s="1" t="s">
        <v>208</v>
      </c>
      <c r="H324" s="1" t="s">
        <v>472</v>
      </c>
      <c r="I324" s="1" t="s">
        <v>2952</v>
      </c>
      <c r="J324" s="1" t="s">
        <v>607</v>
      </c>
      <c r="M324" s="15" t="s">
        <v>480</v>
      </c>
      <c r="N324" s="1" t="s">
        <v>21</v>
      </c>
      <c r="O324" s="15">
        <v>11</v>
      </c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324" s="1"/>
      <c r="T324" s="1"/>
      <c r="U324" s="32" t="s">
        <v>3602</v>
      </c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324" s="15" t="str">
        <f>_xlfn.TEXTBEFORE(_xlfn.TEXTAFTER(CantoralDB[[#This Row],[index.html]],"&gt;"),"&gt;")&amp;"&gt;"</f>
        <v>&lt;a href="canciones/francisco_palazon/acerquemonos_todos_al_altar.html"&gt;</v>
      </c>
      <c r="X324"/>
      <c r="Y324" s="1"/>
      <c r="Z324" s="1"/>
      <c r="AA324" s="1"/>
      <c r="AB324" s="1"/>
    </row>
    <row r="325" spans="1:28" x14ac:dyDescent="0.3">
      <c r="A325" s="1">
        <f>ROW(CantoralDB[[#This Row],[Título]])-1</f>
        <v>324</v>
      </c>
      <c r="B325" s="1" t="s">
        <v>1921</v>
      </c>
      <c r="C325" s="1"/>
      <c r="H325" s="1" t="s">
        <v>1027</v>
      </c>
      <c r="J325" s="1" t="s">
        <v>607</v>
      </c>
      <c r="M325" s="15" t="s">
        <v>480</v>
      </c>
      <c r="N325" s="1" t="s">
        <v>21</v>
      </c>
      <c r="O325" s="15">
        <v>12</v>
      </c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25" s="1"/>
      <c r="T325" s="1"/>
      <c r="U325" s="32" t="s">
        <v>3603</v>
      </c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325" s="15" t="str">
        <f>_xlfn.TEXTBEFORE(_xlfn.TEXTAFTER(CantoralDB[[#This Row],[index.html]],"&gt;"),"&gt;")&amp;"&gt;"</f>
        <v>&lt;a href="canciones/francisco_palazon/anunciando_tu_venida.html"&gt;</v>
      </c>
      <c r="X325"/>
      <c r="Y325" s="1"/>
      <c r="Z325" s="1"/>
      <c r="AA325" s="1"/>
      <c r="AB325" s="1"/>
    </row>
    <row r="326" spans="1:28" x14ac:dyDescent="0.3">
      <c r="A326" s="1">
        <f>ROW(CantoralDB[[#This Row],[Título]])-1</f>
        <v>325</v>
      </c>
      <c r="B326" s="1" t="s">
        <v>2205</v>
      </c>
      <c r="C326" s="1"/>
      <c r="H326" s="1" t="s">
        <v>1027</v>
      </c>
      <c r="J326" s="1" t="s">
        <v>607</v>
      </c>
      <c r="M326" s="15" t="s">
        <v>480</v>
      </c>
      <c r="N326" s="1" t="s">
        <v>1922</v>
      </c>
      <c r="O326" s="15">
        <v>1</v>
      </c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26" s="1" t="s">
        <v>2193</v>
      </c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326" s="15" t="str">
        <f>_xlfn.TEXTBEFORE(_xlfn.TEXTAFTER(CantoralDB[[#This Row],[index.html]],"&gt;"),"&gt;")&amp;"&gt;"</f>
        <v>&lt;a href="canciones/francisco_palazon/junto_a_los_canales_de_babilonia.html"&gt;</v>
      </c>
      <c r="X326"/>
      <c r="Y326" s="1"/>
      <c r="Z326" s="1"/>
      <c r="AA326" s="1"/>
      <c r="AB326" s="1"/>
    </row>
    <row r="327" spans="1:28" x14ac:dyDescent="0.3">
      <c r="A327" s="1">
        <f>ROW(CantoralDB[[#This Row],[Título]])-1</f>
        <v>326</v>
      </c>
      <c r="B327" s="1" t="s">
        <v>2206</v>
      </c>
      <c r="C327" s="1"/>
      <c r="H327" s="1" t="s">
        <v>1029</v>
      </c>
      <c r="J327" s="1" t="s">
        <v>607</v>
      </c>
      <c r="M327" s="15" t="s">
        <v>480</v>
      </c>
      <c r="N327" s="1" t="s">
        <v>1922</v>
      </c>
      <c r="O327" s="15">
        <v>2</v>
      </c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27" s="1" t="s">
        <v>2194</v>
      </c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327" s="15" t="str">
        <f>_xlfn.TEXTBEFORE(_xlfn.TEXTAFTER(CantoralDB[[#This Row],[index.html]],"&gt;"),"&gt;")&amp;"&gt;"</f>
        <v>&lt;a href="canciones/francisco_palazon/dichoso_quien_se_acuerda_del_hermano.html"&gt;</v>
      </c>
      <c r="X327"/>
      <c r="Y327" s="1"/>
      <c r="Z327" s="1"/>
      <c r="AA327" s="1"/>
      <c r="AB327" s="1"/>
    </row>
    <row r="328" spans="1:28" x14ac:dyDescent="0.3">
      <c r="A328" s="1">
        <f>ROW(CantoralDB[[#This Row],[Título]])-1</f>
        <v>327</v>
      </c>
      <c r="B328" s="1" t="s">
        <v>2207</v>
      </c>
      <c r="C328" s="1"/>
      <c r="H328" s="1" t="s">
        <v>1026</v>
      </c>
      <c r="J328" s="1" t="s">
        <v>607</v>
      </c>
      <c r="M328" s="15" t="s">
        <v>480</v>
      </c>
      <c r="N328" s="1" t="s">
        <v>1922</v>
      </c>
      <c r="O328" s="15">
        <v>3</v>
      </c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328" s="1" t="s">
        <v>2195</v>
      </c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328" s="15" t="str">
        <f>_xlfn.TEXTBEFORE(_xlfn.TEXTAFTER(CantoralDB[[#This Row],[index.html]],"&gt;"),"&gt;")&amp;"&gt;"</f>
        <v>&lt;a href="canciones/francisco_palazon/señor_escucha_mi_oracion.html"&gt;</v>
      </c>
      <c r="X328"/>
      <c r="Y328" s="1"/>
      <c r="Z328" s="1"/>
      <c r="AA328" s="1"/>
      <c r="AB328" s="1"/>
    </row>
    <row r="329" spans="1:28" x14ac:dyDescent="0.3">
      <c r="A329" s="1">
        <f>ROW(CantoralDB[[#This Row],[Título]])-1</f>
        <v>328</v>
      </c>
      <c r="B329" s="1" t="s">
        <v>2208</v>
      </c>
      <c r="C329" s="1"/>
      <c r="H329" s="1" t="s">
        <v>1026</v>
      </c>
      <c r="J329" s="1" t="s">
        <v>607</v>
      </c>
      <c r="M329" s="15" t="s">
        <v>480</v>
      </c>
      <c r="N329" s="1" t="s">
        <v>1922</v>
      </c>
      <c r="O329" s="15">
        <v>4</v>
      </c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29" s="1" t="s">
        <v>2196</v>
      </c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329" s="15" t="str">
        <f>_xlfn.TEXTBEFORE(_xlfn.TEXTAFTER(CantoralDB[[#This Row],[index.html]],"&gt;"),"&gt;")&amp;"&gt;"</f>
        <v>&lt;a href="canciones/francisco_palazon/es_bueno_dar_gracias_al_señor.html"&gt;</v>
      </c>
      <c r="X329"/>
      <c r="Y329" s="1"/>
      <c r="Z329" s="1"/>
      <c r="AA329" s="1"/>
      <c r="AB329" s="1"/>
    </row>
    <row r="330" spans="1:28" x14ac:dyDescent="0.3">
      <c r="A330" s="1">
        <f>ROW(CantoralDB[[#This Row],[Título]])-1</f>
        <v>329</v>
      </c>
      <c r="B330" s="1" t="s">
        <v>2209</v>
      </c>
      <c r="C330" s="1"/>
      <c r="H330" s="1" t="s">
        <v>1028</v>
      </c>
      <c r="J330" s="1" t="s">
        <v>607</v>
      </c>
      <c r="M330" s="15" t="s">
        <v>480</v>
      </c>
      <c r="N330" s="1" t="s">
        <v>1922</v>
      </c>
      <c r="O330" s="15">
        <v>5</v>
      </c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30" s="1" t="s">
        <v>2197</v>
      </c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330" s="15" t="str">
        <f>_xlfn.TEXTBEFORE(_xlfn.TEXTAFTER(CantoralDB[[#This Row],[index.html]],"&gt;"),"&gt;")&amp;"&gt;"</f>
        <v>&lt;a href="canciones/francisco_palazon/el_cielo_proclama_la_gloria_de_dios.html"&gt;</v>
      </c>
      <c r="X330"/>
      <c r="Y330" s="1"/>
      <c r="Z330" s="1"/>
      <c r="AA330" s="1"/>
      <c r="AB330" s="1"/>
    </row>
    <row r="331" spans="1:28" x14ac:dyDescent="0.3">
      <c r="A331" s="1">
        <f>ROW(CantoralDB[[#This Row],[Título]])-1</f>
        <v>330</v>
      </c>
      <c r="B331" s="1" t="s">
        <v>2210</v>
      </c>
      <c r="C331" s="1"/>
      <c r="E331" s="1">
        <v>71</v>
      </c>
      <c r="H331" s="1" t="s">
        <v>1026</v>
      </c>
      <c r="J331" s="1" t="s">
        <v>607</v>
      </c>
      <c r="M331" s="15" t="s">
        <v>480</v>
      </c>
      <c r="N331" s="1" t="s">
        <v>1922</v>
      </c>
      <c r="O331" s="15">
        <v>6</v>
      </c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31" s="1" t="s">
        <v>2198</v>
      </c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331" s="15" t="str">
        <f>_xlfn.TEXTBEFORE(_xlfn.TEXTAFTER(CantoralDB[[#This Row],[index.html]],"&gt;"),"&gt;")&amp;"&gt;"</f>
        <v>&lt;a href="canciones/francisco_palazon/dad_gracias_al_señor.html"&gt;</v>
      </c>
      <c r="X331"/>
      <c r="Y331" s="1"/>
      <c r="Z331" s="1"/>
      <c r="AA331" s="1"/>
      <c r="AB331" s="1"/>
    </row>
    <row r="332" spans="1:28" x14ac:dyDescent="0.3">
      <c r="A332" s="1">
        <f>ROW(CantoralDB[[#This Row],[Título]])-1</f>
        <v>331</v>
      </c>
      <c r="B332" s="1" t="s">
        <v>2211</v>
      </c>
      <c r="C332" s="1"/>
      <c r="H332" s="1" t="s">
        <v>1029</v>
      </c>
      <c r="J332" s="1" t="s">
        <v>607</v>
      </c>
      <c r="M332" s="15" t="s">
        <v>480</v>
      </c>
      <c r="N332" s="1" t="s">
        <v>1922</v>
      </c>
      <c r="O332" s="15">
        <v>7</v>
      </c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32" s="1" t="s">
        <v>2199</v>
      </c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332" s="15" t="str">
        <f>_xlfn.TEXTBEFORE(_xlfn.TEXTAFTER(CantoralDB[[#This Row],[index.html]],"&gt;"),"&gt;")&amp;"&gt;"</f>
        <v>&lt;a href="canciones/francisco_palazon/llena_esta_la_tierra_de_tus_criaturas.html"&gt;</v>
      </c>
      <c r="X332"/>
      <c r="Y332" s="1"/>
      <c r="Z332" s="1"/>
      <c r="AA332" s="1"/>
      <c r="AB332" s="1"/>
    </row>
    <row r="333" spans="1:28" x14ac:dyDescent="0.3">
      <c r="A333" s="1">
        <f>ROW(CantoralDB[[#This Row],[Título]])-1</f>
        <v>332</v>
      </c>
      <c r="B333" s="1" t="s">
        <v>1213</v>
      </c>
      <c r="C333" s="1"/>
      <c r="E333" s="1">
        <v>93</v>
      </c>
      <c r="H333" s="1" t="s">
        <v>1029</v>
      </c>
      <c r="J333" s="1" t="s">
        <v>607</v>
      </c>
      <c r="M333" s="15" t="s">
        <v>480</v>
      </c>
      <c r="N333" s="1" t="s">
        <v>1922</v>
      </c>
      <c r="O333" s="15">
        <v>8</v>
      </c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33" s="1" t="s">
        <v>2200</v>
      </c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333" s="15" t="str">
        <f>_xlfn.TEXTBEFORE(_xlfn.TEXTAFTER(CantoralDB[[#This Row],[index.html]],"&gt;"),"&gt;")&amp;"&gt;"</f>
        <v>&lt;a href="canciones/francisco_palazon/el_auxilio_me_viene_del_señor.html"&gt;</v>
      </c>
      <c r="X333"/>
      <c r="Y333" s="1"/>
      <c r="Z333" s="1"/>
      <c r="AA333" s="1"/>
      <c r="AB333" s="1"/>
    </row>
    <row r="334" spans="1:28" x14ac:dyDescent="0.3">
      <c r="A334" s="1">
        <f>ROW(CantoralDB[[#This Row],[Título]])-1</f>
        <v>333</v>
      </c>
      <c r="B334" s="1" t="s">
        <v>2212</v>
      </c>
      <c r="C334" s="1"/>
      <c r="H334" s="1" t="s">
        <v>2959</v>
      </c>
      <c r="J334" s="1" t="s">
        <v>607</v>
      </c>
      <c r="M334" s="15" t="s">
        <v>480</v>
      </c>
      <c r="N334" s="1" t="s">
        <v>1922</v>
      </c>
      <c r="O334" s="15">
        <v>9</v>
      </c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34" s="1" t="s">
        <v>2201</v>
      </c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334" s="15" t="str">
        <f>_xlfn.TEXTBEFORE(_xlfn.TEXTAFTER(CantoralDB[[#This Row],[index.html]],"&gt;"),"&gt;")&amp;"&gt;"</f>
        <v>&lt;a href="canciones/francisco_palazon/quien_puede_entrar_en_tu_templo.html"&gt;</v>
      </c>
      <c r="X334"/>
      <c r="Y334" s="1"/>
      <c r="Z334" s="1"/>
      <c r="AA334" s="1"/>
      <c r="AB334" s="1"/>
    </row>
    <row r="335" spans="1:28" x14ac:dyDescent="0.3">
      <c r="A335" s="1">
        <f>ROW(CantoralDB[[#This Row],[Título]])-1</f>
        <v>334</v>
      </c>
      <c r="B335" s="1" t="s">
        <v>2213</v>
      </c>
      <c r="C335" s="1"/>
      <c r="H335" s="1" t="s">
        <v>530</v>
      </c>
      <c r="J335" s="1" t="s">
        <v>607</v>
      </c>
      <c r="M335" s="15" t="s">
        <v>480</v>
      </c>
      <c r="N335" s="1" t="s">
        <v>1922</v>
      </c>
      <c r="O335" s="15">
        <v>10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335" s="1" t="s">
        <v>2202</v>
      </c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335" s="15" t="str">
        <f>_xlfn.TEXTBEFORE(_xlfn.TEXTAFTER(CantoralDB[[#This Row],[index.html]],"&gt;"),"&gt;")&amp;"&gt;"</f>
        <v>&lt;a href="canciones/francisco_palazon/alabad_siervos_de_dios.html"&gt;</v>
      </c>
      <c r="X335"/>
      <c r="Y335" s="1"/>
      <c r="Z335" s="1"/>
      <c r="AA335" s="1"/>
      <c r="AB335" s="1"/>
    </row>
    <row r="336" spans="1:28" x14ac:dyDescent="0.3">
      <c r="A336" s="1">
        <f>ROW(CantoralDB[[#This Row],[Título]])-1</f>
        <v>335</v>
      </c>
      <c r="B336" s="1" t="s">
        <v>2214</v>
      </c>
      <c r="C336" s="1"/>
      <c r="H336" s="1" t="s">
        <v>530</v>
      </c>
      <c r="J336" s="1" t="s">
        <v>607</v>
      </c>
      <c r="M336" s="15" t="s">
        <v>480</v>
      </c>
      <c r="N336" s="1" t="s">
        <v>1922</v>
      </c>
      <c r="O336" s="15">
        <v>11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36" s="1" t="s">
        <v>2203</v>
      </c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336" s="15" t="str">
        <f>_xlfn.TEXTBEFORE(_xlfn.TEXTAFTER(CantoralDB[[#This Row],[index.html]],"&gt;"),"&gt;")&amp;"&gt;"</f>
        <v>&lt;a href="canciones/francisco_palazon/que_en_nuestros_dias_reine_la_paz.html"&gt;</v>
      </c>
      <c r="X336"/>
      <c r="Y336" s="1"/>
      <c r="Z336" s="1"/>
      <c r="AA336" s="1"/>
      <c r="AB336" s="1"/>
    </row>
    <row r="337" spans="1:28" x14ac:dyDescent="0.3">
      <c r="A337" s="1">
        <f>ROW(CantoralDB[[#This Row],[Título]])-1</f>
        <v>336</v>
      </c>
      <c r="B337" s="1" t="s">
        <v>2204</v>
      </c>
      <c r="C337" s="1"/>
      <c r="H337" s="1" t="s">
        <v>1029</v>
      </c>
      <c r="J337" s="1" t="s">
        <v>607</v>
      </c>
      <c r="M337" s="15" t="s">
        <v>480</v>
      </c>
      <c r="N337" s="1" t="s">
        <v>1922</v>
      </c>
      <c r="O337" s="15">
        <v>12</v>
      </c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37" s="1" t="s">
        <v>849</v>
      </c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337" s="15" t="str">
        <f>_xlfn.TEXTBEFORE(_xlfn.TEXTAFTER(CantoralDB[[#This Row],[index.html]],"&gt;"),"&gt;")&amp;"&gt;"</f>
        <v>&lt;a href="canciones/francisco_palazon/contra_ti_solo_peque.html"&gt;</v>
      </c>
      <c r="X337"/>
      <c r="Y337" s="1"/>
      <c r="Z337" s="1"/>
      <c r="AA337" s="1"/>
      <c r="AB337" s="1"/>
    </row>
    <row r="338" spans="1:28" x14ac:dyDescent="0.3">
      <c r="A338" s="1">
        <f>ROW(CantoralDB[[#This Row],[Título]])-1</f>
        <v>337</v>
      </c>
      <c r="B338" s="1" t="s">
        <v>2063</v>
      </c>
      <c r="C338" s="1"/>
      <c r="H338" s="1" t="s">
        <v>1027</v>
      </c>
      <c r="J338" s="1" t="s">
        <v>607</v>
      </c>
      <c r="M338" s="15" t="s">
        <v>480</v>
      </c>
      <c r="N338" s="1" t="s">
        <v>1926</v>
      </c>
      <c r="O338" s="15">
        <v>1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338" s="15" t="str">
        <f>_xlfn.TEXTBEFORE(_xlfn.TEXTAFTER(CantoralDB[[#This Row],[index.html]],"&gt;"),"&gt;")&amp;"&gt;"</f>
        <v>&lt;a href="canciones/francisco_palazon/cantare_eternamente_(ii).html"&gt;</v>
      </c>
      <c r="X338"/>
      <c r="Y338" s="1"/>
      <c r="Z338" s="1"/>
      <c r="AA338" s="1"/>
      <c r="AB338" s="1"/>
    </row>
    <row r="339" spans="1:28" x14ac:dyDescent="0.3">
      <c r="A339" s="1">
        <f>ROW(CantoralDB[[#This Row],[Título]])-1</f>
        <v>338</v>
      </c>
      <c r="B339" s="1" t="s">
        <v>2064</v>
      </c>
      <c r="C339" s="1"/>
      <c r="H339" s="1" t="s">
        <v>1042</v>
      </c>
      <c r="J339" s="1" t="s">
        <v>607</v>
      </c>
      <c r="M339" s="15" t="s">
        <v>480</v>
      </c>
      <c r="N339" s="1" t="s">
        <v>1926</v>
      </c>
      <c r="O339" s="15">
        <v>2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339" s="15" t="str">
        <f>_xlfn.TEXTBEFORE(_xlfn.TEXTAFTER(CantoralDB[[#This Row],[index.html]],"&gt;"),"&gt;")&amp;"&gt;"</f>
        <v>&lt;a href="canciones/francisco_palazon/acuerdate_señor.html"&gt;</v>
      </c>
      <c r="X339"/>
      <c r="Y339" s="1"/>
      <c r="Z339" s="1"/>
      <c r="AA339" s="1"/>
      <c r="AB339" s="1"/>
    </row>
    <row r="340" spans="1:28" x14ac:dyDescent="0.3">
      <c r="A340" s="1">
        <f>ROW(CantoralDB[[#This Row],[Título]])-1</f>
        <v>339</v>
      </c>
      <c r="B340" s="1" t="s">
        <v>2065</v>
      </c>
      <c r="C340" s="1"/>
      <c r="H340" s="1" t="s">
        <v>530</v>
      </c>
      <c r="J340" s="1" t="s">
        <v>607</v>
      </c>
      <c r="M340" s="15" t="s">
        <v>480</v>
      </c>
      <c r="N340" s="1" t="s">
        <v>1926</v>
      </c>
      <c r="O340" s="15">
        <v>3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340" s="15" t="str">
        <f>_xlfn.TEXTBEFORE(_xlfn.TEXTAFTER(CantoralDB[[#This Row],[index.html]],"&gt;"),"&gt;")&amp;"&gt;"</f>
        <v>&lt;a href="canciones/francisco_palazon/pidamos_al_señor.html"&gt;</v>
      </c>
      <c r="X340"/>
      <c r="Y340" s="1"/>
      <c r="Z340" s="1"/>
      <c r="AA340" s="1"/>
      <c r="AB340" s="1"/>
    </row>
    <row r="341" spans="1:28" x14ac:dyDescent="0.3">
      <c r="A341" s="1">
        <f>ROW(CantoralDB[[#This Row],[Título]])-1</f>
        <v>340</v>
      </c>
      <c r="B341" s="1" t="s">
        <v>2066</v>
      </c>
      <c r="C341" s="1"/>
      <c r="H341" s="1" t="s">
        <v>472</v>
      </c>
      <c r="J341" s="1" t="s">
        <v>607</v>
      </c>
      <c r="M341" s="15" t="s">
        <v>480</v>
      </c>
      <c r="N341" s="1" t="s">
        <v>1926</v>
      </c>
      <c r="O341" s="15">
        <v>4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341" s="15" t="str">
        <f>_xlfn.TEXTBEFORE(_xlfn.TEXTAFTER(CantoralDB[[#This Row],[index.html]],"&gt;"),"&gt;")&amp;"&gt;"</f>
        <v>&lt;a href="canciones/francisco_palazon/tu_palabra_señor_es_gozo.html"&gt;</v>
      </c>
      <c r="X341"/>
      <c r="Y341" s="1"/>
      <c r="Z341" s="1"/>
      <c r="AA341" s="1"/>
      <c r="AB341" s="1"/>
    </row>
    <row r="342" spans="1:28" x14ac:dyDescent="0.3">
      <c r="A342" s="1">
        <f>ROW(CantoralDB[[#This Row],[Título]])-1</f>
        <v>341</v>
      </c>
      <c r="B342" s="1" t="s">
        <v>2886</v>
      </c>
      <c r="C342" s="1"/>
      <c r="H342" s="1" t="s">
        <v>1027</v>
      </c>
      <c r="J342" s="1" t="s">
        <v>607</v>
      </c>
      <c r="M342" s="15" t="s">
        <v>480</v>
      </c>
      <c r="N342" s="1" t="s">
        <v>1926</v>
      </c>
      <c r="O342" s="15">
        <v>5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342" s="15" t="str">
        <f>_xlfn.TEXTBEFORE(_xlfn.TEXTAFTER(CantoralDB[[#This Row],[index.html]],"&gt;"),"&gt;")&amp;"&gt;"</f>
        <v>&lt;a href="canciones/francisco_palazon/vuelve_hacia_nosotros.html"&gt;</v>
      </c>
      <c r="X342"/>
      <c r="Y342" s="1"/>
      <c r="Z342" s="1"/>
      <c r="AA342" s="1"/>
      <c r="AB342" s="1"/>
    </row>
    <row r="343" spans="1:28" x14ac:dyDescent="0.3">
      <c r="A343" s="1">
        <f>ROW(CantoralDB[[#This Row],[Título]])-1</f>
        <v>342</v>
      </c>
      <c r="B343" s="1" t="s">
        <v>2067</v>
      </c>
      <c r="C343" s="1"/>
      <c r="J343" s="1"/>
      <c r="M343" s="15" t="s">
        <v>480</v>
      </c>
      <c r="N343" s="1" t="s">
        <v>1926</v>
      </c>
      <c r="O343" s="15">
        <v>6</v>
      </c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343" s="15" t="str">
        <f>_xlfn.TEXTBEFORE(_xlfn.TEXTAFTER(CantoralDB[[#This Row],[index.html]],"&gt;"),"&gt;")&amp;"&gt;"</f>
        <v>&lt;a href="canciones/francisco_palazon/de_la_gloria_del_señor_llena_esta_la_tierra.html"&gt;</v>
      </c>
      <c r="X343"/>
      <c r="Y343" s="1"/>
      <c r="Z343" s="1"/>
      <c r="AA343" s="1"/>
      <c r="AB343" s="1"/>
    </row>
    <row r="344" spans="1:28" x14ac:dyDescent="0.3">
      <c r="A344" s="1">
        <f>ROW(CantoralDB[[#This Row],[Título]])-1</f>
        <v>343</v>
      </c>
      <c r="B344" s="1" t="s">
        <v>140</v>
      </c>
      <c r="C344" s="1"/>
      <c r="J344" s="1"/>
      <c r="M344" s="15" t="s">
        <v>480</v>
      </c>
      <c r="N344" s="1" t="s">
        <v>1926</v>
      </c>
      <c r="O344" s="15">
        <v>7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44" s="1"/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344" s="15" t="str">
        <f>_xlfn.TEXTBEFORE(_xlfn.TEXTAFTER(CantoralDB[[#This Row],[index.html]],"&gt;"),"&gt;")&amp;"&gt;"</f>
        <v>&lt;a href="canciones/francisco_palazon/te_damos_gracias_señor.html"&gt;</v>
      </c>
      <c r="X344"/>
      <c r="Y344" s="1"/>
      <c r="Z344" s="1"/>
      <c r="AA344" s="1"/>
      <c r="AB344" s="1"/>
    </row>
    <row r="345" spans="1:28" x14ac:dyDescent="0.3">
      <c r="A345" s="1">
        <f>ROW(CantoralDB[[#This Row],[Título]])-1</f>
        <v>344</v>
      </c>
      <c r="B345" s="1" t="s">
        <v>2068</v>
      </c>
      <c r="C345" s="1"/>
      <c r="J345" s="1"/>
      <c r="M345" s="15" t="s">
        <v>480</v>
      </c>
      <c r="N345" s="1" t="s">
        <v>1926</v>
      </c>
      <c r="O345" s="15">
        <v>8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345" s="15" t="str">
        <f>_xlfn.TEXTBEFORE(_xlfn.TEXTAFTER(CantoralDB[[#This Row],[index.html]],"&gt;"),"&gt;")&amp;"&gt;"</f>
        <v>&lt;a href="canciones/francisco_palazon/escucha_señor_nuestra_humilde_oracion.html"&gt;</v>
      </c>
      <c r="X345"/>
      <c r="Y345" s="1"/>
      <c r="Z345" s="1"/>
      <c r="AA345" s="1"/>
      <c r="AB345" s="1"/>
    </row>
    <row r="346" spans="1:28" x14ac:dyDescent="0.3">
      <c r="A346" s="1">
        <f>ROW(CantoralDB[[#This Row],[Título]])-1</f>
        <v>345</v>
      </c>
      <c r="B346" s="1" t="s">
        <v>2069</v>
      </c>
      <c r="C346" s="1"/>
      <c r="J346" s="1"/>
      <c r="M346" s="15" t="s">
        <v>480</v>
      </c>
      <c r="N346" s="1" t="s">
        <v>1926</v>
      </c>
      <c r="O346" s="15">
        <v>9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346" s="15" t="str">
        <f>_xlfn.TEXTBEFORE(_xlfn.TEXTAFTER(CantoralDB[[#This Row],[index.html]],"&gt;"),"&gt;")&amp;"&gt;"</f>
        <v>&lt;a href="canciones/francisco_palazon/cuando_bajas_señor.html"&gt;</v>
      </c>
      <c r="X346"/>
      <c r="Y346" s="1"/>
      <c r="Z346" s="1"/>
      <c r="AA346" s="1"/>
      <c r="AB346" s="1"/>
    </row>
    <row r="347" spans="1:28" x14ac:dyDescent="0.3">
      <c r="A347" s="1">
        <f>ROW(CantoralDB[[#This Row],[Título]])-1</f>
        <v>346</v>
      </c>
      <c r="B347" s="1" t="s">
        <v>26</v>
      </c>
      <c r="C347" s="1"/>
      <c r="J347" s="1"/>
      <c r="M347" s="15" t="s">
        <v>480</v>
      </c>
      <c r="N347" s="1" t="s">
        <v>1926</v>
      </c>
      <c r="O347" s="15">
        <v>10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47" s="1"/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347" s="15" t="str">
        <f>_xlfn.TEXTBEFORE(_xlfn.TEXTAFTER(CantoralDB[[#This Row],[index.html]],"&gt;"),"&gt;")&amp;"&gt;"</f>
        <v>&lt;a href="canciones/francisco_palazon/bendigamos_al_señor.html"&gt;</v>
      </c>
      <c r="X347"/>
      <c r="Y347" s="1"/>
      <c r="Z347" s="1"/>
      <c r="AA347" s="1"/>
      <c r="AB347" s="1"/>
    </row>
    <row r="348" spans="1:28" x14ac:dyDescent="0.3">
      <c r="A348" s="1">
        <f>ROW(CantoralDB[[#This Row],[Título]])-1</f>
        <v>347</v>
      </c>
      <c r="B348" s="1" t="s">
        <v>2105</v>
      </c>
      <c r="C348" s="1"/>
      <c r="J348" s="1"/>
      <c r="M348" s="15" t="s">
        <v>480</v>
      </c>
      <c r="N348" s="1" t="s">
        <v>1923</v>
      </c>
      <c r="O348" s="15">
        <v>1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48" s="1"/>
      <c r="T348" s="1"/>
      <c r="U348" s="32" t="s">
        <v>3631</v>
      </c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348" s="15" t="str">
        <f>_xlfn.TEXTBEFORE(_xlfn.TEXTAFTER(CantoralDB[[#This Row],[index.html]],"&gt;"),"&gt;")&amp;"&gt;"</f>
        <v>&lt;a href="canciones/francisco_palazon/hosanna_al_hijo_de_david.html"&gt;</v>
      </c>
      <c r="X348"/>
      <c r="Y348" s="1"/>
      <c r="Z348" s="1"/>
      <c r="AA348" s="1"/>
      <c r="AB348" s="1"/>
    </row>
    <row r="349" spans="1:28" x14ac:dyDescent="0.3">
      <c r="A349" s="1">
        <f>ROW(CantoralDB[[#This Row],[Título]])-1</f>
        <v>348</v>
      </c>
      <c r="B349" s="1" t="s">
        <v>2106</v>
      </c>
      <c r="C349" s="1"/>
      <c r="J349" s="1"/>
      <c r="M349" s="15" t="s">
        <v>480</v>
      </c>
      <c r="N349" s="1" t="s">
        <v>1923</v>
      </c>
      <c r="O349" s="15">
        <v>2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49" s="1"/>
      <c r="T349" s="1"/>
      <c r="U349" s="32" t="s">
        <v>3632</v>
      </c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349" s="15" t="str">
        <f>_xlfn.TEXTBEFORE(_xlfn.TEXTAFTER(CantoralDB[[#This Row],[index.html]],"&gt;"),"&gt;")&amp;"&gt;"</f>
        <v>&lt;a href="canciones/francisco_palazon/gloria_alabanza_y_honor.html"&gt;</v>
      </c>
      <c r="X349"/>
      <c r="Y349" s="1"/>
      <c r="Z349" s="1"/>
      <c r="AA349" s="1"/>
      <c r="AB349" s="1"/>
    </row>
    <row r="350" spans="1:28" x14ac:dyDescent="0.3">
      <c r="A350" s="1">
        <f>ROW(CantoralDB[[#This Row],[Título]])-1</f>
        <v>349</v>
      </c>
      <c r="B350" s="1" t="s">
        <v>2107</v>
      </c>
      <c r="C350" s="1"/>
      <c r="J350" s="1"/>
      <c r="M350" s="15" t="s">
        <v>480</v>
      </c>
      <c r="N350" s="1" t="s">
        <v>1923</v>
      </c>
      <c r="O350" s="15">
        <v>3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50" s="1"/>
      <c r="T350" s="1"/>
      <c r="U350" s="32" t="s">
        <v>3633</v>
      </c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350" s="15" t="str">
        <f>_xlfn.TEXTBEFORE(_xlfn.TEXTAFTER(CantoralDB[[#This Row],[index.html]],"&gt;"),"&gt;")&amp;"&gt;"</f>
        <v>&lt;a href="canciones/francisco_palazon/los_niños_hebreos.html"&gt;</v>
      </c>
      <c r="X350"/>
      <c r="Y350" s="1"/>
      <c r="Z350" s="1"/>
      <c r="AA350" s="1"/>
      <c r="AB350" s="1"/>
    </row>
    <row r="351" spans="1:28" x14ac:dyDescent="0.3">
      <c r="A351" s="1">
        <f>ROW(CantoralDB[[#This Row],[Título]])-1</f>
        <v>350</v>
      </c>
      <c r="B351" s="1" t="s">
        <v>2108</v>
      </c>
      <c r="C351" s="1"/>
      <c r="J351" s="1"/>
      <c r="M351" s="15" t="s">
        <v>480</v>
      </c>
      <c r="N351" s="1" t="s">
        <v>1923</v>
      </c>
      <c r="O351" s="15">
        <v>4</v>
      </c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51" s="1"/>
      <c r="T351" s="1"/>
      <c r="U351" s="32" t="s">
        <v>3634</v>
      </c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351" s="15" t="str">
        <f>_xlfn.TEXTBEFORE(_xlfn.TEXTAFTER(CantoralDB[[#This Row],[index.html]],"&gt;"),"&gt;")&amp;"&gt;"</f>
        <v>&lt;a href="canciones/francisco_palazon/nosotros_hemos_de_gloriarnos.html"&gt;</v>
      </c>
      <c r="X351"/>
      <c r="Y351" s="1"/>
      <c r="Z351" s="1"/>
      <c r="AA351" s="1"/>
      <c r="AB351" s="1"/>
    </row>
    <row r="352" spans="1:28" x14ac:dyDescent="0.3">
      <c r="A352" s="1">
        <f>ROW(CantoralDB[[#This Row],[Título]])-1</f>
        <v>351</v>
      </c>
      <c r="B352" s="1" t="s">
        <v>104</v>
      </c>
      <c r="C352" s="1"/>
      <c r="E352" s="1">
        <v>185</v>
      </c>
      <c r="J352" s="1"/>
      <c r="M352" s="15" t="s">
        <v>480</v>
      </c>
      <c r="N352" s="1" t="s">
        <v>1923</v>
      </c>
      <c r="O352" s="15">
        <v>5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52" s="1"/>
      <c r="T352" s="1"/>
      <c r="U352" s="32" t="s">
        <v>3635</v>
      </c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352" s="15" t="str">
        <f>_xlfn.TEXTBEFORE(_xlfn.TEXTAFTER(CantoralDB[[#This Row],[index.html]],"&gt;"),"&gt;")&amp;"&gt;"</f>
        <v>&lt;a href="canciones/francisco_palazon/os_doy_un_mandato_nuevo.html"&gt;</v>
      </c>
      <c r="X352"/>
      <c r="Y352" s="1"/>
      <c r="Z352" s="1"/>
      <c r="AA352" s="1"/>
      <c r="AB352" s="1"/>
    </row>
    <row r="353" spans="1:28" x14ac:dyDescent="0.3">
      <c r="A353" s="1">
        <f>ROW(CantoralDB[[#This Row],[Título]])-1</f>
        <v>352</v>
      </c>
      <c r="B353" s="1" t="s">
        <v>2109</v>
      </c>
      <c r="C353" s="1"/>
      <c r="J353" s="1"/>
      <c r="M353" s="15" t="s">
        <v>480</v>
      </c>
      <c r="N353" s="1" t="s">
        <v>1923</v>
      </c>
      <c r="O353" s="15">
        <v>6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53" s="1"/>
      <c r="T353" s="1"/>
      <c r="U353" s="32" t="s">
        <v>3636</v>
      </c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353" s="15" t="str">
        <f>_xlfn.TEXTBEFORE(_xlfn.TEXTAFTER(CantoralDB[[#This Row],[index.html]],"&gt;"),"&gt;")&amp;"&gt;"</f>
        <v>&lt;a href="canciones/francisco_palazon/que_la_lengua_humana.html"&gt;</v>
      </c>
      <c r="X353"/>
      <c r="Y353" s="1"/>
      <c r="Z353" s="1"/>
      <c r="AA353" s="1"/>
      <c r="AB353" s="1"/>
    </row>
    <row r="354" spans="1:28" x14ac:dyDescent="0.3">
      <c r="A354" s="1">
        <f>ROW(CantoralDB[[#This Row],[Título]])-1</f>
        <v>353</v>
      </c>
      <c r="B354" s="1" t="s">
        <v>117</v>
      </c>
      <c r="C354" s="1"/>
      <c r="J354" s="1"/>
      <c r="M354" s="15" t="s">
        <v>480</v>
      </c>
      <c r="N354" s="1" t="s">
        <v>1923</v>
      </c>
      <c r="O354" s="15">
        <v>7</v>
      </c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54" s="1"/>
      <c r="T354" s="1"/>
      <c r="U354" s="32" t="s">
        <v>3637</v>
      </c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354" s="15" t="str">
        <f>_xlfn.TEXTBEFORE(_xlfn.TEXTAFTER(CantoralDB[[#This Row],[index.html]],"&gt;"),"&gt;")&amp;"&gt;"</f>
        <v>&lt;a href="canciones/francisco_palazon/pueblo_mio.html"&gt;</v>
      </c>
      <c r="X354"/>
      <c r="Y354" s="1"/>
      <c r="Z354" s="1"/>
      <c r="AA354" s="1"/>
      <c r="AB354" s="1"/>
    </row>
    <row r="355" spans="1:28" x14ac:dyDescent="0.3">
      <c r="A355" s="1">
        <f>ROW(CantoralDB[[#This Row],[Título]])-1</f>
        <v>354</v>
      </c>
      <c r="B355" s="1" t="s">
        <v>41</v>
      </c>
      <c r="C355" s="1"/>
      <c r="J355" s="1"/>
      <c r="M355" s="15" t="s">
        <v>480</v>
      </c>
      <c r="N355" s="1" t="s">
        <v>1923</v>
      </c>
      <c r="O355" s="15">
        <v>8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55" s="1"/>
      <c r="T355" s="1"/>
      <c r="U355" s="32" t="s">
        <v>3638</v>
      </c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355" s="15" t="str">
        <f>_xlfn.TEXTBEFORE(_xlfn.TEXTAFTER(CantoralDB[[#This Row],[index.html]],"&gt;"),"&gt;")&amp;"&gt;"</f>
        <v>&lt;a href="canciones/francisco_palazon/cristo_por_nosotros.html"&gt;</v>
      </c>
      <c r="X355"/>
      <c r="Y355" s="1"/>
      <c r="Z355" s="1"/>
      <c r="AA355" s="1"/>
      <c r="AB355" s="1"/>
    </row>
    <row r="356" spans="1:28" x14ac:dyDescent="0.3">
      <c r="A356" s="1">
        <f>ROW(CantoralDB[[#This Row],[Título]])-1</f>
        <v>355</v>
      </c>
      <c r="B356" s="1" t="s">
        <v>2110</v>
      </c>
      <c r="C356" s="1"/>
      <c r="J356" s="1"/>
      <c r="M356" s="15" t="s">
        <v>480</v>
      </c>
      <c r="N356" s="1" t="s">
        <v>1923</v>
      </c>
      <c r="O356" s="15">
        <v>9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56" s="1"/>
      <c r="T356" s="1"/>
      <c r="U356" s="32" t="s">
        <v>3639</v>
      </c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356" s="15" t="str">
        <f>_xlfn.TEXTBEFORE(_xlfn.TEXTAFTER(CantoralDB[[#This Row],[index.html]],"&gt;"),"&gt;")&amp;"&gt;"</f>
        <v>&lt;a href="canciones/francisco_palazon/tu_cruz_adoramos_señor.html"&gt;</v>
      </c>
      <c r="X356"/>
      <c r="Y356" s="1"/>
      <c r="Z356" s="1"/>
      <c r="AA356" s="1"/>
      <c r="AB356" s="1"/>
    </row>
    <row r="357" spans="1:28" x14ac:dyDescent="0.3">
      <c r="A357" s="1">
        <f>ROW(CantoralDB[[#This Row],[Título]])-1</f>
        <v>356</v>
      </c>
      <c r="B357" s="1" t="s">
        <v>2111</v>
      </c>
      <c r="C357" s="1"/>
      <c r="J357" s="1"/>
      <c r="M357" s="15" t="s">
        <v>480</v>
      </c>
      <c r="N357" s="1" t="s">
        <v>1923</v>
      </c>
      <c r="O357" s="15">
        <v>10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57" s="1"/>
      <c r="T357" s="1"/>
      <c r="U357" s="32" t="s">
        <v>3640</v>
      </c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357" s="15" t="str">
        <f>_xlfn.TEXTBEFORE(_xlfn.TEXTAFTER(CantoralDB[[#This Row],[index.html]],"&gt;"),"&gt;")&amp;"&gt;"</f>
        <v>&lt;a href="canciones/francisco_palazon/como_busca_la_cierva.html"&gt;</v>
      </c>
      <c r="X357"/>
      <c r="Y357" s="1"/>
      <c r="Z357" s="1"/>
      <c r="AA357" s="1"/>
      <c r="AB357" s="1"/>
    </row>
    <row r="358" spans="1:28" x14ac:dyDescent="0.3">
      <c r="A358" s="1">
        <f>ROW(CantoralDB[[#This Row],[Título]])-1</f>
        <v>357</v>
      </c>
      <c r="B358" s="1" t="s">
        <v>2112</v>
      </c>
      <c r="C358" s="1"/>
      <c r="J358" s="1"/>
      <c r="M358" s="15" t="s">
        <v>480</v>
      </c>
      <c r="N358" s="1" t="s">
        <v>1923</v>
      </c>
      <c r="O358" s="15">
        <v>11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58" s="1"/>
      <c r="T358" s="1"/>
      <c r="U358" s="32" t="s">
        <v>3641</v>
      </c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358" s="15" t="str">
        <f>_xlfn.TEXTBEFORE(_xlfn.TEXTAFTER(CantoralDB[[#This Row],[index.html]],"&gt;"),"&gt;")&amp;"&gt;"</f>
        <v>&lt;a href="canciones/francisco_palazon/cantemos_el_gozo_de_la_resurreccion.html"&gt;</v>
      </c>
      <c r="X358"/>
      <c r="Y358" s="1"/>
      <c r="Z358" s="1"/>
      <c r="AA358" s="1"/>
      <c r="AB358" s="1"/>
    </row>
    <row r="359" spans="1:28" x14ac:dyDescent="0.3">
      <c r="A359" s="1">
        <f>ROW(CantoralDB[[#This Row],[Título]])-1</f>
        <v>358</v>
      </c>
      <c r="B359" s="1" t="s">
        <v>1214</v>
      </c>
      <c r="C359" s="1"/>
      <c r="E359" s="1">
        <v>99</v>
      </c>
      <c r="J359" s="1"/>
      <c r="M359" s="15" t="s">
        <v>480</v>
      </c>
      <c r="N359" s="1" t="s">
        <v>2219</v>
      </c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359" s="15" t="str">
        <f>_xlfn.TEXTBEFORE(_xlfn.TEXTAFTER(CantoralDB[[#This Row],[index.html]],"&gt;"),"&gt;")&amp;"&gt;"</f>
        <v>&lt;a href="canciones/francisco_palazon/el_señor_es_mi_luz_y_mi_salvacion.html"&gt;</v>
      </c>
      <c r="X359"/>
      <c r="Y359" s="1"/>
      <c r="Z359" s="1"/>
      <c r="AA359" s="1"/>
      <c r="AB359" s="1"/>
    </row>
    <row r="360" spans="1:28" x14ac:dyDescent="0.3">
      <c r="A360" s="1">
        <f>ROW(CantoralDB[[#This Row],[Título]])-1</f>
        <v>359</v>
      </c>
      <c r="B360" s="1" t="s">
        <v>1924</v>
      </c>
      <c r="C360" s="1"/>
      <c r="H360" s="1" t="s">
        <v>530</v>
      </c>
      <c r="J360" s="1" t="s">
        <v>607</v>
      </c>
      <c r="M360" s="15" t="s">
        <v>480</v>
      </c>
      <c r="N360" s="1" t="s">
        <v>1924</v>
      </c>
      <c r="O360" s="15">
        <v>1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60" s="1" t="s">
        <v>2215</v>
      </c>
      <c r="T360" s="1"/>
      <c r="U360" s="32" t="s">
        <v>3604</v>
      </c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360" s="15" t="str">
        <f>_xlfn.TEXTBEFORE(_xlfn.TEXTAFTER(CantoralDB[[#This Row],[index.html]],"&gt;"),"&gt;")&amp;"&gt;"</f>
        <v>&lt;a href="canciones/francisco_palazon/el_alzar_de_mis_manos.html"&gt;</v>
      </c>
      <c r="X360"/>
      <c r="Y360" s="1"/>
      <c r="Z360" s="1"/>
      <c r="AA360" s="1"/>
      <c r="AB360" s="1"/>
    </row>
    <row r="361" spans="1:28" x14ac:dyDescent="0.3">
      <c r="A361" s="1">
        <f>ROW(CantoralDB[[#This Row],[Título]])-1</f>
        <v>360</v>
      </c>
      <c r="B361" s="1" t="s">
        <v>1930</v>
      </c>
      <c r="C361" s="1"/>
      <c r="E361" s="1">
        <v>62</v>
      </c>
      <c r="H361" s="1" t="s">
        <v>1029</v>
      </c>
      <c r="J361" s="1" t="s">
        <v>607</v>
      </c>
      <c r="M361" s="15" t="s">
        <v>480</v>
      </c>
      <c r="N361" s="1" t="s">
        <v>1924</v>
      </c>
      <c r="O361" s="15">
        <v>2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61" s="1"/>
      <c r="T361" s="1"/>
      <c r="U361" s="32" t="s">
        <v>3605</v>
      </c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361" s="15" t="str">
        <f>_xlfn.TEXTBEFORE(_xlfn.TEXTAFTER(CantoralDB[[#This Row],[index.html]],"&gt;"),"&gt;")&amp;"&gt;"</f>
        <v>&lt;a href="canciones/francisco_palazon/cantico_de_daniel.html"&gt;</v>
      </c>
      <c r="X361"/>
      <c r="Y361" s="1"/>
      <c r="Z361" s="1"/>
      <c r="AA361" s="1"/>
      <c r="AB361" s="1"/>
    </row>
    <row r="362" spans="1:28" x14ac:dyDescent="0.3">
      <c r="A362" s="1">
        <f>ROW(CantoralDB[[#This Row],[Título]])-1</f>
        <v>361</v>
      </c>
      <c r="B362" s="1" t="s">
        <v>1166</v>
      </c>
      <c r="C362" s="1"/>
      <c r="E362" s="1">
        <v>27</v>
      </c>
      <c r="H362" s="1" t="s">
        <v>1029</v>
      </c>
      <c r="J362" s="1" t="s">
        <v>607</v>
      </c>
      <c r="M362" s="15" t="s">
        <v>480</v>
      </c>
      <c r="N362" s="1" t="s">
        <v>1924</v>
      </c>
      <c r="O362" s="15">
        <v>3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362" s="1"/>
      <c r="T362" s="1"/>
      <c r="U362" s="32" t="s">
        <v>3606</v>
      </c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362" s="15" t="str">
        <f>_xlfn.TEXTBEFORE(_xlfn.TEXTAFTER(CantoralDB[[#This Row],[index.html]],"&gt;"),"&gt;")&amp;"&gt;"</f>
        <v>&lt;a href="canciones/francisco_palazon/a_ti_levanto_mi_alma.html"&gt;</v>
      </c>
      <c r="X362"/>
      <c r="Y362" s="1"/>
      <c r="Z362" s="1"/>
      <c r="AA362" s="1"/>
      <c r="AB362" s="1"/>
    </row>
    <row r="363" spans="1:28" x14ac:dyDescent="0.3">
      <c r="A363" s="1">
        <f>ROW(CantoralDB[[#This Row],[Título]])-1</f>
        <v>362</v>
      </c>
      <c r="B363" s="1" t="s">
        <v>2218</v>
      </c>
      <c r="C363" s="1"/>
      <c r="H363" s="1" t="s">
        <v>530</v>
      </c>
      <c r="J363" s="1" t="s">
        <v>607</v>
      </c>
      <c r="M363" s="15" t="s">
        <v>480</v>
      </c>
      <c r="N363" s="1" t="s">
        <v>1924</v>
      </c>
      <c r="O363" s="15">
        <v>4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63" s="1" t="s">
        <v>2216</v>
      </c>
      <c r="T363" s="1"/>
      <c r="U363" s="32" t="s">
        <v>3607</v>
      </c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363" s="15" t="str">
        <f>_xlfn.TEXTBEFORE(_xlfn.TEXTAFTER(CantoralDB[[#This Row],[index.html]],"&gt;"),"&gt;")&amp;"&gt;"</f>
        <v>&lt;a href="canciones/francisco_palazon/el_señor_de_los_ejercitos.html"&gt;</v>
      </c>
      <c r="X363"/>
      <c r="Y363" s="1"/>
      <c r="Z363" s="1"/>
      <c r="AA363" s="1"/>
      <c r="AB363" s="1"/>
    </row>
    <row r="364" spans="1:28" x14ac:dyDescent="0.3">
      <c r="A364" s="1">
        <f>ROW(CantoralDB[[#This Row],[Título]])-1</f>
        <v>363</v>
      </c>
      <c r="B364" s="1" t="s">
        <v>514</v>
      </c>
      <c r="C364" s="1" t="s">
        <v>200</v>
      </c>
      <c r="D364" s="1" t="s">
        <v>649</v>
      </c>
      <c r="G364" s="1" t="s">
        <v>208</v>
      </c>
      <c r="H364" s="1" t="s">
        <v>1029</v>
      </c>
      <c r="J364" s="1" t="s">
        <v>607</v>
      </c>
      <c r="M364" s="15" t="s">
        <v>480</v>
      </c>
      <c r="N364" s="1" t="s">
        <v>1924</v>
      </c>
      <c r="O364" s="15">
        <v>5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64" s="1" t="s">
        <v>821</v>
      </c>
      <c r="T364" s="1"/>
      <c r="U364" s="32" t="s">
        <v>3608</v>
      </c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364" s="15" t="str">
        <f>_xlfn.TEXTBEFORE(_xlfn.TEXTAFTER(CantoralDB[[#This Row],[index.html]],"&gt;"),"&gt;")&amp;"&gt;"</f>
        <v>&lt;a href="canciones/francisco_palazon/el_caliz_que_bendecimos.html"&gt;</v>
      </c>
      <c r="X364"/>
      <c r="Y364" s="1"/>
      <c r="Z364" s="1"/>
      <c r="AA364" s="1"/>
      <c r="AB364" s="1"/>
    </row>
    <row r="365" spans="1:28" x14ac:dyDescent="0.3">
      <c r="A365" s="1">
        <f>ROW(CantoralDB[[#This Row],[Título]])-1</f>
        <v>364</v>
      </c>
      <c r="B365" s="1" t="s">
        <v>53</v>
      </c>
      <c r="C365" s="1" t="s">
        <v>200</v>
      </c>
      <c r="D365" s="1" t="s">
        <v>651</v>
      </c>
      <c r="E365" s="1">
        <v>98</v>
      </c>
      <c r="G365" s="1" t="s">
        <v>208</v>
      </c>
      <c r="H365" s="1" t="s">
        <v>1029</v>
      </c>
      <c r="J365" s="1" t="s">
        <v>607</v>
      </c>
      <c r="M365" s="15" t="s">
        <v>480</v>
      </c>
      <c r="N365" s="1" t="s">
        <v>1924</v>
      </c>
      <c r="O365" s="15">
        <v>6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65" s="1" t="s">
        <v>826</v>
      </c>
      <c r="T365" s="1"/>
      <c r="U365" s="32" t="s">
        <v>3609</v>
      </c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365" s="15" t="str">
        <f>_xlfn.TEXTBEFORE(_xlfn.TEXTAFTER(CantoralDB[[#This Row],[index.html]],"&gt;"),"&gt;")&amp;"&gt;"</f>
        <v>&lt;a href="canciones/francisco_palazon/el_señor_es_mi_pastor.html"&gt;</v>
      </c>
      <c r="X365"/>
      <c r="Y365" s="1"/>
      <c r="Z365" s="1"/>
      <c r="AA365" s="1"/>
      <c r="AB365" s="1"/>
    </row>
    <row r="366" spans="1:28" x14ac:dyDescent="0.3">
      <c r="A366" s="1">
        <f>ROW(CantoralDB[[#This Row],[Título]])-1</f>
        <v>365</v>
      </c>
      <c r="B366" s="1" t="s">
        <v>1931</v>
      </c>
      <c r="C366" s="1"/>
      <c r="E366" s="1">
        <v>18</v>
      </c>
      <c r="H366" s="1" t="s">
        <v>1029</v>
      </c>
      <c r="J366" s="1" t="s">
        <v>607</v>
      </c>
      <c r="M366" s="15" t="s">
        <v>480</v>
      </c>
      <c r="N366" s="1" t="s">
        <v>1924</v>
      </c>
      <c r="O366" s="15">
        <v>7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66" s="1"/>
      <c r="T366" s="1"/>
      <c r="U366" s="32" t="s">
        <v>3610</v>
      </c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366" s="15" t="str">
        <f>_xlfn.TEXTBEFORE(_xlfn.TEXTAFTER(CantoralDB[[#This Row],[index.html]],"&gt;"),"&gt;")&amp;"&gt;"</f>
        <v>&lt;a href="canciones/francisco_palazon/el_señor_tenga_piedad.html"&gt;</v>
      </c>
      <c r="X366"/>
      <c r="Y366" s="1"/>
      <c r="Z366" s="1"/>
      <c r="AA366" s="1"/>
      <c r="AB366" s="1"/>
    </row>
    <row r="367" spans="1:28" x14ac:dyDescent="0.3">
      <c r="A367" s="1">
        <f>ROW(CantoralDB[[#This Row],[Título]])-1</f>
        <v>366</v>
      </c>
      <c r="B367" s="1" t="s">
        <v>1171</v>
      </c>
      <c r="C367" s="1"/>
      <c r="E367" s="1">
        <v>36</v>
      </c>
      <c r="H367" s="1" t="s">
        <v>1026</v>
      </c>
      <c r="J367" s="1" t="s">
        <v>607</v>
      </c>
      <c r="M367" s="15" t="s">
        <v>480</v>
      </c>
      <c r="N367" s="1" t="s">
        <v>1924</v>
      </c>
      <c r="O367" s="15">
        <v>8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67" s="1"/>
      <c r="T367" s="1"/>
      <c r="U367" s="32" t="s">
        <v>3611</v>
      </c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367" s="15" t="str">
        <f>_xlfn.TEXTBEFORE(_xlfn.TEXTAFTER(CantoralDB[[#This Row],[index.html]],"&gt;"),"&gt;")&amp;"&gt;"</f>
        <v>&lt;a href="canciones/francisco_palazon/caminare_en_presencia_del_señor.html"&gt;</v>
      </c>
      <c r="X367"/>
      <c r="Y367" s="1"/>
      <c r="Z367" s="1"/>
      <c r="AA367" s="1"/>
      <c r="AB367" s="1"/>
    </row>
    <row r="368" spans="1:28" x14ac:dyDescent="0.3">
      <c r="A368" s="1">
        <f>ROW(CantoralDB[[#This Row],[Título]])-1</f>
        <v>367</v>
      </c>
      <c r="B368" s="1" t="s">
        <v>1218</v>
      </c>
      <c r="C368" s="1"/>
      <c r="E368" s="1">
        <v>103</v>
      </c>
      <c r="H368" s="1" t="s">
        <v>530</v>
      </c>
      <c r="J368" s="1" t="s">
        <v>607</v>
      </c>
      <c r="M368" s="15" t="s">
        <v>480</v>
      </c>
      <c r="N368" s="1" t="s">
        <v>1924</v>
      </c>
      <c r="O368" s="15">
        <v>9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68" s="1" t="s">
        <v>2217</v>
      </c>
      <c r="T368" s="1"/>
      <c r="U368" s="32" t="s">
        <v>3612</v>
      </c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368" s="15" t="str">
        <f>_xlfn.TEXTBEFORE(_xlfn.TEXTAFTER(CantoralDB[[#This Row],[index.html]],"&gt;"),"&gt;")&amp;"&gt;"</f>
        <v>&lt;a href="canciones/francisco_palazon/el_señor_es_bueno.html"&gt;</v>
      </c>
      <c r="X368"/>
      <c r="Y368" s="1"/>
      <c r="Z368" s="1"/>
      <c r="AA368" s="1"/>
      <c r="AB368" s="1"/>
    </row>
    <row r="369" spans="1:28" x14ac:dyDescent="0.3">
      <c r="A369" s="1">
        <f>ROW(CantoralDB[[#This Row],[Título]])-1</f>
        <v>368</v>
      </c>
      <c r="B369" s="1" t="s">
        <v>116</v>
      </c>
      <c r="C369" s="1"/>
      <c r="E369" s="1">
        <v>207</v>
      </c>
      <c r="H369" s="1" t="s">
        <v>1029</v>
      </c>
      <c r="J369" s="1" t="s">
        <v>607</v>
      </c>
      <c r="M369" s="15" t="s">
        <v>480</v>
      </c>
      <c r="N369" s="1" t="s">
        <v>1924</v>
      </c>
      <c r="O369" s="15">
        <v>10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69" s="1"/>
      <c r="T369" s="1"/>
      <c r="U369" s="32" t="s">
        <v>3613</v>
      </c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369" s="15" t="str">
        <f>_xlfn.TEXTBEFORE(_xlfn.TEXTAFTER(CantoralDB[[#This Row],[index.html]],"&gt;"),"&gt;")&amp;"&gt;"</f>
        <v>&lt;a href="canciones/francisco_palazon/protegeme_dios_mio.html"&gt;</v>
      </c>
      <c r="X369"/>
      <c r="Y369" s="1"/>
      <c r="Z369" s="1"/>
      <c r="AA369" s="1"/>
      <c r="AB369" s="1"/>
    </row>
    <row r="370" spans="1:28" x14ac:dyDescent="0.3">
      <c r="A370" s="1">
        <f>ROW(CantoralDB[[#This Row],[Título]])-1</f>
        <v>369</v>
      </c>
      <c r="B370" s="1" t="s">
        <v>74</v>
      </c>
      <c r="C370" s="1" t="s">
        <v>199</v>
      </c>
      <c r="D370" s="1" t="s">
        <v>1428</v>
      </c>
      <c r="E370" s="1">
        <v>430</v>
      </c>
      <c r="G370" s="1" t="s">
        <v>208</v>
      </c>
      <c r="H370" s="1" t="s">
        <v>1026</v>
      </c>
      <c r="J370" s="1" t="s">
        <v>607</v>
      </c>
      <c r="M370" s="15" t="s">
        <v>480</v>
      </c>
      <c r="N370" s="1" t="s">
        <v>2221</v>
      </c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70" s="1"/>
      <c r="T370" s="1"/>
      <c r="U370" s="32" t="s">
        <v>3614</v>
      </c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370" s="15" t="str">
        <f>_xlfn.TEXTBEFORE(_xlfn.TEXTAFTER(CantoralDB[[#This Row],[index.html]],"&gt;"),"&gt;")&amp;"&gt;"</f>
        <v>&lt;a href="canciones/francisco_palazon/himno_a_nuestra_señora_de_la_almudena.html"&gt;</v>
      </c>
      <c r="X370"/>
      <c r="Y370" s="1"/>
      <c r="Z370" s="1"/>
      <c r="AA370" s="1"/>
      <c r="AB370" s="1"/>
    </row>
    <row r="371" spans="1:28" x14ac:dyDescent="0.3">
      <c r="A371" s="1">
        <f>ROW(CantoralDB[[#This Row],[Título]])-1</f>
        <v>370</v>
      </c>
      <c r="B371" s="1" t="s">
        <v>237</v>
      </c>
      <c r="C371" s="1" t="s">
        <v>199</v>
      </c>
      <c r="D371" s="1" t="s">
        <v>1049</v>
      </c>
      <c r="E371" s="1">
        <v>42</v>
      </c>
      <c r="G371" s="1" t="s">
        <v>208</v>
      </c>
      <c r="H371" s="1" t="s">
        <v>1026</v>
      </c>
      <c r="I371" s="1" t="s">
        <v>2953</v>
      </c>
      <c r="J371" s="1" t="s">
        <v>607</v>
      </c>
      <c r="M371" s="15" t="s">
        <v>480</v>
      </c>
      <c r="N371" s="1" t="s">
        <v>1277</v>
      </c>
      <c r="O371" s="15">
        <v>1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71" s="1"/>
      <c r="T371" s="1"/>
      <c r="U371" s="32" t="s">
        <v>3615</v>
      </c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371" s="15" t="str">
        <f>_xlfn.TEXTBEFORE(_xlfn.TEXTAFTER(CantoralDB[[#This Row],[index.html]],"&gt;"),"&gt;")&amp;"&gt;"</f>
        <v>&lt;a href="canciones/francisco_palazon/mujer_fuerte.html"&gt;</v>
      </c>
      <c r="X371"/>
      <c r="Y371" s="1"/>
      <c r="Z371" s="1"/>
      <c r="AA371" s="1"/>
      <c r="AB371" s="1"/>
    </row>
    <row r="372" spans="1:28" x14ac:dyDescent="0.3">
      <c r="A372" s="1">
        <f>ROW(CantoralDB[[#This Row],[Título]])-1</f>
        <v>371</v>
      </c>
      <c r="B372" s="1" t="s">
        <v>1277</v>
      </c>
      <c r="C372" s="1"/>
      <c r="E372" s="1">
        <v>161</v>
      </c>
      <c r="H372" s="1" t="s">
        <v>530</v>
      </c>
      <c r="J372" s="1" t="s">
        <v>607</v>
      </c>
      <c r="M372" s="15" t="s">
        <v>480</v>
      </c>
      <c r="N372" s="1" t="s">
        <v>1277</v>
      </c>
      <c r="O372" s="15">
        <v>2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72" s="1"/>
      <c r="T372" s="1"/>
      <c r="U372" s="32" t="s">
        <v>2974</v>
      </c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372" s="15" t="str">
        <f>_xlfn.TEXTBEFORE(_xlfn.TEXTAFTER(CantoralDB[[#This Row],[index.html]],"&gt;"),"&gt;")&amp;"&gt;"</f>
        <v>&lt;a href="canciones/francisco_palazon/madre_de_los_creyentes.html"&gt;</v>
      </c>
      <c r="X372"/>
      <c r="Y372" s="1"/>
      <c r="Z372" s="1"/>
      <c r="AA372" s="1"/>
      <c r="AB372" s="1"/>
    </row>
    <row r="373" spans="1:28" x14ac:dyDescent="0.3">
      <c r="A373" s="1">
        <f>ROW(CantoralDB[[#This Row],[Título]])-1</f>
        <v>372</v>
      </c>
      <c r="B373" s="1" t="s">
        <v>1932</v>
      </c>
      <c r="C373" s="1"/>
      <c r="H373" s="1" t="s">
        <v>530</v>
      </c>
      <c r="J373" s="1" t="s">
        <v>607</v>
      </c>
      <c r="M373" s="15" t="s">
        <v>480</v>
      </c>
      <c r="N373" s="1" t="s">
        <v>1277</v>
      </c>
      <c r="O373" s="15">
        <v>3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373" s="1"/>
      <c r="T373" s="1"/>
      <c r="U373" s="32" t="s">
        <v>3616</v>
      </c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373" s="15" t="str">
        <f>_xlfn.TEXTBEFORE(_xlfn.TEXTAFTER(CantoralDB[[#This Row],[index.html]],"&gt;"),"&gt;")&amp;"&gt;"</f>
        <v>&lt;a href="canciones/francisco_palazon/a_ti_suspiramos.html"&gt;</v>
      </c>
      <c r="X373"/>
      <c r="Y373" s="1"/>
      <c r="Z373" s="1"/>
      <c r="AA373" s="1"/>
      <c r="AB373" s="1"/>
    </row>
    <row r="374" spans="1:28" x14ac:dyDescent="0.3">
      <c r="A374" s="1">
        <f>ROW(CantoralDB[[#This Row],[Título]])-1</f>
        <v>373</v>
      </c>
      <c r="B374" s="1" t="s">
        <v>125</v>
      </c>
      <c r="C374" s="1" t="s">
        <v>199</v>
      </c>
      <c r="D374" s="1" t="s">
        <v>1051</v>
      </c>
      <c r="E374" s="1" t="s">
        <v>2895</v>
      </c>
      <c r="G374" s="1" t="s">
        <v>208</v>
      </c>
      <c r="H374" s="1" t="s">
        <v>472</v>
      </c>
      <c r="J374" s="1" t="s">
        <v>607</v>
      </c>
      <c r="M374" s="15" t="s">
        <v>480</v>
      </c>
      <c r="N374" s="1" t="s">
        <v>1277</v>
      </c>
      <c r="O374" s="15">
        <v>4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74" s="1"/>
      <c r="T374" s="1"/>
      <c r="U374" s="32" t="s">
        <v>3617</v>
      </c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374" s="15" t="str">
        <f>_xlfn.TEXTBEFORE(_xlfn.TEXTAFTER(CantoralDB[[#This Row],[index.html]],"&gt;"),"&gt;")&amp;"&gt;"</f>
        <v>&lt;a href="canciones/francisco_palazon/reina_del_cielo.html"&gt;</v>
      </c>
      <c r="X374"/>
      <c r="Y374" s="1"/>
      <c r="Z374" s="1"/>
      <c r="AA374" s="1"/>
      <c r="AB374" s="1"/>
    </row>
    <row r="375" spans="1:28" x14ac:dyDescent="0.3">
      <c r="A375" s="1">
        <f>ROW(CantoralDB[[#This Row],[Título]])-1</f>
        <v>374</v>
      </c>
      <c r="B375" s="1" t="s">
        <v>1543</v>
      </c>
      <c r="C375" s="1"/>
      <c r="H375" s="1" t="s">
        <v>472</v>
      </c>
      <c r="J375" s="1" t="s">
        <v>607</v>
      </c>
      <c r="M375" s="15" t="s">
        <v>480</v>
      </c>
      <c r="N375" s="1" t="s">
        <v>1277</v>
      </c>
      <c r="O375" s="15">
        <v>5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75" s="1"/>
      <c r="T375" s="1"/>
      <c r="U375" s="32" t="s">
        <v>3618</v>
      </c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375" s="15" t="str">
        <f>_xlfn.TEXTBEFORE(_xlfn.TEXTAFTER(CantoralDB[[#This Row],[index.html]],"&gt;"),"&gt;")&amp;"&gt;"</f>
        <v>&lt;a href="canciones/francisco_palazon/magnificat.html"&gt;</v>
      </c>
      <c r="X375"/>
      <c r="Y375" s="1"/>
      <c r="Z375" s="1"/>
      <c r="AA375" s="1"/>
      <c r="AB375" s="1"/>
    </row>
    <row r="376" spans="1:28" x14ac:dyDescent="0.3">
      <c r="A376" s="1">
        <f>ROW(CantoralDB[[#This Row],[Título]])-1</f>
        <v>375</v>
      </c>
      <c r="B376" s="1" t="s">
        <v>1933</v>
      </c>
      <c r="C376" s="1"/>
      <c r="H376" s="1" t="s">
        <v>530</v>
      </c>
      <c r="J376" s="1" t="s">
        <v>607</v>
      </c>
      <c r="M376" s="15" t="s">
        <v>480</v>
      </c>
      <c r="N376" s="1" t="s">
        <v>1277</v>
      </c>
      <c r="O376" s="15">
        <v>6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76" s="1"/>
      <c r="T376" s="1"/>
      <c r="U376" s="32" t="s">
        <v>3619</v>
      </c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376" s="15" t="str">
        <f>_xlfn.TEXTBEFORE(_xlfn.TEXTAFTER(CantoralDB[[#This Row],[index.html]],"&gt;"),"&gt;")&amp;"&gt;"</f>
        <v>&lt;a href="canciones/francisco_palazon/morada_de_la_luz.html"&gt;</v>
      </c>
      <c r="X376"/>
      <c r="Y376" s="1"/>
      <c r="Z376" s="1"/>
      <c r="AA376" s="1"/>
      <c r="AB376" s="1"/>
    </row>
    <row r="377" spans="1:28" x14ac:dyDescent="0.3">
      <c r="A377" s="1">
        <f>ROW(CantoralDB[[#This Row],[Título]])-1</f>
        <v>376</v>
      </c>
      <c r="B377" s="1" t="s">
        <v>1934</v>
      </c>
      <c r="C377" s="1"/>
      <c r="H377" s="1" t="s">
        <v>530</v>
      </c>
      <c r="J377" s="1" t="s">
        <v>607</v>
      </c>
      <c r="M377" s="15" t="s">
        <v>480</v>
      </c>
      <c r="N377" s="1" t="s">
        <v>1277</v>
      </c>
      <c r="O377" s="15">
        <v>7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77" s="1"/>
      <c r="T377" s="1"/>
      <c r="U377" s="32" t="s">
        <v>3620</v>
      </c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377" s="15" t="str">
        <f>_xlfn.TEXTBEFORE(_xlfn.TEXTAFTER(CantoralDB[[#This Row],[index.html]],"&gt;"),"&gt;")&amp;"&gt;"</f>
        <v>&lt;a href="canciones/francisco_palazon/madre_del_redentor.html"&gt;</v>
      </c>
      <c r="X377"/>
      <c r="Y377" s="1"/>
      <c r="Z377" s="1"/>
      <c r="AA377" s="1"/>
      <c r="AB377" s="1"/>
    </row>
    <row r="378" spans="1:28" x14ac:dyDescent="0.3">
      <c r="A378" s="1">
        <f>ROW(CantoralDB[[#This Row],[Título]])-1</f>
        <v>377</v>
      </c>
      <c r="B378" s="1" t="s">
        <v>1935</v>
      </c>
      <c r="C378" s="1"/>
      <c r="H378" s="1" t="s">
        <v>1029</v>
      </c>
      <c r="J378" s="1" t="s">
        <v>607</v>
      </c>
      <c r="M378" s="15" t="s">
        <v>480</v>
      </c>
      <c r="N378" s="1" t="s">
        <v>1277</v>
      </c>
      <c r="O378" s="15">
        <v>8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378" s="1"/>
      <c r="T378" s="1"/>
      <c r="U378" s="32" t="s">
        <v>3621</v>
      </c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378" s="15" t="str">
        <f>_xlfn.TEXTBEFORE(_xlfn.TEXTAFTER(CantoralDB[[#This Row],[index.html]],"&gt;"),"&gt;")&amp;"&gt;"</f>
        <v>&lt;a href="canciones/francisco_palazon/angelus.html"&gt;</v>
      </c>
      <c r="X378"/>
      <c r="Y378" s="1"/>
      <c r="Z378" s="1"/>
      <c r="AA378" s="1"/>
      <c r="AB378" s="1"/>
    </row>
    <row r="379" spans="1:28" x14ac:dyDescent="0.3">
      <c r="A379" s="1">
        <f>ROW(CantoralDB[[#This Row],[Título]])-1</f>
        <v>378</v>
      </c>
      <c r="B379" s="1" t="s">
        <v>1936</v>
      </c>
      <c r="C379" s="1"/>
      <c r="H379" s="1" t="s">
        <v>1029</v>
      </c>
      <c r="J379" s="1" t="s">
        <v>607</v>
      </c>
      <c r="M379" s="15" t="s">
        <v>480</v>
      </c>
      <c r="N379" s="1" t="s">
        <v>1277</v>
      </c>
      <c r="O379" s="15">
        <v>9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79" s="1"/>
      <c r="T379" s="1"/>
      <c r="U379" s="32" t="s">
        <v>3622</v>
      </c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379" s="15" t="str">
        <f>_xlfn.TEXTBEFORE(_xlfn.TEXTAFTER(CantoralDB[[#This Row],[index.html]],"&gt;"),"&gt;")&amp;"&gt;"</f>
        <v>&lt;a href="canciones/francisco_palazon/madre_nuestra.html"&gt;</v>
      </c>
      <c r="X379"/>
      <c r="Y379" s="1"/>
      <c r="Z379" s="1"/>
      <c r="AA379" s="1"/>
      <c r="AB379" s="1"/>
    </row>
    <row r="380" spans="1:28" x14ac:dyDescent="0.3">
      <c r="A380" s="1">
        <f>ROW(CantoralDB[[#This Row],[Título]])-1</f>
        <v>379</v>
      </c>
      <c r="B380" s="1" t="s">
        <v>496</v>
      </c>
      <c r="C380" s="1"/>
      <c r="H380" s="1" t="s">
        <v>530</v>
      </c>
      <c r="J380" s="1" t="s">
        <v>607</v>
      </c>
      <c r="M380" s="15" t="s">
        <v>480</v>
      </c>
      <c r="N380" s="1" t="s">
        <v>1277</v>
      </c>
      <c r="O380" s="15">
        <v>10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380" s="1"/>
      <c r="T380" s="1"/>
      <c r="U380" s="32" t="s">
        <v>3623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380" s="15" t="str">
        <f>_xlfn.TEXTBEFORE(_xlfn.TEXTAFTER(CantoralDB[[#This Row],[index.html]],"&gt;"),"&gt;")&amp;"&gt;"</f>
        <v>&lt;a href="canciones/francisco_palazon/ave_maria.html"&gt;</v>
      </c>
      <c r="X380"/>
      <c r="Y380" s="1"/>
      <c r="Z380" s="1"/>
      <c r="AA380" s="1"/>
      <c r="AB380" s="1"/>
    </row>
    <row r="381" spans="1:28" x14ac:dyDescent="0.3">
      <c r="A381" s="1">
        <f>ROW(CantoralDB[[#This Row],[Título]])-1</f>
        <v>380</v>
      </c>
      <c r="B381" s="1" t="s">
        <v>2040</v>
      </c>
      <c r="C381" s="1"/>
      <c r="H381" s="1" t="s">
        <v>1027</v>
      </c>
      <c r="J381" s="1" t="s">
        <v>607</v>
      </c>
      <c r="M381" s="15" t="s">
        <v>480</v>
      </c>
      <c r="N381" s="1" t="s">
        <v>2909</v>
      </c>
      <c r="O381" s="15">
        <v>1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381" s="1"/>
      <c r="T381" s="1"/>
      <c r="U381" s="32" t="s">
        <v>3624</v>
      </c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381" s="15" t="str">
        <f>_xlfn.TEXTBEFORE(_xlfn.TEXTAFTER(CantoralDB[[#This Row],[index.html]],"&gt;"),"&gt;")&amp;"&gt;"</f>
        <v>&lt;a href="canciones/francisco_palazon/unidos_por_la_fe_y_el_amor.html"&gt;</v>
      </c>
      <c r="X381"/>
      <c r="Y381" s="1"/>
      <c r="Z381" s="1"/>
      <c r="AA381" s="1"/>
      <c r="AB381" s="1"/>
    </row>
    <row r="382" spans="1:28" x14ac:dyDescent="0.3">
      <c r="A382" s="1">
        <f>ROW(CantoralDB[[#This Row],[Título]])-1</f>
        <v>381</v>
      </c>
      <c r="B382" s="1" t="s">
        <v>1581</v>
      </c>
      <c r="C382" s="1"/>
      <c r="H382" s="1" t="s">
        <v>1026</v>
      </c>
      <c r="J382" s="1" t="s">
        <v>607</v>
      </c>
      <c r="M382" s="15" t="s">
        <v>480</v>
      </c>
      <c r="N382" s="1" t="s">
        <v>2909</v>
      </c>
      <c r="O382" s="15">
        <v>2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382" s="1"/>
      <c r="T382" s="1"/>
      <c r="U382" s="32" t="s">
        <v>3625</v>
      </c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382" s="15" t="str">
        <f>_xlfn.TEXTBEFORE(_xlfn.TEXTAFTER(CantoralDB[[#This Row],[index.html]],"&gt;"),"&gt;")&amp;"&gt;"</f>
        <v>&lt;a href="canciones/francisco_palazon/ten_piedad.html"&gt;</v>
      </c>
      <c r="X382"/>
      <c r="Y382" s="1"/>
      <c r="Z382" s="1"/>
      <c r="AA382" s="1"/>
      <c r="AB382" s="1"/>
    </row>
    <row r="383" spans="1:28" x14ac:dyDescent="0.3">
      <c r="A383" s="1">
        <f>ROW(CantoralDB[[#This Row],[Título]])-1</f>
        <v>382</v>
      </c>
      <c r="B383" s="1" t="s">
        <v>2910</v>
      </c>
      <c r="C383" s="1"/>
      <c r="H383" s="1" t="s">
        <v>1026</v>
      </c>
      <c r="J383" s="1" t="s">
        <v>607</v>
      </c>
      <c r="M383" s="15" t="s">
        <v>480</v>
      </c>
      <c r="N383" s="1" t="s">
        <v>2909</v>
      </c>
      <c r="O383" s="15">
        <v>3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383" s="1"/>
      <c r="T383" s="1"/>
      <c r="U383" s="32" t="s">
        <v>3626</v>
      </c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383" s="15" t="str">
        <f>_xlfn.TEXTBEFORE(_xlfn.TEXTAFTER(CantoralDB[[#This Row],[index.html]],"&gt;"),"&gt;")&amp;"&gt;"</f>
        <v>&lt;a href="canciones/francisco_palazon/gloria_(misa_coral_en_re).html"&gt;</v>
      </c>
      <c r="X383"/>
      <c r="Y383" s="1"/>
      <c r="Z383" s="1"/>
      <c r="AA383" s="1"/>
      <c r="AB383" s="1"/>
    </row>
    <row r="384" spans="1:28" x14ac:dyDescent="0.3">
      <c r="A384" s="1">
        <f>ROW(CantoralDB[[#This Row],[Título]])-1</f>
        <v>383</v>
      </c>
      <c r="B384" s="1" t="s">
        <v>2911</v>
      </c>
      <c r="C384" s="1"/>
      <c r="H384" s="1" t="s">
        <v>1029</v>
      </c>
      <c r="J384" s="1" t="s">
        <v>607</v>
      </c>
      <c r="M384" s="15" t="s">
        <v>480</v>
      </c>
      <c r="N384" s="1" t="s">
        <v>2909</v>
      </c>
      <c r="O384" s="15">
        <v>4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384" s="1"/>
      <c r="T384" s="1"/>
      <c r="U384" s="32" t="s">
        <v>3627</v>
      </c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384" s="15" t="str">
        <f>_xlfn.TEXTBEFORE(_xlfn.TEXTAFTER(CantoralDB[[#This Row],[index.html]],"&gt;"),"&gt;")&amp;"&gt;"</f>
        <v>&lt;a href="canciones/francisco_palazon/aleluya_(misa_coral_en_re).html"&gt;</v>
      </c>
      <c r="X384"/>
      <c r="Y384" s="1"/>
      <c r="Z384" s="1"/>
      <c r="AA384" s="1"/>
      <c r="AB384" s="1"/>
    </row>
    <row r="385" spans="1:28" x14ac:dyDescent="0.3">
      <c r="A385" s="1">
        <f>ROW(CantoralDB[[#This Row],[Título]])-1</f>
        <v>384</v>
      </c>
      <c r="B385" s="1" t="s">
        <v>2912</v>
      </c>
      <c r="C385" s="1"/>
      <c r="H385" s="1" t="s">
        <v>1026</v>
      </c>
      <c r="J385" s="1" t="s">
        <v>607</v>
      </c>
      <c r="M385" s="15" t="s">
        <v>480</v>
      </c>
      <c r="N385" s="1" t="s">
        <v>2909</v>
      </c>
      <c r="O385" s="15">
        <v>5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385" s="1"/>
      <c r="T385" s="1"/>
      <c r="U385" s="32" t="s">
        <v>3628</v>
      </c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385" s="15" t="str">
        <f>_xlfn.TEXTBEFORE(_xlfn.TEXTAFTER(CantoralDB[[#This Row],[index.html]],"&gt;"),"&gt;")&amp;"&gt;"</f>
        <v>&lt;a href="canciones/francisco_palazon/santo_(misa_coral_en_re).html"&gt;</v>
      </c>
      <c r="X385"/>
      <c r="Y385" s="1"/>
      <c r="Z385" s="1"/>
      <c r="AA385" s="1"/>
      <c r="AB385" s="1"/>
    </row>
    <row r="386" spans="1:28" x14ac:dyDescent="0.3">
      <c r="A386" s="1">
        <f>ROW(CantoralDB[[#This Row],[Título]])-1</f>
        <v>385</v>
      </c>
      <c r="B386" s="1" t="s">
        <v>2913</v>
      </c>
      <c r="C386" s="1"/>
      <c r="H386" s="1" t="s">
        <v>1026</v>
      </c>
      <c r="J386" s="1" t="s">
        <v>607</v>
      </c>
      <c r="M386" s="15" t="s">
        <v>480</v>
      </c>
      <c r="N386" s="1" t="s">
        <v>2909</v>
      </c>
      <c r="O386" s="15">
        <v>6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386" s="1"/>
      <c r="T386" s="1"/>
      <c r="U386" s="32" t="s">
        <v>3629</v>
      </c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386" s="15" t="str">
        <f>_xlfn.TEXTBEFORE(_xlfn.TEXTAFTER(CantoralDB[[#This Row],[index.html]],"&gt;"),"&gt;")&amp;"&gt;"</f>
        <v>&lt;a href="canciones/francisco_palazon/padre_nuestro_(misa_coral_en_re).html"&gt;</v>
      </c>
      <c r="X386"/>
      <c r="Y386" s="1"/>
      <c r="Z386" s="1"/>
      <c r="AA386" s="1"/>
      <c r="AB386" s="1"/>
    </row>
    <row r="387" spans="1:28" x14ac:dyDescent="0.3">
      <c r="A387" s="1">
        <f>ROW(CantoralDB[[#This Row],[Título]])-1</f>
        <v>386</v>
      </c>
      <c r="B387" s="1" t="s">
        <v>2914</v>
      </c>
      <c r="C387" s="1"/>
      <c r="H387" s="1" t="s">
        <v>1026</v>
      </c>
      <c r="J387" s="1" t="s">
        <v>607</v>
      </c>
      <c r="M387" s="15" t="s">
        <v>480</v>
      </c>
      <c r="N387" s="1" t="s">
        <v>2909</v>
      </c>
      <c r="O387" s="15">
        <v>7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387" s="1"/>
      <c r="T387" s="1"/>
      <c r="U387" s="32" t="s">
        <v>3630</v>
      </c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387" s="15" t="str">
        <f>_xlfn.TEXTBEFORE(_xlfn.TEXTAFTER(CantoralDB[[#This Row],[index.html]],"&gt;"),"&gt;")&amp;"&gt;"</f>
        <v>&lt;a href="canciones/francisco_palazon/cordero_de_dios_(misa_coral_en_re).html"&gt;</v>
      </c>
      <c r="X387"/>
      <c r="Y387" s="1"/>
      <c r="Z387" s="1"/>
      <c r="AA387" s="1"/>
      <c r="AB387" s="1"/>
    </row>
    <row r="388" spans="1:28" x14ac:dyDescent="0.3">
      <c r="A388" s="1">
        <f>ROW(CantoralDB[[#This Row],[Título]])-1</f>
        <v>387</v>
      </c>
      <c r="B388" s="1" t="s">
        <v>2070</v>
      </c>
      <c r="C388" s="1"/>
      <c r="H388" s="1" t="s">
        <v>530</v>
      </c>
      <c r="J388" s="1" t="s">
        <v>607</v>
      </c>
      <c r="M388" s="15" t="s">
        <v>480</v>
      </c>
      <c r="N388" s="1" t="s">
        <v>2039</v>
      </c>
      <c r="O388" s="15">
        <v>1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388" s="1"/>
      <c r="T388" s="1"/>
      <c r="U388" s="32" t="s">
        <v>3010</v>
      </c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388" s="15" t="str">
        <f>_xlfn.TEXTBEFORE(_xlfn.TEXTAFTER(CantoralDB[[#This Row],[index.html]],"&gt;"),"&gt;")&amp;"&gt;"</f>
        <v>&lt;a href="canciones/francisco_palazon/dales_señor_el_descanso_eterno.html"&gt;</v>
      </c>
      <c r="X388"/>
      <c r="Y388" s="1"/>
      <c r="Z388" s="1"/>
      <c r="AA388" s="1"/>
      <c r="AB388" s="1"/>
    </row>
    <row r="389" spans="1:28" x14ac:dyDescent="0.3">
      <c r="A389" s="1">
        <f>ROW(CantoralDB[[#This Row],[Título]])-1</f>
        <v>388</v>
      </c>
      <c r="B389" s="1" t="s">
        <v>2034</v>
      </c>
      <c r="C389" s="1"/>
      <c r="H389" s="1" t="s">
        <v>1027</v>
      </c>
      <c r="J389" s="1" t="s">
        <v>607</v>
      </c>
      <c r="M389" s="15" t="s">
        <v>480</v>
      </c>
      <c r="N389" s="1" t="s">
        <v>2039</v>
      </c>
      <c r="O389" s="15">
        <v>2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389" s="1"/>
      <c r="T389" s="1"/>
      <c r="U389" s="32" t="s">
        <v>3009</v>
      </c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389" s="15" t="str">
        <f>_xlfn.TEXTBEFORE(_xlfn.TEXTAFTER(CantoralDB[[#This Row],[index.html]],"&gt;"),"&gt;")&amp;"&gt;"</f>
        <v>&lt;a href="canciones/francisco_palazon/dale_señor.html"&gt;</v>
      </c>
      <c r="X389"/>
      <c r="Y389" s="1"/>
      <c r="Z389" s="1"/>
      <c r="AA389" s="1"/>
      <c r="AB389" s="1"/>
    </row>
    <row r="390" spans="1:28" x14ac:dyDescent="0.3">
      <c r="A390" s="1">
        <f>ROW(CantoralDB[[#This Row],[Título]])-1</f>
        <v>389</v>
      </c>
      <c r="B390" s="1" t="s">
        <v>2035</v>
      </c>
      <c r="C390" s="1"/>
      <c r="H390" s="1" t="s">
        <v>1027</v>
      </c>
      <c r="J390" s="1" t="s">
        <v>607</v>
      </c>
      <c r="M390" s="15" t="s">
        <v>480</v>
      </c>
      <c r="N390" s="1" t="s">
        <v>2039</v>
      </c>
      <c r="O390" s="15">
        <v>3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390" s="1"/>
      <c r="T390" s="1"/>
      <c r="U390" s="32" t="s">
        <v>3026</v>
      </c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390" s="15" t="str">
        <f>_xlfn.TEXTBEFORE(_xlfn.TEXTAFTER(CantoralDB[[#This Row],[index.html]],"&gt;"),"&gt;")&amp;"&gt;"</f>
        <v>&lt;a href="canciones/francisco_palazon/dichosos_los_que_mueren_en_el_señor.html"&gt;</v>
      </c>
      <c r="X390"/>
      <c r="Y390" s="1"/>
      <c r="Z390" s="1"/>
      <c r="AA390" s="1"/>
      <c r="AB390" s="1"/>
    </row>
    <row r="391" spans="1:28" x14ac:dyDescent="0.3">
      <c r="A391" s="1">
        <f>ROW(CantoralDB[[#This Row],[Título]])-1</f>
        <v>390</v>
      </c>
      <c r="B391" s="1" t="s">
        <v>2036</v>
      </c>
      <c r="C391" s="1"/>
      <c r="H391" s="1" t="s">
        <v>472</v>
      </c>
      <c r="J391" s="1" t="s">
        <v>607</v>
      </c>
      <c r="M391" s="15" t="s">
        <v>480</v>
      </c>
      <c r="N391" s="1" t="s">
        <v>2039</v>
      </c>
      <c r="O391" s="15">
        <v>4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391" s="1"/>
      <c r="T391" s="1"/>
      <c r="U391" s="32" t="s">
        <v>3027</v>
      </c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391" s="15" t="str">
        <f>_xlfn.TEXTBEFORE(_xlfn.TEXTAFTER(CantoralDB[[#This Row],[index.html]],"&gt;"),"&gt;")&amp;"&gt;"</f>
        <v>&lt;a href="canciones/francisco_palazon/kyrie_eleison.html"&gt;</v>
      </c>
      <c r="X391"/>
      <c r="AA391" s="1"/>
      <c r="AB391" s="1"/>
    </row>
    <row r="392" spans="1:28" x14ac:dyDescent="0.3">
      <c r="A392" s="1">
        <f>ROW(CantoralDB[[#This Row],[Título]])-1</f>
        <v>391</v>
      </c>
      <c r="B392" s="1" t="s">
        <v>2037</v>
      </c>
      <c r="C392" s="1"/>
      <c r="H392" s="1" t="s">
        <v>1027</v>
      </c>
      <c r="J392" s="1" t="s">
        <v>607</v>
      </c>
      <c r="M392" s="15" t="s">
        <v>480</v>
      </c>
      <c r="N392" s="1" t="s">
        <v>2039</v>
      </c>
      <c r="O392" s="15">
        <v>5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392" s="1"/>
      <c r="T392" s="1"/>
      <c r="U392" s="32" t="s">
        <v>3028</v>
      </c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392" s="15" t="str">
        <f>_xlfn.TEXTBEFORE(_xlfn.TEXTAFTER(CantoralDB[[#This Row],[index.html]],"&gt;"),"&gt;")&amp;"&gt;"</f>
        <v>&lt;a href="canciones/francisco_palazon/te_ofrecemos_señor_sacrificios_y_oblaciones.html"&gt;</v>
      </c>
      <c r="X392"/>
      <c r="AA392" s="1"/>
      <c r="AB392" s="1"/>
    </row>
    <row r="393" spans="1:28" x14ac:dyDescent="0.3">
      <c r="A393" s="1">
        <f>ROW(CantoralDB[[#This Row],[Título]])-1</f>
        <v>392</v>
      </c>
      <c r="B393" s="1" t="s">
        <v>3029</v>
      </c>
      <c r="C393" s="1"/>
      <c r="H393" s="1" t="s">
        <v>472</v>
      </c>
      <c r="J393" s="1" t="s">
        <v>607</v>
      </c>
      <c r="M393" s="15" t="s">
        <v>480</v>
      </c>
      <c r="N393" s="1" t="s">
        <v>2039</v>
      </c>
      <c r="O393" s="15">
        <v>6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393" s="1"/>
      <c r="T393" s="1"/>
      <c r="U393" s="32" t="s">
        <v>3031</v>
      </c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393" s="15" t="str">
        <f>_xlfn.TEXTBEFORE(_xlfn.TEXTAFTER(CantoralDB[[#This Row],[index.html]],"&gt;"),"&gt;")&amp;"&gt;"</f>
        <v>&lt;a href="canciones/francisco_palazon/santo_(requiem).html"&gt;</v>
      </c>
      <c r="X393"/>
      <c r="AA393" s="1"/>
      <c r="AB393" s="1"/>
    </row>
    <row r="394" spans="1:28" x14ac:dyDescent="0.3">
      <c r="A394" s="1">
        <f>ROW(CantoralDB[[#This Row],[Título]])-1</f>
        <v>393</v>
      </c>
      <c r="B394" s="1" t="s">
        <v>3030</v>
      </c>
      <c r="C394" s="1"/>
      <c r="H394" s="1" t="s">
        <v>1026</v>
      </c>
      <c r="J394" s="1" t="s">
        <v>607</v>
      </c>
      <c r="M394" s="15" t="s">
        <v>480</v>
      </c>
      <c r="N394" s="1" t="s">
        <v>2039</v>
      </c>
      <c r="O394" s="15">
        <v>7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394" s="1"/>
      <c r="T394" s="1"/>
      <c r="U394" s="32" t="s">
        <v>3032</v>
      </c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394" s="15" t="str">
        <f>_xlfn.TEXTBEFORE(_xlfn.TEXTAFTER(CantoralDB[[#This Row],[index.html]],"&gt;"),"&gt;")&amp;"&gt;"</f>
        <v>&lt;a href="canciones/francisco_palazon/cordero_de_dios_(requiem).html"&gt;</v>
      </c>
      <c r="X394"/>
      <c r="AA394" s="1"/>
      <c r="AB394" s="1"/>
    </row>
    <row r="395" spans="1:28" x14ac:dyDescent="0.3">
      <c r="A395" s="1">
        <f>ROW(CantoralDB[[#This Row],[Título]])-1</f>
        <v>394</v>
      </c>
      <c r="B395" s="1" t="s">
        <v>3033</v>
      </c>
      <c r="C395" s="1"/>
      <c r="H395" s="1" t="s">
        <v>530</v>
      </c>
      <c r="J395" s="1" t="s">
        <v>607</v>
      </c>
      <c r="M395" s="15" t="s">
        <v>480</v>
      </c>
      <c r="N395" s="1" t="s">
        <v>2039</v>
      </c>
      <c r="O395" s="15">
        <v>8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395" s="1"/>
      <c r="T395" s="1"/>
      <c r="U395" s="32" t="s">
        <v>3034</v>
      </c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395" s="15" t="str">
        <f>_xlfn.TEXTBEFORE(_xlfn.TEXTAFTER(CantoralDB[[#This Row],[index.html]],"&gt;"),"&gt;")&amp;"&gt;"</f>
        <v>&lt;a href="canciones/francisco_palazon/este_es_el_pan_que_nos_da_jesus.html"&gt;</v>
      </c>
      <c r="X395"/>
      <c r="AA395" s="1"/>
      <c r="AB395" s="1"/>
    </row>
    <row r="396" spans="1:28" x14ac:dyDescent="0.3">
      <c r="A396" s="1">
        <f>ROW(CantoralDB[[#This Row],[Título]])-1</f>
        <v>395</v>
      </c>
      <c r="B396" s="1" t="s">
        <v>3038</v>
      </c>
      <c r="C396" s="1"/>
      <c r="H396" s="1" t="s">
        <v>1027</v>
      </c>
      <c r="J396" s="1" t="s">
        <v>607</v>
      </c>
      <c r="M396" s="15" t="s">
        <v>480</v>
      </c>
      <c r="N396" s="1" t="s">
        <v>2039</v>
      </c>
      <c r="O396" s="15">
        <v>9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396" s="1"/>
      <c r="T396" s="1"/>
      <c r="U396" s="32" t="s">
        <v>3037</v>
      </c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396" s="15" t="str">
        <f>_xlfn.TEXTBEFORE(_xlfn.TEXTAFTER(CantoralDB[[#This Row],[index.html]],"&gt;"),"&gt;")&amp;"&gt;"</f>
        <v>&lt;a href="canciones/francisco_palazon/al_paraiso_te_lleven_los_angeles.html"&gt;</v>
      </c>
      <c r="X396"/>
      <c r="AA396" s="1"/>
      <c r="AB396" s="1"/>
    </row>
    <row r="397" spans="1:28" x14ac:dyDescent="0.3">
      <c r="A397" s="1">
        <f>ROW(CantoralDB[[#This Row],[Título]])-1</f>
        <v>396</v>
      </c>
      <c r="B397" s="1" t="s">
        <v>2038</v>
      </c>
      <c r="C397" s="1"/>
      <c r="H397" s="1" t="s">
        <v>530</v>
      </c>
      <c r="J397" s="1" t="s">
        <v>607</v>
      </c>
      <c r="M397" s="15" t="s">
        <v>480</v>
      </c>
      <c r="N397" s="1" t="s">
        <v>2039</v>
      </c>
      <c r="O397" s="15">
        <v>10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397" s="1"/>
      <c r="T397" s="1"/>
      <c r="U397" s="32" t="s">
        <v>3039</v>
      </c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397" s="15" t="str">
        <f>_xlfn.TEXTBEFORE(_xlfn.TEXTAFTER(CantoralDB[[#This Row],[index.html]],"&gt;"),"&gt;")&amp;"&gt;"</f>
        <v>&lt;a href="canciones/francisco_palazon/eres_madre_dolorosa.html"&gt;</v>
      </c>
      <c r="X397"/>
      <c r="AA397" s="1"/>
      <c r="AB397" s="1"/>
    </row>
    <row r="398" spans="1:28" x14ac:dyDescent="0.3">
      <c r="A398" s="1">
        <f>ROW(CantoralDB[[#This Row],[Título]])-1</f>
        <v>397</v>
      </c>
      <c r="B398" s="1" t="s">
        <v>2043</v>
      </c>
      <c r="C398" s="1"/>
      <c r="H398" s="1" t="s">
        <v>1026</v>
      </c>
      <c r="J398" s="1" t="s">
        <v>607</v>
      </c>
      <c r="M398" s="15" t="s">
        <v>480</v>
      </c>
      <c r="N398" s="1" t="s">
        <v>2041</v>
      </c>
      <c r="O398" s="15">
        <v>1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398" s="1"/>
      <c r="T398" s="1"/>
      <c r="U398" s="32" t="s">
        <v>3065</v>
      </c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398" s="15" t="str">
        <f>_xlfn.TEXTBEFORE(_xlfn.TEXTAFTER(CantoralDB[[#This Row],[index.html]],"&gt;"),"&gt;")&amp;"&gt;"</f>
        <v>&lt;a href="canciones/francisco_palazon/para_que_escuchase_el_viento.html"&gt;</v>
      </c>
      <c r="X398"/>
      <c r="AA398" s="1"/>
      <c r="AB398" s="1"/>
    </row>
    <row r="399" spans="1:28" x14ac:dyDescent="0.3">
      <c r="A399" s="1">
        <f>ROW(CantoralDB[[#This Row],[Título]])-1</f>
        <v>398</v>
      </c>
      <c r="B399" s="1" t="s">
        <v>2044</v>
      </c>
      <c r="C399" s="1"/>
      <c r="H399" s="1" t="s">
        <v>530</v>
      </c>
      <c r="I399" s="1" t="s">
        <v>2950</v>
      </c>
      <c r="J399" s="1" t="s">
        <v>607</v>
      </c>
      <c r="M399" s="15" t="s">
        <v>480</v>
      </c>
      <c r="N399" s="1" t="s">
        <v>2041</v>
      </c>
      <c r="O399" s="15">
        <v>2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399" s="1"/>
      <c r="T399" s="1"/>
      <c r="U399" s="32" t="s">
        <v>3066</v>
      </c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399" s="15" t="str">
        <f>_xlfn.TEXTBEFORE(_xlfn.TEXTAFTER(CantoralDB[[#This Row],[index.html]],"&gt;"),"&gt;")&amp;"&gt;"</f>
        <v>&lt;a href="canciones/francisco_palazon/camino_a_jerico.html"&gt;</v>
      </c>
      <c r="X399"/>
      <c r="AA399" s="1"/>
      <c r="AB399" s="1"/>
    </row>
    <row r="400" spans="1:28" x14ac:dyDescent="0.3">
      <c r="A400" s="1">
        <f>ROW(CantoralDB[[#This Row],[Título]])-1</f>
        <v>399</v>
      </c>
      <c r="B400" s="1" t="s">
        <v>2045</v>
      </c>
      <c r="C400" s="1"/>
      <c r="H400" s="1" t="s">
        <v>1027</v>
      </c>
      <c r="J400" s="1" t="s">
        <v>607</v>
      </c>
      <c r="M400" s="15" t="s">
        <v>480</v>
      </c>
      <c r="N400" s="1" t="s">
        <v>2041</v>
      </c>
      <c r="O400" s="15">
        <v>3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400" s="1"/>
      <c r="T400" s="1"/>
      <c r="U400" s="32" t="s">
        <v>3067</v>
      </c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400" s="15" t="str">
        <f>_xlfn.TEXTBEFORE(_xlfn.TEXTAFTER(CantoralDB[[#This Row],[index.html]],"&gt;"),"&gt;")&amp;"&gt;"</f>
        <v>&lt;a href="canciones/francisco_palazon/trigo_y_cizaña.html"&gt;</v>
      </c>
      <c r="X400"/>
      <c r="AA400" s="1"/>
      <c r="AB400" s="1"/>
    </row>
    <row r="401" spans="1:28" x14ac:dyDescent="0.3">
      <c r="A401" s="1">
        <f>ROW(CantoralDB[[#This Row],[Título]])-1</f>
        <v>400</v>
      </c>
      <c r="B401" s="1" t="s">
        <v>2046</v>
      </c>
      <c r="C401" s="1"/>
      <c r="H401" s="1" t="s">
        <v>530</v>
      </c>
      <c r="I401" s="1" t="s">
        <v>2952</v>
      </c>
      <c r="J401" s="1" t="s">
        <v>607</v>
      </c>
      <c r="M401" s="15" t="s">
        <v>480</v>
      </c>
      <c r="N401" s="1" t="s">
        <v>2041</v>
      </c>
      <c r="O401" s="15">
        <v>4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401" s="1"/>
      <c r="T401" s="1"/>
      <c r="U401" s="32" t="s">
        <v>3068</v>
      </c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401" s="15" t="str">
        <f>_xlfn.TEXTBEFORE(_xlfn.TEXTAFTER(CantoralDB[[#This Row],[index.html]],"&gt;"),"&gt;")&amp;"&gt;"</f>
        <v>&lt;a href="canciones/francisco_palazon/administradores_del_amor.html"&gt;</v>
      </c>
      <c r="X401"/>
      <c r="AA401" s="1"/>
      <c r="AB401" s="1"/>
    </row>
    <row r="402" spans="1:28" x14ac:dyDescent="0.3">
      <c r="A402" s="1">
        <f>ROW(CantoralDB[[#This Row],[Título]])-1</f>
        <v>401</v>
      </c>
      <c r="B402" s="1" t="s">
        <v>2047</v>
      </c>
      <c r="C402" s="1"/>
      <c r="H402" s="1" t="s">
        <v>1029</v>
      </c>
      <c r="J402" s="1" t="s">
        <v>607</v>
      </c>
      <c r="M402" s="15" t="s">
        <v>480</v>
      </c>
      <c r="N402" s="1" t="s">
        <v>2041</v>
      </c>
      <c r="O402" s="15">
        <v>5</v>
      </c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402" s="1"/>
      <c r="T402" s="1"/>
      <c r="U402" s="32" t="s">
        <v>3069</v>
      </c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402" s="15" t="str">
        <f>_xlfn.TEXTBEFORE(_xlfn.TEXTAFTER(CantoralDB[[#This Row],[index.html]],"&gt;"),"&gt;")&amp;"&gt;"</f>
        <v>&lt;a href="canciones/francisco_palazon/la_oveja_negra.html"&gt;</v>
      </c>
      <c r="X402"/>
      <c r="AA402" s="1"/>
      <c r="AB402" s="1"/>
    </row>
    <row r="403" spans="1:28" x14ac:dyDescent="0.3">
      <c r="A403" s="1">
        <f>ROW(CantoralDB[[#This Row],[Título]])-1</f>
        <v>402</v>
      </c>
      <c r="B403" s="1" t="s">
        <v>2048</v>
      </c>
      <c r="C403" s="1"/>
      <c r="H403" s="1" t="s">
        <v>1026</v>
      </c>
      <c r="J403" s="1" t="s">
        <v>607</v>
      </c>
      <c r="M403" s="15" t="s">
        <v>480</v>
      </c>
      <c r="N403" s="1" t="s">
        <v>2041</v>
      </c>
      <c r="O403" s="15">
        <v>6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403" s="1"/>
      <c r="T403" s="1"/>
      <c r="U403" s="32" t="s">
        <v>3070</v>
      </c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403" s="15" t="str">
        <f>_xlfn.TEXTBEFORE(_xlfn.TEXTAFTER(CantoralDB[[#This Row],[index.html]],"&gt;"),"&gt;")&amp;"&gt;"</f>
        <v>&lt;a href="canciones/francisco_palazon/noche_y_dia_en_altamar.html"&gt;</v>
      </c>
      <c r="X403"/>
      <c r="AA403" s="1"/>
      <c r="AB403" s="1"/>
    </row>
    <row r="404" spans="1:28" x14ac:dyDescent="0.3">
      <c r="A404" s="1">
        <f>ROW(CantoralDB[[#This Row],[Título]])-1</f>
        <v>403</v>
      </c>
      <c r="B404" s="1" t="s">
        <v>2049</v>
      </c>
      <c r="C404" s="1"/>
      <c r="E404" s="1">
        <v>91</v>
      </c>
      <c r="H404" s="1" t="s">
        <v>1029</v>
      </c>
      <c r="I404" s="1" t="s">
        <v>2952</v>
      </c>
      <c r="J404" s="1" t="s">
        <v>607</v>
      </c>
      <c r="M404" s="15" t="s">
        <v>480</v>
      </c>
      <c r="N404" s="1" t="s">
        <v>2041</v>
      </c>
      <c r="O404" s="15">
        <v>7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404" s="1"/>
      <c r="T404" s="1"/>
      <c r="U404" s="32" t="s">
        <v>3071</v>
      </c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404" s="15" t="str">
        <f>_xlfn.TEXTBEFORE(_xlfn.TEXTAFTER(CantoralDB[[#This Row],[index.html]],"&gt;"),"&gt;")&amp;"&gt;"</f>
        <v>&lt;a href="canciones/francisco_palazon/a_quien_se_parece.html"&gt;</v>
      </c>
      <c r="X404"/>
      <c r="AA404" s="1"/>
      <c r="AB404" s="1"/>
    </row>
    <row r="405" spans="1:28" x14ac:dyDescent="0.3">
      <c r="A405" s="1">
        <f>ROW(CantoralDB[[#This Row],[Título]])-1</f>
        <v>404</v>
      </c>
      <c r="B405" s="1" t="s">
        <v>2050</v>
      </c>
      <c r="C405" s="1"/>
      <c r="H405" s="1" t="s">
        <v>530</v>
      </c>
      <c r="I405" s="1" t="s">
        <v>2954</v>
      </c>
      <c r="J405" s="1" t="s">
        <v>607</v>
      </c>
      <c r="M405" s="15" t="s">
        <v>480</v>
      </c>
      <c r="N405" s="1" t="s">
        <v>2041</v>
      </c>
      <c r="O405" s="15">
        <v>8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405" s="1"/>
      <c r="T405" s="1"/>
      <c r="U405" s="32" t="s">
        <v>3072</v>
      </c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405" s="15" t="str">
        <f>_xlfn.TEXTBEFORE(_xlfn.TEXTAFTER(CantoralDB[[#This Row],[index.html]],"&gt;"),"&gt;")&amp;"&gt;"</f>
        <v>&lt;a href="canciones/francisco_palazon/un_hombre_una_tierra.html"&gt;</v>
      </c>
      <c r="X405"/>
      <c r="AA405" s="1"/>
      <c r="AB405" s="1"/>
    </row>
    <row r="406" spans="1:28" x14ac:dyDescent="0.3">
      <c r="A406" s="1">
        <f>ROW(CantoralDB[[#This Row],[Título]])-1</f>
        <v>405</v>
      </c>
      <c r="B406" s="1" t="s">
        <v>2051</v>
      </c>
      <c r="C406" s="1"/>
      <c r="H406" s="1" t="s">
        <v>530</v>
      </c>
      <c r="J406" s="1" t="s">
        <v>607</v>
      </c>
      <c r="M406" s="15" t="s">
        <v>480</v>
      </c>
      <c r="N406" s="1" t="s">
        <v>2041</v>
      </c>
      <c r="O406" s="15">
        <v>9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406" s="1"/>
      <c r="T406" s="1"/>
      <c r="U406" s="32" t="s">
        <v>3073</v>
      </c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406" s="15" t="str">
        <f>_xlfn.TEXTBEFORE(_xlfn.TEXTAFTER(CantoralDB[[#This Row],[index.html]],"&gt;"),"&gt;")&amp;"&gt;"</f>
        <v>&lt;a href="canciones/francisco_palazon/de_par_en_par.html"&gt;</v>
      </c>
      <c r="X406"/>
      <c r="AA406" s="1"/>
      <c r="AB406" s="1"/>
    </row>
    <row r="407" spans="1:28" x14ac:dyDescent="0.3">
      <c r="A407" s="1">
        <f>ROW(CantoralDB[[#This Row],[Título]])-1</f>
        <v>406</v>
      </c>
      <c r="B407" s="1" t="s">
        <v>2052</v>
      </c>
      <c r="C407" s="1"/>
      <c r="H407" s="1" t="s">
        <v>1029</v>
      </c>
      <c r="I407" s="1" t="s">
        <v>2952</v>
      </c>
      <c r="J407" s="1" t="s">
        <v>607</v>
      </c>
      <c r="M407" s="15" t="s">
        <v>480</v>
      </c>
      <c r="N407" s="1" t="s">
        <v>2041</v>
      </c>
      <c r="O407" s="15">
        <v>10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407" s="1"/>
      <c r="T407" s="1"/>
      <c r="U407" s="32" t="s">
        <v>3074</v>
      </c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407" s="15" t="str">
        <f>_xlfn.TEXTBEFORE(_xlfn.TEXTAFTER(CantoralDB[[#This Row],[index.html]],"&gt;"),"&gt;")&amp;"&gt;"</f>
        <v>&lt;a href="canciones/francisco_palazon/el_hijo_prodigo.html"&gt;</v>
      </c>
      <c r="X407"/>
      <c r="AA407" s="1"/>
      <c r="AB407" s="1"/>
    </row>
    <row r="408" spans="1:28" x14ac:dyDescent="0.3">
      <c r="A408" s="1">
        <f>ROW(CantoralDB[[#This Row],[Título]])-1</f>
        <v>407</v>
      </c>
      <c r="B408" s="1" t="s">
        <v>2053</v>
      </c>
      <c r="C408" s="1"/>
      <c r="H408" s="1" t="s">
        <v>530</v>
      </c>
      <c r="J408" s="1" t="s">
        <v>607</v>
      </c>
      <c r="M408" s="15" t="s">
        <v>480</v>
      </c>
      <c r="N408" s="1" t="s">
        <v>2042</v>
      </c>
      <c r="O408" s="15">
        <v>1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408" s="1"/>
      <c r="T408" s="1"/>
      <c r="U408" s="32" t="s">
        <v>3055</v>
      </c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408" s="15" t="str">
        <f>_xlfn.TEXTBEFORE(_xlfn.TEXTAFTER(CantoralDB[[#This Row],[index.html]],"&gt;"),"&gt;")&amp;"&gt;"</f>
        <v>&lt;a href="canciones/francisco_palazon/en_la_plaza_de_un_pueblo.html"&gt;</v>
      </c>
      <c r="X408"/>
      <c r="AA408" s="1"/>
      <c r="AB408" s="1"/>
    </row>
    <row r="409" spans="1:28" x14ac:dyDescent="0.3">
      <c r="A409" s="1">
        <f>ROW(CantoralDB[[#This Row],[Título]])-1</f>
        <v>408</v>
      </c>
      <c r="B409" s="1" t="s">
        <v>2054</v>
      </c>
      <c r="C409" s="1"/>
      <c r="H409" s="1" t="s">
        <v>1026</v>
      </c>
      <c r="J409" s="1" t="s">
        <v>607</v>
      </c>
      <c r="M409" s="15" t="s">
        <v>480</v>
      </c>
      <c r="N409" s="1" t="s">
        <v>2042</v>
      </c>
      <c r="O409" s="15">
        <v>2</v>
      </c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409" s="1"/>
      <c r="T409" s="1"/>
      <c r="U409" s="32" t="s">
        <v>3056</v>
      </c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409" s="15" t="str">
        <f>_xlfn.TEXTBEFORE(_xlfn.TEXTAFTER(CantoralDB[[#This Row],[index.html]],"&gt;"),"&gt;")&amp;"&gt;"</f>
        <v>&lt;a href="canciones/francisco_palazon/fariseo_y_publicano.html"&gt;</v>
      </c>
      <c r="X409"/>
      <c r="AA409" s="1"/>
      <c r="AB409" s="1"/>
    </row>
    <row r="410" spans="1:28" x14ac:dyDescent="0.3">
      <c r="A410" s="1">
        <f>ROW(CantoralDB[[#This Row],[Título]])-1</f>
        <v>409</v>
      </c>
      <c r="B410" s="1" t="s">
        <v>2055</v>
      </c>
      <c r="C410" s="1"/>
      <c r="H410" s="1" t="s">
        <v>530</v>
      </c>
      <c r="J410" s="1" t="s">
        <v>607</v>
      </c>
      <c r="M410" s="15" t="s">
        <v>480</v>
      </c>
      <c r="N410" s="1" t="s">
        <v>2042</v>
      </c>
      <c r="O410" s="15">
        <v>3</v>
      </c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410" s="1"/>
      <c r="T410" s="1"/>
      <c r="U410" s="32" t="s">
        <v>3057</v>
      </c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410" s="15" t="str">
        <f>_xlfn.TEXTBEFORE(_xlfn.TEXTAFTER(CantoralDB[[#This Row],[index.html]],"&gt;"),"&gt;")&amp;"&gt;"</f>
        <v>&lt;a href="canciones/francisco_palazon/de_cosas_sencillas.html"&gt;</v>
      </c>
      <c r="X410"/>
      <c r="AA410" s="1"/>
      <c r="AB410" s="1"/>
    </row>
    <row r="411" spans="1:28" x14ac:dyDescent="0.3">
      <c r="A411" s="1">
        <f>ROW(CantoralDB[[#This Row],[Título]])-1</f>
        <v>410</v>
      </c>
      <c r="B411" s="1" t="s">
        <v>2056</v>
      </c>
      <c r="C411" s="1"/>
      <c r="H411" s="1" t="s">
        <v>1029</v>
      </c>
      <c r="J411" s="1" t="s">
        <v>607</v>
      </c>
      <c r="M411" s="15" t="s">
        <v>480</v>
      </c>
      <c r="N411" s="1" t="s">
        <v>2042</v>
      </c>
      <c r="O411" s="15">
        <v>4</v>
      </c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411" s="1"/>
      <c r="T411" s="1"/>
      <c r="U411" s="32" t="s">
        <v>3058</v>
      </c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411" s="15" t="str">
        <f>_xlfn.TEXTBEFORE(_xlfn.TEXTAFTER(CantoralDB[[#This Row],[index.html]],"&gt;"),"&gt;")&amp;"&gt;"</f>
        <v>&lt;a href="canciones/francisco_palazon/y_ciegos_son_los_hombres.html"&gt;</v>
      </c>
      <c r="X411"/>
      <c r="AA411" s="1"/>
      <c r="AB411" s="1"/>
    </row>
    <row r="412" spans="1:28" x14ac:dyDescent="0.3">
      <c r="A412" s="1">
        <f>ROW(CantoralDB[[#This Row],[Título]])-1</f>
        <v>411</v>
      </c>
      <c r="B412" s="1" t="s">
        <v>2057</v>
      </c>
      <c r="C412" s="1"/>
      <c r="H412" s="1" t="s">
        <v>1026</v>
      </c>
      <c r="J412" s="1" t="s">
        <v>607</v>
      </c>
      <c r="M412" s="15" t="s">
        <v>480</v>
      </c>
      <c r="N412" s="1" t="s">
        <v>2042</v>
      </c>
      <c r="O412" s="15">
        <v>5</v>
      </c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412" s="1"/>
      <c r="T412" s="1"/>
      <c r="U412" s="32" t="s">
        <v>3059</v>
      </c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412" s="15" t="str">
        <f>_xlfn.TEXTBEFORE(_xlfn.TEXTAFTER(CantoralDB[[#This Row],[index.html]],"&gt;"),"&gt;")&amp;"&gt;"</f>
        <v>&lt;a href="canciones/francisco_palazon/en_la_viña_del_señor.html"&gt;</v>
      </c>
      <c r="X412"/>
      <c r="AA412" s="1"/>
      <c r="AB412" s="1"/>
    </row>
    <row r="413" spans="1:28" x14ac:dyDescent="0.3">
      <c r="A413" s="1">
        <f>ROW(CantoralDB[[#This Row],[Título]])-1</f>
        <v>412</v>
      </c>
      <c r="B413" s="1" t="s">
        <v>2058</v>
      </c>
      <c r="C413" s="1"/>
      <c r="H413" s="1" t="s">
        <v>1029</v>
      </c>
      <c r="J413" s="1" t="s">
        <v>607</v>
      </c>
      <c r="M413" s="15" t="s">
        <v>480</v>
      </c>
      <c r="N413" s="1" t="s">
        <v>2042</v>
      </c>
      <c r="O413" s="15">
        <v>6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413" s="1"/>
      <c r="T413" s="1"/>
      <c r="U413" s="32" t="s">
        <v>3060</v>
      </c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413" s="15" t="str">
        <f>_xlfn.TEXTBEFORE(_xlfn.TEXTAFTER(CantoralDB[[#This Row],[index.html]],"&gt;"),"&gt;")&amp;"&gt;"</f>
        <v>&lt;a href="canciones/francisco_palazon/invitacion.html"&gt;</v>
      </c>
      <c r="X413"/>
      <c r="AA413" s="1"/>
      <c r="AB413" s="1"/>
    </row>
    <row r="414" spans="1:28" x14ac:dyDescent="0.3">
      <c r="A414" s="1">
        <f>ROW(CantoralDB[[#This Row],[Título]])-1</f>
        <v>413</v>
      </c>
      <c r="B414" s="1" t="s">
        <v>2059</v>
      </c>
      <c r="C414" s="1"/>
      <c r="H414" s="1" t="s">
        <v>2959</v>
      </c>
      <c r="J414" s="1" t="s">
        <v>607</v>
      </c>
      <c r="M414" s="15" t="s">
        <v>480</v>
      </c>
      <c r="N414" s="1" t="s">
        <v>2042</v>
      </c>
      <c r="O414" s="15">
        <v>7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414" s="1"/>
      <c r="T414" s="1"/>
      <c r="U414" s="32" t="s">
        <v>3061</v>
      </c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414" s="15" t="str">
        <f>_xlfn.TEXTBEFORE(_xlfn.TEXTAFTER(CantoralDB[[#This Row],[index.html]],"&gt;"),"&gt;")&amp;"&gt;"</f>
        <v>&lt;a href="canciones/francisco_palazon/dos_señores.html"&gt;</v>
      </c>
      <c r="X414"/>
      <c r="AA414" s="1"/>
      <c r="AB414" s="1"/>
    </row>
    <row r="415" spans="1:28" x14ac:dyDescent="0.3">
      <c r="A415" s="1">
        <f>ROW(CantoralDB[[#This Row],[Título]])-1</f>
        <v>414</v>
      </c>
      <c r="B415" s="1" t="s">
        <v>2060</v>
      </c>
      <c r="C415" s="1"/>
      <c r="H415" s="1" t="s">
        <v>2959</v>
      </c>
      <c r="J415" s="1" t="s">
        <v>607</v>
      </c>
      <c r="M415" s="15" t="s">
        <v>480</v>
      </c>
      <c r="N415" s="1" t="s">
        <v>2042</v>
      </c>
      <c r="O415" s="15">
        <v>8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415" s="1"/>
      <c r="T415" s="1"/>
      <c r="U415" s="32" t="s">
        <v>3062</v>
      </c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415" s="15" t="str">
        <f>_xlfn.TEXTBEFORE(_xlfn.TEXTAFTER(CantoralDB[[#This Row],[index.html]],"&gt;"),"&gt;")&amp;"&gt;"</f>
        <v>&lt;a href="canciones/francisco_palazon/buen_pastor.html"&gt;</v>
      </c>
      <c r="X415"/>
      <c r="AA415" s="1"/>
      <c r="AB415" s="1"/>
    </row>
    <row r="416" spans="1:28" x14ac:dyDescent="0.3">
      <c r="A416" s="1">
        <f>ROW(CantoralDB[[#This Row],[Título]])-1</f>
        <v>415</v>
      </c>
      <c r="B416" s="1" t="s">
        <v>2061</v>
      </c>
      <c r="C416" s="1"/>
      <c r="H416" s="1" t="s">
        <v>1029</v>
      </c>
      <c r="J416" s="1" t="s">
        <v>607</v>
      </c>
      <c r="M416" s="15" t="s">
        <v>480</v>
      </c>
      <c r="N416" s="1" t="s">
        <v>2042</v>
      </c>
      <c r="O416" s="15">
        <v>9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416" s="1"/>
      <c r="T416" s="1"/>
      <c r="U416" s="32" t="s">
        <v>3063</v>
      </c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416" s="15" t="str">
        <f>_xlfn.TEXTBEFORE(_xlfn.TEXTAFTER(CantoralDB[[#This Row],[index.html]],"&gt;"),"&gt;")&amp;"&gt;"</f>
        <v>&lt;a href="canciones/francisco_palazon/el_pobre_lazaro.html"&gt;</v>
      </c>
      <c r="X416"/>
      <c r="AA416" s="1"/>
      <c r="AB416" s="1"/>
    </row>
    <row r="417" spans="1:28" x14ac:dyDescent="0.3">
      <c r="A417" s="1">
        <f>ROW(CantoralDB[[#This Row],[Título]])-1</f>
        <v>416</v>
      </c>
      <c r="B417" s="1" t="s">
        <v>2356</v>
      </c>
      <c r="C417" s="1"/>
      <c r="H417" s="1" t="s">
        <v>1042</v>
      </c>
      <c r="J417" s="1" t="s">
        <v>607</v>
      </c>
      <c r="M417" s="15" t="s">
        <v>480</v>
      </c>
      <c r="N417" s="1" t="s">
        <v>2042</v>
      </c>
      <c r="O417" s="15">
        <v>10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417" s="1"/>
      <c r="T417" s="1"/>
      <c r="U417" s="32" t="s">
        <v>3064</v>
      </c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417" s="15" t="str">
        <f>_xlfn.TEXTBEFORE(_xlfn.TEXTAFTER(CantoralDB[[#This Row],[index.html]],"&gt;"),"&gt;")&amp;"&gt;"</f>
        <v>&lt;a href="canciones/francisco_palazon/despues_de_la_medianoche.html"&gt;</v>
      </c>
      <c r="X417"/>
      <c r="AA417" s="1"/>
      <c r="AB417" s="1"/>
    </row>
    <row r="418" spans="1:28" x14ac:dyDescent="0.3">
      <c r="A418" s="1">
        <f>ROW(CantoralDB[[#This Row],[Título]])-1</f>
        <v>417</v>
      </c>
      <c r="B418" s="1" t="s">
        <v>1246</v>
      </c>
      <c r="C418" s="1"/>
      <c r="E418" s="1">
        <v>110</v>
      </c>
      <c r="H418" s="1" t="s">
        <v>1029</v>
      </c>
      <c r="J418" s="1" t="s">
        <v>607</v>
      </c>
      <c r="M418" s="15" t="s">
        <v>480</v>
      </c>
      <c r="N418" s="1" t="s">
        <v>2220</v>
      </c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418" s="1"/>
      <c r="T418" s="1"/>
      <c r="U418" s="15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418" s="15" t="str">
        <f>_xlfn.TEXTBEFORE(_xlfn.TEXTAFTER(CantoralDB[[#This Row],[index.html]],"&gt;"),"&gt;")&amp;"&gt;"</f>
        <v>&lt;a href="canciones/francisco_palazon/el_señor_ha_estado_grande_con_nosotros.html"&gt;</v>
      </c>
      <c r="X418"/>
      <c r="AA418" s="1"/>
      <c r="AB418" s="1"/>
    </row>
    <row r="419" spans="1:28" x14ac:dyDescent="0.3">
      <c r="A419" s="1">
        <f>ROW(CantoralDB[[#This Row],[Título]])-1</f>
        <v>418</v>
      </c>
      <c r="B419" s="1" t="s">
        <v>127</v>
      </c>
      <c r="C419" s="1" t="s">
        <v>190</v>
      </c>
      <c r="D419" s="1" t="s">
        <v>750</v>
      </c>
      <c r="E419" s="1">
        <v>453</v>
      </c>
      <c r="G419" s="1" t="s">
        <v>208</v>
      </c>
      <c r="H419" s="1" t="s">
        <v>1029</v>
      </c>
      <c r="J419" s="1" t="s">
        <v>607</v>
      </c>
      <c r="M419" s="15" t="s">
        <v>480</v>
      </c>
      <c r="N419" s="1" t="s">
        <v>1925</v>
      </c>
      <c r="O419" s="15">
        <v>1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419" s="1"/>
      <c r="T419" s="1"/>
      <c r="U419" s="32" t="s">
        <v>3642</v>
      </c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419" s="15" t="str">
        <f>_xlfn.TEXTBEFORE(_xlfn.TEXTAFTER(CantoralDB[[#This Row],[index.html]],"&gt;"),"&gt;")&amp;"&gt;"</f>
        <v>&lt;a href="canciones/francisco_palazon/reunidos_en_el_nombre_del_señor.html"&gt;</v>
      </c>
      <c r="X419"/>
      <c r="AA419" s="1"/>
      <c r="AB419" s="1"/>
    </row>
    <row r="420" spans="1:28" x14ac:dyDescent="0.3">
      <c r="A420" s="1">
        <f>ROW(CantoralDB[[#This Row],[Título]])-1</f>
        <v>419</v>
      </c>
      <c r="B420" s="1" t="s">
        <v>2184</v>
      </c>
      <c r="C420" s="1"/>
      <c r="J420" s="1"/>
      <c r="M420" s="15" t="s">
        <v>480</v>
      </c>
      <c r="N420" s="1" t="s">
        <v>1925</v>
      </c>
      <c r="O420" s="15">
        <v>2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420" s="1"/>
      <c r="T420" s="1"/>
      <c r="U420" s="32" t="s">
        <v>3643</v>
      </c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420" s="15" t="str">
        <f>_xlfn.TEXTBEFORE(_xlfn.TEXTAFTER(CantoralDB[[#This Row],[index.html]],"&gt;"),"&gt;")&amp;"&gt;"</f>
        <v>&lt;a href="canciones/francisco_palazon/señor_ten_piedad_(reunidos_en_su_nombre).html"&gt;</v>
      </c>
      <c r="X420"/>
      <c r="AA420" s="1"/>
      <c r="AB420" s="1"/>
    </row>
    <row r="421" spans="1:28" x14ac:dyDescent="0.3">
      <c r="A421" s="1">
        <f>ROW(CantoralDB[[#This Row],[Título]])-1</f>
        <v>420</v>
      </c>
      <c r="B421" s="1" t="s">
        <v>2185</v>
      </c>
      <c r="C421" s="1"/>
      <c r="J421" s="1"/>
      <c r="M421" s="15" t="s">
        <v>480</v>
      </c>
      <c r="N421" s="1" t="s">
        <v>1925</v>
      </c>
      <c r="O421" s="15">
        <v>3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421" s="1"/>
      <c r="T421" s="1"/>
      <c r="U421" s="32" t="s">
        <v>3644</v>
      </c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421" s="15" t="str">
        <f>_xlfn.TEXTBEFORE(_xlfn.TEXTAFTER(CantoralDB[[#This Row],[index.html]],"&gt;"),"&gt;")&amp;"&gt;"</f>
        <v>&lt;a href="canciones/francisco_palazon/gloria_(reunidos_en_su_nombre).html"&gt;</v>
      </c>
      <c r="X421"/>
      <c r="AA421" s="1"/>
      <c r="AB421" s="1"/>
    </row>
    <row r="422" spans="1:28" x14ac:dyDescent="0.3">
      <c r="A422" s="1">
        <f>ROW(CantoralDB[[#This Row],[Título]])-1</f>
        <v>421</v>
      </c>
      <c r="B422" s="1" t="s">
        <v>2186</v>
      </c>
      <c r="C422" s="1"/>
      <c r="J422" s="1"/>
      <c r="M422" s="15" t="s">
        <v>480</v>
      </c>
      <c r="N422" s="1" t="s">
        <v>1925</v>
      </c>
      <c r="O422" s="15">
        <v>4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422" s="1"/>
      <c r="T422" s="1"/>
      <c r="U422" s="32" t="s">
        <v>3645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422" s="15" t="str">
        <f>_xlfn.TEXTBEFORE(_xlfn.TEXTAFTER(CantoralDB[[#This Row],[index.html]],"&gt;"),"&gt;")&amp;"&gt;"</f>
        <v>&lt;a href="canciones/francisco_palazon/santo_(reunidos_en_su_nombre).html"&gt;</v>
      </c>
      <c r="X422"/>
      <c r="AA422" s="1"/>
      <c r="AB422" s="1"/>
    </row>
    <row r="423" spans="1:28" x14ac:dyDescent="0.3">
      <c r="A423" s="1">
        <f>ROW(CantoralDB[[#This Row],[Título]])-1</f>
        <v>422</v>
      </c>
      <c r="B423" s="1" t="s">
        <v>2187</v>
      </c>
      <c r="C423" s="1"/>
      <c r="J423" s="1"/>
      <c r="M423" s="15" t="s">
        <v>480</v>
      </c>
      <c r="N423" s="1" t="s">
        <v>1925</v>
      </c>
      <c r="O423" s="15">
        <v>5</v>
      </c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423" s="1"/>
      <c r="T423" s="1"/>
      <c r="U423" s="32" t="s">
        <v>3646</v>
      </c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423" s="15" t="str">
        <f>_xlfn.TEXTBEFORE(_xlfn.TEXTAFTER(CantoralDB[[#This Row],[index.html]],"&gt;"),"&gt;")&amp;"&gt;"</f>
        <v>&lt;a href="canciones/francisco_palazon/gustad_y_ved.html"&gt;</v>
      </c>
      <c r="X423"/>
      <c r="AA423" s="1"/>
      <c r="AB423" s="1"/>
    </row>
    <row r="424" spans="1:28" x14ac:dyDescent="0.3">
      <c r="A424" s="1">
        <f>ROW(CantoralDB[[#This Row],[Título]])-1</f>
        <v>423</v>
      </c>
      <c r="B424" s="1" t="s">
        <v>2188</v>
      </c>
      <c r="C424" s="1"/>
      <c r="J424" s="1"/>
      <c r="M424" s="15" t="s">
        <v>480</v>
      </c>
      <c r="N424" s="1" t="s">
        <v>1925</v>
      </c>
      <c r="O424" s="15">
        <v>6</v>
      </c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424" s="1"/>
      <c r="T424" s="1"/>
      <c r="U424" s="32" t="s">
        <v>3647</v>
      </c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424" s="15" t="str">
        <f>_xlfn.TEXTBEFORE(_xlfn.TEXTAFTER(CantoralDB[[#This Row],[index.html]],"&gt;"),"&gt;")&amp;"&gt;"</f>
        <v>&lt;a href="canciones/francisco_palazon/te_ofrecemos_señor.html"&gt;</v>
      </c>
      <c r="X424"/>
      <c r="AA424" s="1"/>
      <c r="AB424" s="1"/>
    </row>
    <row r="425" spans="1:28" x14ac:dyDescent="0.3">
      <c r="A425" s="1">
        <f>ROW(CantoralDB[[#This Row],[Título]])-1</f>
        <v>424</v>
      </c>
      <c r="B425" s="1" t="s">
        <v>2189</v>
      </c>
      <c r="C425" s="1"/>
      <c r="J425" s="1"/>
      <c r="M425" s="15" t="s">
        <v>480</v>
      </c>
      <c r="N425" s="1" t="s">
        <v>1925</v>
      </c>
      <c r="O425" s="15">
        <v>7</v>
      </c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425" s="1"/>
      <c r="T425" s="1"/>
      <c r="U425" s="32" t="s">
        <v>3648</v>
      </c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425" s="15" t="str">
        <f>_xlfn.TEXTBEFORE(_xlfn.TEXTAFTER(CantoralDB[[#This Row],[index.html]],"&gt;"),"&gt;")&amp;"&gt;"</f>
        <v>&lt;a href="canciones/francisco_palazon/padre_nuestro_(reunidos_en_su_nombre).html"&gt;</v>
      </c>
      <c r="X425"/>
      <c r="AA425" s="1"/>
      <c r="AB425" s="1"/>
    </row>
    <row r="426" spans="1:28" x14ac:dyDescent="0.3">
      <c r="A426" s="1">
        <f>ROW(CantoralDB[[#This Row],[Título]])-1</f>
        <v>425</v>
      </c>
      <c r="B426" s="1" t="s">
        <v>2190</v>
      </c>
      <c r="C426" s="1"/>
      <c r="J426" s="1"/>
      <c r="M426" s="15" t="s">
        <v>480</v>
      </c>
      <c r="N426" s="1" t="s">
        <v>1925</v>
      </c>
      <c r="O426" s="15">
        <v>8</v>
      </c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426" s="1"/>
      <c r="T426" s="1"/>
      <c r="U426" s="32" t="s">
        <v>3649</v>
      </c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426" s="15" t="str">
        <f>_xlfn.TEXTBEFORE(_xlfn.TEXTAFTER(CantoralDB[[#This Row],[index.html]],"&gt;"),"&gt;")&amp;"&gt;"</f>
        <v>&lt;a href="canciones/francisco_palazon/cordero_de_dios_(reunidos_en_su_nombre).html"&gt;</v>
      </c>
      <c r="X426"/>
      <c r="AA426" s="1"/>
      <c r="AB426" s="1"/>
    </row>
    <row r="427" spans="1:28" x14ac:dyDescent="0.3">
      <c r="A427" s="1">
        <f>ROW(CantoralDB[[#This Row],[Título]])-1</f>
        <v>426</v>
      </c>
      <c r="B427" s="1" t="s">
        <v>1920</v>
      </c>
      <c r="C427" s="1"/>
      <c r="H427" s="1" t="s">
        <v>1029</v>
      </c>
      <c r="J427" s="1" t="s">
        <v>607</v>
      </c>
      <c r="M427" s="15" t="s">
        <v>480</v>
      </c>
      <c r="N427" s="1" t="s">
        <v>1925</v>
      </c>
      <c r="O427" s="15">
        <v>9</v>
      </c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27" s="1"/>
      <c r="T427" s="1"/>
      <c r="U427" s="32" t="s">
        <v>3650</v>
      </c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427" s="15" t="str">
        <f>_xlfn.TEXTBEFORE(_xlfn.TEXTAFTER(CantoralDB[[#This Row],[index.html]],"&gt;"),"&gt;")&amp;"&gt;"</f>
        <v>&lt;a href="canciones/francisco_palazon/tuyo_es_el_reino.html"&gt;</v>
      </c>
      <c r="X427"/>
      <c r="AA427" s="1"/>
      <c r="AB427" s="1"/>
    </row>
    <row r="428" spans="1:28" x14ac:dyDescent="0.3">
      <c r="A428" s="1">
        <f>ROW(CantoralDB[[#This Row],[Título]])-1</f>
        <v>427</v>
      </c>
      <c r="B428" s="1" t="s">
        <v>2191</v>
      </c>
      <c r="C428" s="1"/>
      <c r="J428" s="1"/>
      <c r="M428" s="15" t="s">
        <v>480</v>
      </c>
      <c r="N428" s="1" t="s">
        <v>1925</v>
      </c>
      <c r="O428" s="15">
        <v>10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428" s="1"/>
      <c r="T428" s="1"/>
      <c r="U428" s="32" t="s">
        <v>3651</v>
      </c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428" s="15" t="str">
        <f>_xlfn.TEXTBEFORE(_xlfn.TEXTAFTER(CantoralDB[[#This Row],[index.html]],"&gt;"),"&gt;")&amp;"&gt;"</f>
        <v>&lt;a href="canciones/francisco_palazon/el_pan_que_compartimos.html"&gt;</v>
      </c>
      <c r="X428"/>
      <c r="AA428" s="1"/>
      <c r="AB428" s="1"/>
    </row>
    <row r="429" spans="1:28" x14ac:dyDescent="0.3">
      <c r="A429" s="1">
        <f>ROW(CantoralDB[[#This Row],[Título]])-1</f>
        <v>428</v>
      </c>
      <c r="B429" s="1" t="s">
        <v>2027</v>
      </c>
      <c r="C429" s="1"/>
      <c r="H429" s="1" t="s">
        <v>1042</v>
      </c>
      <c r="J429" s="1" t="s">
        <v>607</v>
      </c>
      <c r="M429" s="15" t="s">
        <v>480</v>
      </c>
      <c r="N429" s="1" t="s">
        <v>1927</v>
      </c>
      <c r="O429" s="15">
        <v>1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429" s="1"/>
      <c r="T429" s="1"/>
      <c r="U429" s="32" t="s">
        <v>3049</v>
      </c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429" s="15" t="str">
        <f>_xlfn.TEXTBEFORE(_xlfn.TEXTAFTER(CantoralDB[[#This Row],[index.html]],"&gt;"),"&gt;")&amp;"&gt;"</f>
        <v>&lt;a href="canciones/francisco_palazon/bendice_alma_mia_al_señor.html"&gt;</v>
      </c>
      <c r="X429"/>
      <c r="AA429" s="1"/>
      <c r="AB429" s="1"/>
    </row>
    <row r="430" spans="1:28" x14ac:dyDescent="0.3">
      <c r="A430" s="1">
        <f>ROW(CantoralDB[[#This Row],[Título]])-1</f>
        <v>429</v>
      </c>
      <c r="B430" s="1" t="s">
        <v>2028</v>
      </c>
      <c r="C430" s="1"/>
      <c r="H430" s="1" t="s">
        <v>1027</v>
      </c>
      <c r="J430" s="1" t="s">
        <v>607</v>
      </c>
      <c r="M430" s="15" t="s">
        <v>480</v>
      </c>
      <c r="N430" s="1" t="s">
        <v>1927</v>
      </c>
      <c r="O430" s="15">
        <v>2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430" s="1"/>
      <c r="T430" s="1"/>
      <c r="U430" s="32" t="s">
        <v>3050</v>
      </c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430" s="15" t="str">
        <f>_xlfn.TEXTBEFORE(_xlfn.TEXTAFTER(CantoralDB[[#This Row],[index.html]],"&gt;"),"&gt;")&amp;"&gt;"</f>
        <v>&lt;a href="canciones/francisco_palazon/alegrate_y_goza_jerusalen.html"&gt;</v>
      </c>
      <c r="X430"/>
      <c r="AA430" s="1"/>
      <c r="AB430" s="1"/>
    </row>
    <row r="431" spans="1:28" x14ac:dyDescent="0.3">
      <c r="A431" s="1">
        <f>ROW(CantoralDB[[#This Row],[Título]])-1</f>
        <v>430</v>
      </c>
      <c r="B431" s="1" t="s">
        <v>2029</v>
      </c>
      <c r="C431" s="1"/>
      <c r="H431" s="1" t="s">
        <v>530</v>
      </c>
      <c r="J431" s="1" t="s">
        <v>607</v>
      </c>
      <c r="M431" s="15" t="s">
        <v>480</v>
      </c>
      <c r="N431" s="1" t="s">
        <v>1927</v>
      </c>
      <c r="O431" s="15">
        <v>3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31" s="1"/>
      <c r="T431" s="1"/>
      <c r="U431" s="32" t="s">
        <v>3051</v>
      </c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431" s="15" t="str">
        <f>_xlfn.TEXTBEFORE(_xlfn.TEXTAFTER(CantoralDB[[#This Row],[index.html]],"&gt;"),"&gt;")&amp;"&gt;"</f>
        <v>&lt;a href="canciones/francisco_palazon/te_doy_gracias_señor.html"&gt;</v>
      </c>
      <c r="X431"/>
      <c r="AA431" s="1"/>
      <c r="AB431" s="1"/>
    </row>
    <row r="432" spans="1:28" x14ac:dyDescent="0.3">
      <c r="A432" s="1">
        <f>ROW(CantoralDB[[#This Row],[Título]])-1</f>
        <v>431</v>
      </c>
      <c r="B432" s="1" t="s">
        <v>2030</v>
      </c>
      <c r="C432" s="1"/>
      <c r="H432" s="1" t="s">
        <v>1029</v>
      </c>
      <c r="J432" s="1" t="s">
        <v>607</v>
      </c>
      <c r="M432" s="15" t="s">
        <v>480</v>
      </c>
      <c r="N432" s="1" t="s">
        <v>1927</v>
      </c>
      <c r="O432" s="15">
        <v>4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432" s="1"/>
      <c r="T432" s="1"/>
      <c r="U432" s="32" t="s">
        <v>3052</v>
      </c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432" s="15" t="str">
        <f>_xlfn.TEXTBEFORE(_xlfn.TEXTAFTER(CantoralDB[[#This Row],[index.html]],"&gt;"),"&gt;")&amp;"&gt;"</f>
        <v>&lt;a href="canciones/francisco_palazon/aleluya_aleluya_aleluya.html"&gt;</v>
      </c>
      <c r="X432"/>
      <c r="AA432" s="1"/>
      <c r="AB432" s="1"/>
    </row>
    <row r="433" spans="1:28" x14ac:dyDescent="0.3">
      <c r="A433" s="1">
        <f>ROW(CantoralDB[[#This Row],[Título]])-1</f>
        <v>432</v>
      </c>
      <c r="B433" s="1" t="s">
        <v>2031</v>
      </c>
      <c r="C433" s="1"/>
      <c r="H433" s="1" t="s">
        <v>2958</v>
      </c>
      <c r="J433" s="1" t="s">
        <v>607</v>
      </c>
      <c r="M433" s="15" t="s">
        <v>480</v>
      </c>
      <c r="N433" s="1" t="s">
        <v>1927</v>
      </c>
      <c r="O433" s="15">
        <v>5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433" s="1"/>
      <c r="T433" s="1"/>
      <c r="U433" s="32" t="s">
        <v>3053</v>
      </c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433" s="15" t="str">
        <f>_xlfn.TEXTBEFORE(_xlfn.TEXTAFTER(CantoralDB[[#This Row],[index.html]],"&gt;"),"&gt;")&amp;"&gt;"</f>
        <v>&lt;a href="canciones/francisco_palazon/alabad_al_señor_por_su_inmensa_grandeza.html"&gt;</v>
      </c>
      <c r="X433"/>
      <c r="AA433" s="1"/>
      <c r="AB433" s="1"/>
    </row>
    <row r="434" spans="1:28" x14ac:dyDescent="0.3">
      <c r="A434" s="1">
        <f>ROW(CantoralDB[[#This Row],[Título]])-1</f>
        <v>433</v>
      </c>
      <c r="B434" s="1" t="s">
        <v>2032</v>
      </c>
      <c r="C434" s="1"/>
      <c r="E434" s="1">
        <v>232</v>
      </c>
      <c r="F434" s="1">
        <v>17</v>
      </c>
      <c r="H434" s="1" t="s">
        <v>530</v>
      </c>
      <c r="J434" s="1" t="s">
        <v>607</v>
      </c>
      <c r="M434" s="15" t="s">
        <v>480</v>
      </c>
      <c r="N434" s="1" t="s">
        <v>1927</v>
      </c>
      <c r="O434" s="15">
        <v>6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434" s="1"/>
      <c r="T434" s="1"/>
      <c r="U434" s="32" t="s">
        <v>3046</v>
      </c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434" s="15" t="str">
        <f>_xlfn.TEXTBEFORE(_xlfn.TEXTAFTER(CantoralDB[[#This Row],[index.html]],"&gt;"),"&gt;")&amp;"&gt;"</f>
        <v>&lt;a href="canciones/francisco_palazon/señor_dios_nuestro.html"&gt;</v>
      </c>
      <c r="X434"/>
      <c r="AA434" s="1"/>
      <c r="AB434" s="1"/>
    </row>
    <row r="435" spans="1:28" x14ac:dyDescent="0.3">
      <c r="A435" s="1">
        <f>ROW(CantoralDB[[#This Row],[Título]])-1</f>
        <v>434</v>
      </c>
      <c r="B435" s="1" t="s">
        <v>1319</v>
      </c>
      <c r="C435" s="1"/>
      <c r="E435" s="1">
        <v>240</v>
      </c>
      <c r="H435" s="1" t="s">
        <v>1026</v>
      </c>
      <c r="J435" s="1" t="s">
        <v>607</v>
      </c>
      <c r="M435" s="15" t="s">
        <v>480</v>
      </c>
      <c r="N435" s="1" t="s">
        <v>1927</v>
      </c>
      <c r="O435" s="15">
        <v>7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35" s="1"/>
      <c r="T435" s="1"/>
      <c r="U435" s="32" t="s">
        <v>3048</v>
      </c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435" s="15" t="str">
        <f>_xlfn.TEXTBEFORE(_xlfn.TEXTAFTER(CantoralDB[[#This Row],[index.html]],"&gt;"),"&gt;")&amp;"&gt;"</f>
        <v>&lt;a href="canciones/francisco_palazon/señor_tu_has_sido_nuestro_refugio.html"&gt;</v>
      </c>
      <c r="X435"/>
      <c r="AA435" s="1"/>
      <c r="AB435" s="1"/>
    </row>
    <row r="436" spans="1:28" x14ac:dyDescent="0.3">
      <c r="A436" s="1">
        <f>ROW(CantoralDB[[#This Row],[Título]])-1</f>
        <v>435</v>
      </c>
      <c r="B436" s="1" t="s">
        <v>31</v>
      </c>
      <c r="C436" s="1" t="s">
        <v>200</v>
      </c>
      <c r="D436" s="1" t="s">
        <v>1395</v>
      </c>
      <c r="E436" s="1">
        <v>41</v>
      </c>
      <c r="G436" s="1" t="s">
        <v>208</v>
      </c>
      <c r="H436" s="1" t="s">
        <v>1027</v>
      </c>
      <c r="J436" s="1" t="s">
        <v>607</v>
      </c>
      <c r="M436" s="15" t="s">
        <v>480</v>
      </c>
      <c r="N436" s="1" t="s">
        <v>1927</v>
      </c>
      <c r="O436" s="15">
        <v>8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36" s="1" t="s">
        <v>812</v>
      </c>
      <c r="T436" s="1"/>
      <c r="U436" s="32" t="s">
        <v>3047</v>
      </c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36" s="15" t="str">
        <f>_xlfn.TEXTBEFORE(_xlfn.TEXTAFTER(CantoralDB[[#This Row],[index.html]],"&gt;"),"&gt;")&amp;"&gt;"</f>
        <v>&lt;a href="canciones/francisco_palazon/cantare_eternamente.html"&gt;</v>
      </c>
      <c r="X436"/>
      <c r="AA436" s="1"/>
      <c r="AB436" s="1"/>
    </row>
    <row r="437" spans="1:28" x14ac:dyDescent="0.3">
      <c r="A437" s="1">
        <f>ROW(CantoralDB[[#This Row],[Título]])-1</f>
        <v>436</v>
      </c>
      <c r="B437" s="1" t="s">
        <v>2033</v>
      </c>
      <c r="C437" s="1"/>
      <c r="E437" s="1">
        <v>186</v>
      </c>
      <c r="F437" s="1">
        <v>36</v>
      </c>
      <c r="H437" s="1" t="s">
        <v>1042</v>
      </c>
      <c r="J437" s="1" t="s">
        <v>607</v>
      </c>
      <c r="M437" s="15" t="s">
        <v>480</v>
      </c>
      <c r="N437" s="1" t="s">
        <v>1927</v>
      </c>
      <c r="O437" s="15">
        <v>9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437" s="1"/>
      <c r="T437" s="1"/>
      <c r="U437" s="32" t="s">
        <v>2975</v>
      </c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437" s="15" t="str">
        <f>_xlfn.TEXTBEFORE(_xlfn.TEXTAFTER(CantoralDB[[#This Row],[index.html]],"&gt;"),"&gt;")&amp;"&gt;"</f>
        <v>&lt;a href="canciones/francisco_palazon/oh_dios_tu_mereces_un_himno_en_sion.html"&gt;</v>
      </c>
      <c r="X437"/>
      <c r="AA437" s="1"/>
      <c r="AB437" s="1"/>
    </row>
    <row r="438" spans="1:28" x14ac:dyDescent="0.3">
      <c r="A438" s="1">
        <f>ROW(CantoralDB[[#This Row],[Título]])-1</f>
        <v>437</v>
      </c>
      <c r="B438" s="1" t="s">
        <v>1153</v>
      </c>
      <c r="C438" s="1"/>
      <c r="E438" s="1">
        <v>2</v>
      </c>
      <c r="H438" s="1" t="s">
        <v>530</v>
      </c>
      <c r="J438" s="1" t="s">
        <v>607</v>
      </c>
      <c r="M438" s="15" t="s">
        <v>480</v>
      </c>
      <c r="N438" s="1" t="s">
        <v>1927</v>
      </c>
      <c r="O438" s="15">
        <v>10</v>
      </c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38" s="1"/>
      <c r="T438" s="1"/>
      <c r="U438" s="32" t="s">
        <v>2973</v>
      </c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38" s="15" t="str">
        <f>_xlfn.TEXTBEFORE(_xlfn.TEXTAFTER(CantoralDB[[#This Row],[index.html]],"&gt;"),"&gt;")&amp;"&gt;"</f>
        <v>&lt;a href="canciones/francisco_palazon/aclamad_justos_al_señor.html"&gt;</v>
      </c>
      <c r="X438"/>
      <c r="AA438" s="1"/>
      <c r="AB438" s="1"/>
    </row>
    <row r="439" spans="1:28" x14ac:dyDescent="0.3">
      <c r="A439" s="1">
        <f>ROW(CantoralDB[[#This Row],[Título]])-1</f>
        <v>438</v>
      </c>
      <c r="C439" s="1"/>
      <c r="J439" s="1"/>
      <c r="M439" s="15" t="s">
        <v>480</v>
      </c>
      <c r="N439" s="1" t="s">
        <v>2062</v>
      </c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439" s="15" t="str">
        <f>_xlfn.TEXTBEFORE(_xlfn.TEXTAFTER(CantoralDB[[#This Row],[index.html]],"&gt;"),"&gt;")&amp;"&gt;"</f>
        <v>&lt;a href="canciones/francisco_palazon/.html"&gt;</v>
      </c>
      <c r="X439"/>
      <c r="AA439" s="1"/>
      <c r="AB439" s="1"/>
    </row>
    <row r="440" spans="1:28" x14ac:dyDescent="0.3">
      <c r="A440" s="1">
        <f>ROW(CantoralDB[[#This Row],[Título]])-1</f>
        <v>439</v>
      </c>
      <c r="B440" s="1" t="s">
        <v>1216</v>
      </c>
      <c r="C440" s="1"/>
      <c r="E440" s="1">
        <v>100</v>
      </c>
      <c r="J440" s="1"/>
      <c r="M440" s="15" t="s">
        <v>480</v>
      </c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440" s="15" t="str">
        <f>_xlfn.TEXTBEFORE(_xlfn.TEXTAFTER(CantoralDB[[#This Row],[index.html]],"&gt;"),"&gt;")&amp;"&gt;"</f>
        <v>&lt;a href="canciones/francisco_palazon/el_señor_es_compasivo_y_misericordioso.html"&gt;</v>
      </c>
      <c r="X440"/>
      <c r="AA440" s="1"/>
      <c r="AB440" s="1"/>
    </row>
    <row r="441" spans="1:28" x14ac:dyDescent="0.3">
      <c r="A441" s="1">
        <f>ROW(CantoralDB[[#This Row],[Título]])-1</f>
        <v>440</v>
      </c>
      <c r="B441" s="1" t="s">
        <v>250</v>
      </c>
      <c r="C441" s="1" t="s">
        <v>992</v>
      </c>
      <c r="D441" s="1" t="s">
        <v>1003</v>
      </c>
      <c r="G441" s="1" t="s">
        <v>247</v>
      </c>
      <c r="H441" s="1" t="s">
        <v>472</v>
      </c>
      <c r="J441" s="1" t="s">
        <v>607</v>
      </c>
      <c r="M441" s="15" t="s">
        <v>480</v>
      </c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441" s="15" t="str">
        <f>_xlfn.TEXTBEFORE(_xlfn.TEXTAFTER(CantoralDB[[#This Row],[index.html]],"&gt;"),"&gt;")&amp;"&gt;"</f>
        <v>&lt;a href="canciones/francisco_palazon/si_me_falta_el_amor.html"&gt;</v>
      </c>
      <c r="X441"/>
      <c r="AA441" s="1"/>
      <c r="AB441" s="1"/>
    </row>
    <row r="442" spans="1:28" x14ac:dyDescent="0.3">
      <c r="A442" s="1">
        <f>ROW(CantoralDB[[#This Row],[Título]])-1</f>
        <v>441</v>
      </c>
      <c r="B442" s="1" t="s">
        <v>159</v>
      </c>
      <c r="C442" s="1" t="s">
        <v>198</v>
      </c>
      <c r="D442" s="1" t="s">
        <v>1473</v>
      </c>
      <c r="E442" s="1">
        <v>470</v>
      </c>
      <c r="F442" s="1" t="s">
        <v>2436</v>
      </c>
      <c r="G442" s="1" t="s">
        <v>208</v>
      </c>
      <c r="H442" s="1" t="s">
        <v>530</v>
      </c>
      <c r="I442" s="1" t="s">
        <v>2953</v>
      </c>
      <c r="J442" s="1" t="s">
        <v>607</v>
      </c>
      <c r="M442" s="15" t="s">
        <v>480</v>
      </c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42" s="15" t="str">
        <f>_xlfn.TEXTBEFORE(_xlfn.TEXTAFTER(CantoralDB[[#This Row],[index.html]],"&gt;"),"&gt;")&amp;"&gt;"</f>
        <v>&lt;a href="canciones/francisco_palazon/vaso_nuevo.html"&gt;</v>
      </c>
      <c r="X442"/>
      <c r="AA442" s="1"/>
      <c r="AB442" s="1"/>
    </row>
    <row r="443" spans="1:28" x14ac:dyDescent="0.3">
      <c r="A443" s="1">
        <f>ROW(CantoralDB[[#This Row],[Título]])-1</f>
        <v>442</v>
      </c>
      <c r="B443" s="1" t="s">
        <v>2908</v>
      </c>
      <c r="C443" s="1"/>
      <c r="E443" s="1">
        <v>281</v>
      </c>
      <c r="H443" s="1" t="s">
        <v>1027</v>
      </c>
      <c r="J443" s="1" t="s">
        <v>607</v>
      </c>
      <c r="M443" s="15" t="s">
        <v>480</v>
      </c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443" s="15" t="str">
        <f>_xlfn.TEXTBEFORE(_xlfn.TEXTAFTER(CantoralDB[[#This Row],[index.html]],"&gt;"),"&gt;")&amp;"&gt;"</f>
        <v>&lt;a href="canciones/francisco_palazon/ven_a_salvar_a_tu_pueblo.html"&gt;</v>
      </c>
      <c r="X443"/>
      <c r="AA443" s="1"/>
      <c r="AB443" s="1"/>
    </row>
    <row r="444" spans="1:28" x14ac:dyDescent="0.3">
      <c r="A444" s="1">
        <f>ROW(CantoralDB[[#This Row],[Título]])-1</f>
        <v>443</v>
      </c>
      <c r="B444" s="1" t="s">
        <v>1987</v>
      </c>
      <c r="C444" s="1"/>
      <c r="H444" s="1" t="s">
        <v>1028</v>
      </c>
      <c r="I444" s="1" t="s">
        <v>2953</v>
      </c>
      <c r="J444" s="1" t="s">
        <v>607</v>
      </c>
      <c r="M444" s="15" t="s">
        <v>260</v>
      </c>
      <c r="N444" s="1" t="s">
        <v>1940</v>
      </c>
      <c r="O444" s="15">
        <v>1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444" s="15" t="str">
        <f>_xlfn.TEXTBEFORE(_xlfn.TEXTAFTER(CantoralDB[[#This Row],[index.html]],"&gt;"),"&gt;")&amp;"&gt;"</f>
        <v>&lt;a href="canciones/hakuna/olor_a_tostadas.html"&gt;</v>
      </c>
      <c r="X444"/>
      <c r="AA444" s="1"/>
      <c r="AB444" s="1"/>
    </row>
    <row r="445" spans="1:28" x14ac:dyDescent="0.3">
      <c r="A445" s="1">
        <f>ROW(CantoralDB[[#This Row],[Título]])-1</f>
        <v>444</v>
      </c>
      <c r="B445" s="1" t="s">
        <v>1958</v>
      </c>
      <c r="C445" s="1"/>
      <c r="H445" s="1" t="s">
        <v>1029</v>
      </c>
      <c r="J445" s="1" t="s">
        <v>607</v>
      </c>
      <c r="M445" s="15" t="s">
        <v>260</v>
      </c>
      <c r="N445" s="1" t="s">
        <v>1940</v>
      </c>
      <c r="O445" s="15">
        <v>2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45" s="1"/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445" s="15" t="str">
        <f>_xlfn.TEXTBEFORE(_xlfn.TEXTAFTER(CantoralDB[[#This Row],[index.html]],"&gt;"),"&gt;")&amp;"&gt;"</f>
        <v>&lt;a href="canciones/hakuna/baila_y_dejate_de_historias.html"&gt;</v>
      </c>
      <c r="X445"/>
      <c r="AA445" s="1"/>
      <c r="AB445" s="1"/>
    </row>
    <row r="446" spans="1:28" x14ac:dyDescent="0.3">
      <c r="A446" s="1">
        <f>ROW(CantoralDB[[#This Row],[Título]])-1</f>
        <v>445</v>
      </c>
      <c r="B446" s="1" t="s">
        <v>1950</v>
      </c>
      <c r="C446" s="1"/>
      <c r="H446" s="1" t="s">
        <v>530</v>
      </c>
      <c r="I446" s="1" t="s">
        <v>2953</v>
      </c>
      <c r="J446" s="1" t="s">
        <v>607</v>
      </c>
      <c r="M446" s="15" t="s">
        <v>260</v>
      </c>
      <c r="N446" s="1" t="s">
        <v>1940</v>
      </c>
      <c r="O446" s="15">
        <v>3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446" s="15" t="str">
        <f>_xlfn.TEXTBEFORE(_xlfn.TEXTAFTER(CantoralDB[[#This Row],[index.html]],"&gt;"),"&gt;")&amp;"&gt;"</f>
        <v>&lt;a href="canciones/hakuna/ojala.html"&gt;</v>
      </c>
      <c r="X446"/>
      <c r="AA446" s="1"/>
      <c r="AB446" s="1"/>
    </row>
    <row r="447" spans="1:28" x14ac:dyDescent="0.3">
      <c r="A447" s="1">
        <f>ROW(CantoralDB[[#This Row],[Título]])-1</f>
        <v>446</v>
      </c>
      <c r="B447" s="1" t="s">
        <v>1993</v>
      </c>
      <c r="C447" s="1"/>
      <c r="H447" s="1" t="s">
        <v>1028</v>
      </c>
      <c r="J447" s="1" t="s">
        <v>607</v>
      </c>
      <c r="M447" s="15" t="s">
        <v>260</v>
      </c>
      <c r="N447" s="1" t="s">
        <v>1940</v>
      </c>
      <c r="O447" s="15">
        <v>4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447" s="15" t="str">
        <f>_xlfn.TEXTBEFORE(_xlfn.TEXTAFTER(CantoralDB[[#This Row],[index.html]],"&gt;"),"&gt;")&amp;"&gt;"</f>
        <v>&lt;a href="canciones/hakuna/cuarto_lugar.html"&gt;</v>
      </c>
      <c r="X447"/>
      <c r="AA447" s="1"/>
      <c r="AB447" s="1"/>
    </row>
    <row r="448" spans="1:28" x14ac:dyDescent="0.3">
      <c r="A448" s="1">
        <f>ROW(CantoralDB[[#This Row],[Título]])-1</f>
        <v>447</v>
      </c>
      <c r="B448" s="1" t="s">
        <v>1940</v>
      </c>
      <c r="C448" s="1"/>
      <c r="H448" s="1" t="s">
        <v>530</v>
      </c>
      <c r="I448" s="1" t="s">
        <v>2953</v>
      </c>
      <c r="J448" s="1" t="s">
        <v>607</v>
      </c>
      <c r="M448" s="15" t="s">
        <v>260</v>
      </c>
      <c r="N448" s="1" t="s">
        <v>1940</v>
      </c>
      <c r="O448" s="15">
        <v>5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448" s="15" t="str">
        <f>_xlfn.TEXTBEFORE(_xlfn.TEXTAFTER(CantoralDB[[#This Row],[index.html]],"&gt;"),"&gt;")&amp;"&gt;"</f>
        <v>&lt;a href="canciones/hakuna/capricho.html"&gt;</v>
      </c>
      <c r="X448"/>
      <c r="AA448" s="1"/>
      <c r="AB448" s="1"/>
    </row>
    <row r="449" spans="1:28" x14ac:dyDescent="0.3">
      <c r="A449" s="1">
        <f>ROW(CantoralDB[[#This Row],[Título]])-1</f>
        <v>448</v>
      </c>
      <c r="B449" s="1" t="s">
        <v>1986</v>
      </c>
      <c r="C449" s="1"/>
      <c r="H449" s="1" t="s">
        <v>1026</v>
      </c>
      <c r="I449" s="1" t="s">
        <v>2951</v>
      </c>
      <c r="J449" s="1" t="s">
        <v>607</v>
      </c>
      <c r="M449" s="15" t="s">
        <v>260</v>
      </c>
      <c r="N449" s="1" t="s">
        <v>1940</v>
      </c>
      <c r="O449" s="15">
        <v>6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449" s="15" t="str">
        <f>_xlfn.TEXTBEFORE(_xlfn.TEXTAFTER(CantoralDB[[#This Row],[index.html]],"&gt;"),"&gt;")&amp;"&gt;"</f>
        <v>&lt;a href="canciones/hakuna/pluma_de_escribano.html"&gt;</v>
      </c>
      <c r="X449"/>
      <c r="AA449" s="1"/>
      <c r="AB449" s="1"/>
    </row>
    <row r="450" spans="1:28" x14ac:dyDescent="0.3">
      <c r="A450" s="1">
        <f>ROW(CantoralDB[[#This Row],[Título]])-1</f>
        <v>449</v>
      </c>
      <c r="B450" s="1" t="s">
        <v>1985</v>
      </c>
      <c r="C450" s="1"/>
      <c r="H450" s="1" t="s">
        <v>1029</v>
      </c>
      <c r="I450" s="1" t="s">
        <v>2953</v>
      </c>
      <c r="J450" s="1" t="s">
        <v>607</v>
      </c>
      <c r="M450" s="15" t="s">
        <v>260</v>
      </c>
      <c r="N450" s="1" t="s">
        <v>1940</v>
      </c>
      <c r="O450" s="15">
        <v>7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50" s="1"/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450" s="15" t="str">
        <f>_xlfn.TEXTBEFORE(_xlfn.TEXTAFTER(CantoralDB[[#This Row],[index.html]],"&gt;"),"&gt;")&amp;"&gt;"</f>
        <v>&lt;a href="canciones/hakuna/nacidos_de_lo_alto.html"&gt;</v>
      </c>
      <c r="X450"/>
      <c r="AA450" s="1"/>
      <c r="AB450" s="1"/>
    </row>
    <row r="451" spans="1:28" x14ac:dyDescent="0.3">
      <c r="A451" s="1">
        <f>ROW(CantoralDB[[#This Row],[Título]])-1</f>
        <v>450</v>
      </c>
      <c r="B451" s="1" t="s">
        <v>1992</v>
      </c>
      <c r="C451" s="1"/>
      <c r="H451" s="1" t="s">
        <v>530</v>
      </c>
      <c r="I451" s="1" t="s">
        <v>2953</v>
      </c>
      <c r="J451" s="1" t="s">
        <v>607</v>
      </c>
      <c r="M451" s="15" t="s">
        <v>260</v>
      </c>
      <c r="N451" s="1" t="s">
        <v>1940</v>
      </c>
      <c r="O451" s="15">
        <v>8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451" s="15" t="str">
        <f>_xlfn.TEXTBEFORE(_xlfn.TEXTAFTER(CantoralDB[[#This Row],[index.html]],"&gt;"),"&gt;")&amp;"&gt;"</f>
        <v>&lt;a href="canciones/hakuna/por_que_lloras.html"&gt;</v>
      </c>
      <c r="X451"/>
      <c r="AA451" s="1"/>
      <c r="AB451" s="1"/>
    </row>
    <row r="452" spans="1:28" x14ac:dyDescent="0.3">
      <c r="A452" s="1">
        <f>ROW(CantoralDB[[#This Row],[Título]])-1</f>
        <v>451</v>
      </c>
      <c r="B452" s="1" t="s">
        <v>1990</v>
      </c>
      <c r="C452" s="1"/>
      <c r="H452" s="1" t="s">
        <v>530</v>
      </c>
      <c r="I452" s="1" t="s">
        <v>2952</v>
      </c>
      <c r="J452" s="1" t="s">
        <v>607</v>
      </c>
      <c r="M452" s="15" t="s">
        <v>260</v>
      </c>
      <c r="N452" s="1" t="s">
        <v>1940</v>
      </c>
      <c r="O452" s="15">
        <v>9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452" s="15" t="str">
        <f>_xlfn.TEXTBEFORE(_xlfn.TEXTAFTER(CantoralDB[[#This Row],[index.html]],"&gt;"),"&gt;")&amp;"&gt;"</f>
        <v>&lt;a href="canciones/hakuna/entre_anestesias.html"&gt;</v>
      </c>
      <c r="X452"/>
      <c r="AA452" s="1"/>
      <c r="AB452" s="1"/>
    </row>
    <row r="453" spans="1:28" x14ac:dyDescent="0.3">
      <c r="A453" s="1">
        <f>ROW(CantoralDB[[#This Row],[Título]])-1</f>
        <v>452</v>
      </c>
      <c r="B453" s="1" t="s">
        <v>1988</v>
      </c>
      <c r="C453" s="1"/>
      <c r="H453" s="1" t="s">
        <v>530</v>
      </c>
      <c r="I453" s="1" t="s">
        <v>2953</v>
      </c>
      <c r="J453" s="1" t="s">
        <v>607</v>
      </c>
      <c r="M453" s="15" t="s">
        <v>260</v>
      </c>
      <c r="N453" s="1" t="s">
        <v>1940</v>
      </c>
      <c r="O453" s="15">
        <v>10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53" s="1"/>
      <c r="T453" s="1"/>
      <c r="U453" s="15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453" s="15" t="str">
        <f>_xlfn.TEXTBEFORE(_xlfn.TEXTAFTER(CantoralDB[[#This Row],[index.html]],"&gt;"),"&gt;")&amp;"&gt;"</f>
        <v>&lt;a href="canciones/hakuna/dime_padre.html"&gt;</v>
      </c>
      <c r="X453"/>
      <c r="AA453" s="1"/>
      <c r="AB453" s="1"/>
    </row>
    <row r="454" spans="1:28" x14ac:dyDescent="0.3">
      <c r="A454" s="1">
        <f>ROW(CantoralDB[[#This Row],[Título]])-1</f>
        <v>453</v>
      </c>
      <c r="B454" s="1" t="s">
        <v>1991</v>
      </c>
      <c r="C454" s="1"/>
      <c r="H454" s="1" t="s">
        <v>1028</v>
      </c>
      <c r="I454" s="1" t="s">
        <v>2953</v>
      </c>
      <c r="J454" s="1" t="s">
        <v>607</v>
      </c>
      <c r="M454" s="15" t="s">
        <v>260</v>
      </c>
      <c r="N454" s="1" t="s">
        <v>1940</v>
      </c>
      <c r="O454" s="15">
        <v>11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54" s="1"/>
      <c r="T454" s="1"/>
      <c r="U454" s="15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454" s="15" t="str">
        <f>_xlfn.TEXTBEFORE(_xlfn.TEXTAFTER(CantoralDB[[#This Row],[index.html]],"&gt;"),"&gt;")&amp;"&gt;"</f>
        <v>&lt;a href="canciones/hakuna/exulte_mi_alma.html"&gt;</v>
      </c>
      <c r="X454"/>
      <c r="AA454" s="1"/>
      <c r="AB454" s="1"/>
    </row>
    <row r="455" spans="1:28" x14ac:dyDescent="0.3">
      <c r="A455" s="1">
        <f>ROW(CantoralDB[[#This Row],[Título]])-1</f>
        <v>454</v>
      </c>
      <c r="B455" s="1" t="s">
        <v>2001</v>
      </c>
      <c r="C455" s="1"/>
      <c r="H455" s="1" t="s">
        <v>1029</v>
      </c>
      <c r="J455" s="1" t="s">
        <v>607</v>
      </c>
      <c r="M455" s="15" t="s">
        <v>260</v>
      </c>
      <c r="N455" s="1" t="s">
        <v>1994</v>
      </c>
      <c r="O455" s="15">
        <v>1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455" s="1"/>
      <c r="T455" s="1"/>
      <c r="U455" s="15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455" s="15" t="str">
        <f>_xlfn.TEXTBEFORE(_xlfn.TEXTAFTER(CantoralDB[[#This Row],[index.html]],"&gt;"),"&gt;")&amp;"&gt;"</f>
        <v>&lt;a href="canciones/hakuna/un_sitio.html"&gt;</v>
      </c>
      <c r="X455"/>
      <c r="AA455" s="1"/>
      <c r="AB455" s="1"/>
    </row>
    <row r="456" spans="1:28" x14ac:dyDescent="0.3">
      <c r="A456" s="1">
        <f>ROW(CantoralDB[[#This Row],[Título]])-1</f>
        <v>455</v>
      </c>
      <c r="B456" s="1" t="s">
        <v>1994</v>
      </c>
      <c r="C456" s="1"/>
      <c r="H456" s="1" t="s">
        <v>1029</v>
      </c>
      <c r="J456" s="1" t="s">
        <v>607</v>
      </c>
      <c r="M456" s="15" t="s">
        <v>260</v>
      </c>
      <c r="N456" s="1" t="s">
        <v>1994</v>
      </c>
      <c r="O456" s="15">
        <v>2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56" s="1"/>
      <c r="T456" s="1"/>
      <c r="U456" s="15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456" s="15" t="str">
        <f>_xlfn.TEXTBEFORE(_xlfn.TEXTAFTER(CantoralDB[[#This Row],[index.html]],"&gt;"),"&gt;")&amp;"&gt;"</f>
        <v>&lt;a href="canciones/hakuna/el_arte_de_vivir.html"&gt;</v>
      </c>
      <c r="X456"/>
      <c r="AA456" s="1"/>
      <c r="AB456" s="1"/>
    </row>
    <row r="457" spans="1:28" x14ac:dyDescent="0.3">
      <c r="A457" s="1">
        <f>ROW(CantoralDB[[#This Row],[Título]])-1</f>
        <v>456</v>
      </c>
      <c r="B457" s="1" t="s">
        <v>1995</v>
      </c>
      <c r="C457" s="1"/>
      <c r="H457" s="1" t="s">
        <v>530</v>
      </c>
      <c r="I457" s="1" t="s">
        <v>2952</v>
      </c>
      <c r="J457" s="1" t="s">
        <v>607</v>
      </c>
      <c r="M457" s="15" t="s">
        <v>260</v>
      </c>
      <c r="N457" s="1" t="s">
        <v>1994</v>
      </c>
      <c r="O457" s="15">
        <v>3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457" s="15" t="str">
        <f>_xlfn.TEXTBEFORE(_xlfn.TEXTAFTER(CantoralDB[[#This Row],[index.html]],"&gt;"),"&gt;")&amp;"&gt;"</f>
        <v>&lt;a href="canciones/hakuna/mi_amado.html"&gt;</v>
      </c>
      <c r="X457"/>
      <c r="AA457" s="1"/>
      <c r="AB457" s="1"/>
    </row>
    <row r="458" spans="1:28" x14ac:dyDescent="0.3">
      <c r="A458" s="1">
        <f>ROW(CantoralDB[[#This Row],[Título]])-1</f>
        <v>457</v>
      </c>
      <c r="B458" s="1" t="s">
        <v>1997</v>
      </c>
      <c r="C458" s="1"/>
      <c r="H458" s="1" t="s">
        <v>530</v>
      </c>
      <c r="I458" s="1" t="s">
        <v>2954</v>
      </c>
      <c r="J458" s="1" t="s">
        <v>607</v>
      </c>
      <c r="M458" s="15" t="s">
        <v>260</v>
      </c>
      <c r="N458" s="1" t="s">
        <v>1994</v>
      </c>
      <c r="O458" s="15">
        <v>4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58" s="1"/>
      <c r="T458" s="1"/>
      <c r="U458" s="15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458" s="15" t="str">
        <f>_xlfn.TEXTBEFORE(_xlfn.TEXTAFTER(CantoralDB[[#This Row],[index.html]],"&gt;"),"&gt;")&amp;"&gt;"</f>
        <v>&lt;a href="canciones/hakuna/la_fila.html"&gt;</v>
      </c>
      <c r="X458"/>
      <c r="AA458" s="1"/>
      <c r="AB458" s="1"/>
    </row>
    <row r="459" spans="1:28" x14ac:dyDescent="0.3">
      <c r="A459" s="1">
        <f>ROW(CantoralDB[[#This Row],[Título]])-1</f>
        <v>458</v>
      </c>
      <c r="B459" s="1" t="s">
        <v>2860</v>
      </c>
      <c r="C459" s="1"/>
      <c r="H459" s="1" t="s">
        <v>1029</v>
      </c>
      <c r="I459" s="1" t="s">
        <v>2955</v>
      </c>
      <c r="J459" s="1" t="s">
        <v>607</v>
      </c>
      <c r="M459" s="15" t="s">
        <v>260</v>
      </c>
      <c r="N459" s="1" t="s">
        <v>1994</v>
      </c>
      <c r="O459" s="15">
        <v>5</v>
      </c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459" s="15" t="str">
        <f>_xlfn.TEXTBEFORE(_xlfn.TEXTAFTER(CantoralDB[[#This Row],[index.html]],"&gt;"),"&gt;")&amp;"&gt;"</f>
        <v>&lt;a href="canciones/hakuna/loco.html"&gt;</v>
      </c>
      <c r="X459"/>
      <c r="AA459" s="1"/>
      <c r="AB459" s="1"/>
    </row>
    <row r="460" spans="1:28" x14ac:dyDescent="0.3">
      <c r="A460" s="1">
        <f>ROW(CantoralDB[[#This Row],[Título]])-1</f>
        <v>459</v>
      </c>
      <c r="B460" s="1" t="s">
        <v>1999</v>
      </c>
      <c r="C460" s="1"/>
      <c r="H460" s="1" t="s">
        <v>530</v>
      </c>
      <c r="I460" s="1" t="s">
        <v>2952</v>
      </c>
      <c r="J460" s="1" t="s">
        <v>607</v>
      </c>
      <c r="M460" s="15" t="s">
        <v>260</v>
      </c>
      <c r="N460" s="1" t="s">
        <v>1994</v>
      </c>
      <c r="O460" s="15">
        <v>6</v>
      </c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460" s="15" t="str">
        <f>_xlfn.TEXTBEFORE(_xlfn.TEXTAFTER(CantoralDB[[#This Row],[index.html]],"&gt;"),"&gt;")&amp;"&gt;"</f>
        <v>&lt;a href="canciones/hakuna/no_te_vas.html"&gt;</v>
      </c>
      <c r="X460"/>
      <c r="AA460" s="1"/>
      <c r="AB460" s="1"/>
    </row>
    <row r="461" spans="1:28" x14ac:dyDescent="0.3">
      <c r="A461" s="1">
        <f>ROW(CantoralDB[[#This Row],[Título]])-1</f>
        <v>460</v>
      </c>
      <c r="B461" s="1" t="s">
        <v>2002</v>
      </c>
      <c r="C461" s="1"/>
      <c r="H461" s="1" t="s">
        <v>530</v>
      </c>
      <c r="J461" s="1" t="s">
        <v>607</v>
      </c>
      <c r="M461" s="15" t="s">
        <v>260</v>
      </c>
      <c r="N461" s="1" t="s">
        <v>1994</v>
      </c>
      <c r="O461" s="15">
        <v>7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461" s="15" t="str">
        <f>_xlfn.TEXTBEFORE(_xlfn.TEXTAFTER(CantoralDB[[#This Row],[index.html]],"&gt;"),"&gt;")&amp;"&gt;"</f>
        <v>&lt;a href="canciones/hakuna/nada.html"&gt;</v>
      </c>
      <c r="X461"/>
      <c r="AA461" s="1"/>
      <c r="AB461" s="1"/>
    </row>
    <row r="462" spans="1:28" x14ac:dyDescent="0.3">
      <c r="A462" s="1">
        <f>ROW(CantoralDB[[#This Row],[Título]])-1</f>
        <v>461</v>
      </c>
      <c r="B462" s="1" t="s">
        <v>1998</v>
      </c>
      <c r="C462" s="1"/>
      <c r="H462" s="1" t="s">
        <v>530</v>
      </c>
      <c r="I462" s="1" t="s">
        <v>2952</v>
      </c>
      <c r="J462" s="1" t="s">
        <v>607</v>
      </c>
      <c r="M462" s="15" t="s">
        <v>260</v>
      </c>
      <c r="N462" s="1" t="s">
        <v>1994</v>
      </c>
      <c r="O462" s="15">
        <v>8</v>
      </c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462" s="15" t="str">
        <f>_xlfn.TEXTBEFORE(_xlfn.TEXTAFTER(CantoralDB[[#This Row],[index.html]],"&gt;"),"&gt;")&amp;"&gt;"</f>
        <v>&lt;a href="canciones/hakuna/trueno.html"&gt;</v>
      </c>
      <c r="X462"/>
      <c r="AA462" s="1"/>
      <c r="AB462" s="1"/>
    </row>
    <row r="463" spans="1:28" x14ac:dyDescent="0.3">
      <c r="A463" s="1">
        <f>ROW(CantoralDB[[#This Row],[Título]])-1</f>
        <v>462</v>
      </c>
      <c r="B463" s="1" t="s">
        <v>1996</v>
      </c>
      <c r="C463" s="1"/>
      <c r="H463" s="1" t="s">
        <v>1028</v>
      </c>
      <c r="J463" s="1" t="s">
        <v>607</v>
      </c>
      <c r="M463" s="15" t="s">
        <v>260</v>
      </c>
      <c r="N463" s="1" t="s">
        <v>1994</v>
      </c>
      <c r="O463" s="15">
        <v>9</v>
      </c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463" s="15" t="str">
        <f>_xlfn.TEXTBEFORE(_xlfn.TEXTAFTER(CantoralDB[[#This Row],[index.html]],"&gt;"),"&gt;")&amp;"&gt;"</f>
        <v>&lt;a href="canciones/hakuna/el_rey_de_la_gloria.html"&gt;</v>
      </c>
      <c r="X463"/>
      <c r="AA463" s="1"/>
      <c r="AB463" s="1"/>
    </row>
    <row r="464" spans="1:28" x14ac:dyDescent="0.3">
      <c r="A464" s="1">
        <f>ROW(CantoralDB[[#This Row],[Título]])-1</f>
        <v>463</v>
      </c>
      <c r="B464" s="1" t="s">
        <v>1957</v>
      </c>
      <c r="C464" s="1"/>
      <c r="H464" s="1" t="s">
        <v>472</v>
      </c>
      <c r="J464" s="1" t="s">
        <v>607</v>
      </c>
      <c r="M464" s="15" t="s">
        <v>260</v>
      </c>
      <c r="N464" s="1" t="s">
        <v>260</v>
      </c>
      <c r="O464" s="15">
        <v>1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64" s="1"/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464" s="15" t="str">
        <f>_xlfn.TEXTBEFORE(_xlfn.TEXTAFTER(CantoralDB[[#This Row],[index.html]],"&gt;"),"&gt;")&amp;"&gt;"</f>
        <v>&lt;a href="canciones/hakuna/al_estar_en_la_presencia.html"&gt;</v>
      </c>
      <c r="X464"/>
      <c r="AA464" s="1"/>
      <c r="AB464" s="1"/>
    </row>
    <row r="465" spans="1:28" x14ac:dyDescent="0.3">
      <c r="A465" s="1">
        <f>ROW(CantoralDB[[#This Row],[Título]])-1</f>
        <v>464</v>
      </c>
      <c r="B465" s="1" t="s">
        <v>263</v>
      </c>
      <c r="C465" s="1" t="s">
        <v>190</v>
      </c>
      <c r="D465" s="1" t="s">
        <v>737</v>
      </c>
      <c r="G465" s="1" t="s">
        <v>260</v>
      </c>
      <c r="H465" s="1" t="s">
        <v>1028</v>
      </c>
      <c r="J465" s="1" t="s">
        <v>607</v>
      </c>
      <c r="M465" s="15" t="s">
        <v>260</v>
      </c>
      <c r="N465" s="1" t="s">
        <v>260</v>
      </c>
      <c r="O465" s="15">
        <v>2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465" s="15" t="str">
        <f>_xlfn.TEXTBEFORE(_xlfn.TEXTAFTER(CantoralDB[[#This Row],[index.html]],"&gt;"),"&gt;")&amp;"&gt;"</f>
        <v>&lt;a href="canciones/hakuna/enciendeme.html"&gt;</v>
      </c>
      <c r="X465"/>
      <c r="AA465" s="1"/>
      <c r="AB465" s="1"/>
    </row>
    <row r="466" spans="1:28" x14ac:dyDescent="0.3">
      <c r="A466" s="1">
        <f>ROW(CantoralDB[[#This Row],[Título]])-1</f>
        <v>465</v>
      </c>
      <c r="B466" s="1" t="s">
        <v>259</v>
      </c>
      <c r="C466" s="1" t="s">
        <v>992</v>
      </c>
      <c r="D466" s="1" t="s">
        <v>1008</v>
      </c>
      <c r="G466" s="1" t="s">
        <v>260</v>
      </c>
      <c r="H466" s="1" t="s">
        <v>1026</v>
      </c>
      <c r="I466" s="1" t="s">
        <v>2950</v>
      </c>
      <c r="J466" s="1" t="s">
        <v>607</v>
      </c>
      <c r="M466" s="15" t="s">
        <v>260</v>
      </c>
      <c r="N466" s="1" t="s">
        <v>260</v>
      </c>
      <c r="O466" s="15">
        <v>3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466" s="1" t="s">
        <v>863</v>
      </c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466" s="15" t="str">
        <f>_xlfn.TEXTBEFORE(_xlfn.TEXTAFTER(CantoralDB[[#This Row],[index.html]],"&gt;"),"&gt;")&amp;"&gt;"</f>
        <v>&lt;a href="canciones/hakuna/tomad_comed.html"&gt;</v>
      </c>
      <c r="X466"/>
      <c r="AA466" s="1"/>
      <c r="AB466" s="1"/>
    </row>
    <row r="467" spans="1:28" x14ac:dyDescent="0.3">
      <c r="A467" s="1">
        <f>ROW(CantoralDB[[#This Row],[Título]])-1</f>
        <v>466</v>
      </c>
      <c r="B467" s="1" t="s">
        <v>1944</v>
      </c>
      <c r="C467" s="1"/>
      <c r="H467" s="1" t="s">
        <v>472</v>
      </c>
      <c r="I467" s="1" t="s">
        <v>2953</v>
      </c>
      <c r="J467" s="1" t="s">
        <v>607</v>
      </c>
      <c r="M467" s="15" t="s">
        <v>260</v>
      </c>
      <c r="N467" s="1" t="s">
        <v>260</v>
      </c>
      <c r="O467" s="15">
        <v>4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467" s="15" t="str">
        <f>_xlfn.TEXTBEFORE(_xlfn.TEXTAFTER(CantoralDB[[#This Row],[index.html]],"&gt;"),"&gt;")&amp;"&gt;"</f>
        <v>&lt;a href="canciones/hakuna/deseo.html"&gt;</v>
      </c>
      <c r="X467"/>
      <c r="AA467" s="1"/>
      <c r="AB467" s="1"/>
    </row>
    <row r="468" spans="1:28" x14ac:dyDescent="0.3">
      <c r="A468" s="1">
        <f>ROW(CantoralDB[[#This Row],[Título]])-1</f>
        <v>467</v>
      </c>
      <c r="B468" s="1" t="s">
        <v>1959</v>
      </c>
      <c r="C468" s="1"/>
      <c r="H468" s="1" t="s">
        <v>1028</v>
      </c>
      <c r="J468" s="1" t="s">
        <v>607</v>
      </c>
      <c r="M468" s="15" t="s">
        <v>260</v>
      </c>
      <c r="N468" s="1" t="s">
        <v>260</v>
      </c>
      <c r="O468" s="15">
        <v>5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468" s="15" t="str">
        <f>_xlfn.TEXTBEFORE(_xlfn.TEXTAFTER(CantoralDB[[#This Row],[index.html]],"&gt;"),"&gt;")&amp;"&gt;"</f>
        <v>&lt;a href="canciones/hakuna/bien_amado_señor.html"&gt;</v>
      </c>
      <c r="X468"/>
      <c r="AA468" s="1"/>
      <c r="AB468" s="1"/>
    </row>
    <row r="469" spans="1:28" x14ac:dyDescent="0.3">
      <c r="A469" s="1">
        <f>ROW(CantoralDB[[#This Row],[Título]])-1</f>
        <v>468</v>
      </c>
      <c r="B469" s="1" t="s">
        <v>1960</v>
      </c>
      <c r="C469" s="1"/>
      <c r="H469" s="1" t="s">
        <v>530</v>
      </c>
      <c r="I469" s="1" t="s">
        <v>2950</v>
      </c>
      <c r="J469" s="1" t="s">
        <v>607</v>
      </c>
      <c r="M469" s="15" t="s">
        <v>260</v>
      </c>
      <c r="N469" s="1" t="s">
        <v>260</v>
      </c>
      <c r="O469" s="15">
        <v>6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69" s="1"/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469" s="15" t="str">
        <f>_xlfn.TEXTBEFORE(_xlfn.TEXTAFTER(CantoralDB[[#This Row],[index.html]],"&gt;"),"&gt;")&amp;"&gt;"</f>
        <v>&lt;a href="canciones/hakuna/que_bien_se_esta_cuando_se_esta_bien.html"&gt;</v>
      </c>
      <c r="X469"/>
      <c r="AA469" s="1"/>
      <c r="AB469" s="1"/>
    </row>
    <row r="470" spans="1:28" x14ac:dyDescent="0.3">
      <c r="A470" s="1">
        <f>ROW(CantoralDB[[#This Row],[Título]])-1</f>
        <v>469</v>
      </c>
      <c r="B470" s="1" t="s">
        <v>1947</v>
      </c>
      <c r="C470" s="1"/>
      <c r="H470" s="1" t="s">
        <v>1028</v>
      </c>
      <c r="J470" s="1" t="s">
        <v>607</v>
      </c>
      <c r="M470" s="15" t="s">
        <v>260</v>
      </c>
      <c r="N470" s="1" t="s">
        <v>260</v>
      </c>
      <c r="O470" s="15">
        <v>7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470" s="15" t="str">
        <f>_xlfn.TEXTBEFORE(_xlfn.TEXTAFTER(CantoralDB[[#This Row],[index.html]],"&gt;"),"&gt;")&amp;"&gt;"</f>
        <v>&lt;a href="canciones/hakuna/libertad.html"&gt;</v>
      </c>
      <c r="X470"/>
      <c r="AA470" s="1"/>
      <c r="AB470" s="1"/>
    </row>
    <row r="471" spans="1:28" x14ac:dyDescent="0.3">
      <c r="A471" s="1">
        <f>ROW(CantoralDB[[#This Row],[Título]])-1</f>
        <v>470</v>
      </c>
      <c r="B471" s="1" t="s">
        <v>1961</v>
      </c>
      <c r="C471" s="1"/>
      <c r="H471" s="1" t="s">
        <v>1029</v>
      </c>
      <c r="I471" s="1" t="s">
        <v>2953</v>
      </c>
      <c r="J471" s="1" t="s">
        <v>607</v>
      </c>
      <c r="M471" s="15" t="s">
        <v>260</v>
      </c>
      <c r="N471" s="1" t="s">
        <v>260</v>
      </c>
      <c r="O471" s="15">
        <v>8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71" s="1"/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471" s="15" t="str">
        <f>_xlfn.TEXTBEFORE(_xlfn.TEXTAFTER(CantoralDB[[#This Row],[index.html]],"&gt;"),"&gt;")&amp;"&gt;"</f>
        <v>&lt;a href="canciones/hakuna/tan_cerca.html"&gt;</v>
      </c>
      <c r="X471"/>
      <c r="AA471" s="1"/>
      <c r="AB471" s="1"/>
    </row>
    <row r="472" spans="1:28" x14ac:dyDescent="0.3">
      <c r="A472" s="1">
        <f>ROW(CantoralDB[[#This Row],[Título]])-1</f>
        <v>471</v>
      </c>
      <c r="B472" s="1" t="s">
        <v>1962</v>
      </c>
      <c r="C472" s="1"/>
      <c r="H472" s="1" t="s">
        <v>472</v>
      </c>
      <c r="J472" s="1" t="s">
        <v>607</v>
      </c>
      <c r="M472" s="15" t="s">
        <v>260</v>
      </c>
      <c r="N472" s="1" t="s">
        <v>260</v>
      </c>
      <c r="O472" s="15">
        <v>9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472" s="15" t="str">
        <f>_xlfn.TEXTBEFORE(_xlfn.TEXTAFTER(CantoralDB[[#This Row],[index.html]],"&gt;"),"&gt;")&amp;"&gt;"</f>
        <v>&lt;a href="canciones/hakuna/hoy_te_dejo.html"&gt;</v>
      </c>
      <c r="X472"/>
      <c r="AA472" s="1"/>
      <c r="AB472" s="1"/>
    </row>
    <row r="473" spans="1:28" x14ac:dyDescent="0.3">
      <c r="A473" s="1">
        <f>ROW(CantoralDB[[#This Row],[Título]])-1</f>
        <v>472</v>
      </c>
      <c r="B473" s="1" t="s">
        <v>1963</v>
      </c>
      <c r="C473" s="1"/>
      <c r="H473" s="1" t="s">
        <v>1029</v>
      </c>
      <c r="J473" s="1" t="s">
        <v>607</v>
      </c>
      <c r="M473" s="15" t="s">
        <v>260</v>
      </c>
      <c r="N473" s="1" t="s">
        <v>260</v>
      </c>
      <c r="O473" s="15">
        <v>10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473" s="15" t="str">
        <f>_xlfn.TEXTBEFORE(_xlfn.TEXTAFTER(CantoralDB[[#This Row],[index.html]],"&gt;"),"&gt;")&amp;"&gt;"</f>
        <v>&lt;a href="canciones/hakuna/pasion_de_dios.html"&gt;</v>
      </c>
      <c r="X473"/>
      <c r="AA473" s="1"/>
      <c r="AB473" s="1"/>
    </row>
    <row r="474" spans="1:28" x14ac:dyDescent="0.3">
      <c r="A474" s="1">
        <f>ROW(CantoralDB[[#This Row],[Título]])-1</f>
        <v>473</v>
      </c>
      <c r="B474" s="1" t="s">
        <v>1220</v>
      </c>
      <c r="C474" s="1"/>
      <c r="H474" s="1" t="s">
        <v>530</v>
      </c>
      <c r="J474" s="1" t="s">
        <v>607</v>
      </c>
      <c r="M474" s="15" t="s">
        <v>260</v>
      </c>
      <c r="N474" s="1" t="s">
        <v>260</v>
      </c>
      <c r="O474" s="15">
        <v>12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474" s="15" t="str">
        <f>_xlfn.TEXTBEFORE(_xlfn.TEXTAFTER(CantoralDB[[#This Row],[index.html]],"&gt;"),"&gt;")&amp;"&gt;"</f>
        <v>&lt;a href="canciones/hakuna/bendita_sea_tu_pureza.html"&gt;</v>
      </c>
      <c r="X474"/>
      <c r="AA474" s="1"/>
      <c r="AB474" s="1"/>
    </row>
    <row r="475" spans="1:28" x14ac:dyDescent="0.3">
      <c r="A475" s="1">
        <f>ROW(CantoralDB[[#This Row],[Título]])-1</f>
        <v>474</v>
      </c>
      <c r="B475" s="1" t="s">
        <v>1964</v>
      </c>
      <c r="C475" s="1"/>
      <c r="H475" s="1" t="s">
        <v>530</v>
      </c>
      <c r="J475" s="1" t="s">
        <v>607</v>
      </c>
      <c r="M475" s="15" t="s">
        <v>260</v>
      </c>
      <c r="N475" s="1" t="s">
        <v>1971</v>
      </c>
      <c r="O475" s="15">
        <v>1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475" s="1"/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475" s="15" t="str">
        <f>_xlfn.TEXTBEFORE(_xlfn.TEXTAFTER(CantoralDB[[#This Row],[index.html]],"&gt;"),"&gt;")&amp;"&gt;"</f>
        <v>&lt;a href="canciones/hakuna/tu_misericordia.html"&gt;</v>
      </c>
      <c r="X475"/>
      <c r="AA475" s="1"/>
      <c r="AB475" s="1"/>
    </row>
    <row r="476" spans="1:28" x14ac:dyDescent="0.3">
      <c r="A476" s="1">
        <f>ROW(CantoralDB[[#This Row],[Título]])-1</f>
        <v>475</v>
      </c>
      <c r="B476" s="1" t="s">
        <v>1966</v>
      </c>
      <c r="C476" s="1"/>
      <c r="H476" s="1" t="s">
        <v>1028</v>
      </c>
      <c r="I476" s="1" t="s">
        <v>2953</v>
      </c>
      <c r="J476" s="1" t="s">
        <v>607</v>
      </c>
      <c r="M476" s="15" t="s">
        <v>260</v>
      </c>
      <c r="N476" s="1" t="s">
        <v>1971</v>
      </c>
      <c r="O476" s="15">
        <v>2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476" s="15" t="str">
        <f>_xlfn.TEXTBEFORE(_xlfn.TEXTAFTER(CantoralDB[[#This Row],[index.html]],"&gt;"),"&gt;")&amp;"&gt;"</f>
        <v>&lt;a href="canciones/hakuna/quiero_cenar_contigo.html"&gt;</v>
      </c>
      <c r="X476"/>
      <c r="AA476" s="1"/>
      <c r="AB476" s="1"/>
    </row>
    <row r="477" spans="1:28" x14ac:dyDescent="0.3">
      <c r="A477" s="1">
        <f>ROW(CantoralDB[[#This Row],[Título]])-1</f>
        <v>476</v>
      </c>
      <c r="B477" s="1" t="s">
        <v>1967</v>
      </c>
      <c r="C477" s="1"/>
      <c r="H477" s="1" t="s">
        <v>1029</v>
      </c>
      <c r="I477" s="1" t="s">
        <v>2952</v>
      </c>
      <c r="J477" s="1" t="s">
        <v>607</v>
      </c>
      <c r="M477" s="15" t="s">
        <v>260</v>
      </c>
      <c r="N477" s="1" t="s">
        <v>1971</v>
      </c>
      <c r="O477" s="15">
        <v>3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477" s="15" t="str">
        <f>_xlfn.TEXTBEFORE(_xlfn.TEXTAFTER(CantoralDB[[#This Row],[index.html]],"&gt;"),"&gt;")&amp;"&gt;"</f>
        <v>&lt;a href="canciones/hakuna/un_paso_mas.html"&gt;</v>
      </c>
      <c r="X477"/>
      <c r="AA477" s="1"/>
      <c r="AB477" s="1"/>
    </row>
    <row r="478" spans="1:28" x14ac:dyDescent="0.3">
      <c r="A478" s="1">
        <f>ROW(CantoralDB[[#This Row],[Título]])-1</f>
        <v>477</v>
      </c>
      <c r="B478" s="1" t="s">
        <v>2005</v>
      </c>
      <c r="C478" s="1"/>
      <c r="H478" s="1" t="s">
        <v>1028</v>
      </c>
      <c r="I478" s="1" t="s">
        <v>2953</v>
      </c>
      <c r="J478" s="1" t="s">
        <v>607</v>
      </c>
      <c r="M478" s="15" t="s">
        <v>260</v>
      </c>
      <c r="N478" s="1" t="s">
        <v>1971</v>
      </c>
      <c r="O478" s="15">
        <v>4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478" s="15" t="str">
        <f>_xlfn.TEXTBEFORE(_xlfn.TEXTAFTER(CantoralDB[[#This Row],[index.html]],"&gt;"),"&gt;")&amp;"&gt;"</f>
        <v>&lt;a href="canciones/hakuna/cuatro_vientos.html"&gt;</v>
      </c>
      <c r="X478"/>
      <c r="AA478" s="1"/>
      <c r="AB478" s="1"/>
    </row>
    <row r="479" spans="1:28" x14ac:dyDescent="0.3">
      <c r="A479" s="1">
        <f>ROW(CantoralDB[[#This Row],[Título]])-1</f>
        <v>478</v>
      </c>
      <c r="B479" s="1" t="s">
        <v>1968</v>
      </c>
      <c r="C479" s="1"/>
      <c r="H479" s="1" t="s">
        <v>530</v>
      </c>
      <c r="I479" s="1" t="s">
        <v>2950</v>
      </c>
      <c r="J479" s="1" t="s">
        <v>607</v>
      </c>
      <c r="M479" s="15" t="s">
        <v>260</v>
      </c>
      <c r="N479" s="1" t="s">
        <v>1971</v>
      </c>
      <c r="O479" s="15">
        <v>5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479" s="15" t="str">
        <f>_xlfn.TEXTBEFORE(_xlfn.TEXTAFTER(CantoralDB[[#This Row],[index.html]],"&gt;"),"&gt;")&amp;"&gt;"</f>
        <v>&lt;a href="canciones/hakuna/siempre_imagine.html"&gt;</v>
      </c>
      <c r="X479"/>
      <c r="AA479" s="1"/>
      <c r="AB479" s="1"/>
    </row>
    <row r="480" spans="1:28" x14ac:dyDescent="0.3">
      <c r="A480" s="1">
        <f>ROW(CantoralDB[[#This Row],[Título]])-1</f>
        <v>479</v>
      </c>
      <c r="B480" s="1" t="s">
        <v>1965</v>
      </c>
      <c r="C480" s="1"/>
      <c r="H480" s="1" t="s">
        <v>530</v>
      </c>
      <c r="I480" s="1" t="s">
        <v>2954</v>
      </c>
      <c r="J480" s="1" t="s">
        <v>607</v>
      </c>
      <c r="M480" s="15" t="s">
        <v>260</v>
      </c>
      <c r="N480" s="1" t="s">
        <v>1971</v>
      </c>
      <c r="O480" s="15">
        <v>6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480" s="15" t="str">
        <f>_xlfn.TEXTBEFORE(_xlfn.TEXTAFTER(CantoralDB[[#This Row],[index.html]],"&gt;"),"&gt;")&amp;"&gt;"</f>
        <v>&lt;a href="canciones/hakuna/que_no_se_pierda_ninguno.html"&gt;</v>
      </c>
      <c r="X480"/>
      <c r="AA480" s="1"/>
      <c r="AB480" s="1"/>
    </row>
    <row r="481" spans="1:28" x14ac:dyDescent="0.3">
      <c r="A481" s="1">
        <f>ROW(CantoralDB[[#This Row],[Título]])-1</f>
        <v>480</v>
      </c>
      <c r="B481" s="1" t="s">
        <v>1969</v>
      </c>
      <c r="C481" s="1"/>
      <c r="H481" s="1" t="s">
        <v>530</v>
      </c>
      <c r="I481" s="1" t="s">
        <v>2952</v>
      </c>
      <c r="J481" s="1" t="s">
        <v>607</v>
      </c>
      <c r="M481" s="15" t="s">
        <v>260</v>
      </c>
      <c r="N481" s="1" t="s">
        <v>1971</v>
      </c>
      <c r="O481" s="15">
        <v>7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481" s="15" t="str">
        <f>_xlfn.TEXTBEFORE(_xlfn.TEXTAFTER(CantoralDB[[#This Row],[index.html]],"&gt;"),"&gt;")&amp;"&gt;"</f>
        <v>&lt;a href="canciones/hakuna/nombre_sobre_todo_nombre.html"&gt;</v>
      </c>
      <c r="X481"/>
      <c r="AA481" s="1"/>
      <c r="AB481" s="1"/>
    </row>
    <row r="482" spans="1:28" x14ac:dyDescent="0.3">
      <c r="A482" s="1">
        <f>ROW(CantoralDB[[#This Row],[Título]])-1</f>
        <v>481</v>
      </c>
      <c r="B482" s="1" t="s">
        <v>1970</v>
      </c>
      <c r="C482" s="1"/>
      <c r="H482" s="1" t="s">
        <v>1029</v>
      </c>
      <c r="I482" s="1" t="s">
        <v>2953</v>
      </c>
      <c r="J482" s="1" t="s">
        <v>607</v>
      </c>
      <c r="M482" s="15" t="s">
        <v>260</v>
      </c>
      <c r="N482" s="1" t="s">
        <v>1971</v>
      </c>
      <c r="O482" s="15">
        <v>8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482" s="15" t="str">
        <f>_xlfn.TEXTBEFORE(_xlfn.TEXTAFTER(CantoralDB[[#This Row],[index.html]],"&gt;"),"&gt;")&amp;"&gt;"</f>
        <v>&lt;a href="canciones/hakuna/tu_rostro.html"&gt;</v>
      </c>
      <c r="X482"/>
      <c r="AA482" s="1"/>
      <c r="AB482" s="1"/>
    </row>
    <row r="483" spans="1:28" x14ac:dyDescent="0.3">
      <c r="A483" s="1">
        <f>ROW(CantoralDB[[#This Row],[Título]])-1</f>
        <v>482</v>
      </c>
      <c r="B483" s="1" t="s">
        <v>1955</v>
      </c>
      <c r="C483" s="1"/>
      <c r="H483" s="1" t="s">
        <v>1028</v>
      </c>
      <c r="J483" s="1" t="s">
        <v>607</v>
      </c>
      <c r="M483" s="15" t="s">
        <v>260</v>
      </c>
      <c r="N483" s="1" t="s">
        <v>1971</v>
      </c>
      <c r="O483" s="15">
        <v>9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483" s="1"/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483" s="15" t="str">
        <f>_xlfn.TEXTBEFORE(_xlfn.TEXTAFTER(CantoralDB[[#This Row],[index.html]],"&gt;"),"&gt;")&amp;"&gt;"</f>
        <v>&lt;a href="canciones/hakuna/tonto.html"&gt;</v>
      </c>
      <c r="X483"/>
      <c r="AA483" s="1"/>
      <c r="AB483" s="1"/>
    </row>
    <row r="484" spans="1:28" x14ac:dyDescent="0.3">
      <c r="A484" s="1">
        <f>ROW(CantoralDB[[#This Row],[Título]])-1</f>
        <v>483</v>
      </c>
      <c r="B484" s="1" t="s">
        <v>1971</v>
      </c>
      <c r="C484" s="1"/>
      <c r="H484" s="1" t="s">
        <v>530</v>
      </c>
      <c r="I484" s="1" t="s">
        <v>2951</v>
      </c>
      <c r="J484" s="1" t="s">
        <v>607</v>
      </c>
      <c r="M484" s="15" t="s">
        <v>260</v>
      </c>
      <c r="N484" s="1" t="s">
        <v>1971</v>
      </c>
      <c r="O484" s="15">
        <v>10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484" s="15" t="str">
        <f>_xlfn.TEXTBEFORE(_xlfn.TEXTAFTER(CantoralDB[[#This Row],[index.html]],"&gt;"),"&gt;")&amp;"&gt;"</f>
        <v>&lt;a href="canciones/hakuna/mi_pobre_loco.html"&gt;</v>
      </c>
      <c r="X484"/>
      <c r="AA484" s="1"/>
      <c r="AB484" s="1"/>
    </row>
    <row r="485" spans="1:28" x14ac:dyDescent="0.3">
      <c r="A485" s="1">
        <f>ROW(CantoralDB[[#This Row],[Título]])-1</f>
        <v>484</v>
      </c>
      <c r="B485" s="1" t="s">
        <v>1952</v>
      </c>
      <c r="C485" s="1"/>
      <c r="H485" s="1" t="s">
        <v>472</v>
      </c>
      <c r="J485" s="1" t="s">
        <v>607</v>
      </c>
      <c r="M485" s="15" t="s">
        <v>260</v>
      </c>
      <c r="N485" s="1" t="s">
        <v>1971</v>
      </c>
      <c r="O485" s="15">
        <v>11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485" s="15" t="str">
        <f>_xlfn.TEXTBEFORE(_xlfn.TEXTAFTER(CantoralDB[[#This Row],[index.html]],"&gt;"),"&gt;")&amp;"&gt;"</f>
        <v>&lt;a href="canciones/hakuna/revolucion.html"&gt;</v>
      </c>
      <c r="X485"/>
      <c r="AA485" s="1"/>
      <c r="AB485" s="1"/>
    </row>
    <row r="486" spans="1:28" x14ac:dyDescent="0.3">
      <c r="A486" s="1">
        <f>ROW(CantoralDB[[#This Row],[Título]])-1</f>
        <v>485</v>
      </c>
      <c r="B486" s="1" t="s">
        <v>1946</v>
      </c>
      <c r="C486" s="1"/>
      <c r="H486" s="1" t="s">
        <v>1028</v>
      </c>
      <c r="J486" s="1" t="s">
        <v>607</v>
      </c>
      <c r="M486" s="15" t="s">
        <v>260</v>
      </c>
      <c r="N486" s="1" t="s">
        <v>1971</v>
      </c>
      <c r="O486" s="15">
        <v>12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486" s="15" t="str">
        <f>_xlfn.TEXTBEFORE(_xlfn.TEXTAFTER(CantoralDB[[#This Row],[index.html]],"&gt;"),"&gt;")&amp;"&gt;"</f>
        <v>&lt;a href="canciones/hakuna/imprescindible.html"&gt;</v>
      </c>
      <c r="X486"/>
      <c r="AA486" s="1"/>
      <c r="AB486" s="1"/>
    </row>
    <row r="487" spans="1:28" x14ac:dyDescent="0.3">
      <c r="A487" s="1">
        <f>ROW(CantoralDB[[#This Row],[Título]])-1</f>
        <v>486</v>
      </c>
      <c r="B487" s="1" t="s">
        <v>2006</v>
      </c>
      <c r="C487" s="1"/>
      <c r="H487" s="1" t="s">
        <v>530</v>
      </c>
      <c r="I487" s="1" t="s">
        <v>2951</v>
      </c>
      <c r="J487" s="1" t="s">
        <v>607</v>
      </c>
      <c r="M487" s="15" t="s">
        <v>260</v>
      </c>
      <c r="N487" s="1" t="s">
        <v>2857</v>
      </c>
      <c r="O487" s="15">
        <v>1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487" s="15" t="str">
        <f>_xlfn.TEXTBEFORE(_xlfn.TEXTAFTER(CantoralDB[[#This Row],[index.html]],"&gt;"),"&gt;")&amp;"&gt;"</f>
        <v>&lt;a href="canciones/hakuna/pasion_i_no_se_que_viste_en_mi.html"&gt;</v>
      </c>
      <c r="X487"/>
      <c r="AA487" s="1"/>
      <c r="AB487" s="1"/>
    </row>
    <row r="488" spans="1:28" x14ac:dyDescent="0.3">
      <c r="A488" s="1">
        <f>ROW(CantoralDB[[#This Row],[Título]])-1</f>
        <v>487</v>
      </c>
      <c r="B488" s="1" t="s">
        <v>2007</v>
      </c>
      <c r="C488" s="1"/>
      <c r="H488" s="1" t="s">
        <v>1029</v>
      </c>
      <c r="I488" s="1" t="s">
        <v>2950</v>
      </c>
      <c r="J488" s="1" t="s">
        <v>607</v>
      </c>
      <c r="M488" s="15" t="s">
        <v>260</v>
      </c>
      <c r="N488" s="1" t="s">
        <v>2857</v>
      </c>
      <c r="O488" s="15">
        <v>2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488" s="15" t="str">
        <f>_xlfn.TEXTBEFORE(_xlfn.TEXTAFTER(CantoralDB[[#This Row],[index.html]],"&gt;"),"&gt;")&amp;"&gt;"</f>
        <v>&lt;a href="canciones/hakuna/pasion_ii_mi_peso_en_tus_hombros.html"&gt;</v>
      </c>
      <c r="X488"/>
      <c r="AA488" s="1"/>
      <c r="AB488" s="1"/>
    </row>
    <row r="489" spans="1:28" x14ac:dyDescent="0.3">
      <c r="A489" s="1">
        <f>ROW(CantoralDB[[#This Row],[Título]])-1</f>
        <v>488</v>
      </c>
      <c r="B489" s="1" t="s">
        <v>2008</v>
      </c>
      <c r="C489" s="1"/>
      <c r="H489" s="1" t="s">
        <v>1026</v>
      </c>
      <c r="J489" s="1" t="s">
        <v>607</v>
      </c>
      <c r="M489" s="15" t="s">
        <v>260</v>
      </c>
      <c r="N489" s="1" t="s">
        <v>2857</v>
      </c>
      <c r="O489" s="15">
        <v>3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489" s="15" t="str">
        <f>_xlfn.TEXTBEFORE(_xlfn.TEXTAFTER(CantoralDB[[#This Row],[index.html]],"&gt;"),"&gt;")&amp;"&gt;"</f>
        <v>&lt;a href="canciones/hakuna/pasion_iii_paraisos_sin_tu_rostro.html"&gt;</v>
      </c>
      <c r="X489"/>
      <c r="AA489" s="1"/>
      <c r="AB489" s="1"/>
    </row>
    <row r="490" spans="1:28" x14ac:dyDescent="0.3">
      <c r="A490" s="1">
        <f>ROW(CantoralDB[[#This Row],[Título]])-1</f>
        <v>489</v>
      </c>
      <c r="B490" s="1" t="s">
        <v>2009</v>
      </c>
      <c r="C490" s="1"/>
      <c r="H490" s="1" t="s">
        <v>530</v>
      </c>
      <c r="J490" s="1" t="s">
        <v>607</v>
      </c>
      <c r="M490" s="15" t="s">
        <v>260</v>
      </c>
      <c r="N490" s="1" t="s">
        <v>2857</v>
      </c>
      <c r="O490" s="15">
        <v>4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490" s="1"/>
      <c r="T490" s="1"/>
      <c r="U490" s="15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490" s="15" t="str">
        <f>_xlfn.TEXTBEFORE(_xlfn.TEXTAFTER(CantoralDB[[#This Row],[index.html]],"&gt;"),"&gt;")&amp;"&gt;"</f>
        <v>&lt;a href="canciones/hakuna/pasion_iv_un_dios_debil.html"&gt;</v>
      </c>
      <c r="X490"/>
      <c r="AA490" s="1"/>
      <c r="AB490" s="1"/>
    </row>
    <row r="491" spans="1:28" x14ac:dyDescent="0.3">
      <c r="A491" s="1">
        <f>ROW(CantoralDB[[#This Row],[Título]])-1</f>
        <v>490</v>
      </c>
      <c r="B491" s="1" t="s">
        <v>2021</v>
      </c>
      <c r="C491" s="1"/>
      <c r="H491" s="1" t="s">
        <v>1029</v>
      </c>
      <c r="I491" s="1" t="s">
        <v>2954</v>
      </c>
      <c r="J491" s="1" t="s">
        <v>607</v>
      </c>
      <c r="M491" s="15" t="s">
        <v>260</v>
      </c>
      <c r="N491" s="1" t="s">
        <v>2857</v>
      </c>
      <c r="O491" s="15">
        <v>5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491" s="15" t="str">
        <f>_xlfn.TEXTBEFORE(_xlfn.TEXTAFTER(CantoralDB[[#This Row],[index.html]],"&gt;"),"&gt;")&amp;"&gt;"</f>
        <v>&lt;a href="canciones/hakuna/pasion_v_cirineo.html"&gt;</v>
      </c>
      <c r="X491"/>
      <c r="AA491" s="1"/>
      <c r="AB491" s="1"/>
    </row>
    <row r="492" spans="1:28" x14ac:dyDescent="0.3">
      <c r="A492" s="1">
        <f>ROW(CantoralDB[[#This Row],[Título]])-1</f>
        <v>491</v>
      </c>
      <c r="B492" s="1" t="s">
        <v>2011</v>
      </c>
      <c r="C492" s="1"/>
      <c r="H492" s="1" t="s">
        <v>1028</v>
      </c>
      <c r="I492" s="1" t="s">
        <v>2950</v>
      </c>
      <c r="J492" s="1" t="s">
        <v>607</v>
      </c>
      <c r="M492" s="15" t="s">
        <v>260</v>
      </c>
      <c r="N492" s="1" t="s">
        <v>2857</v>
      </c>
      <c r="O492" s="15">
        <v>6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492" s="15" t="str">
        <f>_xlfn.TEXTBEFORE(_xlfn.TEXTAFTER(CantoralDB[[#This Row],[index.html]],"&gt;"),"&gt;")&amp;"&gt;"</f>
        <v>&lt;a href="canciones/hakuna/pasion_vi_veronica.html"&gt;</v>
      </c>
      <c r="X492"/>
      <c r="AA492" s="1"/>
      <c r="AB492" s="1"/>
    </row>
    <row r="493" spans="1:28" x14ac:dyDescent="0.3">
      <c r="A493" s="1">
        <f>ROW(CantoralDB[[#This Row],[Título]])-1</f>
        <v>492</v>
      </c>
      <c r="B493" s="1" t="s">
        <v>2012</v>
      </c>
      <c r="C493" s="1"/>
      <c r="H493" s="1" t="s">
        <v>1026</v>
      </c>
      <c r="I493" s="1" t="s">
        <v>2953</v>
      </c>
      <c r="J493" s="1" t="s">
        <v>607</v>
      </c>
      <c r="M493" s="15" t="s">
        <v>260</v>
      </c>
      <c r="N493" s="1" t="s">
        <v>2857</v>
      </c>
      <c r="O493" s="15">
        <v>7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493" s="15" t="str">
        <f>_xlfn.TEXTBEFORE(_xlfn.TEXTAFTER(CantoralDB[[#This Row],[index.html]],"&gt;"),"&gt;")&amp;"&gt;"</f>
        <v>&lt;a href="canciones/hakuna/pasion_vii_y_te_caes.html"&gt;</v>
      </c>
      <c r="X493"/>
      <c r="AA493" s="1"/>
      <c r="AB493" s="1"/>
    </row>
    <row r="494" spans="1:28" x14ac:dyDescent="0.3">
      <c r="A494" s="1">
        <f>ROW(CantoralDB[[#This Row],[Título]])-1</f>
        <v>493</v>
      </c>
      <c r="B494" s="1" t="s">
        <v>2022</v>
      </c>
      <c r="C494" s="1"/>
      <c r="H494" s="1" t="s">
        <v>530</v>
      </c>
      <c r="I494" s="1" t="s">
        <v>2954</v>
      </c>
      <c r="J494" s="1" t="s">
        <v>607</v>
      </c>
      <c r="M494" s="15" t="s">
        <v>260</v>
      </c>
      <c r="N494" s="1" t="s">
        <v>2857</v>
      </c>
      <c r="O494" s="15">
        <v>8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494" s="1"/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494" s="15" t="str">
        <f>_xlfn.TEXTBEFORE(_xlfn.TEXTAFTER(CantoralDB[[#This Row],[index.html]],"&gt;"),"&gt;")&amp;"&gt;"</f>
        <v>&lt;a href="canciones/hakuna/pasion_viii_jerusalen.html"&gt;</v>
      </c>
      <c r="X494"/>
      <c r="AA494" s="1"/>
      <c r="AB494" s="1"/>
    </row>
    <row r="495" spans="1:28" x14ac:dyDescent="0.3">
      <c r="A495" s="1">
        <f>ROW(CantoralDB[[#This Row],[Título]])-1</f>
        <v>494</v>
      </c>
      <c r="B495" s="1" t="s">
        <v>2010</v>
      </c>
      <c r="C495" s="1"/>
      <c r="H495" s="1" t="s">
        <v>530</v>
      </c>
      <c r="I495" s="1" t="s">
        <v>2957</v>
      </c>
      <c r="J495" s="1" t="s">
        <v>607</v>
      </c>
      <c r="M495" s="15" t="s">
        <v>260</v>
      </c>
      <c r="N495" s="1" t="s">
        <v>2857</v>
      </c>
      <c r="O495" s="15">
        <v>9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495" s="15" t="str">
        <f>_xlfn.TEXTBEFORE(_xlfn.TEXTAFTER(CantoralDB[[#This Row],[index.html]],"&gt;"),"&gt;")&amp;"&gt;"</f>
        <v>&lt;a href="canciones/hakuna/pasion_ix_por_que.html"&gt;</v>
      </c>
      <c r="X495"/>
      <c r="AA495" s="1"/>
      <c r="AB495" s="1"/>
    </row>
    <row r="496" spans="1:28" x14ac:dyDescent="0.3">
      <c r="A496" s="1">
        <f>ROW(CantoralDB[[#This Row],[Título]])-1</f>
        <v>495</v>
      </c>
      <c r="B496" s="1" t="s">
        <v>2013</v>
      </c>
      <c r="C496" s="1"/>
      <c r="H496" s="1" t="s">
        <v>1026</v>
      </c>
      <c r="J496" s="1" t="s">
        <v>607</v>
      </c>
      <c r="M496" s="15" t="s">
        <v>260</v>
      </c>
      <c r="N496" s="1" t="s">
        <v>2857</v>
      </c>
      <c r="O496" s="15">
        <v>10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496" s="15" t="str">
        <f>_xlfn.TEXTBEFORE(_xlfn.TEXTAFTER(CantoralDB[[#This Row],[index.html]],"&gt;"),"&gt;")&amp;"&gt;"</f>
        <v>&lt;a href="canciones/hakuna/pasion_x_despojado.html"&gt;</v>
      </c>
      <c r="X496"/>
      <c r="AA496" s="1"/>
      <c r="AB496" s="1"/>
    </row>
    <row r="497" spans="1:28" x14ac:dyDescent="0.3">
      <c r="A497" s="1">
        <f>ROW(CantoralDB[[#This Row],[Título]])-1</f>
        <v>496</v>
      </c>
      <c r="B497" s="1" t="s">
        <v>2014</v>
      </c>
      <c r="C497" s="1"/>
      <c r="H497" s="1" t="s">
        <v>1027</v>
      </c>
      <c r="J497" s="1" t="s">
        <v>607</v>
      </c>
      <c r="M497" s="15" t="s">
        <v>260</v>
      </c>
      <c r="N497" s="1" t="s">
        <v>2857</v>
      </c>
      <c r="O497" s="15">
        <v>11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497" s="15" t="str">
        <f>_xlfn.TEXTBEFORE(_xlfn.TEXTAFTER(CantoralDB[[#This Row],[index.html]],"&gt;"),"&gt;")&amp;"&gt;"</f>
        <v>&lt;a href="canciones/hakuna/pasion_xi_la_medida_del_amor.html"&gt;</v>
      </c>
      <c r="X497"/>
      <c r="AA497" s="1"/>
      <c r="AB497" s="1"/>
    </row>
    <row r="498" spans="1:28" x14ac:dyDescent="0.3">
      <c r="A498" s="1">
        <f>ROW(CantoralDB[[#This Row],[Título]])-1</f>
        <v>497</v>
      </c>
      <c r="B498" s="1" t="s">
        <v>2015</v>
      </c>
      <c r="C498" s="1"/>
      <c r="H498" s="1" t="s">
        <v>530</v>
      </c>
      <c r="J498" s="1" t="s">
        <v>607</v>
      </c>
      <c r="M498" s="15" t="s">
        <v>260</v>
      </c>
      <c r="N498" s="1" t="s">
        <v>2857</v>
      </c>
      <c r="O498" s="15">
        <v>13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498" s="15" t="str">
        <f>_xlfn.TEXTBEFORE(_xlfn.TEXTAFTER(CantoralDB[[#This Row],[index.html]],"&gt;"),"&gt;")&amp;"&gt;"</f>
        <v>&lt;a href="canciones/hakuna/pasion_xiii_madre.html"&gt;</v>
      </c>
      <c r="X498"/>
      <c r="AA498" s="1"/>
      <c r="AB498" s="1"/>
    </row>
    <row r="499" spans="1:28" x14ac:dyDescent="0.3">
      <c r="A499" s="1">
        <f>ROW(CantoralDB[[#This Row],[Título]])-1</f>
        <v>498</v>
      </c>
      <c r="B499" s="1" t="s">
        <v>2016</v>
      </c>
      <c r="C499" s="1"/>
      <c r="H499" s="1" t="s">
        <v>530</v>
      </c>
      <c r="J499" s="1" t="s">
        <v>607</v>
      </c>
      <c r="M499" s="15" t="s">
        <v>260</v>
      </c>
      <c r="N499" s="1" t="s">
        <v>2857</v>
      </c>
      <c r="O499" s="15">
        <v>14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499" s="15" t="str">
        <f>_xlfn.TEXTBEFORE(_xlfn.TEXTAFTER(CantoralDB[[#This Row],[index.html]],"&gt;"),"&gt;")&amp;"&gt;"</f>
        <v>&lt;a href="canciones/hakuna/pasion_xiv_donde_estas_tu.html"&gt;</v>
      </c>
      <c r="X499"/>
      <c r="AA499" s="1"/>
      <c r="AB499" s="1"/>
    </row>
    <row r="500" spans="1:28" x14ac:dyDescent="0.3">
      <c r="A500" s="1">
        <f>ROW(CantoralDB[[#This Row],[Título]])-1</f>
        <v>499</v>
      </c>
      <c r="B500" s="1" t="s">
        <v>2017</v>
      </c>
      <c r="C500" s="1"/>
      <c r="H500" s="1" t="s">
        <v>472</v>
      </c>
      <c r="J500" s="1" t="s">
        <v>607</v>
      </c>
      <c r="M500" s="15" t="s">
        <v>260</v>
      </c>
      <c r="N500" s="1" t="s">
        <v>2857</v>
      </c>
      <c r="O500" s="15">
        <v>15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500" s="15" t="str">
        <f>_xlfn.TEXTBEFORE(_xlfn.TEXTAFTER(CantoralDB[[#This Row],[index.html]],"&gt;"),"&gt;")&amp;"&gt;"</f>
        <v>&lt;a href="canciones/hakuna/pasion_xv_soy_libre.html"&gt;</v>
      </c>
      <c r="X500"/>
      <c r="AA500" s="1"/>
      <c r="AB500" s="1"/>
    </row>
    <row r="501" spans="1:28" x14ac:dyDescent="0.3">
      <c r="A501" s="1">
        <f>ROW(CantoralDB[[#This Row],[Título]])-1</f>
        <v>500</v>
      </c>
      <c r="B501" s="1" t="s">
        <v>2018</v>
      </c>
      <c r="C501" s="1"/>
      <c r="H501" s="1" t="s">
        <v>1029</v>
      </c>
      <c r="I501" s="1" t="s">
        <v>2953</v>
      </c>
      <c r="J501" s="1" t="s">
        <v>607</v>
      </c>
      <c r="M501" s="15" t="s">
        <v>260</v>
      </c>
      <c r="N501" s="1" t="s">
        <v>2857</v>
      </c>
      <c r="O501" s="15">
        <v>16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501" s="1"/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501" s="15" t="str">
        <f>_xlfn.TEXTBEFORE(_xlfn.TEXTAFTER(CantoralDB[[#This Row],[index.html]],"&gt;"),"&gt;")&amp;"&gt;"</f>
        <v>&lt;a href="canciones/hakuna/pasion_xvi_por_mi_por_ti.html"&gt;</v>
      </c>
      <c r="X501"/>
      <c r="AA501" s="1"/>
      <c r="AB501" s="1"/>
    </row>
    <row r="502" spans="1:28" x14ac:dyDescent="0.3">
      <c r="A502" s="1">
        <f>ROW(CantoralDB[[#This Row],[Título]])-1</f>
        <v>501</v>
      </c>
      <c r="B502" s="1" t="s">
        <v>1981</v>
      </c>
      <c r="C502" s="1"/>
      <c r="H502" s="1" t="s">
        <v>1029</v>
      </c>
      <c r="I502" s="1" t="s">
        <v>2957</v>
      </c>
      <c r="J502" s="1" t="s">
        <v>607</v>
      </c>
      <c r="M502" s="15" t="s">
        <v>260</v>
      </c>
      <c r="N502" s="1" t="s">
        <v>2858</v>
      </c>
      <c r="O502" s="15">
        <v>1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502" s="15" t="str">
        <f>_xlfn.TEXTBEFORE(_xlfn.TEXTAFTER(CantoralDB[[#This Row],[index.html]],"&gt;"),"&gt;")&amp;"&gt;"</f>
        <v>&lt;a href="canciones/hakuna/me_sobrepasa.html"&gt;</v>
      </c>
      <c r="X502"/>
      <c r="AA502" s="1"/>
      <c r="AB502" s="1"/>
    </row>
    <row r="503" spans="1:28" x14ac:dyDescent="0.3">
      <c r="A503" s="1">
        <f>ROW(CantoralDB[[#This Row],[Título]])-1</f>
        <v>502</v>
      </c>
      <c r="B503" s="1" t="s">
        <v>1943</v>
      </c>
      <c r="C503" s="1"/>
      <c r="H503" s="1" t="s">
        <v>472</v>
      </c>
      <c r="I503" s="1" t="s">
        <v>2953</v>
      </c>
      <c r="J503" s="1" t="s">
        <v>607</v>
      </c>
      <c r="M503" s="15" t="s">
        <v>260</v>
      </c>
      <c r="N503" s="1" t="s">
        <v>2858</v>
      </c>
      <c r="O503" s="15">
        <v>2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503" s="15" t="str">
        <f>_xlfn.TEXTBEFORE(_xlfn.TEXTAFTER(CantoralDB[[#This Row],[index.html]],"&gt;"),"&gt;")&amp;"&gt;"</f>
        <v>&lt;a href="canciones/hakuna/descalzos.html"&gt;</v>
      </c>
      <c r="X503"/>
      <c r="AA503" s="1"/>
      <c r="AB503" s="1"/>
    </row>
    <row r="504" spans="1:28" x14ac:dyDescent="0.3">
      <c r="A504" s="1">
        <f>ROW(CantoralDB[[#This Row],[Título]])-1</f>
        <v>503</v>
      </c>
      <c r="B504" s="1" t="s">
        <v>1980</v>
      </c>
      <c r="C504" s="1"/>
      <c r="H504" s="1" t="s">
        <v>1029</v>
      </c>
      <c r="I504" s="1" t="s">
        <v>2952</v>
      </c>
      <c r="J504" s="1" t="s">
        <v>607</v>
      </c>
      <c r="M504" s="15" t="s">
        <v>260</v>
      </c>
      <c r="N504" s="1" t="s">
        <v>2858</v>
      </c>
      <c r="O504" s="15">
        <v>3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504" s="15" t="str">
        <f>_xlfn.TEXTBEFORE(_xlfn.TEXTAFTER(CantoralDB[[#This Row],[index.html]],"&gt;"),"&gt;")&amp;"&gt;"</f>
        <v>&lt;a href="canciones/hakuna/un_segundo.html"&gt;</v>
      </c>
      <c r="X504"/>
      <c r="AA504" s="1"/>
      <c r="AB504" s="1"/>
    </row>
    <row r="505" spans="1:28" x14ac:dyDescent="0.3">
      <c r="A505" s="1">
        <f>ROW(CantoralDB[[#This Row],[Título]])-1</f>
        <v>504</v>
      </c>
      <c r="B505" s="1" t="s">
        <v>1954</v>
      </c>
      <c r="C505" s="1"/>
      <c r="H505" s="1" t="s">
        <v>1029</v>
      </c>
      <c r="I505" s="1" t="s">
        <v>2953</v>
      </c>
      <c r="J505" s="1" t="s">
        <v>607</v>
      </c>
      <c r="M505" s="15" t="s">
        <v>260</v>
      </c>
      <c r="N505" s="1" t="s">
        <v>2858</v>
      </c>
      <c r="O505" s="15">
        <v>4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505" s="15" t="str">
        <f>_xlfn.TEXTBEFORE(_xlfn.TEXTAFTER(CantoralDB[[#This Row],[index.html]],"&gt;"),"&gt;")&amp;"&gt;"</f>
        <v>&lt;a href="canciones/hakuna/todo.html"&gt;</v>
      </c>
      <c r="X505"/>
      <c r="AA505" s="1"/>
      <c r="AB505" s="1"/>
    </row>
    <row r="506" spans="1:28" x14ac:dyDescent="0.3">
      <c r="A506" s="1">
        <f>ROW(CantoralDB[[#This Row],[Título]])-1</f>
        <v>505</v>
      </c>
      <c r="B506" s="1" t="s">
        <v>1983</v>
      </c>
      <c r="C506" s="1"/>
      <c r="H506" s="1" t="s">
        <v>472</v>
      </c>
      <c r="I506" s="1" t="s">
        <v>2950</v>
      </c>
      <c r="J506" s="1" t="s">
        <v>607</v>
      </c>
      <c r="M506" s="15" t="s">
        <v>260</v>
      </c>
      <c r="N506" s="1" t="s">
        <v>2858</v>
      </c>
      <c r="O506" s="15">
        <v>5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506" s="15" t="str">
        <f>_xlfn.TEXTBEFORE(_xlfn.TEXTAFTER(CantoralDB[[#This Row],[index.html]],"&gt;"),"&gt;")&amp;"&gt;"</f>
        <v>&lt;a href="canciones/hakuna/el_cielo_aguarda.html"&gt;</v>
      </c>
      <c r="X506"/>
      <c r="AA506" s="1"/>
      <c r="AB506" s="1"/>
    </row>
    <row r="507" spans="1:28" x14ac:dyDescent="0.3">
      <c r="A507" s="1">
        <f>ROW(CantoralDB[[#This Row],[Título]])-1</f>
        <v>506</v>
      </c>
      <c r="B507" s="1" t="s">
        <v>644</v>
      </c>
      <c r="C507" s="1" t="s">
        <v>992</v>
      </c>
      <c r="D507" s="1" t="s">
        <v>711</v>
      </c>
      <c r="G507" s="1" t="s">
        <v>260</v>
      </c>
      <c r="H507" s="1" t="s">
        <v>530</v>
      </c>
      <c r="J507" s="1" t="s">
        <v>607</v>
      </c>
      <c r="M507" s="15" t="s">
        <v>260</v>
      </c>
      <c r="N507" s="1" t="s">
        <v>2858</v>
      </c>
      <c r="O507" s="15">
        <v>6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507" s="15" t="str">
        <f>_xlfn.TEXTBEFORE(_xlfn.TEXTAFTER(CantoralDB[[#This Row],[index.html]],"&gt;"),"&gt;")&amp;"&gt;"</f>
        <v>&lt;a href="canciones/hakuna/huracan.html"&gt;</v>
      </c>
      <c r="X507"/>
      <c r="AA507" s="1"/>
      <c r="AB507" s="1"/>
    </row>
    <row r="508" spans="1:28" x14ac:dyDescent="0.3">
      <c r="A508" s="1">
        <f>ROW(CantoralDB[[#This Row],[Título]])-1</f>
        <v>507</v>
      </c>
      <c r="B508" s="1" t="s">
        <v>1948</v>
      </c>
      <c r="C508" s="1"/>
      <c r="H508" s="1" t="s">
        <v>1029</v>
      </c>
      <c r="I508" s="1" t="s">
        <v>2951</v>
      </c>
      <c r="J508" s="1" t="s">
        <v>607</v>
      </c>
      <c r="M508" s="15" t="s">
        <v>260</v>
      </c>
      <c r="N508" s="1" t="s">
        <v>2858</v>
      </c>
      <c r="O508" s="15">
        <v>7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508" s="1"/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508" s="15" t="str">
        <f>_xlfn.TEXTBEFORE(_xlfn.TEXTAFTER(CantoralDB[[#This Row],[index.html]],"&gt;"),"&gt;")&amp;"&gt;"</f>
        <v>&lt;a href="canciones/hakuna/mirada.html"&gt;</v>
      </c>
      <c r="X508"/>
      <c r="AA508" s="1"/>
      <c r="AB508" s="1"/>
    </row>
    <row r="509" spans="1:28" x14ac:dyDescent="0.3">
      <c r="A509" s="1">
        <f>ROW(CantoralDB[[#This Row],[Título]])-1</f>
        <v>508</v>
      </c>
      <c r="B509" s="1" t="s">
        <v>1951</v>
      </c>
      <c r="C509" s="1"/>
      <c r="H509" s="1" t="s">
        <v>530</v>
      </c>
      <c r="I509" s="1" t="s">
        <v>2955</v>
      </c>
      <c r="J509" s="1" t="s">
        <v>607</v>
      </c>
      <c r="M509" s="15" t="s">
        <v>260</v>
      </c>
      <c r="N509" s="1" t="s">
        <v>2858</v>
      </c>
      <c r="O509" s="15">
        <v>8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509" s="1"/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509" s="15" t="str">
        <f>_xlfn.TEXTBEFORE(_xlfn.TEXTAFTER(CantoralDB[[#This Row],[index.html]],"&gt;"),"&gt;")&amp;"&gt;"</f>
        <v>&lt;a href="canciones/hakuna/pringados.html"&gt;</v>
      </c>
      <c r="X509"/>
      <c r="AA509" s="1"/>
      <c r="AB509" s="1"/>
    </row>
    <row r="510" spans="1:28" x14ac:dyDescent="0.3">
      <c r="A510" s="1">
        <f>ROW(CantoralDB[[#This Row],[Título]])-1</f>
        <v>509</v>
      </c>
      <c r="B510" s="1" t="s">
        <v>1949</v>
      </c>
      <c r="C510" s="1"/>
      <c r="H510" s="1" t="s">
        <v>1028</v>
      </c>
      <c r="I510" s="1" t="s">
        <v>2950</v>
      </c>
      <c r="J510" s="1" t="s">
        <v>607</v>
      </c>
      <c r="M510" s="15" t="s">
        <v>260</v>
      </c>
      <c r="N510" s="1" t="s">
        <v>2858</v>
      </c>
      <c r="O510" s="15">
        <v>9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510" s="15" t="str">
        <f>_xlfn.TEXTBEFORE(_xlfn.TEXTAFTER(CantoralDB[[#This Row],[index.html]],"&gt;"),"&gt;")&amp;"&gt;"</f>
        <v>&lt;a href="canciones/hakuna/noche.html"&gt;</v>
      </c>
      <c r="X510"/>
      <c r="AA510" s="1"/>
      <c r="AB510" s="1"/>
    </row>
    <row r="511" spans="1:28" x14ac:dyDescent="0.3">
      <c r="A511" s="1">
        <f>ROW(CantoralDB[[#This Row],[Título]])-1</f>
        <v>510</v>
      </c>
      <c r="B511" s="1" t="s">
        <v>1982</v>
      </c>
      <c r="C511" s="1"/>
      <c r="H511" s="1" t="s">
        <v>530</v>
      </c>
      <c r="I511" s="1" t="s">
        <v>2957</v>
      </c>
      <c r="J511" s="1" t="s">
        <v>607</v>
      </c>
      <c r="M511" s="15" t="s">
        <v>260</v>
      </c>
      <c r="N511" s="1" t="s">
        <v>2858</v>
      </c>
      <c r="O511" s="15">
        <v>10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511" s="15" t="str">
        <f>_xlfn.TEXTBEFORE(_xlfn.TEXTAFTER(CantoralDB[[#This Row],[index.html]],"&gt;"),"&gt;")&amp;"&gt;"</f>
        <v>&lt;a href="canciones/hakuna/comunion_espiritual.html"&gt;</v>
      </c>
      <c r="X511"/>
      <c r="AA511" s="1"/>
      <c r="AB511" s="1"/>
    </row>
    <row r="512" spans="1:28" x14ac:dyDescent="0.3">
      <c r="A512" s="1">
        <f>ROW(CantoralDB[[#This Row],[Título]])-1</f>
        <v>511</v>
      </c>
      <c r="B512" s="1" t="s">
        <v>1953</v>
      </c>
      <c r="C512" s="1"/>
      <c r="H512" s="1" t="s">
        <v>1029</v>
      </c>
      <c r="I512" s="1" t="s">
        <v>2950</v>
      </c>
      <c r="J512" s="1" t="s">
        <v>607</v>
      </c>
      <c r="M512" s="15" t="s">
        <v>260</v>
      </c>
      <c r="N512" s="1" t="s">
        <v>1953</v>
      </c>
      <c r="O512" s="15">
        <v>1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512" s="15" t="str">
        <f>_xlfn.TEXTBEFORE(_xlfn.TEXTAFTER(CantoralDB[[#This Row],[index.html]],"&gt;"),"&gt;")&amp;"&gt;"</f>
        <v>&lt;a href="canciones/hakuna/sencillamente.html"&gt;</v>
      </c>
      <c r="X512"/>
      <c r="AA512" s="1"/>
      <c r="AB512" s="1"/>
    </row>
    <row r="513" spans="1:28" x14ac:dyDescent="0.3">
      <c r="A513" s="1">
        <f>ROW(CantoralDB[[#This Row],[Título]])-1</f>
        <v>512</v>
      </c>
      <c r="B513" s="1" t="s">
        <v>1972</v>
      </c>
      <c r="C513" s="1"/>
      <c r="H513" s="1" t="s">
        <v>530</v>
      </c>
      <c r="I513" s="1" t="s">
        <v>2950</v>
      </c>
      <c r="J513" s="1" t="s">
        <v>607</v>
      </c>
      <c r="M513" s="15" t="s">
        <v>260</v>
      </c>
      <c r="N513" s="1" t="s">
        <v>1953</v>
      </c>
      <c r="O513" s="15">
        <v>2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513" s="15" t="str">
        <f>_xlfn.TEXTBEFORE(_xlfn.TEXTAFTER(CantoralDB[[#This Row],[index.html]],"&gt;"),"&gt;")&amp;"&gt;"</f>
        <v>&lt;a href="canciones/hakuna/ocupate_tu_de_todo.html"&gt;</v>
      </c>
      <c r="X513"/>
      <c r="AA513" s="1"/>
      <c r="AB513" s="1"/>
    </row>
    <row r="514" spans="1:28" x14ac:dyDescent="0.3">
      <c r="A514" s="1">
        <f>ROW(CantoralDB[[#This Row],[Título]])-1</f>
        <v>513</v>
      </c>
      <c r="B514" s="1" t="s">
        <v>1974</v>
      </c>
      <c r="C514" s="1"/>
      <c r="H514" s="1" t="s">
        <v>1026</v>
      </c>
      <c r="I514" s="1" t="s">
        <v>2951</v>
      </c>
      <c r="J514" s="1" t="s">
        <v>607</v>
      </c>
      <c r="M514" s="15" t="s">
        <v>260</v>
      </c>
      <c r="N514" s="1" t="s">
        <v>1953</v>
      </c>
      <c r="O514" s="15">
        <v>3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514" s="15" t="str">
        <f>_xlfn.TEXTBEFORE(_xlfn.TEXTAFTER(CantoralDB[[#This Row],[index.html]],"&gt;"),"&gt;")&amp;"&gt;"</f>
        <v>&lt;a href="canciones/hakuna/la_piel_por_ti.html"&gt;</v>
      </c>
      <c r="X514"/>
      <c r="AA514" s="1"/>
      <c r="AB514" s="1"/>
    </row>
    <row r="515" spans="1:28" x14ac:dyDescent="0.3">
      <c r="A515" s="1">
        <f>ROW(CantoralDB[[#This Row],[Título]])-1</f>
        <v>514</v>
      </c>
      <c r="B515" s="1" t="s">
        <v>1973</v>
      </c>
      <c r="C515" s="1"/>
      <c r="H515" s="1" t="s">
        <v>1028</v>
      </c>
      <c r="I515" s="1" t="s">
        <v>2953</v>
      </c>
      <c r="J515" s="1" t="s">
        <v>607</v>
      </c>
      <c r="M515" s="15" t="s">
        <v>260</v>
      </c>
      <c r="N515" s="1" t="s">
        <v>1953</v>
      </c>
      <c r="O515" s="15">
        <v>4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515" s="15" t="str">
        <f>_xlfn.TEXTBEFORE(_xlfn.TEXTAFTER(CantoralDB[[#This Row],[index.html]],"&gt;"),"&gt;")&amp;"&gt;"</f>
        <v>&lt;a href="canciones/hakuna/el_abrazo.html"&gt;</v>
      </c>
      <c r="X515"/>
      <c r="AA515" s="1"/>
      <c r="AB515" s="1"/>
    </row>
    <row r="516" spans="1:28" x14ac:dyDescent="0.3">
      <c r="A516" s="1">
        <f>ROW(CantoralDB[[#This Row],[Título]])-1</f>
        <v>515</v>
      </c>
      <c r="B516" s="1" t="s">
        <v>1976</v>
      </c>
      <c r="C516" s="1"/>
      <c r="H516" s="1" t="s">
        <v>1026</v>
      </c>
      <c r="I516" s="1" t="s">
        <v>2952</v>
      </c>
      <c r="J516" s="1" t="s">
        <v>607</v>
      </c>
      <c r="M516" s="15" t="s">
        <v>260</v>
      </c>
      <c r="N516" s="1" t="s">
        <v>1953</v>
      </c>
      <c r="O516" s="15">
        <v>5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516" s="15" t="str">
        <f>_xlfn.TEXTBEFORE(_xlfn.TEXTAFTER(CantoralDB[[#This Row],[index.html]],"&gt;"),"&gt;")&amp;"&gt;"</f>
        <v>&lt;a href="canciones/hakuna/en_lo_hondo.html"&gt;</v>
      </c>
      <c r="X516"/>
      <c r="AA516" s="1"/>
      <c r="AB516" s="1"/>
    </row>
    <row r="517" spans="1:28" x14ac:dyDescent="0.3">
      <c r="A517" s="1">
        <f>ROW(CantoralDB[[#This Row],[Título]])-1</f>
        <v>516</v>
      </c>
      <c r="B517" s="1" t="s">
        <v>1941</v>
      </c>
      <c r="C517" s="1"/>
      <c r="H517" s="1" t="s">
        <v>530</v>
      </c>
      <c r="I517" s="1" t="s">
        <v>2952</v>
      </c>
      <c r="J517" s="1" t="s">
        <v>607</v>
      </c>
      <c r="M517" s="15" t="s">
        <v>260</v>
      </c>
      <c r="N517" s="1" t="s">
        <v>1953</v>
      </c>
      <c r="O517" s="15">
        <v>6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517" s="15" t="str">
        <f>_xlfn.TEXTBEFORE(_xlfn.TEXTAFTER(CantoralDB[[#This Row],[index.html]],"&gt;"),"&gt;")&amp;"&gt;"</f>
        <v>&lt;a href="canciones/hakuna/colombia.html"&gt;</v>
      </c>
      <c r="X517"/>
      <c r="AA517" s="1"/>
      <c r="AB517" s="1"/>
    </row>
    <row r="518" spans="1:28" x14ac:dyDescent="0.3">
      <c r="A518" s="1">
        <f>ROW(CantoralDB[[#This Row],[Título]])-1</f>
        <v>517</v>
      </c>
      <c r="B518" s="1" t="s">
        <v>1956</v>
      </c>
      <c r="C518" s="1"/>
      <c r="H518" s="1" t="s">
        <v>530</v>
      </c>
      <c r="I518" s="1" t="s">
        <v>2953</v>
      </c>
      <c r="J518" s="1" t="s">
        <v>607</v>
      </c>
      <c r="M518" s="15" t="s">
        <v>260</v>
      </c>
      <c r="N518" s="1" t="s">
        <v>1953</v>
      </c>
      <c r="O518" s="15">
        <v>7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518" s="15" t="str">
        <f>_xlfn.TEXTBEFORE(_xlfn.TEXTAFTER(CantoralDB[[#This Row],[index.html]],"&gt;"),"&gt;")&amp;"&gt;"</f>
        <v>&lt;a href="canciones/hakuna/vertigo.html"&gt;</v>
      </c>
      <c r="X518"/>
      <c r="AA518" s="1"/>
      <c r="AB518" s="1"/>
    </row>
    <row r="519" spans="1:28" x14ac:dyDescent="0.3">
      <c r="A519" s="1">
        <f>ROW(CantoralDB[[#This Row],[Título]])-1</f>
        <v>518</v>
      </c>
      <c r="B519" s="1" t="s">
        <v>1942</v>
      </c>
      <c r="C519" s="1"/>
      <c r="H519" s="1" t="s">
        <v>1029</v>
      </c>
      <c r="I519" s="1" t="s">
        <v>2957</v>
      </c>
      <c r="J519" s="1" t="s">
        <v>607</v>
      </c>
      <c r="M519" s="15" t="s">
        <v>260</v>
      </c>
      <c r="N519" s="1" t="s">
        <v>1953</v>
      </c>
      <c r="O519" s="15">
        <v>8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519" s="15" t="str">
        <f>_xlfn.TEXTBEFORE(_xlfn.TEXTAFTER(CantoralDB[[#This Row],[index.html]],"&gt;"),"&gt;")&amp;"&gt;"</f>
        <v>&lt;a href="canciones/hakuna/concienciame.html"&gt;</v>
      </c>
      <c r="X519"/>
      <c r="AA519" s="1"/>
      <c r="AB519" s="1"/>
    </row>
    <row r="520" spans="1:28" x14ac:dyDescent="0.3">
      <c r="A520" s="1">
        <f>ROW(CantoralDB[[#This Row],[Título]])-1</f>
        <v>519</v>
      </c>
      <c r="B520" s="1" t="s">
        <v>1939</v>
      </c>
      <c r="C520" s="1"/>
      <c r="H520" s="1" t="s">
        <v>1029</v>
      </c>
      <c r="I520" s="1" t="s">
        <v>2957</v>
      </c>
      <c r="J520" s="1" t="s">
        <v>607</v>
      </c>
      <c r="M520" s="15" t="s">
        <v>260</v>
      </c>
      <c r="N520" s="1" t="s">
        <v>1953</v>
      </c>
      <c r="O520" s="15">
        <v>9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520" s="1"/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520" s="15" t="str">
        <f>_xlfn.TEXTBEFORE(_xlfn.TEXTAFTER(CantoralDB[[#This Row],[index.html]],"&gt;"),"&gt;")&amp;"&gt;"</f>
        <v>&lt;a href="canciones/hakuna/bendito.html"&gt;</v>
      </c>
      <c r="X520"/>
      <c r="AA520" s="1"/>
      <c r="AB520" s="1"/>
    </row>
    <row r="521" spans="1:28" x14ac:dyDescent="0.3">
      <c r="A521" s="1">
        <f>ROW(CantoralDB[[#This Row],[Título]])-1</f>
        <v>520</v>
      </c>
      <c r="B521" s="1" t="s">
        <v>1977</v>
      </c>
      <c r="C521" s="1"/>
      <c r="H521" s="1" t="s">
        <v>1029</v>
      </c>
      <c r="I521" s="1" t="s">
        <v>2952</v>
      </c>
      <c r="J521" s="1" t="s">
        <v>607</v>
      </c>
      <c r="M521" s="15" t="s">
        <v>260</v>
      </c>
      <c r="N521" s="1" t="s">
        <v>1953</v>
      </c>
      <c r="O521" s="15">
        <v>10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521" s="15" t="str">
        <f>_xlfn.TEXTBEFORE(_xlfn.TEXTAFTER(CantoralDB[[#This Row],[index.html]],"&gt;"),"&gt;")&amp;"&gt;"</f>
        <v>&lt;a href="canciones/hakuna/arde_(san_jose).html"&gt;</v>
      </c>
      <c r="X521"/>
      <c r="AA521" s="1"/>
      <c r="AB521" s="1"/>
    </row>
    <row r="522" spans="1:28" x14ac:dyDescent="0.3">
      <c r="A522" s="1">
        <f>ROW(CantoralDB[[#This Row],[Título]])-1</f>
        <v>521</v>
      </c>
      <c r="B522" s="1" t="s">
        <v>1978</v>
      </c>
      <c r="C522" s="1"/>
      <c r="H522" s="1" t="s">
        <v>530</v>
      </c>
      <c r="I522" s="1" t="s">
        <v>2952</v>
      </c>
      <c r="J522" s="1" t="s">
        <v>607</v>
      </c>
      <c r="M522" s="15" t="s">
        <v>260</v>
      </c>
      <c r="N522" s="1" t="s">
        <v>1953</v>
      </c>
      <c r="O522" s="15">
        <v>11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522" s="15" t="str">
        <f>_xlfn.TEXTBEFORE(_xlfn.TEXTAFTER(CantoralDB[[#This Row],[index.html]],"&gt;"),"&gt;")&amp;"&gt;"</f>
        <v>&lt;a href="canciones/hakuna/todos_por_todos.html"&gt;</v>
      </c>
      <c r="X522"/>
      <c r="AA522" s="1"/>
      <c r="AB522" s="1"/>
    </row>
    <row r="523" spans="1:28" x14ac:dyDescent="0.3">
      <c r="A523" s="1">
        <f>ROW(CantoralDB[[#This Row],[Título]])-1</f>
        <v>522</v>
      </c>
      <c r="B523" s="1" t="s">
        <v>1945</v>
      </c>
      <c r="C523" s="1"/>
      <c r="H523" s="1" t="s">
        <v>1029</v>
      </c>
      <c r="I523" s="1" t="s">
        <v>2957</v>
      </c>
      <c r="J523" s="1" t="s">
        <v>607</v>
      </c>
      <c r="M523" s="15" t="s">
        <v>260</v>
      </c>
      <c r="N523" s="1" t="s">
        <v>1953</v>
      </c>
      <c r="O523" s="15">
        <v>12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523" s="1"/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523" s="15" t="str">
        <f>_xlfn.TEXTBEFORE(_xlfn.TEXTAFTER(CantoralDB[[#This Row],[index.html]],"&gt;"),"&gt;")&amp;"&gt;"</f>
        <v>&lt;a href="canciones/hakuna/forofos.html"&gt;</v>
      </c>
      <c r="X523"/>
      <c r="AA523" s="1"/>
      <c r="AB523" s="1"/>
    </row>
    <row r="524" spans="1:28" x14ac:dyDescent="0.3">
      <c r="A524" s="1">
        <f>ROW(CantoralDB[[#This Row],[Título]])-1</f>
        <v>523</v>
      </c>
      <c r="B524" s="1" t="s">
        <v>1975</v>
      </c>
      <c r="C524" s="1"/>
      <c r="J524" s="1"/>
      <c r="M524" s="15" t="s">
        <v>260</v>
      </c>
      <c r="N524" s="1" t="s">
        <v>1953</v>
      </c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524" s="1"/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524" s="15" t="str">
        <f>_xlfn.TEXTBEFORE(_xlfn.TEXTAFTER(CantoralDB[[#This Row],[index.html]],"&gt;"),"&gt;")&amp;"&gt;"</f>
        <v>&lt;a href="canciones/hakuna/madre_de_hakuna.html"&gt;</v>
      </c>
      <c r="X524"/>
      <c r="AA524" s="1"/>
      <c r="AB524" s="1"/>
    </row>
    <row r="525" spans="1:28" x14ac:dyDescent="0.3">
      <c r="A525" s="1">
        <f>ROW(CantoralDB[[#This Row],[Título]])-1</f>
        <v>524</v>
      </c>
      <c r="B525" s="1" t="s">
        <v>2003</v>
      </c>
      <c r="C525" s="1"/>
      <c r="H525" s="1" t="s">
        <v>530</v>
      </c>
      <c r="I525" s="1" t="s">
        <v>2952</v>
      </c>
      <c r="J525" s="1" t="s">
        <v>607</v>
      </c>
      <c r="M525" s="15" t="s">
        <v>260</v>
      </c>
      <c r="N525" s="1" t="s">
        <v>2859</v>
      </c>
      <c r="O525" s="15">
        <v>1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525" s="15" t="str">
        <f>_xlfn.TEXTBEFORE(_xlfn.TEXTAFTER(CantoralDB[[#This Row],[index.html]],"&gt;"),"&gt;")&amp;"&gt;"</f>
        <v>&lt;a href="canciones/hakuna/a_ti_te_alabo.html"&gt;</v>
      </c>
      <c r="X525"/>
      <c r="AA525" s="1"/>
      <c r="AB525" s="1"/>
    </row>
    <row r="526" spans="1:28" x14ac:dyDescent="0.3">
      <c r="A526" s="1">
        <f>ROW(CantoralDB[[#This Row],[Título]])-1</f>
        <v>525</v>
      </c>
      <c r="B526" s="1" t="s">
        <v>2861</v>
      </c>
      <c r="C526" s="1"/>
      <c r="H526" s="1" t="s">
        <v>530</v>
      </c>
      <c r="J526" s="1" t="s">
        <v>607</v>
      </c>
      <c r="M526" s="15" t="s">
        <v>260</v>
      </c>
      <c r="N526" s="1" t="s">
        <v>2859</v>
      </c>
      <c r="O526" s="15">
        <v>2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526" s="1"/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526" s="15" t="str">
        <f>_xlfn.TEXTBEFORE(_xlfn.TEXTAFTER(CantoralDB[[#This Row],[index.html]],"&gt;"),"&gt;")&amp;"&gt;"</f>
        <v>&lt;a href="canciones/hakuna/los_coros_del_universo.html"&gt;</v>
      </c>
      <c r="X526"/>
      <c r="AA526" s="1"/>
      <c r="AB526" s="1"/>
    </row>
    <row r="527" spans="1:28" x14ac:dyDescent="0.3">
      <c r="A527" s="1">
        <f>ROW(CantoralDB[[#This Row],[Título]])-1</f>
        <v>526</v>
      </c>
      <c r="B527" s="1" t="s">
        <v>2004</v>
      </c>
      <c r="C527" s="1"/>
      <c r="H527" s="1" t="s">
        <v>1029</v>
      </c>
      <c r="I527" s="1" t="s">
        <v>2954</v>
      </c>
      <c r="J527" s="1" t="s">
        <v>607</v>
      </c>
      <c r="M527" s="15" t="s">
        <v>260</v>
      </c>
      <c r="N527" s="1" t="s">
        <v>2859</v>
      </c>
      <c r="O527" s="15">
        <v>3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527" s="15" t="str">
        <f>_xlfn.TEXTBEFORE(_xlfn.TEXTAFTER(CantoralDB[[#This Row],[index.html]],"&gt;"),"&gt;")&amp;"&gt;"</f>
        <v>&lt;a href="canciones/hakuna/en_medio_del_fuego.html"&gt;</v>
      </c>
      <c r="X527"/>
      <c r="AA527" s="1"/>
      <c r="AB527" s="1"/>
    </row>
    <row r="528" spans="1:28" x14ac:dyDescent="0.3">
      <c r="A528" s="1">
        <f>ROW(CantoralDB[[#This Row],[Título]])-1</f>
        <v>527</v>
      </c>
      <c r="B528" s="1" t="s">
        <v>193</v>
      </c>
      <c r="C528" s="1"/>
      <c r="H528" s="1" t="s">
        <v>1029</v>
      </c>
      <c r="J528" s="1" t="s">
        <v>607</v>
      </c>
      <c r="M528" s="15" t="s">
        <v>260</v>
      </c>
      <c r="N528" s="1" t="s">
        <v>2859</v>
      </c>
      <c r="O528" s="15">
        <v>4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528" s="15" t="str">
        <f>_xlfn.TEXTBEFORE(_xlfn.TEXTAFTER(CantoralDB[[#This Row],[index.html]],"&gt;"),"&gt;")&amp;"&gt;"</f>
        <v>&lt;a href="canciones/hakuna/aleluya.html"&gt;</v>
      </c>
      <c r="X528"/>
      <c r="AA528" s="1"/>
      <c r="AB528" s="1"/>
    </row>
    <row r="529" spans="1:28" x14ac:dyDescent="0.3">
      <c r="A529" s="1">
        <f>ROW(CantoralDB[[#This Row],[Título]])-1</f>
        <v>528</v>
      </c>
      <c r="B529" s="1" t="s">
        <v>1756</v>
      </c>
      <c r="C529" s="1"/>
      <c r="H529" s="1" t="s">
        <v>1029</v>
      </c>
      <c r="J529" s="1" t="s">
        <v>607</v>
      </c>
      <c r="M529" s="15" t="s">
        <v>260</v>
      </c>
      <c r="N529" s="1" t="s">
        <v>2859</v>
      </c>
      <c r="O529" s="15">
        <v>5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529" s="15" t="str">
        <f>_xlfn.TEXTBEFORE(_xlfn.TEXTAFTER(CantoralDB[[#This Row],[index.html]],"&gt;"),"&gt;")&amp;"&gt;"</f>
        <v>&lt;a href="canciones/hakuna/ruah.html"&gt;</v>
      </c>
      <c r="X529"/>
      <c r="AA529" s="1"/>
      <c r="AB529" s="1"/>
    </row>
    <row r="530" spans="1:28" x14ac:dyDescent="0.3">
      <c r="A530" s="1">
        <f>ROW(CantoralDB[[#This Row],[Título]])-1</f>
        <v>529</v>
      </c>
      <c r="B530" s="1" t="s">
        <v>1716</v>
      </c>
      <c r="C530" s="1"/>
      <c r="H530" s="1" t="s">
        <v>1026</v>
      </c>
      <c r="J530" s="1" t="s">
        <v>607</v>
      </c>
      <c r="M530" s="15" t="s">
        <v>260</v>
      </c>
      <c r="N530" s="1" t="s">
        <v>2859</v>
      </c>
      <c r="O530" s="15">
        <v>6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530" s="1"/>
      <c r="T530" s="1"/>
      <c r="U530" s="15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530" s="15" t="str">
        <f>_xlfn.TEXTBEFORE(_xlfn.TEXTAFTER(CantoralDB[[#This Row],[index.html]],"&gt;"),"&gt;")&amp;"&gt;"</f>
        <v>&lt;a href="canciones/hakuna/padre.html"&gt;</v>
      </c>
      <c r="X530"/>
      <c r="AA530" s="1"/>
      <c r="AB530" s="1"/>
    </row>
    <row r="531" spans="1:28" x14ac:dyDescent="0.3">
      <c r="A531" s="1">
        <f>ROW(CantoralDB[[#This Row],[Título]])-1</f>
        <v>530</v>
      </c>
      <c r="B531" s="1" t="s">
        <v>2862</v>
      </c>
      <c r="C531" s="1"/>
      <c r="H531" s="1" t="s">
        <v>1029</v>
      </c>
      <c r="I531" s="1" t="s">
        <v>2953</v>
      </c>
      <c r="J531" s="1" t="s">
        <v>607</v>
      </c>
      <c r="M531" s="15" t="s">
        <v>260</v>
      </c>
      <c r="N531" s="1" t="s">
        <v>2859</v>
      </c>
      <c r="O531" s="15">
        <v>7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531" s="15" t="str">
        <f>_xlfn.TEXTBEFORE(_xlfn.TEXTAFTER(CantoralDB[[#This Row],[index.html]],"&gt;"),"&gt;")&amp;"&gt;"</f>
        <v>&lt;a href="canciones/hakuna/te_alabare.html"&gt;</v>
      </c>
      <c r="X531"/>
      <c r="AA531" s="1"/>
      <c r="AB531" s="1"/>
    </row>
    <row r="532" spans="1:28" x14ac:dyDescent="0.3">
      <c r="A532" s="1">
        <f>ROW(CantoralDB[[#This Row],[Título]])-1</f>
        <v>531</v>
      </c>
      <c r="B532" s="1" t="s">
        <v>2863</v>
      </c>
      <c r="C532" s="1"/>
      <c r="H532" s="1" t="s">
        <v>1026</v>
      </c>
      <c r="J532" s="1" t="s">
        <v>607</v>
      </c>
      <c r="M532" s="15" t="s">
        <v>260</v>
      </c>
      <c r="N532" s="1" t="s">
        <v>2859</v>
      </c>
      <c r="O532" s="15">
        <v>8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532" s="15" t="str">
        <f>_xlfn.TEXTBEFORE(_xlfn.TEXTAFTER(CantoralDB[[#This Row],[index.html]],"&gt;"),"&gt;")&amp;"&gt;"</f>
        <v>&lt;a href="canciones/hakuna/sanas.html"&gt;</v>
      </c>
      <c r="X532"/>
      <c r="AA532" s="1"/>
      <c r="AB532" s="1"/>
    </row>
    <row r="533" spans="1:28" x14ac:dyDescent="0.3">
      <c r="A533" s="1">
        <f>ROW(CantoralDB[[#This Row],[Título]])-1</f>
        <v>532</v>
      </c>
      <c r="B533" s="1" t="s">
        <v>1800</v>
      </c>
      <c r="C533" s="1"/>
      <c r="H533" s="1" t="s">
        <v>1029</v>
      </c>
      <c r="J533" s="1" t="s">
        <v>607</v>
      </c>
      <c r="M533" s="15" t="s">
        <v>260</v>
      </c>
      <c r="N533" s="1" t="s">
        <v>2859</v>
      </c>
      <c r="O533" s="15">
        <v>9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533" s="1"/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533" s="15" t="str">
        <f>_xlfn.TEXTBEFORE(_xlfn.TEXTAFTER(CantoralDB[[#This Row],[index.html]],"&gt;"),"&gt;")&amp;"&gt;"</f>
        <v>&lt;a href="canciones/hakuna/solo_tu.html"&gt;</v>
      </c>
      <c r="X533"/>
      <c r="AA533" s="1"/>
      <c r="AB533" s="1"/>
    </row>
    <row r="534" spans="1:28" x14ac:dyDescent="0.3">
      <c r="A534" s="1">
        <f>ROW(CantoralDB[[#This Row],[Título]])-1</f>
        <v>533</v>
      </c>
      <c r="B534" s="1" t="s">
        <v>2019</v>
      </c>
      <c r="C534" s="1"/>
      <c r="H534" s="1" t="s">
        <v>1029</v>
      </c>
      <c r="I534" s="1" t="s">
        <v>2952</v>
      </c>
      <c r="J534" s="1" t="s">
        <v>607</v>
      </c>
      <c r="M534" s="15" t="s">
        <v>260</v>
      </c>
      <c r="N534" s="1" t="s">
        <v>2859</v>
      </c>
      <c r="O534" s="15">
        <v>10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534" s="15" t="str">
        <f>_xlfn.TEXTBEFORE(_xlfn.TEXTAFTER(CantoralDB[[#This Row],[index.html]],"&gt;"),"&gt;")&amp;"&gt;"</f>
        <v>&lt;a href="canciones/hakuna/el_unico_rey.html"&gt;</v>
      </c>
      <c r="X534"/>
      <c r="AA534" s="1"/>
      <c r="AB534" s="1"/>
    </row>
    <row r="535" spans="1:28" x14ac:dyDescent="0.3">
      <c r="A535" s="1">
        <f>ROW(CantoralDB[[#This Row],[Título]])-1</f>
        <v>534</v>
      </c>
      <c r="B535" s="1" t="s">
        <v>1979</v>
      </c>
      <c r="C535" s="1"/>
      <c r="H535" s="1" t="s">
        <v>1026</v>
      </c>
      <c r="I535" s="1" t="s">
        <v>2950</v>
      </c>
      <c r="J535" s="1" t="s">
        <v>607</v>
      </c>
      <c r="M535" s="15" t="s">
        <v>260</v>
      </c>
      <c r="N535" s="1" t="s">
        <v>2133</v>
      </c>
      <c r="O535" s="15">
        <v>1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535" s="1"/>
      <c r="T535" s="1"/>
      <c r="U535" s="15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535" s="15" t="str">
        <f>_xlfn.TEXTBEFORE(_xlfn.TEXTAFTER(CantoralDB[[#This Row],[index.html]],"&gt;"),"&gt;")&amp;"&gt;"</f>
        <v>&lt;a href="canciones/hakuna/hoy_en_belen.html"&gt;</v>
      </c>
      <c r="X535"/>
      <c r="AA535" s="1"/>
      <c r="AB535" s="1"/>
    </row>
    <row r="536" spans="1:28" x14ac:dyDescent="0.3">
      <c r="A536" s="1">
        <f>ROW(CantoralDB[[#This Row],[Título]])-1</f>
        <v>535</v>
      </c>
      <c r="B536" s="1" t="s">
        <v>1984</v>
      </c>
      <c r="C536" s="1"/>
      <c r="H536" s="1" t="s">
        <v>1029</v>
      </c>
      <c r="I536" s="1" t="s">
        <v>2952</v>
      </c>
      <c r="J536" s="1" t="s">
        <v>607</v>
      </c>
      <c r="M536" s="15" t="s">
        <v>260</v>
      </c>
      <c r="N536" s="1" t="s">
        <v>2133</v>
      </c>
      <c r="O536" s="15">
        <v>2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536" s="1"/>
      <c r="T536" s="1"/>
      <c r="U536" s="15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536" s="15" t="str">
        <f>_xlfn.TEXTBEFORE(_xlfn.TEXTAFTER(CantoralDB[[#This Row],[index.html]],"&gt;"),"&gt;")&amp;"&gt;"</f>
        <v>&lt;a href="canciones/hakuna/lo_imposible.html"&gt;</v>
      </c>
      <c r="X536"/>
      <c r="AA536" s="1"/>
      <c r="AB536" s="1"/>
    </row>
    <row r="537" spans="1:28" x14ac:dyDescent="0.3">
      <c r="A537" s="1">
        <f>ROW(CantoralDB[[#This Row],[Título]])-1</f>
        <v>536</v>
      </c>
      <c r="B537" s="1" t="s">
        <v>1989</v>
      </c>
      <c r="C537" s="1"/>
      <c r="H537" s="1" t="s">
        <v>530</v>
      </c>
      <c r="I537" s="1" t="s">
        <v>2952</v>
      </c>
      <c r="J537" s="1" t="s">
        <v>607</v>
      </c>
      <c r="M537" s="15" t="s">
        <v>260</v>
      </c>
      <c r="N537" s="1" t="s">
        <v>2133</v>
      </c>
      <c r="O537" s="15">
        <v>3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537" s="1"/>
      <c r="T537" s="1"/>
      <c r="U537" s="15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537" s="15" t="str">
        <f>_xlfn.TEXTBEFORE(_xlfn.TEXTAFTER(CantoralDB[[#This Row],[index.html]],"&gt;"),"&gt;")&amp;"&gt;"</f>
        <v>&lt;a href="canciones/hakuna/del_cielo.html"&gt;</v>
      </c>
      <c r="X537"/>
      <c r="AA537" s="1"/>
      <c r="AB537" s="1"/>
    </row>
    <row r="538" spans="1:28" x14ac:dyDescent="0.3">
      <c r="A538" s="1">
        <f>ROW(CantoralDB[[#This Row],[Título]])-1</f>
        <v>537</v>
      </c>
      <c r="B538" s="1" t="s">
        <v>2000</v>
      </c>
      <c r="C538" s="1"/>
      <c r="H538" s="1" t="s">
        <v>530</v>
      </c>
      <c r="I538" s="1" t="s">
        <v>2952</v>
      </c>
      <c r="J538" s="1" t="s">
        <v>607</v>
      </c>
      <c r="M538" s="15" t="s">
        <v>260</v>
      </c>
      <c r="N538" s="1" t="s">
        <v>2133</v>
      </c>
      <c r="O538" s="15">
        <v>4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538" s="1"/>
      <c r="T538" s="1"/>
      <c r="U538" s="15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538" s="15" t="str">
        <f>_xlfn.TEXTBEFORE(_xlfn.TEXTAFTER(CantoralDB[[#This Row],[index.html]],"&gt;"),"&gt;")&amp;"&gt;"</f>
        <v>&lt;a href="canciones/hakuna/juntos.html"&gt;</v>
      </c>
      <c r="X538"/>
      <c r="AA538" s="1"/>
      <c r="AB538" s="1"/>
    </row>
    <row r="539" spans="1:28" x14ac:dyDescent="0.3">
      <c r="A539" s="1">
        <f>ROW(CantoralDB[[#This Row],[Título]])-1</f>
        <v>538</v>
      </c>
      <c r="B539" s="1" t="s">
        <v>53</v>
      </c>
      <c r="C539" s="1"/>
      <c r="H539" s="1" t="s">
        <v>1026</v>
      </c>
      <c r="J539" s="1" t="s">
        <v>607</v>
      </c>
      <c r="M539" s="15" t="s">
        <v>2223</v>
      </c>
      <c r="N539" s="1" t="s">
        <v>53</v>
      </c>
      <c r="O539" s="15">
        <v>1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39" s="1" t="s">
        <v>2300</v>
      </c>
      <c r="T539" s="1"/>
      <c r="U539" s="15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539" s="15" t="str">
        <f>_xlfn.TEXTBEFORE(_xlfn.TEXTAFTER(CantoralDB[[#This Row],[index.html]],"&gt;"),"&gt;")&amp;"&gt;"</f>
        <v>&lt;a href="canciones/hermana_glenda/el_señor_es_mi_pastor.html"&gt;</v>
      </c>
      <c r="X539"/>
      <c r="AA539" s="1"/>
      <c r="AB539" s="1"/>
    </row>
    <row r="540" spans="1:28" x14ac:dyDescent="0.3">
      <c r="A540" s="1">
        <f>ROW(CantoralDB[[#This Row],[Título]])-1</f>
        <v>539</v>
      </c>
      <c r="B540" s="1" t="s">
        <v>2269</v>
      </c>
      <c r="C540" s="1"/>
      <c r="H540" s="1" t="s">
        <v>530</v>
      </c>
      <c r="J540" s="1" t="s">
        <v>607</v>
      </c>
      <c r="M540" s="15" t="s">
        <v>2223</v>
      </c>
      <c r="N540" s="1" t="s">
        <v>2253</v>
      </c>
      <c r="O540" s="15">
        <v>1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40" s="1" t="s">
        <v>2355</v>
      </c>
      <c r="T540" s="1"/>
      <c r="U540" s="15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540" s="15" t="str">
        <f>_xlfn.TEXTBEFORE(_xlfn.TEXTAFTER(CantoralDB[[#This Row],[index.html]],"&gt;"),"&gt;")&amp;"&gt;"</f>
        <v>&lt;a href="canciones/hermana_glenda/ahi_tienes_a_tu_madre.html"&gt;</v>
      </c>
      <c r="X540"/>
      <c r="AA540" s="1"/>
      <c r="AB540" s="1"/>
    </row>
    <row r="541" spans="1:28" x14ac:dyDescent="0.3">
      <c r="A541" s="1">
        <f>ROW(CantoralDB[[#This Row],[Título]])-1</f>
        <v>540</v>
      </c>
      <c r="B541" s="1" t="s">
        <v>1213</v>
      </c>
      <c r="C541" s="1"/>
      <c r="F541" s="1">
        <v>249</v>
      </c>
      <c r="J541" s="1"/>
      <c r="M541" s="15" t="s">
        <v>2223</v>
      </c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41" s="1" t="s">
        <v>2301</v>
      </c>
      <c r="T541" s="1"/>
      <c r="U541" s="15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541" s="15" t="str">
        <f>_xlfn.TEXTBEFORE(_xlfn.TEXTAFTER(CantoralDB[[#This Row],[index.html]],"&gt;"),"&gt;")&amp;"&gt;"</f>
        <v>&lt;a href="canciones/hermana_glenda/el_auxilio_me_viene_del_señor.html"&gt;</v>
      </c>
      <c r="X541"/>
      <c r="AA541" s="1"/>
      <c r="AB541" s="1"/>
    </row>
    <row r="542" spans="1:28" x14ac:dyDescent="0.3">
      <c r="A542" s="1">
        <f>ROW(CantoralDB[[#This Row],[Título]])-1</f>
        <v>541</v>
      </c>
      <c r="B542" s="1" t="s">
        <v>2280</v>
      </c>
      <c r="C542" s="1"/>
      <c r="F542" s="1">
        <v>226</v>
      </c>
      <c r="J542" s="1"/>
      <c r="M542" s="15" t="s">
        <v>2223</v>
      </c>
      <c r="O542" s="15"/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42" s="1"/>
      <c r="T542" s="1"/>
      <c r="U542" s="15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542" s="15" t="str">
        <f>_xlfn.TEXTBEFORE(_xlfn.TEXTAFTER(CantoralDB[[#This Row],[index.html]],"&gt;"),"&gt;")&amp;"&gt;"</f>
        <v>&lt;a href="canciones/hermana_glenda/las_aguas_no_podran_apagar_el_amor.html"&gt;</v>
      </c>
      <c r="X542"/>
      <c r="AA542" s="1"/>
      <c r="AB542" s="1"/>
    </row>
    <row r="543" spans="1:28" x14ac:dyDescent="0.3">
      <c r="A543" s="1">
        <f>ROW(CantoralDB[[#This Row],[Título]])-1</f>
        <v>542</v>
      </c>
      <c r="B543" s="1" t="s">
        <v>2237</v>
      </c>
      <c r="C543" s="1"/>
      <c r="F543" s="1">
        <v>220</v>
      </c>
      <c r="J543" s="1"/>
      <c r="M543" s="15" t="s">
        <v>2223</v>
      </c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43" s="1"/>
      <c r="T543" s="1"/>
      <c r="U543" s="15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543" s="15" t="str">
        <f>_xlfn.TEXTBEFORE(_xlfn.TEXTAFTER(CantoralDB[[#This Row],[index.html]],"&gt;"),"&gt;")&amp;"&gt;"</f>
        <v>&lt;a href="canciones/hermana_glenda/nada_es_imposible.html"&gt;</v>
      </c>
      <c r="X543"/>
      <c r="AA543" s="1"/>
      <c r="AB543" s="1"/>
    </row>
    <row r="544" spans="1:28" x14ac:dyDescent="0.3">
      <c r="A544" s="1">
        <f>ROW(CantoralDB[[#This Row],[Título]])-1</f>
        <v>543</v>
      </c>
      <c r="B544" s="1" t="s">
        <v>2289</v>
      </c>
      <c r="C544" s="1"/>
      <c r="F544" s="1">
        <v>214</v>
      </c>
      <c r="J544" s="1"/>
      <c r="M544" s="15" t="s">
        <v>2223</v>
      </c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44" s="1"/>
      <c r="T544" s="1"/>
      <c r="U544" s="15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544" s="15" t="str">
        <f>_xlfn.TEXTBEFORE(_xlfn.TEXTAFTER(CantoralDB[[#This Row],[index.html]],"&gt;"),"&gt;")&amp;"&gt;"</f>
        <v>&lt;a href="canciones/hermana_glenda/no_juzgues.html"&gt;</v>
      </c>
      <c r="X544"/>
      <c r="AA544" s="1"/>
      <c r="AB544" s="1"/>
    </row>
    <row r="545" spans="1:28" x14ac:dyDescent="0.3">
      <c r="A545" s="1">
        <f>ROW(CantoralDB[[#This Row],[Título]])-1</f>
        <v>544</v>
      </c>
      <c r="B545" s="1" t="s">
        <v>2232</v>
      </c>
      <c r="C545" s="1"/>
      <c r="F545" s="1">
        <v>280</v>
      </c>
      <c r="J545" s="1"/>
      <c r="M545" s="15" t="s">
        <v>2223</v>
      </c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45" s="1"/>
      <c r="T545" s="1"/>
      <c r="U545" s="15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545" s="15" t="str">
        <f>_xlfn.TEXTBEFORE(_xlfn.TEXTAFTER(CantoralDB[[#This Row],[index.html]],"&gt;"),"&gt;")&amp;"&gt;"</f>
        <v>&lt;a href="canciones/hermana_glenda/no_soy_digno.html"&gt;</v>
      </c>
      <c r="X545"/>
      <c r="AA545" s="1"/>
      <c r="AB545" s="1"/>
    </row>
    <row r="546" spans="1:28" x14ac:dyDescent="0.3">
      <c r="A546" s="1">
        <f>ROW(CantoralDB[[#This Row],[Título]])-1</f>
        <v>545</v>
      </c>
      <c r="B546" s="1" t="s">
        <v>2582</v>
      </c>
      <c r="C546" s="1"/>
      <c r="F546" s="1">
        <v>192</v>
      </c>
      <c r="J546" s="1"/>
      <c r="M546" s="15" t="s">
        <v>2223</v>
      </c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46" s="1"/>
      <c r="T546" s="1"/>
      <c r="U546" s="15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546" s="15" t="str">
        <f>_xlfn.TEXTBEFORE(_xlfn.TEXTAFTER(CantoralDB[[#This Row],[index.html]],"&gt;"),"&gt;")&amp;"&gt;"</f>
        <v>&lt;a href="canciones/hermana_glenda/para_ti_toda_mi_musica_señor.html"&gt;</v>
      </c>
      <c r="X546"/>
      <c r="AA546" s="1"/>
      <c r="AB546" s="1"/>
    </row>
    <row r="547" spans="1:28" x14ac:dyDescent="0.3">
      <c r="A547" s="1">
        <f>ROW(CantoralDB[[#This Row],[Título]])-1</f>
        <v>546</v>
      </c>
      <c r="B547" s="1" t="s">
        <v>2290</v>
      </c>
      <c r="C547" s="1"/>
      <c r="F547" s="1">
        <v>202</v>
      </c>
      <c r="J547" s="1"/>
      <c r="M547" s="15" t="s">
        <v>2223</v>
      </c>
      <c r="O547" s="15"/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47" s="1"/>
      <c r="T547" s="1"/>
      <c r="U547" s="15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547" s="15" t="str">
        <f>_xlfn.TEXTBEFORE(_xlfn.TEXTAFTER(CantoralDB[[#This Row],[index.html]],"&gt;"),"&gt;")&amp;"&gt;"</f>
        <v>&lt;a href="canciones/hermana_glenda/quien_ha_encontrado_un_amigo.html"&gt;</v>
      </c>
      <c r="X547"/>
      <c r="AA547" s="1"/>
      <c r="AB547" s="1"/>
    </row>
    <row r="548" spans="1:28" x14ac:dyDescent="0.3">
      <c r="A548" s="1">
        <f>ROW(CantoralDB[[#This Row],[Título]])-1</f>
        <v>547</v>
      </c>
      <c r="B548" s="1" t="s">
        <v>2286</v>
      </c>
      <c r="C548" s="1"/>
      <c r="F548" s="1">
        <v>218</v>
      </c>
      <c r="J548" s="1"/>
      <c r="M548" s="15" t="s">
        <v>2223</v>
      </c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48" s="1"/>
      <c r="T548" s="1"/>
      <c r="U548" s="15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548" s="15" t="str">
        <f>_xlfn.TEXTBEFORE(_xlfn.TEXTAFTER(CantoralDB[[#This Row],[index.html]],"&gt;"),"&gt;")&amp;"&gt;"</f>
        <v>&lt;a href="canciones/hermana_glenda/quien_pierde_su_vida_la_encuentra.html"&gt;</v>
      </c>
      <c r="X548"/>
      <c r="AA548" s="1"/>
      <c r="AB548" s="1"/>
    </row>
    <row r="549" spans="1:28" x14ac:dyDescent="0.3">
      <c r="A549" s="1">
        <f>ROW(CantoralDB[[#This Row],[Título]])-1</f>
        <v>548</v>
      </c>
      <c r="B549" s="1" t="s">
        <v>1537</v>
      </c>
      <c r="C549" s="1"/>
      <c r="F549" s="1">
        <v>237</v>
      </c>
      <c r="J549" s="1"/>
      <c r="M549" s="15" t="s">
        <v>2223</v>
      </c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49" s="1"/>
      <c r="T549" s="1"/>
      <c r="U549" s="15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549" s="15" t="str">
        <f>_xlfn.TEXTBEFORE(_xlfn.TEXTAFTER(CantoralDB[[#This Row],[index.html]],"&gt;"),"&gt;")&amp;"&gt;"</f>
        <v>&lt;a href="canciones/hermana_glenda/ven_señor_jesus.html"&gt;</v>
      </c>
      <c r="X549"/>
      <c r="AA549" s="1"/>
      <c r="AB549" s="1"/>
    </row>
    <row r="550" spans="1:28" x14ac:dyDescent="0.3">
      <c r="A550" s="1">
        <f>ROW(CantoralDB[[#This Row],[Título]])-1</f>
        <v>549</v>
      </c>
      <c r="B550" s="1" t="s">
        <v>2293</v>
      </c>
      <c r="C550" s="1"/>
      <c r="F550" s="1">
        <v>198</v>
      </c>
      <c r="J550" s="1"/>
      <c r="M550" s="15" t="s">
        <v>2223</v>
      </c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50" s="1"/>
      <c r="T550" s="1"/>
      <c r="U550" s="15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550" s="15" t="str">
        <f>_xlfn.TEXTBEFORE(_xlfn.TEXTAFTER(CantoralDB[[#This Row],[index.html]],"&gt;"),"&gt;")&amp;"&gt;"</f>
        <v>&lt;a href="canciones/hermana_glenda/yo_creo_en_tu_resurreccion.html"&gt;</v>
      </c>
      <c r="X550"/>
      <c r="AA550" s="1"/>
      <c r="AB550" s="1"/>
    </row>
    <row r="551" spans="1:28" x14ac:dyDescent="0.3">
      <c r="A551" s="1">
        <f>ROW(CantoralDB[[#This Row],[Título]])-1</f>
        <v>550</v>
      </c>
      <c r="B551" s="1" t="s">
        <v>3258</v>
      </c>
      <c r="C551" s="1"/>
      <c r="H551" s="1" t="s">
        <v>530</v>
      </c>
      <c r="J551" s="1" t="s">
        <v>607</v>
      </c>
      <c r="M551" s="15" t="s">
        <v>520</v>
      </c>
      <c r="N551" s="1" t="s">
        <v>3257</v>
      </c>
      <c r="O551" s="15">
        <v>3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S551" s="1"/>
      <c r="T551" s="1"/>
      <c r="U551" s="32" t="s">
        <v>3346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W551" s="15" t="str">
        <f>_xlfn.TEXTBEFORE(_xlfn.TEXTAFTER(CantoralDB[[#This Row],[index.html]],"&gt;"),"&gt;")&amp;"&gt;"</f>
        <v>&lt;a href="canciones/ixcis/entra_en_mi_noche.html"&gt;</v>
      </c>
      <c r="X551"/>
      <c r="AA551" s="1"/>
      <c r="AB551" s="1"/>
    </row>
    <row r="552" spans="1:28" x14ac:dyDescent="0.3">
      <c r="A552" s="1">
        <f>ROW(CantoralDB[[#This Row],[Título]])-1</f>
        <v>551</v>
      </c>
      <c r="B552" s="1" t="s">
        <v>3259</v>
      </c>
      <c r="C552" s="1"/>
      <c r="H552" s="1" t="s">
        <v>472</v>
      </c>
      <c r="J552" s="1" t="s">
        <v>607</v>
      </c>
      <c r="M552" s="15" t="s">
        <v>520</v>
      </c>
      <c r="N552" s="1" t="s">
        <v>3257</v>
      </c>
      <c r="O552" s="15">
        <v>4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S552" s="1"/>
      <c r="T552" s="1"/>
      <c r="U552" s="32" t="s">
        <v>3347</v>
      </c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W552" s="15" t="str">
        <f>_xlfn.TEXTBEFORE(_xlfn.TEXTAFTER(CantoralDB[[#This Row],[index.html]],"&gt;"),"&gt;")&amp;"&gt;"</f>
        <v>&lt;a href="canciones/ixcis/como_la_lluvia.html"&gt;</v>
      </c>
      <c r="X552"/>
      <c r="AA552" s="1"/>
      <c r="AB552" s="1"/>
    </row>
    <row r="553" spans="1:28" x14ac:dyDescent="0.3">
      <c r="A553" s="1">
        <f>ROW(CantoralDB[[#This Row],[Título]])-1</f>
        <v>552</v>
      </c>
      <c r="B553" s="1" t="s">
        <v>3260</v>
      </c>
      <c r="C553" s="1"/>
      <c r="H553" s="1" t="s">
        <v>1026</v>
      </c>
      <c r="J553" s="1" t="s">
        <v>607</v>
      </c>
      <c r="M553" s="15" t="s">
        <v>520</v>
      </c>
      <c r="N553" s="1" t="s">
        <v>3257</v>
      </c>
      <c r="O553" s="15">
        <v>5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S553" s="1"/>
      <c r="T553" s="1"/>
      <c r="U553" s="32" t="s">
        <v>3348</v>
      </c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W553" s="15" t="str">
        <f>_xlfn.TEXTBEFORE(_xlfn.TEXTAFTER(CantoralDB[[#This Row],[index.html]],"&gt;"),"&gt;")&amp;"&gt;"</f>
        <v>&lt;a href="canciones/ixcis/vuelvo.html"&gt;</v>
      </c>
      <c r="X553"/>
      <c r="AA553" s="1"/>
      <c r="AB553" s="1"/>
    </row>
    <row r="554" spans="1:28" x14ac:dyDescent="0.3">
      <c r="A554" s="1">
        <f>ROW(CantoralDB[[#This Row],[Título]])-1</f>
        <v>553</v>
      </c>
      <c r="B554" s="1" t="s">
        <v>3265</v>
      </c>
      <c r="C554" s="1"/>
      <c r="H554" s="1" t="s">
        <v>530</v>
      </c>
      <c r="J554" s="1" t="s">
        <v>607</v>
      </c>
      <c r="M554" s="15" t="s">
        <v>520</v>
      </c>
      <c r="N554" s="1" t="s">
        <v>3257</v>
      </c>
      <c r="O554" s="15">
        <v>6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S554" s="1"/>
      <c r="T554" s="1"/>
      <c r="U554" s="32" t="s">
        <v>3349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W554" s="15" t="str">
        <f>_xlfn.TEXTBEFORE(_xlfn.TEXTAFTER(CantoralDB[[#This Row],[index.html]],"&gt;"),"&gt;")&amp;"&gt;"</f>
        <v>&lt;a href="canciones/ixcis/vengo_a_orar.html"&gt;</v>
      </c>
      <c r="X554"/>
      <c r="AA554" s="1"/>
      <c r="AB554" s="1"/>
    </row>
    <row r="555" spans="1:28" x14ac:dyDescent="0.3">
      <c r="A555" s="1">
        <f>ROW(CantoralDB[[#This Row],[Título]])-1</f>
        <v>554</v>
      </c>
      <c r="B555" s="1" t="s">
        <v>3266</v>
      </c>
      <c r="C555" s="1"/>
      <c r="H555" s="1" t="s">
        <v>472</v>
      </c>
      <c r="J555" s="1" t="s">
        <v>607</v>
      </c>
      <c r="M555" s="15" t="s">
        <v>520</v>
      </c>
      <c r="N555" s="1" t="s">
        <v>3257</v>
      </c>
      <c r="O555" s="15">
        <v>7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S555" s="1"/>
      <c r="T555" s="1"/>
      <c r="U555" s="32" t="s">
        <v>3350</v>
      </c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W555" s="15" t="str">
        <f>_xlfn.TEXTBEFORE(_xlfn.TEXTAFTER(CantoralDB[[#This Row],[index.html]],"&gt;"),"&gt;")&amp;"&gt;"</f>
        <v>&lt;a href="canciones/ixcis/despiertame.html"&gt;</v>
      </c>
      <c r="X555"/>
      <c r="AA555" s="1"/>
      <c r="AB555" s="1"/>
    </row>
    <row r="556" spans="1:28" x14ac:dyDescent="0.3">
      <c r="A556" s="1">
        <f>ROW(CantoralDB[[#This Row],[Título]])-1</f>
        <v>555</v>
      </c>
      <c r="B556" s="1" t="s">
        <v>3267</v>
      </c>
      <c r="C556" s="1"/>
      <c r="H556" s="1" t="s">
        <v>1028</v>
      </c>
      <c r="J556" s="1" t="s">
        <v>607</v>
      </c>
      <c r="M556" s="15" t="s">
        <v>520</v>
      </c>
      <c r="N556" s="1" t="s">
        <v>3257</v>
      </c>
      <c r="O556" s="15">
        <v>8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S556" s="1"/>
      <c r="T556" s="1"/>
      <c r="U556" s="32" t="s">
        <v>3352</v>
      </c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W556" s="15" t="str">
        <f>_xlfn.TEXTBEFORE(_xlfn.TEXTAFTER(CantoralDB[[#This Row],[index.html]],"&gt;"),"&gt;")&amp;"&gt;"</f>
        <v>&lt;a href="canciones/ixcis/deja_tus_redes.html"&gt;</v>
      </c>
      <c r="X556"/>
      <c r="AA556" s="1"/>
      <c r="AB556" s="1"/>
    </row>
    <row r="557" spans="1:28" x14ac:dyDescent="0.3">
      <c r="A557" s="1">
        <f>ROW(CantoralDB[[#This Row],[Título]])-1</f>
        <v>556</v>
      </c>
      <c r="B557" s="1" t="s">
        <v>3268</v>
      </c>
      <c r="C557" s="1"/>
      <c r="H557" s="1" t="s">
        <v>1028</v>
      </c>
      <c r="J557" s="1" t="s">
        <v>607</v>
      </c>
      <c r="M557" s="15" t="s">
        <v>520</v>
      </c>
      <c r="N557" s="1" t="s">
        <v>3257</v>
      </c>
      <c r="O557" s="15">
        <v>9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S557" s="1"/>
      <c r="T557" s="1"/>
      <c r="U557" s="32" t="s">
        <v>3351</v>
      </c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W557" s="15" t="str">
        <f>_xlfn.TEXTBEFORE(_xlfn.TEXTAFTER(CantoralDB[[#This Row],[index.html]],"&gt;"),"&gt;")&amp;"&gt;"</f>
        <v>&lt;a href="canciones/ixcis/ven_serename.html"&gt;</v>
      </c>
      <c r="X557"/>
      <c r="AA557" s="1"/>
      <c r="AB557" s="1"/>
    </row>
    <row r="558" spans="1:28" x14ac:dyDescent="0.3">
      <c r="A558" s="1">
        <f>ROW(CantoralDB[[#This Row],[Título]])-1</f>
        <v>557</v>
      </c>
      <c r="B558" s="1" t="s">
        <v>3272</v>
      </c>
      <c r="C558" s="1"/>
      <c r="H558" s="1" t="s">
        <v>1028</v>
      </c>
      <c r="J558" s="1" t="s">
        <v>607</v>
      </c>
      <c r="M558" s="15" t="s">
        <v>520</v>
      </c>
      <c r="N558" s="1" t="s">
        <v>3257</v>
      </c>
      <c r="O558" s="15">
        <v>10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S558" s="1"/>
      <c r="T558" s="1"/>
      <c r="U558" s="32" t="s">
        <v>3353</v>
      </c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W558" s="15" t="str">
        <f>_xlfn.TEXTBEFORE(_xlfn.TEXTAFTER(CantoralDB[[#This Row],[index.html]],"&gt;"),"&gt;")&amp;"&gt;"</f>
        <v>&lt;a href="canciones/ixcis/quiero_verte.html"&gt;</v>
      </c>
      <c r="X558"/>
      <c r="AA558" s="1"/>
      <c r="AB558" s="1"/>
    </row>
    <row r="559" spans="1:28" x14ac:dyDescent="0.3">
      <c r="A559" s="1">
        <f>ROW(CantoralDB[[#This Row],[Título]])-1</f>
        <v>558</v>
      </c>
      <c r="B559" s="1" t="s">
        <v>3273</v>
      </c>
      <c r="C559" s="1"/>
      <c r="H559" s="1" t="s">
        <v>530</v>
      </c>
      <c r="J559" s="1" t="s">
        <v>607</v>
      </c>
      <c r="M559" s="15" t="s">
        <v>520</v>
      </c>
      <c r="N559" s="1" t="s">
        <v>3257</v>
      </c>
      <c r="O559" s="15">
        <v>11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S559" s="1"/>
      <c r="T559" s="1"/>
      <c r="U559" s="32" t="s">
        <v>3354</v>
      </c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W559" s="15" t="str">
        <f>_xlfn.TEXTBEFORE(_xlfn.TEXTAFTER(CantoralDB[[#This Row],[index.html]],"&gt;"),"&gt;")&amp;"&gt;"</f>
        <v>&lt;a href="canciones/ixcis/ellos_son_tu_rostro.html"&gt;</v>
      </c>
      <c r="X559"/>
      <c r="AA559" s="1"/>
      <c r="AB559" s="1"/>
    </row>
    <row r="560" spans="1:28" x14ac:dyDescent="0.3">
      <c r="A560" s="1">
        <f>ROW(CantoralDB[[#This Row],[Título]])-1</f>
        <v>559</v>
      </c>
      <c r="B560" s="1" t="s">
        <v>3274</v>
      </c>
      <c r="C560" s="1"/>
      <c r="H560" s="1" t="s">
        <v>1026</v>
      </c>
      <c r="J560" s="1" t="s">
        <v>607</v>
      </c>
      <c r="M560" s="15" t="s">
        <v>520</v>
      </c>
      <c r="N560" s="1" t="s">
        <v>3257</v>
      </c>
      <c r="O560" s="15">
        <v>13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S560" s="1"/>
      <c r="T560" s="1"/>
      <c r="U560" s="32" t="s">
        <v>3355</v>
      </c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W560" s="15" t="str">
        <f>_xlfn.TEXTBEFORE(_xlfn.TEXTAFTER(CantoralDB[[#This Row],[index.html]],"&gt;"),"&gt;")&amp;"&gt;"</f>
        <v>&lt;a href="canciones/ixcis/mas_que_el_oro.html"&gt;</v>
      </c>
      <c r="X560"/>
      <c r="AA560" s="1"/>
      <c r="AB560" s="1"/>
    </row>
    <row r="561" spans="1:28" x14ac:dyDescent="0.3">
      <c r="A561" s="1">
        <f>ROW(CantoralDB[[#This Row],[Título]])-1</f>
        <v>560</v>
      </c>
      <c r="B561" s="1" t="s">
        <v>3275</v>
      </c>
      <c r="C561" s="1"/>
      <c r="H561" s="1" t="s">
        <v>530</v>
      </c>
      <c r="J561" s="1" t="s">
        <v>607</v>
      </c>
      <c r="M561" s="15" t="s">
        <v>520</v>
      </c>
      <c r="N561" s="1" t="s">
        <v>3257</v>
      </c>
      <c r="O561" s="15">
        <v>14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S561" s="1"/>
      <c r="T561" s="1"/>
      <c r="U561" s="32" t="s">
        <v>3356</v>
      </c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W561" s="15" t="str">
        <f>_xlfn.TEXTBEFORE(_xlfn.TEXTAFTER(CantoralDB[[#This Row],[index.html]],"&gt;"),"&gt;")&amp;"&gt;"</f>
        <v>&lt;a href="canciones/ixcis/mi_roca.html"&gt;</v>
      </c>
      <c r="X561"/>
      <c r="AA561" s="1"/>
      <c r="AB561" s="1"/>
    </row>
    <row r="562" spans="1:28" x14ac:dyDescent="0.3">
      <c r="A562" s="1">
        <f>ROW(CantoralDB[[#This Row],[Título]])-1</f>
        <v>561</v>
      </c>
      <c r="B562" s="1" t="s">
        <v>3276</v>
      </c>
      <c r="C562" s="1"/>
      <c r="H562" s="1" t="s">
        <v>1028</v>
      </c>
      <c r="J562" s="1" t="s">
        <v>607</v>
      </c>
      <c r="M562" s="15" t="s">
        <v>520</v>
      </c>
      <c r="N562" s="1" t="s">
        <v>3257</v>
      </c>
      <c r="O562" s="15">
        <v>15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S562" s="1"/>
      <c r="T562" s="1"/>
      <c r="U562" s="32" t="s">
        <v>3357</v>
      </c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W562" s="15" t="str">
        <f>_xlfn.TEXTBEFORE(_xlfn.TEXTAFTER(CantoralDB[[#This Row],[index.html]],"&gt;"),"&gt;")&amp;"&gt;"</f>
        <v>&lt;a href="canciones/ixcis/danos_pastores.html"&gt;</v>
      </c>
      <c r="X562"/>
      <c r="AA562" s="1"/>
      <c r="AB562" s="1"/>
    </row>
    <row r="563" spans="1:28" x14ac:dyDescent="0.3">
      <c r="A563" s="1">
        <f>ROW(CantoralDB[[#This Row],[Título]])-1</f>
        <v>562</v>
      </c>
      <c r="B563" s="1" t="s">
        <v>3277</v>
      </c>
      <c r="C563" s="1"/>
      <c r="H563" s="1" t="s">
        <v>1029</v>
      </c>
      <c r="J563" s="1" t="s">
        <v>607</v>
      </c>
      <c r="M563" s="15" t="s">
        <v>520</v>
      </c>
      <c r="N563" s="1" t="s">
        <v>3257</v>
      </c>
      <c r="O563" s="15">
        <v>16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S563" s="1"/>
      <c r="T563" s="1"/>
      <c r="U563" s="32" t="s">
        <v>3358</v>
      </c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W563" s="15" t="str">
        <f>_xlfn.TEXTBEFORE(_xlfn.TEXTAFTER(CantoralDB[[#This Row],[index.html]],"&gt;"),"&gt;")&amp;"&gt;"</f>
        <v>&lt;a href="canciones/ixcis/cinco_panes_y_dos_peces.html"&gt;</v>
      </c>
      <c r="X563"/>
      <c r="AA563" s="1"/>
      <c r="AB563" s="1"/>
    </row>
    <row r="564" spans="1:28" x14ac:dyDescent="0.3">
      <c r="A564" s="1">
        <f>ROW(CantoralDB[[#This Row],[Título]])-1</f>
        <v>563</v>
      </c>
      <c r="B564" s="1" t="s">
        <v>3278</v>
      </c>
      <c r="C564" s="1"/>
      <c r="H564" s="1" t="s">
        <v>1027</v>
      </c>
      <c r="J564" s="1" t="s">
        <v>607</v>
      </c>
      <c r="M564" s="15" t="s">
        <v>520</v>
      </c>
      <c r="N564" s="1" t="s">
        <v>3257</v>
      </c>
      <c r="O564" s="15">
        <v>17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S564" s="1"/>
      <c r="T564" s="1"/>
      <c r="U564" s="32" t="s">
        <v>3359</v>
      </c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W564" s="15" t="str">
        <f>_xlfn.TEXTBEFORE(_xlfn.TEXTAFTER(CantoralDB[[#This Row],[index.html]],"&gt;"),"&gt;")&amp;"&gt;"</f>
        <v>&lt;a href="canciones/ixcis/ven_a_mi.html"&gt;</v>
      </c>
      <c r="X564"/>
      <c r="AA564" s="1"/>
      <c r="AB564" s="1"/>
    </row>
    <row r="565" spans="1:28" x14ac:dyDescent="0.3">
      <c r="A565" s="1">
        <f>ROW(CantoralDB[[#This Row],[Título]])-1</f>
        <v>564</v>
      </c>
      <c r="B565" s="1" t="s">
        <v>3271</v>
      </c>
      <c r="C565" s="1"/>
      <c r="H565" s="1" t="s">
        <v>1029</v>
      </c>
      <c r="J565" s="1" t="s">
        <v>607</v>
      </c>
      <c r="M565" s="15" t="s">
        <v>520</v>
      </c>
      <c r="N565" s="1" t="s">
        <v>3257</v>
      </c>
      <c r="O565" s="15">
        <v>19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S565" s="1"/>
      <c r="T565" s="1"/>
      <c r="U565" s="32" t="s">
        <v>3360</v>
      </c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W565" s="15" t="str">
        <f>_xlfn.TEXTBEFORE(_xlfn.TEXTAFTER(CantoralDB[[#This Row],[index.html]],"&gt;"),"&gt;")&amp;"&gt;"</f>
        <v>&lt;a href="canciones/ixcis/morir.html"&gt;</v>
      </c>
      <c r="X565"/>
      <c r="AA565" s="1"/>
      <c r="AB565" s="1"/>
    </row>
    <row r="566" spans="1:28" x14ac:dyDescent="0.3">
      <c r="A566" s="1">
        <f>ROW(CantoralDB[[#This Row],[Título]])-1</f>
        <v>565</v>
      </c>
      <c r="B566" s="1" t="s">
        <v>3269</v>
      </c>
      <c r="C566" s="1"/>
      <c r="H566" s="1" t="s">
        <v>530</v>
      </c>
      <c r="J566" s="1" t="s">
        <v>607</v>
      </c>
      <c r="M566" s="15" t="s">
        <v>520</v>
      </c>
      <c r="N566" s="1" t="s">
        <v>3257</v>
      </c>
      <c r="O566" s="15">
        <v>20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S566" s="1"/>
      <c r="T566" s="1"/>
      <c r="U566" s="32" t="s">
        <v>3361</v>
      </c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W566" s="15" t="str">
        <f>_xlfn.TEXTBEFORE(_xlfn.TEXTAFTER(CantoralDB[[#This Row],[index.html]],"&gt;"),"&gt;")&amp;"&gt;"</f>
        <v>&lt;a href="canciones/ixcis/mi_vida_es_cristo.html"&gt;</v>
      </c>
      <c r="X566"/>
      <c r="AA566" s="1"/>
      <c r="AB566" s="1"/>
    </row>
    <row r="567" spans="1:28" x14ac:dyDescent="0.3">
      <c r="A567" s="1">
        <f>ROW(CantoralDB[[#This Row],[Título]])-1</f>
        <v>566</v>
      </c>
      <c r="B567" s="1" t="s">
        <v>3270</v>
      </c>
      <c r="C567" s="1"/>
      <c r="H567" s="1" t="s">
        <v>472</v>
      </c>
      <c r="J567" s="1" t="s">
        <v>607</v>
      </c>
      <c r="M567" s="15" t="s">
        <v>520</v>
      </c>
      <c r="N567" s="1" t="s">
        <v>3257</v>
      </c>
      <c r="O567" s="15">
        <v>21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S567" s="1"/>
      <c r="T567" s="1"/>
      <c r="U567" s="32" t="s">
        <v>3362</v>
      </c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W567" s="15" t="str">
        <f>_xlfn.TEXTBEFORE(_xlfn.TEXTAFTER(CantoralDB[[#This Row],[index.html]],"&gt;"),"&gt;")&amp;"&gt;"</f>
        <v>&lt;a href="canciones/ixcis/solo_el_amor.html"&gt;</v>
      </c>
      <c r="X567"/>
      <c r="AA567" s="1"/>
      <c r="AB567" s="1"/>
    </row>
    <row r="568" spans="1:28" x14ac:dyDescent="0.3">
      <c r="A568" s="1">
        <f>ROW(CantoralDB[[#This Row],[Título]])-1</f>
        <v>567</v>
      </c>
      <c r="B568" s="1" t="s">
        <v>1681</v>
      </c>
      <c r="C568" s="1"/>
      <c r="H568" s="1" t="s">
        <v>530</v>
      </c>
      <c r="J568" s="1" t="s">
        <v>607</v>
      </c>
      <c r="M568" s="15" t="s">
        <v>520</v>
      </c>
      <c r="N568" s="1" t="s">
        <v>3257</v>
      </c>
      <c r="O568" s="15">
        <v>22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S568" s="1"/>
      <c r="T568" s="1"/>
      <c r="U568" s="32" t="s">
        <v>3363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W568" s="15" t="str">
        <f>_xlfn.TEXTBEFORE(_xlfn.TEXTAFTER(CantoralDB[[#This Row],[index.html]],"&gt;"),"&gt;")&amp;"&gt;"</f>
        <v>&lt;a href="canciones/ixcis/como_maria.html"&gt;</v>
      </c>
      <c r="X568"/>
      <c r="AA568" s="1"/>
      <c r="AB568" s="1"/>
    </row>
    <row r="569" spans="1:28" x14ac:dyDescent="0.3">
      <c r="A569" s="1">
        <f>ROW(CantoralDB[[#This Row],[Título]])-1</f>
        <v>568</v>
      </c>
      <c r="B569" s="1" t="s">
        <v>3263</v>
      </c>
      <c r="C569" s="1"/>
      <c r="H569" s="1" t="s">
        <v>1026</v>
      </c>
      <c r="J569" s="1" t="s">
        <v>607</v>
      </c>
      <c r="M569" s="15" t="s">
        <v>520</v>
      </c>
      <c r="N569" s="1" t="s">
        <v>3257</v>
      </c>
      <c r="O569" s="15">
        <v>23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S569" s="1"/>
      <c r="T569" s="1"/>
      <c r="U569" s="32" t="s">
        <v>3364</v>
      </c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W569" s="15" t="str">
        <f>_xlfn.TEXTBEFORE(_xlfn.TEXTAFTER(CantoralDB[[#This Row],[index.html]],"&gt;"),"&gt;")&amp;"&gt;"</f>
        <v>&lt;a href="canciones/ixcis/todos_uno.html"&gt;</v>
      </c>
      <c r="X569"/>
      <c r="AA569" s="1"/>
      <c r="AB569" s="1"/>
    </row>
    <row r="570" spans="1:28" x14ac:dyDescent="0.3">
      <c r="A570" s="1">
        <f>ROW(CantoralDB[[#This Row],[Título]])-1</f>
        <v>569</v>
      </c>
      <c r="B570" s="1" t="s">
        <v>2002</v>
      </c>
      <c r="C570" s="1"/>
      <c r="H570" s="1" t="s">
        <v>472</v>
      </c>
      <c r="I570" s="1" t="s">
        <v>2953</v>
      </c>
      <c r="J570" s="1" t="s">
        <v>607</v>
      </c>
      <c r="M570" s="15" t="s">
        <v>520</v>
      </c>
      <c r="N570" s="1" t="s">
        <v>3257</v>
      </c>
      <c r="O570" s="15">
        <v>24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S570" s="1"/>
      <c r="T570" s="1"/>
      <c r="U570" s="32" t="s">
        <v>3365</v>
      </c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W570" s="15" t="str">
        <f>_xlfn.TEXTBEFORE(_xlfn.TEXTAFTER(CantoralDB[[#This Row],[index.html]],"&gt;"),"&gt;")&amp;"&gt;"</f>
        <v>&lt;a href="canciones/ixcis/nada.html"&gt;</v>
      </c>
      <c r="X570"/>
      <c r="AA570" s="1"/>
      <c r="AB570" s="1"/>
    </row>
    <row r="571" spans="1:28" x14ac:dyDescent="0.3">
      <c r="A571" s="1">
        <f>ROW(CantoralDB[[#This Row],[Título]])-1</f>
        <v>570</v>
      </c>
      <c r="B571" s="1" t="s">
        <v>3264</v>
      </c>
      <c r="C571" s="1"/>
      <c r="H571" s="1" t="s">
        <v>1027</v>
      </c>
      <c r="J571" s="1" t="s">
        <v>607</v>
      </c>
      <c r="M571" s="15" t="s">
        <v>520</v>
      </c>
      <c r="N571" s="1" t="s">
        <v>3257</v>
      </c>
      <c r="O571" s="15">
        <v>25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S571" s="1"/>
      <c r="T571" s="1"/>
      <c r="U571" s="32" t="s">
        <v>3366</v>
      </c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W571" s="15" t="str">
        <f>_xlfn.TEXTBEFORE(_xlfn.TEXTAFTER(CantoralDB[[#This Row],[index.html]],"&gt;"),"&gt;")&amp;"&gt;"</f>
        <v>&lt;a href="canciones/ixcis/donde_este_yo.html"&gt;</v>
      </c>
      <c r="X571"/>
      <c r="AA571" s="1"/>
      <c r="AB571" s="1"/>
    </row>
    <row r="572" spans="1:28" x14ac:dyDescent="0.3">
      <c r="A572" s="1">
        <f>ROW(CantoralDB[[#This Row],[Título]])-1</f>
        <v>571</v>
      </c>
      <c r="B572" s="1" t="s">
        <v>3261</v>
      </c>
      <c r="C572" s="1"/>
      <c r="H572" s="1" t="s">
        <v>530</v>
      </c>
      <c r="J572" s="1" t="s">
        <v>607</v>
      </c>
      <c r="M572" s="15" t="s">
        <v>520</v>
      </c>
      <c r="N572" s="1" t="s">
        <v>3257</v>
      </c>
      <c r="O572" s="15">
        <v>26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S572" s="1"/>
      <c r="T572" s="1"/>
      <c r="U572" s="32" t="s">
        <v>3367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W572" s="15" t="str">
        <f>_xlfn.TEXTBEFORE(_xlfn.TEXTAFTER(CantoralDB[[#This Row],[index.html]],"&gt;"),"&gt;")&amp;"&gt;"</f>
        <v>&lt;a href="canciones/ixcis/fiate.html"&gt;</v>
      </c>
      <c r="X572"/>
      <c r="AA572" s="1"/>
      <c r="AB572" s="1"/>
    </row>
    <row r="573" spans="1:28" x14ac:dyDescent="0.3">
      <c r="A573" s="1">
        <f>ROW(CantoralDB[[#This Row],[Título]])-1</f>
        <v>572</v>
      </c>
      <c r="B573" s="1" t="s">
        <v>3262</v>
      </c>
      <c r="C573" s="1"/>
      <c r="H573" s="1" t="s">
        <v>1026</v>
      </c>
      <c r="J573" s="1" t="s">
        <v>607</v>
      </c>
      <c r="M573" s="15" t="s">
        <v>520</v>
      </c>
      <c r="N573" s="1" t="s">
        <v>3257</v>
      </c>
      <c r="O573" s="15">
        <v>27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S573" s="1"/>
      <c r="T573" s="1"/>
      <c r="U573" s="32" t="s">
        <v>3368</v>
      </c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W573" s="15" t="str">
        <f>_xlfn.TEXTBEFORE(_xlfn.TEXTAFTER(CantoralDB[[#This Row],[index.html]],"&gt;"),"&gt;")&amp;"&gt;"</f>
        <v>&lt;a href="canciones/ixcis/tu_eres_mi_fuerza.html"&gt;</v>
      </c>
      <c r="X573"/>
      <c r="AA573" s="1"/>
      <c r="AB573" s="1"/>
    </row>
    <row r="574" spans="1:28" x14ac:dyDescent="0.3">
      <c r="A574" s="1">
        <f>ROW(CantoralDB[[#This Row],[Título]])-1</f>
        <v>573</v>
      </c>
      <c r="B574" s="1" t="s">
        <v>3299</v>
      </c>
      <c r="C574" s="1"/>
      <c r="H574" s="1" t="s">
        <v>1026</v>
      </c>
      <c r="J574" s="1" t="s">
        <v>607</v>
      </c>
      <c r="M574" s="15" t="s">
        <v>520</v>
      </c>
      <c r="N574" s="1" t="s">
        <v>3299</v>
      </c>
      <c r="O574" s="15">
        <v>2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S574" s="1"/>
      <c r="T574" s="1"/>
      <c r="U574" s="32" t="s">
        <v>3386</v>
      </c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W574" s="15" t="str">
        <f>_xlfn.TEXTBEFORE(_xlfn.TEXTAFTER(CantoralDB[[#This Row],[index.html]],"&gt;"),"&gt;")&amp;"&gt;"</f>
        <v>&lt;a href="canciones/ixcis/al_otro_lado_del_mar.html"&gt;</v>
      </c>
      <c r="X574"/>
      <c r="AA574" s="1"/>
      <c r="AB574" s="1"/>
    </row>
    <row r="575" spans="1:28" x14ac:dyDescent="0.3">
      <c r="A575" s="1">
        <f>ROW(CantoralDB[[#This Row],[Título]])-1</f>
        <v>574</v>
      </c>
      <c r="B575" s="1" t="s">
        <v>3300</v>
      </c>
      <c r="C575" s="1"/>
      <c r="H575" s="1" t="s">
        <v>1029</v>
      </c>
      <c r="J575" s="1" t="s">
        <v>607</v>
      </c>
      <c r="M575" s="15" t="s">
        <v>520</v>
      </c>
      <c r="N575" s="1" t="s">
        <v>3299</v>
      </c>
      <c r="O575" s="15">
        <v>3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S575" s="1"/>
      <c r="T575" s="1"/>
      <c r="U575" s="32" t="s">
        <v>3387</v>
      </c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W575" s="15" t="str">
        <f>_xlfn.TEXTBEFORE(_xlfn.TEXTAFTER(CantoralDB[[#This Row],[index.html]],"&gt;"),"&gt;")&amp;"&gt;"</f>
        <v>&lt;a href="canciones/ixcis/y_mientras.html"&gt;</v>
      </c>
      <c r="X575"/>
      <c r="AA575" s="1"/>
      <c r="AB575" s="1"/>
    </row>
    <row r="576" spans="1:28" x14ac:dyDescent="0.3">
      <c r="A576" s="1">
        <f>ROW(CantoralDB[[#This Row],[Título]])-1</f>
        <v>575</v>
      </c>
      <c r="B576" s="1" t="s">
        <v>3303</v>
      </c>
      <c r="C576" s="1"/>
      <c r="H576" s="1" t="s">
        <v>472</v>
      </c>
      <c r="J576" s="1" t="s">
        <v>607</v>
      </c>
      <c r="M576" s="15" t="s">
        <v>520</v>
      </c>
      <c r="N576" s="1" t="s">
        <v>3299</v>
      </c>
      <c r="O576" s="15">
        <v>4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S576" s="1"/>
      <c r="T576" s="1"/>
      <c r="U576" s="32" t="s">
        <v>3388</v>
      </c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W576" s="15" t="str">
        <f>_xlfn.TEXTBEFORE(_xlfn.TEXTAFTER(CantoralDB[[#This Row],[index.html]],"&gt;"),"&gt;")&amp;"&gt;"</f>
        <v>&lt;a href="canciones/ixcis/renovaos.html"&gt;</v>
      </c>
      <c r="X576"/>
      <c r="AA576" s="1"/>
      <c r="AB576" s="1"/>
    </row>
    <row r="577" spans="1:28" x14ac:dyDescent="0.3">
      <c r="A577" s="1">
        <f>ROW(CantoralDB[[#This Row],[Título]])-1</f>
        <v>576</v>
      </c>
      <c r="B577" s="1" t="s">
        <v>3304</v>
      </c>
      <c r="C577" s="1"/>
      <c r="H577" s="1" t="s">
        <v>1029</v>
      </c>
      <c r="J577" s="1" t="s">
        <v>607</v>
      </c>
      <c r="M577" s="15" t="s">
        <v>520</v>
      </c>
      <c r="N577" s="1" t="s">
        <v>3299</v>
      </c>
      <c r="O577" s="15">
        <v>5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S577" s="1"/>
      <c r="T577" s="1"/>
      <c r="U577" s="32" t="s">
        <v>3389</v>
      </c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W577" s="15" t="str">
        <f>_xlfn.TEXTBEFORE(_xlfn.TEXTAFTER(CantoralDB[[#This Row],[index.html]],"&gt;"),"&gt;")&amp;"&gt;"</f>
        <v>&lt;a href="canciones/ixcis/agujas_del_reloj.html"&gt;</v>
      </c>
      <c r="X577"/>
      <c r="AA577" s="1"/>
      <c r="AB577" s="1"/>
    </row>
    <row r="578" spans="1:28" x14ac:dyDescent="0.3">
      <c r="A578" s="1">
        <f>ROW(CantoralDB[[#This Row],[Título]])-1</f>
        <v>577</v>
      </c>
      <c r="B578" s="1" t="s">
        <v>3305</v>
      </c>
      <c r="C578" s="1"/>
      <c r="H578" s="1" t="s">
        <v>1026</v>
      </c>
      <c r="J578" s="1" t="s">
        <v>607</v>
      </c>
      <c r="M578" s="15" t="s">
        <v>520</v>
      </c>
      <c r="N578" s="1" t="s">
        <v>3299</v>
      </c>
      <c r="O578" s="15">
        <v>6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S578" s="1"/>
      <c r="T578" s="1"/>
      <c r="U578" s="32" t="s">
        <v>3390</v>
      </c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W578" s="15" t="str">
        <f>_xlfn.TEXTBEFORE(_xlfn.TEXTAFTER(CantoralDB[[#This Row],[index.html]],"&gt;"),"&gt;")&amp;"&gt;"</f>
        <v>&lt;a href="canciones/ixcis/dejarme_hacer.html"&gt;</v>
      </c>
      <c r="X578"/>
      <c r="AA578" s="1"/>
      <c r="AB578" s="1"/>
    </row>
    <row r="579" spans="1:28" x14ac:dyDescent="0.3">
      <c r="A579" s="1">
        <f>ROW(CantoralDB[[#This Row],[Título]])-1</f>
        <v>578</v>
      </c>
      <c r="B579" s="1" t="s">
        <v>3306</v>
      </c>
      <c r="C579" s="1"/>
      <c r="H579" s="1" t="s">
        <v>530</v>
      </c>
      <c r="J579" s="1" t="s">
        <v>607</v>
      </c>
      <c r="M579" s="15" t="s">
        <v>520</v>
      </c>
      <c r="N579" s="1" t="s">
        <v>3299</v>
      </c>
      <c r="O579" s="15">
        <v>7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S579" s="1"/>
      <c r="T579" s="1"/>
      <c r="U579" s="32" t="s">
        <v>3391</v>
      </c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W579" s="15" t="str">
        <f>_xlfn.TEXTBEFORE(_xlfn.TEXTAFTER(CantoralDB[[#This Row],[index.html]],"&gt;"),"&gt;")&amp;"&gt;"</f>
        <v>&lt;a href="canciones/ixcis/la_razon.html"&gt;</v>
      </c>
      <c r="X579"/>
      <c r="AA579" s="1"/>
      <c r="AB579" s="1"/>
    </row>
    <row r="580" spans="1:28" x14ac:dyDescent="0.3">
      <c r="A580" s="1">
        <f>ROW(CantoralDB[[#This Row],[Título]])-1</f>
        <v>579</v>
      </c>
      <c r="B580" s="1" t="s">
        <v>3310</v>
      </c>
      <c r="C580" s="1"/>
      <c r="H580" s="1" t="s">
        <v>1026</v>
      </c>
      <c r="J580" s="1" t="s">
        <v>607</v>
      </c>
      <c r="M580" s="15" t="s">
        <v>520</v>
      </c>
      <c r="N580" s="1" t="s">
        <v>3299</v>
      </c>
      <c r="O580" s="15">
        <v>8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S580" s="1"/>
      <c r="T580" s="1"/>
      <c r="U580" s="32" t="s">
        <v>3392</v>
      </c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W580" s="15" t="str">
        <f>_xlfn.TEXTBEFORE(_xlfn.TEXTAFTER(CantoralDB[[#This Row],[index.html]],"&gt;"),"&gt;")&amp;"&gt;"</f>
        <v>&lt;a href="canciones/ixcis/acercate.html"&gt;</v>
      </c>
      <c r="X580"/>
      <c r="AA580" s="1"/>
      <c r="AB580" s="1"/>
    </row>
    <row r="581" spans="1:28" x14ac:dyDescent="0.3">
      <c r="A581" s="1">
        <f>ROW(CantoralDB[[#This Row],[Título]])-1</f>
        <v>580</v>
      </c>
      <c r="B581" s="1" t="s">
        <v>3311</v>
      </c>
      <c r="C581" s="1"/>
      <c r="H581" s="1" t="s">
        <v>1027</v>
      </c>
      <c r="J581" s="1" t="s">
        <v>607</v>
      </c>
      <c r="M581" s="15" t="s">
        <v>520</v>
      </c>
      <c r="N581" s="1" t="s">
        <v>3299</v>
      </c>
      <c r="O581" s="15">
        <v>9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S581" s="1"/>
      <c r="T581" s="1"/>
      <c r="U581" s="32" t="s">
        <v>3393</v>
      </c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W581" s="15" t="str">
        <f>_xlfn.TEXTBEFORE(_xlfn.TEXTAFTER(CantoralDB[[#This Row],[index.html]],"&gt;"),"&gt;")&amp;"&gt;"</f>
        <v>&lt;a href="canciones/ixcis/por_que.html"&gt;</v>
      </c>
      <c r="X581"/>
      <c r="AA581" s="1"/>
      <c r="AB581" s="1"/>
    </row>
    <row r="582" spans="1:28" x14ac:dyDescent="0.3">
      <c r="A582" s="1">
        <f>ROW(CantoralDB[[#This Row],[Título]])-1</f>
        <v>581</v>
      </c>
      <c r="B582" s="1" t="s">
        <v>3312</v>
      </c>
      <c r="C582" s="1"/>
      <c r="H582" s="1" t="s">
        <v>472</v>
      </c>
      <c r="J582" s="1" t="s">
        <v>607</v>
      </c>
      <c r="M582" s="15" t="s">
        <v>520</v>
      </c>
      <c r="N582" s="1" t="s">
        <v>3299</v>
      </c>
      <c r="O582" s="15">
        <v>10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S582" s="1"/>
      <c r="T582" s="1"/>
      <c r="U582" s="32" t="s">
        <v>3394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W582" s="15" t="str">
        <f>_xlfn.TEXTBEFORE(_xlfn.TEXTAFTER(CantoralDB[[#This Row],[index.html]],"&gt;"),"&gt;")&amp;"&gt;"</f>
        <v>&lt;a href="canciones/ixcis/una_vez_mas.html"&gt;</v>
      </c>
      <c r="X582"/>
      <c r="AA582" s="1"/>
      <c r="AB582" s="1"/>
    </row>
    <row r="583" spans="1:28" x14ac:dyDescent="0.3">
      <c r="A583" s="1">
        <f>ROW(CantoralDB[[#This Row],[Título]])-1</f>
        <v>582</v>
      </c>
      <c r="B583" s="1" t="s">
        <v>3321</v>
      </c>
      <c r="C583" s="1"/>
      <c r="H583" s="1" t="s">
        <v>1026</v>
      </c>
      <c r="J583" s="1" t="s">
        <v>607</v>
      </c>
      <c r="M583" s="15" t="s">
        <v>520</v>
      </c>
      <c r="N583" s="1" t="s">
        <v>3299</v>
      </c>
      <c r="O583" s="15">
        <v>12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S583" s="1"/>
      <c r="T583" s="1"/>
      <c r="U583" s="32" t="s">
        <v>3395</v>
      </c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W583" s="15" t="str">
        <f>_xlfn.TEXTBEFORE(_xlfn.TEXTAFTER(CantoralDB[[#This Row],[index.html]],"&gt;"),"&gt;")&amp;"&gt;"</f>
        <v>&lt;a href="canciones/ixcis/el_labrador.html"&gt;</v>
      </c>
      <c r="X583"/>
      <c r="AA583" s="1"/>
      <c r="AB583" s="1"/>
    </row>
    <row r="584" spans="1:28" x14ac:dyDescent="0.3">
      <c r="A584" s="1">
        <f>ROW(CantoralDB[[#This Row],[Título]])-1</f>
        <v>583</v>
      </c>
      <c r="B584" s="1" t="s">
        <v>3316</v>
      </c>
      <c r="C584" s="1"/>
      <c r="H584" s="1" t="s">
        <v>530</v>
      </c>
      <c r="J584" s="1" t="s">
        <v>607</v>
      </c>
      <c r="M584" s="15" t="s">
        <v>520</v>
      </c>
      <c r="N584" s="1" t="s">
        <v>3299</v>
      </c>
      <c r="O584" s="15">
        <v>13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S584" s="1"/>
      <c r="T584" s="1"/>
      <c r="U584" s="32" t="s">
        <v>3396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W584" s="15" t="str">
        <f>_xlfn.TEXTBEFORE(_xlfn.TEXTAFTER(CantoralDB[[#This Row],[index.html]],"&gt;"),"&gt;")&amp;"&gt;"</f>
        <v>&lt;a href="canciones/ixcis/maria_enseñame.html"&gt;</v>
      </c>
      <c r="X584"/>
      <c r="AA584" s="1"/>
      <c r="AB584" s="1"/>
    </row>
    <row r="585" spans="1:28" x14ac:dyDescent="0.3">
      <c r="A585" s="1">
        <f>ROW(CantoralDB[[#This Row],[Título]])-1</f>
        <v>584</v>
      </c>
      <c r="B585" s="1" t="s">
        <v>3317</v>
      </c>
      <c r="C585" s="1"/>
      <c r="H585" s="1" t="s">
        <v>1027</v>
      </c>
      <c r="J585" s="1" t="s">
        <v>607</v>
      </c>
      <c r="M585" s="15" t="s">
        <v>520</v>
      </c>
      <c r="N585" s="1" t="s">
        <v>3299</v>
      </c>
      <c r="O585" s="15">
        <v>14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S585" s="1"/>
      <c r="T585" s="1"/>
      <c r="U585" s="32" t="s">
        <v>3397</v>
      </c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W585" s="15" t="str">
        <f>_xlfn.TEXTBEFORE(_xlfn.TEXTAFTER(CantoralDB[[#This Row],[index.html]],"&gt;"),"&gt;")&amp;"&gt;"</f>
        <v>&lt;a href="canciones/ixcis/mucho_mas.html"&gt;</v>
      </c>
      <c r="X585"/>
      <c r="AA585" s="1"/>
      <c r="AB585" s="1"/>
    </row>
    <row r="586" spans="1:28" x14ac:dyDescent="0.3">
      <c r="A586" s="1">
        <f>ROW(CantoralDB[[#This Row],[Título]])-1</f>
        <v>585</v>
      </c>
      <c r="B586" s="1" t="s">
        <v>610</v>
      </c>
      <c r="C586" s="1" t="s">
        <v>200</v>
      </c>
      <c r="D586" s="1" t="s">
        <v>1392</v>
      </c>
      <c r="G586" s="1" t="s">
        <v>552</v>
      </c>
      <c r="H586" s="1" t="s">
        <v>1029</v>
      </c>
      <c r="J586" s="1" t="s">
        <v>607</v>
      </c>
      <c r="M586" s="15" t="s">
        <v>520</v>
      </c>
      <c r="N586" s="1" t="s">
        <v>3299</v>
      </c>
      <c r="O586" s="15">
        <v>15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S586" s="1" t="s">
        <v>810</v>
      </c>
      <c r="T586" s="1"/>
      <c r="U586" s="32" t="s">
        <v>3097</v>
      </c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W586" s="15" t="str">
        <f>_xlfn.TEXTBEFORE(_xlfn.TEXTAFTER(CantoralDB[[#This Row],[index.html]],"&gt;"),"&gt;")&amp;"&gt;"</f>
        <v>&lt;a href="canciones/ixcis/caminare_hoy_en_tu_presencia.html"&gt;</v>
      </c>
      <c r="X586"/>
      <c r="AA586" s="1"/>
      <c r="AB586" s="1"/>
    </row>
    <row r="587" spans="1:28" x14ac:dyDescent="0.3">
      <c r="A587" s="1">
        <f>ROW(CantoralDB[[#This Row],[Título]])-1</f>
        <v>586</v>
      </c>
      <c r="B587" s="1" t="s">
        <v>3318</v>
      </c>
      <c r="C587" s="1"/>
      <c r="H587" s="1" t="s">
        <v>530</v>
      </c>
      <c r="I587" s="1" t="s">
        <v>2952</v>
      </c>
      <c r="J587" s="1" t="s">
        <v>607</v>
      </c>
      <c r="M587" s="15" t="s">
        <v>520</v>
      </c>
      <c r="N587" s="1" t="s">
        <v>3299</v>
      </c>
      <c r="O587" s="15">
        <v>16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S587" s="1"/>
      <c r="T587" s="1"/>
      <c r="U587" s="32" t="s">
        <v>3399</v>
      </c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W587" s="15" t="str">
        <f>_xlfn.TEXTBEFORE(_xlfn.TEXTAFTER(CantoralDB[[#This Row],[index.html]],"&gt;"),"&gt;")&amp;"&gt;"</f>
        <v>&lt;a href="canciones/ixcis/dame_señor.html"&gt;</v>
      </c>
      <c r="X587"/>
      <c r="AA587" s="1"/>
      <c r="AB587" s="1"/>
    </row>
    <row r="588" spans="1:28" x14ac:dyDescent="0.3">
      <c r="A588" s="1">
        <f>ROW(CantoralDB[[#This Row],[Título]])-1</f>
        <v>587</v>
      </c>
      <c r="B588" s="1" t="s">
        <v>3319</v>
      </c>
      <c r="C588" s="1"/>
      <c r="H588" s="1" t="s">
        <v>1029</v>
      </c>
      <c r="I588" s="1" t="s">
        <v>2952</v>
      </c>
      <c r="J588" s="1" t="s">
        <v>607</v>
      </c>
      <c r="M588" s="15" t="s">
        <v>520</v>
      </c>
      <c r="N588" s="1" t="s">
        <v>3299</v>
      </c>
      <c r="O588" s="15">
        <v>17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S588" s="1"/>
      <c r="T588" s="1"/>
      <c r="U588" s="32" t="s">
        <v>3398</v>
      </c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W588" s="15" t="str">
        <f>_xlfn.TEXTBEFORE(_xlfn.TEXTAFTER(CantoralDB[[#This Row],[index.html]],"&gt;"),"&gt;")&amp;"&gt;"</f>
        <v>&lt;a href="canciones/ixcis/sin_amarras.html"&gt;</v>
      </c>
      <c r="X588"/>
      <c r="AA588" s="1"/>
      <c r="AB588" s="1"/>
    </row>
    <row r="589" spans="1:28" x14ac:dyDescent="0.3">
      <c r="A589" s="1">
        <f>ROW(CantoralDB[[#This Row],[Título]])-1</f>
        <v>588</v>
      </c>
      <c r="B589" s="1" t="s">
        <v>214</v>
      </c>
      <c r="C589" s="1"/>
      <c r="H589" s="1" t="s">
        <v>472</v>
      </c>
      <c r="J589" s="1" t="s">
        <v>607</v>
      </c>
      <c r="M589" s="15" t="s">
        <v>520</v>
      </c>
      <c r="N589" s="1" t="s">
        <v>3299</v>
      </c>
      <c r="O589" s="15">
        <v>18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S589" s="1"/>
      <c r="T589" s="1"/>
      <c r="U589" s="32" t="s">
        <v>3400</v>
      </c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W589" s="15" t="str">
        <f>_xlfn.TEXTBEFORE(_xlfn.TEXTAFTER(CantoralDB[[#This Row],[index.html]],"&gt;"),"&gt;")&amp;"&gt;"</f>
        <v>&lt;a href="canciones/ixcis/no_temas.html"&gt;</v>
      </c>
      <c r="X589"/>
      <c r="AA589" s="1"/>
      <c r="AB589" s="1"/>
    </row>
    <row r="590" spans="1:28" x14ac:dyDescent="0.3">
      <c r="A590" s="1">
        <f>ROW(CantoralDB[[#This Row],[Título]])-1</f>
        <v>589</v>
      </c>
      <c r="B590" s="1" t="s">
        <v>3320</v>
      </c>
      <c r="C590" s="1"/>
      <c r="H590" s="1" t="s">
        <v>530</v>
      </c>
      <c r="J590" s="1" t="s">
        <v>607</v>
      </c>
      <c r="M590" s="15" t="s">
        <v>520</v>
      </c>
      <c r="N590" s="1" t="s">
        <v>3299</v>
      </c>
      <c r="O590" s="15">
        <v>19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S590" s="1"/>
      <c r="T590" s="1"/>
      <c r="U590" s="32" t="s">
        <v>3401</v>
      </c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W590" s="15" t="str">
        <f>_xlfn.TEXTBEFORE(_xlfn.TEXTAFTER(CantoralDB[[#This Row],[index.html]],"&gt;"),"&gt;")&amp;"&gt;"</f>
        <v>&lt;a href="canciones/ixcis/desde_el_silencio.html"&gt;</v>
      </c>
      <c r="X590"/>
      <c r="AA590" s="1"/>
      <c r="AB590" s="1"/>
    </row>
    <row r="591" spans="1:28" x14ac:dyDescent="0.3">
      <c r="A591" s="1">
        <f>ROW(CantoralDB[[#This Row],[Título]])-1</f>
        <v>590</v>
      </c>
      <c r="B591" s="1" t="s">
        <v>3314</v>
      </c>
      <c r="C591" s="1"/>
      <c r="H591" s="1" t="s">
        <v>1029</v>
      </c>
      <c r="J591" s="1" t="s">
        <v>607</v>
      </c>
      <c r="M591" s="15" t="s">
        <v>520</v>
      </c>
      <c r="N591" s="1" t="s">
        <v>3299</v>
      </c>
      <c r="O591" s="15">
        <v>20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S591" s="1"/>
      <c r="T591" s="1"/>
      <c r="U591" s="32" t="s">
        <v>3402</v>
      </c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W591" s="15" t="str">
        <f>_xlfn.TEXTBEFORE(_xlfn.TEXTAFTER(CantoralDB[[#This Row],[index.html]],"&gt;"),"&gt;")&amp;"&gt;"</f>
        <v>&lt;a href="canciones/ixcis/desierto.html"&gt;</v>
      </c>
      <c r="X591"/>
      <c r="AA591" s="1"/>
      <c r="AB591" s="1"/>
    </row>
    <row r="592" spans="1:28" x14ac:dyDescent="0.3">
      <c r="A592" s="1">
        <f>ROW(CantoralDB[[#This Row],[Título]])-1</f>
        <v>591</v>
      </c>
      <c r="B592" s="1" t="s">
        <v>3315</v>
      </c>
      <c r="C592" s="1"/>
      <c r="H592" s="1" t="s">
        <v>1028</v>
      </c>
      <c r="J592" s="1" t="s">
        <v>607</v>
      </c>
      <c r="M592" s="15" t="s">
        <v>520</v>
      </c>
      <c r="N592" s="1" t="s">
        <v>3299</v>
      </c>
      <c r="O592" s="15">
        <v>21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S592" s="1"/>
      <c r="T592" s="1"/>
      <c r="U592" s="32" t="s">
        <v>3403</v>
      </c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W592" s="15" t="str">
        <f>_xlfn.TEXTBEFORE(_xlfn.TEXTAFTER(CantoralDB[[#This Row],[index.html]],"&gt;"),"&gt;")&amp;"&gt;"</f>
        <v>&lt;a href="canciones/ixcis/en_comun.html"&gt;</v>
      </c>
      <c r="X592"/>
      <c r="AA592" s="1"/>
      <c r="AB592" s="1"/>
    </row>
    <row r="593" spans="1:28" x14ac:dyDescent="0.3">
      <c r="A593" s="1">
        <f>ROW(CantoralDB[[#This Row],[Título]])-1</f>
        <v>592</v>
      </c>
      <c r="B593" s="1" t="s">
        <v>3313</v>
      </c>
      <c r="C593" s="1"/>
      <c r="H593" s="1" t="s">
        <v>1026</v>
      </c>
      <c r="J593" s="1" t="s">
        <v>607</v>
      </c>
      <c r="M593" s="15" t="s">
        <v>520</v>
      </c>
      <c r="N593" s="1" t="s">
        <v>3299</v>
      </c>
      <c r="O593" s="15">
        <v>22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S593" s="1"/>
      <c r="T593" s="1"/>
      <c r="U593" s="32" t="s">
        <v>3404</v>
      </c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W593" s="15" t="str">
        <f>_xlfn.TEXTBEFORE(_xlfn.TEXTAFTER(CantoralDB[[#This Row],[index.html]],"&gt;"),"&gt;")&amp;"&gt;"</f>
        <v>&lt;a href="canciones/ixcis/el_tesoro.html"&gt;</v>
      </c>
      <c r="X593"/>
      <c r="AA593" s="1"/>
      <c r="AB593" s="1"/>
    </row>
    <row r="594" spans="1:28" x14ac:dyDescent="0.3">
      <c r="A594" s="1">
        <f>ROW(CantoralDB[[#This Row],[Título]])-1</f>
        <v>593</v>
      </c>
      <c r="B594" s="1" t="s">
        <v>1505</v>
      </c>
      <c r="C594" s="1"/>
      <c r="H594" s="1" t="s">
        <v>1027</v>
      </c>
      <c r="J594" s="1" t="s">
        <v>607</v>
      </c>
      <c r="M594" s="15" t="s">
        <v>520</v>
      </c>
      <c r="N594" s="1" t="s">
        <v>3299</v>
      </c>
      <c r="O594" s="15">
        <v>23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S594" s="1"/>
      <c r="T594" s="1"/>
      <c r="U594" s="32" t="s">
        <v>3405</v>
      </c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W594" s="15" t="str">
        <f>_xlfn.TEXTBEFORE(_xlfn.TEXTAFTER(CantoralDB[[#This Row],[index.html]],"&gt;"),"&gt;")&amp;"&gt;"</f>
        <v>&lt;a href="canciones/ixcis/alegrate.html"&gt;</v>
      </c>
      <c r="X594"/>
      <c r="AA594" s="1"/>
      <c r="AB594" s="1"/>
    </row>
    <row r="595" spans="1:28" x14ac:dyDescent="0.3">
      <c r="A595" s="1">
        <f>ROW(CantoralDB[[#This Row],[Título]])-1</f>
        <v>594</v>
      </c>
      <c r="B595" s="1" t="s">
        <v>3308</v>
      </c>
      <c r="C595" s="1"/>
      <c r="H595" s="1" t="s">
        <v>472</v>
      </c>
      <c r="J595" s="1" t="s">
        <v>607</v>
      </c>
      <c r="M595" s="15" t="s">
        <v>520</v>
      </c>
      <c r="N595" s="1" t="s">
        <v>3299</v>
      </c>
      <c r="O595" s="15">
        <v>24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S595" s="1"/>
      <c r="T595" s="1"/>
      <c r="U595" s="32" t="s">
        <v>3406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W595" s="15" t="str">
        <f>_xlfn.TEXTBEFORE(_xlfn.TEXTAFTER(CantoralDB[[#This Row],[index.html]],"&gt;"),"&gt;")&amp;"&gt;"</f>
        <v>&lt;a href="canciones/ixcis/tu_ternura.html"&gt;</v>
      </c>
      <c r="X595"/>
      <c r="AA595" s="1"/>
      <c r="AB595" s="1"/>
    </row>
    <row r="596" spans="1:28" x14ac:dyDescent="0.3">
      <c r="A596" s="1">
        <f>ROW(CantoralDB[[#This Row],[Título]])-1</f>
        <v>595</v>
      </c>
      <c r="B596" s="1" t="s">
        <v>3309</v>
      </c>
      <c r="C596" s="1"/>
      <c r="H596" s="1" t="s">
        <v>1027</v>
      </c>
      <c r="J596" s="1" t="s">
        <v>607</v>
      </c>
      <c r="M596" s="15" t="s">
        <v>520</v>
      </c>
      <c r="N596" s="1" t="s">
        <v>3299</v>
      </c>
      <c r="O596" s="15">
        <v>25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S596" s="1"/>
      <c r="T596" s="1"/>
      <c r="U596" s="32" t="s">
        <v>3670</v>
      </c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W596" s="15" t="str">
        <f>_xlfn.TEXTBEFORE(_xlfn.TEXTAFTER(CantoralDB[[#This Row],[index.html]],"&gt;"),"&gt;")&amp;"&gt;"</f>
        <v>&lt;a href="canciones/ixcis/creadores.html"&gt;</v>
      </c>
      <c r="X596"/>
      <c r="AA596" s="1"/>
      <c r="AB596" s="1"/>
    </row>
    <row r="597" spans="1:28" x14ac:dyDescent="0.3">
      <c r="A597" s="1">
        <f>ROW(CantoralDB[[#This Row],[Título]])-1</f>
        <v>596</v>
      </c>
      <c r="B597" s="1" t="s">
        <v>3307</v>
      </c>
      <c r="C597" s="1"/>
      <c r="H597" s="1" t="s">
        <v>1029</v>
      </c>
      <c r="J597" s="1" t="s">
        <v>607</v>
      </c>
      <c r="M597" s="15" t="s">
        <v>520</v>
      </c>
      <c r="N597" s="1" t="s">
        <v>3299</v>
      </c>
      <c r="O597" s="15">
        <v>26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S597" s="1"/>
      <c r="T597" s="1"/>
      <c r="U597" s="32" t="s">
        <v>3407</v>
      </c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W597" s="15" t="str">
        <f>_xlfn.TEXTBEFORE(_xlfn.TEXTAFTER(CantoralDB[[#This Row],[index.html]],"&gt;"),"&gt;")&amp;"&gt;"</f>
        <v>&lt;a href="canciones/ixcis/desde_mi_balcon.html"&gt;</v>
      </c>
      <c r="X597"/>
      <c r="AA597" s="1"/>
      <c r="AB597" s="1"/>
    </row>
    <row r="598" spans="1:28" x14ac:dyDescent="0.3">
      <c r="A598" s="1">
        <f>ROW(CantoralDB[[#This Row],[Título]])-1</f>
        <v>597</v>
      </c>
      <c r="B598" s="1" t="s">
        <v>3302</v>
      </c>
      <c r="C598" s="1"/>
      <c r="H598" s="1" t="s">
        <v>530</v>
      </c>
      <c r="J598" s="1" t="s">
        <v>607</v>
      </c>
      <c r="M598" s="15" t="s">
        <v>520</v>
      </c>
      <c r="N598" s="1" t="s">
        <v>3299</v>
      </c>
      <c r="O598" s="15">
        <v>27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S598" s="1"/>
      <c r="T598" s="1"/>
      <c r="U598" s="32" t="s">
        <v>3408</v>
      </c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W598" s="15" t="str">
        <f>_xlfn.TEXTBEFORE(_xlfn.TEXTAFTER(CantoralDB[[#This Row],[index.html]],"&gt;"),"&gt;")&amp;"&gt;"</f>
        <v>&lt;a href="canciones/ixcis/nadie_me_podra_robar.html"&gt;</v>
      </c>
      <c r="X598"/>
      <c r="AA598" s="1"/>
      <c r="AB598" s="1"/>
    </row>
    <row r="599" spans="1:28" x14ac:dyDescent="0.3">
      <c r="A599" s="1">
        <f>ROW(CantoralDB[[#This Row],[Título]])-1</f>
        <v>598</v>
      </c>
      <c r="B599" s="1" t="s">
        <v>3301</v>
      </c>
      <c r="C599" s="1"/>
      <c r="H599" s="1" t="s">
        <v>530</v>
      </c>
      <c r="J599" s="1" t="s">
        <v>607</v>
      </c>
      <c r="M599" s="15" t="s">
        <v>520</v>
      </c>
      <c r="N599" s="1" t="s">
        <v>3299</v>
      </c>
      <c r="O599" s="15">
        <v>28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S599" s="1"/>
      <c r="T599" s="1"/>
      <c r="U599" s="32" t="s">
        <v>3409</v>
      </c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W599" s="15" t="str">
        <f>_xlfn.TEXTBEFORE(_xlfn.TEXTAFTER(CantoralDB[[#This Row],[index.html]],"&gt;"),"&gt;")&amp;"&gt;"</f>
        <v>&lt;a href="canciones/ixcis/llega_el_reino_de_dios.html"&gt;</v>
      </c>
      <c r="X599"/>
      <c r="AA599" s="1"/>
      <c r="AB599" s="1"/>
    </row>
    <row r="600" spans="1:28" x14ac:dyDescent="0.3">
      <c r="A600" s="1">
        <f>ROW(CantoralDB[[#This Row],[Título]])-1</f>
        <v>599</v>
      </c>
      <c r="B600" s="1" t="s">
        <v>3322</v>
      </c>
      <c r="C600" s="1"/>
      <c r="H600" s="1" t="s">
        <v>530</v>
      </c>
      <c r="J600" s="1" t="s">
        <v>607</v>
      </c>
      <c r="M600" s="15" t="s">
        <v>520</v>
      </c>
      <c r="N600" s="1" t="s">
        <v>3332</v>
      </c>
      <c r="O600" s="15">
        <v>1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S600" s="1"/>
      <c r="T600" s="1"/>
      <c r="U600" s="32" t="s">
        <v>3410</v>
      </c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W600" s="15" t="str">
        <f>_xlfn.TEXTBEFORE(_xlfn.TEXTAFTER(CantoralDB[[#This Row],[index.html]],"&gt;"),"&gt;")&amp;"&gt;"</f>
        <v>&lt;a href="canciones/ixcis/dame_de_beber.html"&gt;</v>
      </c>
      <c r="X600"/>
      <c r="AA600" s="1"/>
      <c r="AB600" s="1"/>
    </row>
    <row r="601" spans="1:28" x14ac:dyDescent="0.3">
      <c r="A601" s="1">
        <f>ROW(CantoralDB[[#This Row],[Título]])-1</f>
        <v>600</v>
      </c>
      <c r="B601" s="1" t="s">
        <v>3323</v>
      </c>
      <c r="C601" s="1"/>
      <c r="H601" s="1" t="s">
        <v>530</v>
      </c>
      <c r="J601" s="1" t="s">
        <v>607</v>
      </c>
      <c r="M601" s="15" t="s">
        <v>520</v>
      </c>
      <c r="N601" s="1" t="s">
        <v>3332</v>
      </c>
      <c r="O601" s="15">
        <v>2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S601" s="1"/>
      <c r="T601" s="1"/>
      <c r="U601" s="32" t="s">
        <v>3411</v>
      </c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W601" s="15" t="str">
        <f>_xlfn.TEXTBEFORE(_xlfn.TEXTAFTER(CantoralDB[[#This Row],[index.html]],"&gt;"),"&gt;")&amp;"&gt;"</f>
        <v>&lt;a href="canciones/ixcis/monte_horeb.html"&gt;</v>
      </c>
      <c r="X601"/>
      <c r="AA601" s="1"/>
      <c r="AB601" s="1"/>
    </row>
    <row r="602" spans="1:28" x14ac:dyDescent="0.3">
      <c r="A602" s="1">
        <f>ROW(CantoralDB[[#This Row],[Título]])-1</f>
        <v>601</v>
      </c>
      <c r="B602" s="1" t="s">
        <v>3324</v>
      </c>
      <c r="C602" s="1"/>
      <c r="H602" s="1" t="s">
        <v>1027</v>
      </c>
      <c r="J602" s="1" t="s">
        <v>607</v>
      </c>
      <c r="M602" s="15" t="s">
        <v>520</v>
      </c>
      <c r="N602" s="1" t="s">
        <v>3332</v>
      </c>
      <c r="O602" s="15">
        <v>3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S602" s="1"/>
      <c r="T602" s="1"/>
      <c r="U602" s="32" t="s">
        <v>3669</v>
      </c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W602" s="15" t="str">
        <f>_xlfn.TEXTBEFORE(_xlfn.TEXTAFTER(CantoralDB[[#This Row],[index.html]],"&gt;"),"&gt;")&amp;"&gt;"</f>
        <v>&lt;a href="canciones/ixcis/mi_dios_en_una_cruz.html"&gt;</v>
      </c>
      <c r="X602"/>
      <c r="AA602" s="1"/>
      <c r="AB602" s="1"/>
    </row>
    <row r="603" spans="1:28" x14ac:dyDescent="0.3">
      <c r="A603" s="1">
        <f>ROW(CantoralDB[[#This Row],[Título]])-1</f>
        <v>602</v>
      </c>
      <c r="B603" s="1" t="s">
        <v>3325</v>
      </c>
      <c r="C603" s="1"/>
      <c r="H603" s="1" t="s">
        <v>1029</v>
      </c>
      <c r="J603" s="1" t="s">
        <v>607</v>
      </c>
      <c r="M603" s="15" t="s">
        <v>520</v>
      </c>
      <c r="N603" s="1" t="s">
        <v>3332</v>
      </c>
      <c r="O603" s="15">
        <v>4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S603" s="1"/>
      <c r="T603" s="1"/>
      <c r="U603" s="32" t="s">
        <v>3412</v>
      </c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W603" s="15" t="str">
        <f>_xlfn.TEXTBEFORE(_xlfn.TEXTAFTER(CantoralDB[[#This Row],[index.html]],"&gt;"),"&gt;")&amp;"&gt;"</f>
        <v>&lt;a href="canciones/ixcis/sueños_de_dios.html"&gt;</v>
      </c>
      <c r="X603"/>
      <c r="AA603" s="1"/>
      <c r="AB603" s="1"/>
    </row>
    <row r="604" spans="1:28" x14ac:dyDescent="0.3">
      <c r="A604" s="1">
        <f>ROW(CantoralDB[[#This Row],[Título]])-1</f>
        <v>603</v>
      </c>
      <c r="B604" s="1" t="s">
        <v>3326</v>
      </c>
      <c r="C604" s="1"/>
      <c r="H604" s="1" t="s">
        <v>1026</v>
      </c>
      <c r="J604" s="1" t="s">
        <v>607</v>
      </c>
      <c r="M604" s="15" t="s">
        <v>520</v>
      </c>
      <c r="N604" s="1" t="s">
        <v>3332</v>
      </c>
      <c r="O604" s="15">
        <v>5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S604" s="1"/>
      <c r="T604" s="1"/>
      <c r="U604" s="32" t="s">
        <v>3413</v>
      </c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W604" s="15" t="str">
        <f>_xlfn.TEXTBEFORE(_xlfn.TEXTAFTER(CantoralDB[[#This Row],[index.html]],"&gt;"),"&gt;")&amp;"&gt;"</f>
        <v>&lt;a href="canciones/ixcis/adonde_acudire.html"&gt;</v>
      </c>
      <c r="X604"/>
      <c r="AA604" s="1"/>
      <c r="AB604" s="1"/>
    </row>
    <row r="605" spans="1:28" x14ac:dyDescent="0.3">
      <c r="A605" s="1">
        <f>ROW(CantoralDB[[#This Row],[Título]])-1</f>
        <v>604</v>
      </c>
      <c r="B605" s="1" t="s">
        <v>70</v>
      </c>
      <c r="C605" s="1"/>
      <c r="H605" s="1" t="s">
        <v>1026</v>
      </c>
      <c r="J605" s="1" t="s">
        <v>607</v>
      </c>
      <c r="M605" s="15" t="s">
        <v>520</v>
      </c>
      <c r="N605" s="1" t="s">
        <v>3332</v>
      </c>
      <c r="O605" s="15">
        <v>6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S605" s="1"/>
      <c r="T605" s="1"/>
      <c r="U605" s="32" t="s">
        <v>3414</v>
      </c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W605" s="15" t="str">
        <f>_xlfn.TEXTBEFORE(_xlfn.TEXTAFTER(CantoralDB[[#This Row],[index.html]],"&gt;"),"&gt;")&amp;"&gt;"</f>
        <v>&lt;a href="canciones/ixcis/gracias_señor.html"&gt;</v>
      </c>
      <c r="X605"/>
      <c r="AA605" s="1"/>
      <c r="AB605" s="1"/>
    </row>
    <row r="606" spans="1:28" x14ac:dyDescent="0.3">
      <c r="A606" s="1">
        <f>ROW(CantoralDB[[#This Row],[Título]])-1</f>
        <v>605</v>
      </c>
      <c r="B606" s="1" t="s">
        <v>3327</v>
      </c>
      <c r="C606" s="1"/>
      <c r="H606" s="1" t="s">
        <v>530</v>
      </c>
      <c r="J606" s="1" t="s">
        <v>607</v>
      </c>
      <c r="M606" s="15" t="s">
        <v>520</v>
      </c>
      <c r="N606" s="1" t="s">
        <v>3332</v>
      </c>
      <c r="O606" s="15">
        <v>7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S606" s="1"/>
      <c r="T606" s="1"/>
      <c r="U606" s="32" t="s">
        <v>3415</v>
      </c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W606" s="15" t="str">
        <f>_xlfn.TEXTBEFORE(_xlfn.TEXTAFTER(CantoralDB[[#This Row],[index.html]],"&gt;"),"&gt;")&amp;"&gt;"</f>
        <v>&lt;a href="canciones/ixcis/gentes_con_derecho.html"&gt;</v>
      </c>
      <c r="X606"/>
      <c r="AA606" s="1"/>
      <c r="AB606" s="1"/>
    </row>
    <row r="607" spans="1:28" x14ac:dyDescent="0.3">
      <c r="A607" s="1">
        <f>ROW(CantoralDB[[#This Row],[Título]])-1</f>
        <v>606</v>
      </c>
      <c r="B607" s="1" t="s">
        <v>3328</v>
      </c>
      <c r="C607" s="1"/>
      <c r="H607" s="1" t="s">
        <v>530</v>
      </c>
      <c r="J607" s="1" t="s">
        <v>607</v>
      </c>
      <c r="M607" s="15" t="s">
        <v>520</v>
      </c>
      <c r="N607" s="1" t="s">
        <v>3332</v>
      </c>
      <c r="O607" s="15">
        <v>8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S607" s="1"/>
      <c r="T607" s="1"/>
      <c r="U607" s="32" t="s">
        <v>3416</v>
      </c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W607" s="15" t="str">
        <f>_xlfn.TEXTBEFORE(_xlfn.TEXTAFTER(CantoralDB[[#This Row],[index.html]],"&gt;"),"&gt;")&amp;"&gt;"</f>
        <v>&lt;a href="canciones/ixcis/oh_señor.html"&gt;</v>
      </c>
      <c r="X607"/>
      <c r="AA607" s="1"/>
      <c r="AB607" s="1"/>
    </row>
    <row r="608" spans="1:28" x14ac:dyDescent="0.3">
      <c r="A608" s="1">
        <f>ROW(CantoralDB[[#This Row],[Título]])-1</f>
        <v>607</v>
      </c>
      <c r="B608" s="1" t="s">
        <v>3329</v>
      </c>
      <c r="C608" s="1"/>
      <c r="H608" s="1" t="s">
        <v>3298</v>
      </c>
      <c r="J608" s="1" t="s">
        <v>607</v>
      </c>
      <c r="M608" s="15" t="s">
        <v>520</v>
      </c>
      <c r="N608" s="1" t="s">
        <v>3332</v>
      </c>
      <c r="O608" s="15">
        <v>9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S608" s="1"/>
      <c r="T608" s="1"/>
      <c r="U608" s="32" t="s">
        <v>3417</v>
      </c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W608" s="15" t="str">
        <f>_xlfn.TEXTBEFORE(_xlfn.TEXTAFTER(CantoralDB[[#This Row],[index.html]],"&gt;"),"&gt;")&amp;"&gt;"</f>
        <v>&lt;a href="canciones/ixcis/quererse.html"&gt;</v>
      </c>
      <c r="X608"/>
      <c r="AA608" s="1"/>
      <c r="AB608" s="1"/>
    </row>
    <row r="609" spans="1:28" x14ac:dyDescent="0.3">
      <c r="A609" s="1">
        <f>ROW(CantoralDB[[#This Row],[Título]])-1</f>
        <v>608</v>
      </c>
      <c r="B609" s="1" t="s">
        <v>3330</v>
      </c>
      <c r="C609" s="1"/>
      <c r="H609" s="1" t="s">
        <v>1029</v>
      </c>
      <c r="J609" s="1" t="s">
        <v>607</v>
      </c>
      <c r="M609" s="15" t="s">
        <v>520</v>
      </c>
      <c r="N609" s="1" t="s">
        <v>3332</v>
      </c>
      <c r="O609" s="15">
        <v>10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S609" s="1"/>
      <c r="T609" s="1"/>
      <c r="U609" s="32" t="s">
        <v>3418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W609" s="15" t="str">
        <f>_xlfn.TEXTBEFORE(_xlfn.TEXTAFTER(CantoralDB[[#This Row],[index.html]],"&gt;"),"&gt;")&amp;"&gt;"</f>
        <v>&lt;a href="canciones/ixcis/encima_del_altar.html"&gt;</v>
      </c>
      <c r="X609"/>
      <c r="AA609" s="1"/>
      <c r="AB609" s="1"/>
    </row>
    <row r="610" spans="1:28" x14ac:dyDescent="0.3">
      <c r="A610" s="1">
        <f>ROW(CantoralDB[[#This Row],[Título]])-1</f>
        <v>609</v>
      </c>
      <c r="B610" s="1" t="s">
        <v>3331</v>
      </c>
      <c r="C610" s="1"/>
      <c r="H610" s="1" t="s">
        <v>1029</v>
      </c>
      <c r="J610" s="1" t="s">
        <v>607</v>
      </c>
      <c r="M610" s="15" t="s">
        <v>520</v>
      </c>
      <c r="N610" s="1" t="s">
        <v>3332</v>
      </c>
      <c r="O610" s="15">
        <v>11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S610" s="1"/>
      <c r="T610" s="1"/>
      <c r="U610" s="32" t="s">
        <v>3419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W610" s="15" t="str">
        <f>_xlfn.TEXTBEFORE(_xlfn.TEXTAFTER(CantoralDB[[#This Row],[index.html]],"&gt;"),"&gt;")&amp;"&gt;"</f>
        <v>&lt;a href="canciones/ixcis/cosas_pequeñas.html"&gt;</v>
      </c>
      <c r="X610"/>
      <c r="AA610" s="1"/>
      <c r="AB610" s="1"/>
    </row>
    <row r="611" spans="1:28" x14ac:dyDescent="0.3">
      <c r="A611" s="1">
        <f>ROW(CantoralDB[[#This Row],[Título]])-1</f>
        <v>610</v>
      </c>
      <c r="B611" s="1" t="s">
        <v>3332</v>
      </c>
      <c r="C611" s="1"/>
      <c r="H611" s="1" t="s">
        <v>530</v>
      </c>
      <c r="J611" s="1" t="s">
        <v>607</v>
      </c>
      <c r="M611" s="15" t="s">
        <v>520</v>
      </c>
      <c r="N611" s="1" t="s">
        <v>3332</v>
      </c>
      <c r="O611" s="15">
        <v>12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S611" s="1"/>
      <c r="T611" s="1"/>
      <c r="U611" s="32" t="s">
        <v>3420</v>
      </c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W611" s="15" t="str">
        <f>_xlfn.TEXTBEFORE(_xlfn.TEXTAFTER(CantoralDB[[#This Row],[index.html]],"&gt;"),"&gt;")&amp;"&gt;"</f>
        <v>&lt;a href="canciones/ixcis/beber_los_vientos.html"&gt;</v>
      </c>
      <c r="X611"/>
      <c r="AA611" s="1"/>
      <c r="AB611" s="1"/>
    </row>
    <row r="612" spans="1:28" x14ac:dyDescent="0.3">
      <c r="A612" s="1">
        <f>ROW(CantoralDB[[#This Row],[Título]])-1</f>
        <v>611</v>
      </c>
      <c r="B612" s="1" t="s">
        <v>3453</v>
      </c>
      <c r="C612" s="1"/>
      <c r="H612" s="1" t="s">
        <v>1026</v>
      </c>
      <c r="J612" s="1" t="s">
        <v>607</v>
      </c>
      <c r="M612" s="15" t="s">
        <v>520</v>
      </c>
      <c r="N612" s="1" t="s">
        <v>3452</v>
      </c>
      <c r="O612" s="15">
        <v>1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S612" s="1"/>
      <c r="T612" s="1"/>
      <c r="U612" s="32" t="s">
        <v>3652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W612" s="15" t="str">
        <f>_xlfn.TEXTBEFORE(_xlfn.TEXTAFTER(CantoralDB[[#This Row],[index.html]],"&gt;"),"&gt;")&amp;"&gt;"</f>
        <v>&lt;a href="canciones/ixcis/ven_y_sigueme.html"&gt;</v>
      </c>
      <c r="X612"/>
      <c r="AA612" s="1"/>
      <c r="AB612" s="1"/>
    </row>
    <row r="613" spans="1:28" x14ac:dyDescent="0.3">
      <c r="A613" s="1">
        <f>ROW(CantoralDB[[#This Row],[Título]])-1</f>
        <v>612</v>
      </c>
      <c r="B613" s="1" t="s">
        <v>3454</v>
      </c>
      <c r="C613" s="1"/>
      <c r="H613" s="1" t="s">
        <v>1028</v>
      </c>
      <c r="J613" s="1" t="s">
        <v>607</v>
      </c>
      <c r="M613" s="15" t="s">
        <v>520</v>
      </c>
      <c r="N613" s="1" t="s">
        <v>3452</v>
      </c>
      <c r="O613" s="15">
        <v>2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S613" s="1"/>
      <c r="T613" s="1"/>
      <c r="U613" s="32" t="s">
        <v>3653</v>
      </c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W613" s="15" t="str">
        <f>_xlfn.TEXTBEFORE(_xlfn.TEXTAFTER(CantoralDB[[#This Row],[index.html]],"&gt;"),"&gt;")&amp;"&gt;"</f>
        <v>&lt;a href="canciones/ixcis/dios_provee.html"&gt;</v>
      </c>
      <c r="X613"/>
      <c r="AA613" s="1"/>
      <c r="AB613" s="1"/>
    </row>
    <row r="614" spans="1:28" x14ac:dyDescent="0.3">
      <c r="A614" s="1">
        <f>ROW(CantoralDB[[#This Row],[Título]])-1</f>
        <v>613</v>
      </c>
      <c r="B614" s="1" t="s">
        <v>3455</v>
      </c>
      <c r="C614" s="1"/>
      <c r="H614" s="1" t="s">
        <v>530</v>
      </c>
      <c r="J614" s="1" t="s">
        <v>607</v>
      </c>
      <c r="M614" s="15" t="s">
        <v>520</v>
      </c>
      <c r="N614" s="1" t="s">
        <v>3452</v>
      </c>
      <c r="O614" s="15">
        <v>3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S614" s="1"/>
      <c r="T614" s="1"/>
      <c r="U614" s="32" t="s">
        <v>3654</v>
      </c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W614" s="15" t="str">
        <f>_xlfn.TEXTBEFORE(_xlfn.TEXTAFTER(CantoralDB[[#This Row],[index.html]],"&gt;"),"&gt;")&amp;"&gt;"</f>
        <v>&lt;a href="canciones/ixcis/me_desbordas.html"&gt;</v>
      </c>
      <c r="X614"/>
      <c r="AA614" s="1"/>
      <c r="AB614" s="1"/>
    </row>
    <row r="615" spans="1:28" x14ac:dyDescent="0.3">
      <c r="A615" s="1">
        <f>ROW(CantoralDB[[#This Row],[Título]])-1</f>
        <v>614</v>
      </c>
      <c r="B615" s="1" t="s">
        <v>3456</v>
      </c>
      <c r="C615" s="1"/>
      <c r="H615" s="1" t="s">
        <v>530</v>
      </c>
      <c r="J615" s="1" t="s">
        <v>607</v>
      </c>
      <c r="M615" s="15" t="s">
        <v>520</v>
      </c>
      <c r="N615" s="1" t="s">
        <v>3452</v>
      </c>
      <c r="O615" s="15">
        <v>4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S615" s="1"/>
      <c r="T615" s="1"/>
      <c r="U615" s="32" t="s">
        <v>3655</v>
      </c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W615" s="15" t="str">
        <f>_xlfn.TEXTBEFORE(_xlfn.TEXTAFTER(CantoralDB[[#This Row],[index.html]],"&gt;"),"&gt;")&amp;"&gt;"</f>
        <v>&lt;a href="canciones/ixcis/el_que_se_ensalza.html"&gt;</v>
      </c>
      <c r="X615"/>
      <c r="AA615" s="1"/>
      <c r="AB615" s="1"/>
    </row>
    <row r="616" spans="1:28" x14ac:dyDescent="0.3">
      <c r="A616" s="1">
        <f>ROW(CantoralDB[[#This Row],[Título]])-1</f>
        <v>615</v>
      </c>
      <c r="B616" s="1" t="s">
        <v>3457</v>
      </c>
      <c r="C616" s="1"/>
      <c r="H616" s="1" t="s">
        <v>1026</v>
      </c>
      <c r="J616" s="1" t="s">
        <v>607</v>
      </c>
      <c r="M616" s="15" t="s">
        <v>520</v>
      </c>
      <c r="N616" s="1" t="s">
        <v>3452</v>
      </c>
      <c r="O616" s="15">
        <v>5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S616" s="1"/>
      <c r="T616" s="1"/>
      <c r="U616" s="32" t="s">
        <v>3656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W616" s="15" t="str">
        <f>_xlfn.TEXTBEFORE(_xlfn.TEXTAFTER(CantoralDB[[#This Row],[index.html]],"&gt;"),"&gt;")&amp;"&gt;"</f>
        <v>&lt;a href="canciones/ixcis/mis_señores_y_mis_amos.html"&gt;</v>
      </c>
      <c r="X616"/>
      <c r="AA616" s="1"/>
      <c r="AB616" s="1"/>
    </row>
    <row r="617" spans="1:28" x14ac:dyDescent="0.3">
      <c r="A617" s="1">
        <f>ROW(CantoralDB[[#This Row],[Título]])-1</f>
        <v>616</v>
      </c>
      <c r="B617" s="1" t="s">
        <v>3458</v>
      </c>
      <c r="C617" s="1"/>
      <c r="H617" s="1" t="s">
        <v>530</v>
      </c>
      <c r="J617" s="1" t="s">
        <v>607</v>
      </c>
      <c r="M617" s="15" t="s">
        <v>520</v>
      </c>
      <c r="N617" s="1" t="s">
        <v>3452</v>
      </c>
      <c r="O617" s="15">
        <v>6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S617" s="1"/>
      <c r="T617" s="1"/>
      <c r="U617" s="32" t="s">
        <v>3657</v>
      </c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W617" s="15" t="str">
        <f>_xlfn.TEXTBEFORE(_xlfn.TEXTAFTER(CantoralDB[[#This Row],[index.html]],"&gt;"),"&gt;")&amp;"&gt;"</f>
        <v>&lt;a href="canciones/ixcis/enseñame_el_camino.html"&gt;</v>
      </c>
      <c r="X617"/>
      <c r="AA617" s="1"/>
      <c r="AB617" s="1"/>
    </row>
    <row r="618" spans="1:28" x14ac:dyDescent="0.3">
      <c r="A618" s="1">
        <f>ROW(CantoralDB[[#This Row],[Título]])-1</f>
        <v>617</v>
      </c>
      <c r="B618" s="1" t="s">
        <v>3459</v>
      </c>
      <c r="C618" s="1"/>
      <c r="H618" s="1" t="s">
        <v>1027</v>
      </c>
      <c r="J618" s="1" t="s">
        <v>607</v>
      </c>
      <c r="M618" s="15" t="s">
        <v>520</v>
      </c>
      <c r="N618" s="1" t="s">
        <v>3452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S618" s="1"/>
      <c r="T618" s="1"/>
      <c r="U618" s="32" t="s">
        <v>3658</v>
      </c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W618" s="15" t="str">
        <f>_xlfn.TEXTBEFORE(_xlfn.TEXTAFTER(CantoralDB[[#This Row],[index.html]],"&gt;"),"&gt;")&amp;"&gt;"</f>
        <v>&lt;a href="canciones/ixcis/padrenuestro_i.html"&gt;</v>
      </c>
      <c r="X618"/>
      <c r="AA618" s="1"/>
      <c r="AB618" s="1"/>
    </row>
    <row r="619" spans="1:28" x14ac:dyDescent="0.3">
      <c r="A619" s="1">
        <f>ROW(CantoralDB[[#This Row],[Título]])-1</f>
        <v>618</v>
      </c>
      <c r="B619" s="1" t="s">
        <v>3461</v>
      </c>
      <c r="C619" s="1"/>
      <c r="H619" s="1" t="s">
        <v>1029</v>
      </c>
      <c r="J619" s="1" t="s">
        <v>607</v>
      </c>
      <c r="M619" s="15" t="s">
        <v>520</v>
      </c>
      <c r="N619" s="1" t="s">
        <v>3452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S619" s="1"/>
      <c r="T619" s="1"/>
      <c r="U619" s="32" t="s">
        <v>3659</v>
      </c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W619" s="15" t="str">
        <f>_xlfn.TEXTBEFORE(_xlfn.TEXTAFTER(CantoralDB[[#This Row],[index.html]],"&gt;"),"&gt;")&amp;"&gt;"</f>
        <v>&lt;a href="canciones/ixcis/adorare.html"&gt;</v>
      </c>
      <c r="X619"/>
      <c r="AA619" s="1"/>
      <c r="AB619" s="1"/>
    </row>
    <row r="620" spans="1:28" x14ac:dyDescent="0.3">
      <c r="A620" s="1">
        <f>ROW(CantoralDB[[#This Row],[Título]])-1</f>
        <v>619</v>
      </c>
      <c r="B620" s="1" t="s">
        <v>3462</v>
      </c>
      <c r="C620" s="1"/>
      <c r="H620" s="1" t="s">
        <v>472</v>
      </c>
      <c r="J620" s="1" t="s">
        <v>607</v>
      </c>
      <c r="M620" s="15" t="s">
        <v>520</v>
      </c>
      <c r="N620" s="1" t="s">
        <v>3452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S620" s="1"/>
      <c r="T620" s="1"/>
      <c r="U620" s="32" t="s">
        <v>3660</v>
      </c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W620" s="15" t="str">
        <f>_xlfn.TEXTBEFORE(_xlfn.TEXTAFTER(CantoralDB[[#This Row],[index.html]],"&gt;"),"&gt;")&amp;"&gt;"</f>
        <v>&lt;a href="canciones/ixcis/me_llamais.html"&gt;</v>
      </c>
      <c r="X620"/>
      <c r="AA620" s="1"/>
      <c r="AB620" s="1"/>
    </row>
    <row r="621" spans="1:28" x14ac:dyDescent="0.3">
      <c r="A621" s="1">
        <f>ROW(CantoralDB[[#This Row],[Título]])-1</f>
        <v>620</v>
      </c>
      <c r="B621" s="1" t="s">
        <v>3452</v>
      </c>
      <c r="C621" s="1"/>
      <c r="H621" s="1" t="s">
        <v>530</v>
      </c>
      <c r="J621" s="1" t="s">
        <v>607</v>
      </c>
      <c r="M621" s="15" t="s">
        <v>520</v>
      </c>
      <c r="N621" s="1" t="s">
        <v>3452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S621" s="1"/>
      <c r="T621" s="1"/>
      <c r="U621" s="32" t="s">
        <v>3661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W621" s="15" t="str">
        <f>_xlfn.TEXTBEFORE(_xlfn.TEXTAFTER(CantoralDB[[#This Row],[index.html]],"&gt;"),"&gt;")&amp;"&gt;"</f>
        <v>&lt;a href="canciones/ixcis/como_uno_de_tantos.html"&gt;</v>
      </c>
      <c r="X621"/>
      <c r="AA621" s="1"/>
      <c r="AB621" s="1"/>
    </row>
    <row r="622" spans="1:28" x14ac:dyDescent="0.3">
      <c r="A622" s="1">
        <f>ROW(CantoralDB[[#This Row],[Título]])-1</f>
        <v>621</v>
      </c>
      <c r="B622" s="1" t="s">
        <v>3463</v>
      </c>
      <c r="C622" s="1"/>
      <c r="H622" s="1" t="s">
        <v>1026</v>
      </c>
      <c r="J622" s="1" t="s">
        <v>607</v>
      </c>
      <c r="M622" s="15" t="s">
        <v>520</v>
      </c>
      <c r="N622" s="1" t="s">
        <v>3452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S622" s="1"/>
      <c r="T622" s="1"/>
      <c r="U622" s="32" t="s">
        <v>3662</v>
      </c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W622" s="15" t="str">
        <f>_xlfn.TEXTBEFORE(_xlfn.TEXTAFTER(CantoralDB[[#This Row],[index.html]],"&gt;"),"&gt;")&amp;"&gt;"</f>
        <v>&lt;a href="canciones/ixcis/en_medio_de_vosotros.html"&gt;</v>
      </c>
      <c r="X622"/>
      <c r="AA622" s="1"/>
      <c r="AB622" s="1"/>
    </row>
    <row r="623" spans="1:28" x14ac:dyDescent="0.3">
      <c r="A623" s="1">
        <f>ROW(CantoralDB[[#This Row],[Título]])-1</f>
        <v>622</v>
      </c>
      <c r="B623" s="1" t="s">
        <v>3464</v>
      </c>
      <c r="C623" s="1"/>
      <c r="H623" s="1" t="s">
        <v>1026</v>
      </c>
      <c r="J623" s="1" t="s">
        <v>607</v>
      </c>
      <c r="M623" s="15" t="s">
        <v>520</v>
      </c>
      <c r="N623" s="1" t="s">
        <v>3452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S623" s="1"/>
      <c r="T623" s="1"/>
      <c r="U623" s="32" t="s">
        <v>3663</v>
      </c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W623" s="15" t="str">
        <f>_xlfn.TEXTBEFORE(_xlfn.TEXTAFTER(CantoralDB[[#This Row],[index.html]],"&gt;"),"&gt;")&amp;"&gt;"</f>
        <v>&lt;a href="canciones/ixcis/mi_dios_y_mi_todo.html"&gt;</v>
      </c>
      <c r="X623"/>
      <c r="AA623" s="1"/>
      <c r="AB623" s="1"/>
    </row>
    <row r="624" spans="1:28" x14ac:dyDescent="0.3">
      <c r="A624" s="1">
        <f>ROW(CantoralDB[[#This Row],[Título]])-1</f>
        <v>623</v>
      </c>
      <c r="B624" s="1" t="s">
        <v>3465</v>
      </c>
      <c r="C624" s="1"/>
      <c r="H624" s="1" t="s">
        <v>1027</v>
      </c>
      <c r="J624" s="1" t="s">
        <v>607</v>
      </c>
      <c r="M624" s="15" t="s">
        <v>520</v>
      </c>
      <c r="N624" s="1" t="s">
        <v>3452</v>
      </c>
      <c r="O624" s="15">
        <v>14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S624" s="1"/>
      <c r="T624" s="1"/>
      <c r="U624" s="32" t="s">
        <v>3664</v>
      </c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W624" s="15" t="str">
        <f>_xlfn.TEXTBEFORE(_xlfn.TEXTAFTER(CantoralDB[[#This Row],[index.html]],"&gt;"),"&gt;")&amp;"&gt;"</f>
        <v>&lt;a href="canciones/ixcis/maria_enseñame_a_vivir_el_evangelio.html"&gt;</v>
      </c>
      <c r="X624"/>
      <c r="AA624" s="1"/>
      <c r="AB624" s="1"/>
    </row>
    <row r="625" spans="1:28" x14ac:dyDescent="0.3">
      <c r="A625" s="1">
        <f>ROW(CantoralDB[[#This Row],[Título]])-1</f>
        <v>624</v>
      </c>
      <c r="B625" s="1" t="s">
        <v>3466</v>
      </c>
      <c r="C625" s="1"/>
      <c r="H625" s="1" t="s">
        <v>1027</v>
      </c>
      <c r="J625" s="1" t="s">
        <v>607</v>
      </c>
      <c r="M625" s="15" t="s">
        <v>520</v>
      </c>
      <c r="N625" s="1" t="s">
        <v>3452</v>
      </c>
      <c r="O625" s="15">
        <v>15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S625" s="1"/>
      <c r="T625" s="1"/>
      <c r="U625" s="32" t="s">
        <v>3665</v>
      </c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W625" s="15" t="str">
        <f>_xlfn.TEXTBEFORE(_xlfn.TEXTAFTER(CantoralDB[[#This Row],[index.html]],"&gt;"),"&gt;")&amp;"&gt;"</f>
        <v>&lt;a href="canciones/ixcis/pastor_bone.html"&gt;</v>
      </c>
      <c r="X625"/>
      <c r="AA625" s="1"/>
      <c r="AB625" s="1"/>
    </row>
    <row r="626" spans="1:28" x14ac:dyDescent="0.3">
      <c r="A626" s="1">
        <f>ROW(CantoralDB[[#This Row],[Título]])-1</f>
        <v>625</v>
      </c>
      <c r="B626" s="1" t="s">
        <v>3467</v>
      </c>
      <c r="C626" s="1"/>
      <c r="H626" s="1" t="s">
        <v>1028</v>
      </c>
      <c r="J626" s="1" t="s">
        <v>607</v>
      </c>
      <c r="M626" s="15" t="s">
        <v>520</v>
      </c>
      <c r="N626" s="1" t="s">
        <v>3452</v>
      </c>
      <c r="O626" s="15">
        <v>16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S626" s="1"/>
      <c r="T626" s="1"/>
      <c r="U626" s="32" t="s">
        <v>3666</v>
      </c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W626" s="15" t="str">
        <f>_xlfn.TEXTBEFORE(_xlfn.TEXTAFTER(CantoralDB[[#This Row],[index.html]],"&gt;"),"&gt;")&amp;"&gt;"</f>
        <v>&lt;a href="canciones/ixcis/señor_expropiame.html"&gt;</v>
      </c>
      <c r="X626"/>
      <c r="AA626" s="1"/>
      <c r="AB626" s="1"/>
    </row>
    <row r="627" spans="1:28" x14ac:dyDescent="0.3">
      <c r="A627" s="1">
        <f>ROW(CantoralDB[[#This Row],[Título]])-1</f>
        <v>626</v>
      </c>
      <c r="B627" s="1" t="s">
        <v>3333</v>
      </c>
      <c r="C627" s="1"/>
      <c r="H627" s="1" t="s">
        <v>1029</v>
      </c>
      <c r="J627" s="1" t="s">
        <v>607</v>
      </c>
      <c r="M627" s="15" t="s">
        <v>520</v>
      </c>
      <c r="N627" s="1" t="s">
        <v>3333</v>
      </c>
      <c r="O627" s="15">
        <v>1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S627" s="1"/>
      <c r="T627" s="1"/>
      <c r="U627" s="32" t="s">
        <v>3434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W627" s="15" t="str">
        <f>_xlfn.TEXTBEFORE(_xlfn.TEXTAFTER(CantoralDB[[#This Row],[index.html]],"&gt;"),"&gt;")&amp;"&gt;"</f>
        <v>&lt;a href="canciones/ixcis/confio.html"&gt;</v>
      </c>
      <c r="X627"/>
      <c r="AA627" s="1"/>
      <c r="AB627" s="1"/>
    </row>
    <row r="628" spans="1:28" x14ac:dyDescent="0.3">
      <c r="A628" s="1">
        <f>ROW(CantoralDB[[#This Row],[Título]])-1</f>
        <v>627</v>
      </c>
      <c r="B628" s="1" t="s">
        <v>2237</v>
      </c>
      <c r="C628" s="1"/>
      <c r="H628" s="1" t="s">
        <v>1029</v>
      </c>
      <c r="J628" s="1" t="s">
        <v>607</v>
      </c>
      <c r="M628" s="15" t="s">
        <v>520</v>
      </c>
      <c r="N628" s="1" t="s">
        <v>3333</v>
      </c>
      <c r="O628" s="15">
        <v>2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S628" s="1"/>
      <c r="T628" s="1"/>
      <c r="U628" s="32" t="s">
        <v>3435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W628" s="15" t="str">
        <f>_xlfn.TEXTBEFORE(_xlfn.TEXTAFTER(CantoralDB[[#This Row],[index.html]],"&gt;"),"&gt;")&amp;"&gt;"</f>
        <v>&lt;a href="canciones/ixcis/nada_es_imposible.html"&gt;</v>
      </c>
      <c r="X628"/>
      <c r="AA628" s="1"/>
      <c r="AB628" s="1"/>
    </row>
    <row r="629" spans="1:28" x14ac:dyDescent="0.3">
      <c r="A629" s="1">
        <f>ROW(CantoralDB[[#This Row],[Título]])-1</f>
        <v>628</v>
      </c>
      <c r="B629" s="1" t="s">
        <v>3421</v>
      </c>
      <c r="C629" s="1"/>
      <c r="H629" s="1" t="s">
        <v>1026</v>
      </c>
      <c r="J629" s="1" t="s">
        <v>607</v>
      </c>
      <c r="M629" s="15" t="s">
        <v>520</v>
      </c>
      <c r="N629" s="1" t="s">
        <v>3333</v>
      </c>
      <c r="O629" s="15">
        <v>3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S629" s="1"/>
      <c r="T629" s="1"/>
      <c r="U629" s="32" t="s">
        <v>3436</v>
      </c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W629" s="15" t="str">
        <f>_xlfn.TEXTBEFORE(_xlfn.TEXTAFTER(CantoralDB[[#This Row],[index.html]],"&gt;"),"&gt;")&amp;"&gt;"</f>
        <v>&lt;a href="canciones/ixcis/tu_saber_me_sobrepasa.html"&gt;</v>
      </c>
      <c r="X629"/>
      <c r="AA629" s="1"/>
      <c r="AB629" s="1"/>
    </row>
    <row r="630" spans="1:28" x14ac:dyDescent="0.3">
      <c r="A630" s="1">
        <f>ROW(CantoralDB[[#This Row],[Título]])-1</f>
        <v>629</v>
      </c>
      <c r="B630" s="1" t="s">
        <v>563</v>
      </c>
      <c r="C630" s="1" t="s">
        <v>194</v>
      </c>
      <c r="D630" s="1" t="s">
        <v>768</v>
      </c>
      <c r="G630" s="1" t="s">
        <v>552</v>
      </c>
      <c r="H630" s="1" t="s">
        <v>530</v>
      </c>
      <c r="J630" s="1" t="s">
        <v>607</v>
      </c>
      <c r="M630" s="15" t="s">
        <v>520</v>
      </c>
      <c r="N630" s="1" t="s">
        <v>3333</v>
      </c>
      <c r="O630" s="15">
        <v>4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S630" s="1" t="s">
        <v>858</v>
      </c>
      <c r="T630" s="1"/>
      <c r="U630" s="32" t="s">
        <v>3099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W630" s="15" t="str">
        <f>_xlfn.TEXTBEFORE(_xlfn.TEXTAFTER(CantoralDB[[#This Row],[index.html]],"&gt;"),"&gt;")&amp;"&gt;"</f>
        <v>&lt;a href="canciones/ixcis/sigue_habiendo.html"&gt;</v>
      </c>
      <c r="X630"/>
      <c r="AA630" s="1"/>
      <c r="AB630" s="1"/>
    </row>
    <row r="631" spans="1:28" x14ac:dyDescent="0.3">
      <c r="A631" s="1">
        <f>ROW(CantoralDB[[#This Row],[Título]])-1</f>
        <v>630</v>
      </c>
      <c r="B631" s="1" t="s">
        <v>3422</v>
      </c>
      <c r="C631" s="1"/>
      <c r="H631" s="1" t="s">
        <v>1026</v>
      </c>
      <c r="J631" s="1" t="s">
        <v>607</v>
      </c>
      <c r="M631" s="15" t="s">
        <v>520</v>
      </c>
      <c r="N631" s="1" t="s">
        <v>3333</v>
      </c>
      <c r="O631" s="15">
        <v>5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S631" s="1"/>
      <c r="T631" s="1"/>
      <c r="U631" s="32" t="s">
        <v>3437</v>
      </c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W631" s="15" t="str">
        <f>_xlfn.TEXTBEFORE(_xlfn.TEXTAFTER(CantoralDB[[#This Row],[index.html]],"&gt;"),"&gt;")&amp;"&gt;"</f>
        <v>&lt;a href="canciones/ixcis/nada_vale_la_pena.html"&gt;</v>
      </c>
      <c r="X631"/>
      <c r="AA631" s="1"/>
      <c r="AB631" s="1"/>
    </row>
    <row r="632" spans="1:28" x14ac:dyDescent="0.3">
      <c r="A632" s="1">
        <f>ROW(CantoralDB[[#This Row],[Título]])-1</f>
        <v>631</v>
      </c>
      <c r="B632" s="1" t="s">
        <v>1706</v>
      </c>
      <c r="C632" s="1"/>
      <c r="H632" s="1" t="s">
        <v>1026</v>
      </c>
      <c r="J632" s="1" t="s">
        <v>607</v>
      </c>
      <c r="M632" s="15" t="s">
        <v>520</v>
      </c>
      <c r="N632" s="1" t="s">
        <v>3333</v>
      </c>
      <c r="O632" s="15">
        <v>6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S632" s="1"/>
      <c r="T632" s="1"/>
      <c r="U632" s="32" t="s">
        <v>3438</v>
      </c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W632" s="15" t="str">
        <f>_xlfn.TEXTBEFORE(_xlfn.TEXTAFTER(CantoralDB[[#This Row],[index.html]],"&gt;"),"&gt;")&amp;"&gt;"</f>
        <v>&lt;a href="canciones/ixcis/un_solo_corazon.html"&gt;</v>
      </c>
      <c r="X632"/>
      <c r="AA632" s="1"/>
      <c r="AB632" s="1"/>
    </row>
    <row r="633" spans="1:28" x14ac:dyDescent="0.3">
      <c r="A633" s="1">
        <f>ROW(CantoralDB[[#This Row],[Título]])-1</f>
        <v>632</v>
      </c>
      <c r="B633" s="1" t="s">
        <v>3423</v>
      </c>
      <c r="C633" s="1"/>
      <c r="H633" s="1" t="s">
        <v>530</v>
      </c>
      <c r="J633" s="1" t="s">
        <v>607</v>
      </c>
      <c r="M633" s="15" t="s">
        <v>520</v>
      </c>
      <c r="N633" s="1" t="s">
        <v>3333</v>
      </c>
      <c r="O633" s="15">
        <v>7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S633" s="1"/>
      <c r="T633" s="1"/>
      <c r="U633" s="32" t="s">
        <v>3439</v>
      </c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W633" s="15" t="str">
        <f>_xlfn.TEXTBEFORE(_xlfn.TEXTAFTER(CantoralDB[[#This Row],[index.html]],"&gt;"),"&gt;")&amp;"&gt;"</f>
        <v>&lt;a href="canciones/ixcis/aqui_estoy.html"&gt;</v>
      </c>
      <c r="X633"/>
      <c r="AA633" s="1"/>
      <c r="AB633" s="1"/>
    </row>
    <row r="634" spans="1:28" x14ac:dyDescent="0.3">
      <c r="A634" s="1">
        <f>ROW(CantoralDB[[#This Row],[Título]])-1</f>
        <v>633</v>
      </c>
      <c r="B634" s="1" t="s">
        <v>3424</v>
      </c>
      <c r="C634" s="1"/>
      <c r="H634" s="1" t="s">
        <v>472</v>
      </c>
      <c r="J634" s="1" t="s">
        <v>607</v>
      </c>
      <c r="M634" s="15" t="s">
        <v>520</v>
      </c>
      <c r="N634" s="1" t="s">
        <v>3333</v>
      </c>
      <c r="O634" s="15">
        <v>9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S634" s="1"/>
      <c r="T634" s="1"/>
      <c r="U634" s="32" t="s">
        <v>3440</v>
      </c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W634" s="15" t="str">
        <f>_xlfn.TEXTBEFORE(_xlfn.TEXTAFTER(CantoralDB[[#This Row],[index.html]],"&gt;"),"&gt;")&amp;"&gt;"</f>
        <v>&lt;a href="canciones/ixcis/en_los_pobres_yo_te_vi.html"&gt;</v>
      </c>
      <c r="X634"/>
      <c r="AA634" s="1"/>
      <c r="AB634" s="1"/>
    </row>
    <row r="635" spans="1:28" x14ac:dyDescent="0.3">
      <c r="A635" s="1">
        <f>ROW(CantoralDB[[#This Row],[Título]])-1</f>
        <v>634</v>
      </c>
      <c r="B635" s="1" t="s">
        <v>3425</v>
      </c>
      <c r="C635" s="1"/>
      <c r="H635" s="1" t="s">
        <v>1027</v>
      </c>
      <c r="J635" s="1" t="s">
        <v>607</v>
      </c>
      <c r="M635" s="15" t="s">
        <v>520</v>
      </c>
      <c r="N635" s="1" t="s">
        <v>3333</v>
      </c>
      <c r="O635" s="15">
        <v>10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S635" s="1"/>
      <c r="T635" s="1"/>
      <c r="U635" s="32" t="s">
        <v>3441</v>
      </c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W635" s="15" t="str">
        <f>_xlfn.TEXTBEFORE(_xlfn.TEXTAFTER(CantoralDB[[#This Row],[index.html]],"&gt;"),"&gt;")&amp;"&gt;"</f>
        <v>&lt;a href="canciones/ixcis/me_sedujiste.html"&gt;</v>
      </c>
      <c r="X635"/>
      <c r="AA635" s="1"/>
      <c r="AB635" s="1"/>
    </row>
    <row r="636" spans="1:28" x14ac:dyDescent="0.3">
      <c r="A636" s="1">
        <f>ROW(CantoralDB[[#This Row],[Título]])-1</f>
        <v>635</v>
      </c>
      <c r="B636" s="1" t="s">
        <v>3426</v>
      </c>
      <c r="C636" s="1"/>
      <c r="H636" s="1" t="s">
        <v>1029</v>
      </c>
      <c r="J636" s="1" t="s">
        <v>607</v>
      </c>
      <c r="M636" s="15" t="s">
        <v>520</v>
      </c>
      <c r="N636" s="1" t="s">
        <v>3333</v>
      </c>
      <c r="O636" s="15">
        <v>11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S636" s="1"/>
      <c r="T636" s="1"/>
      <c r="U636" s="32" t="s">
        <v>3442</v>
      </c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W636" s="15" t="str">
        <f>_xlfn.TEXTBEFORE(_xlfn.TEXTAFTER(CantoralDB[[#This Row],[index.html]],"&gt;"),"&gt;")&amp;"&gt;"</f>
        <v>&lt;a href="canciones/ixcis/podare.html"&gt;</v>
      </c>
      <c r="X636"/>
      <c r="AA636" s="1"/>
      <c r="AB636" s="1"/>
    </row>
    <row r="637" spans="1:28" x14ac:dyDescent="0.3">
      <c r="A637" s="1">
        <f>ROW(CantoralDB[[#This Row],[Título]])-1</f>
        <v>636</v>
      </c>
      <c r="B637" s="1" t="s">
        <v>940</v>
      </c>
      <c r="C637" s="1"/>
      <c r="H637" s="1" t="s">
        <v>1029</v>
      </c>
      <c r="J637" s="1" t="s">
        <v>607</v>
      </c>
      <c r="M637" s="15" t="s">
        <v>520</v>
      </c>
      <c r="N637" s="1" t="s">
        <v>3333</v>
      </c>
      <c r="O637" s="15">
        <v>12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S637" s="1"/>
      <c r="T637" s="1"/>
      <c r="U637" s="32" t="s">
        <v>3443</v>
      </c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W637" s="15" t="str">
        <f>_xlfn.TEXTBEFORE(_xlfn.TEXTAFTER(CantoralDB[[#This Row],[index.html]],"&gt;"),"&gt;")&amp;"&gt;"</f>
        <v>&lt;a href="canciones/ixcis/ven_espiritu_de_dios.html"&gt;</v>
      </c>
      <c r="X637"/>
      <c r="AA637" s="1"/>
      <c r="AB637" s="1"/>
    </row>
    <row r="638" spans="1:28" x14ac:dyDescent="0.3">
      <c r="A638" s="1">
        <f>ROW(CantoralDB[[#This Row],[Título]])-1</f>
        <v>637</v>
      </c>
      <c r="B638" s="1" t="s">
        <v>3427</v>
      </c>
      <c r="C638" s="1" t="s">
        <v>200</v>
      </c>
      <c r="D638" s="1" t="s">
        <v>661</v>
      </c>
      <c r="G638" s="1" t="s">
        <v>208</v>
      </c>
      <c r="H638" s="1" t="s">
        <v>1029</v>
      </c>
      <c r="J638" s="1" t="s">
        <v>607</v>
      </c>
      <c r="M638" s="15" t="s">
        <v>520</v>
      </c>
      <c r="N638" s="1" t="s">
        <v>3333</v>
      </c>
      <c r="O638" s="15">
        <v>13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S638" s="1"/>
      <c r="T638" s="1"/>
      <c r="U638" s="32" t="s">
        <v>3100</v>
      </c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W638" s="15" t="str">
        <f>_xlfn.TEXTBEFORE(_xlfn.TEXTAFTER(CantoralDB[[#This Row],[index.html]],"&gt;"),"&gt;")&amp;"&gt;"</f>
        <v>&lt;a href="canciones/ixcis/mueveme_mi_dios.html"&gt;</v>
      </c>
      <c r="X638"/>
      <c r="AA638" s="1"/>
      <c r="AB638" s="1"/>
    </row>
    <row r="639" spans="1:28" x14ac:dyDescent="0.3">
      <c r="A639" s="1">
        <f>ROW(CantoralDB[[#This Row],[Título]])-1</f>
        <v>638</v>
      </c>
      <c r="B639" s="1" t="s">
        <v>3428</v>
      </c>
      <c r="C639" s="1"/>
      <c r="H639" s="1" t="s">
        <v>472</v>
      </c>
      <c r="J639" s="1" t="s">
        <v>607</v>
      </c>
      <c r="M639" s="15" t="s">
        <v>520</v>
      </c>
      <c r="N639" s="1" t="s">
        <v>3333</v>
      </c>
      <c r="O639" s="15">
        <v>15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S639" s="1"/>
      <c r="T639" s="1"/>
      <c r="U639" s="32" t="s">
        <v>3444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W639" s="15" t="str">
        <f>_xlfn.TEXTBEFORE(_xlfn.TEXTAFTER(CantoralDB[[#This Row],[index.html]],"&gt;"),"&gt;")&amp;"&gt;"</f>
        <v>&lt;a href="canciones/ixcis/a_pesar_de_todo.html"&gt;</v>
      </c>
      <c r="X639"/>
      <c r="AA639" s="1"/>
      <c r="AB639" s="1"/>
    </row>
    <row r="640" spans="1:28" x14ac:dyDescent="0.3">
      <c r="A640" s="1">
        <f>ROW(CantoralDB[[#This Row],[Título]])-1</f>
        <v>639</v>
      </c>
      <c r="B640" s="1" t="s">
        <v>3429</v>
      </c>
      <c r="C640" s="1"/>
      <c r="H640" s="1" t="s">
        <v>530</v>
      </c>
      <c r="J640" s="1" t="s">
        <v>607</v>
      </c>
      <c r="M640" s="15" t="s">
        <v>520</v>
      </c>
      <c r="N640" s="1" t="s">
        <v>3333</v>
      </c>
      <c r="O640" s="15">
        <v>16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S640" s="1"/>
      <c r="T640" s="1"/>
      <c r="U640" s="32" t="s">
        <v>3445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W640" s="15" t="str">
        <f>_xlfn.TEXTBEFORE(_xlfn.TEXTAFTER(CantoralDB[[#This Row],[index.html]],"&gt;"),"&gt;")&amp;"&gt;"</f>
        <v>&lt;a href="canciones/ixcis/me_fui.html"&gt;</v>
      </c>
      <c r="X640"/>
      <c r="AA640" s="1"/>
      <c r="AB640" s="1"/>
    </row>
    <row r="641" spans="1:28" x14ac:dyDescent="0.3">
      <c r="A641" s="1">
        <f>ROW(CantoralDB[[#This Row],[Título]])-1</f>
        <v>640</v>
      </c>
      <c r="B641" s="1" t="s">
        <v>3430</v>
      </c>
      <c r="C641" s="1"/>
      <c r="H641" s="1" t="s">
        <v>530</v>
      </c>
      <c r="J641" s="1" t="s">
        <v>607</v>
      </c>
      <c r="M641" s="15" t="s">
        <v>520</v>
      </c>
      <c r="N641" s="1" t="s">
        <v>3333</v>
      </c>
      <c r="O641" s="15">
        <v>17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S641" s="1"/>
      <c r="T641" s="1"/>
      <c r="U641" s="32" t="s">
        <v>3446</v>
      </c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W641" s="15" t="str">
        <f>_xlfn.TEXTBEFORE(_xlfn.TEXTAFTER(CantoralDB[[#This Row],[index.html]],"&gt;"),"&gt;")&amp;"&gt;"</f>
        <v>&lt;a href="canciones/ixcis/cambios.html"&gt;</v>
      </c>
      <c r="X641"/>
      <c r="AA641" s="1"/>
      <c r="AB641" s="1"/>
    </row>
    <row r="642" spans="1:28" x14ac:dyDescent="0.3">
      <c r="A642" s="1">
        <f>ROW(CantoralDB[[#This Row],[Título]])-1</f>
        <v>641</v>
      </c>
      <c r="B642" s="1" t="s">
        <v>3431</v>
      </c>
      <c r="C642" s="1"/>
      <c r="H642" s="1" t="s">
        <v>472</v>
      </c>
      <c r="J642" s="1" t="s">
        <v>607</v>
      </c>
      <c r="M642" s="15" t="s">
        <v>520</v>
      </c>
      <c r="N642" s="1" t="s">
        <v>3333</v>
      </c>
      <c r="O642" s="15">
        <v>19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S642" s="1"/>
      <c r="T642" s="1"/>
      <c r="U642" s="32" t="s">
        <v>3447</v>
      </c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W642" s="15" t="str">
        <f>_xlfn.TEXTBEFORE(_xlfn.TEXTAFTER(CantoralDB[[#This Row],[index.html]],"&gt;"),"&gt;")&amp;"&gt;"</f>
        <v>&lt;a href="canciones/ixcis/toma_mi_libertad.html"&gt;</v>
      </c>
      <c r="X642"/>
      <c r="AA642" s="1"/>
      <c r="AB642" s="1"/>
    </row>
    <row r="643" spans="1:28" x14ac:dyDescent="0.3">
      <c r="A643" s="1">
        <f>ROW(CantoralDB[[#This Row],[Título]])-1</f>
        <v>642</v>
      </c>
      <c r="B643" s="1" t="s">
        <v>1873</v>
      </c>
      <c r="C643" s="1"/>
      <c r="H643" s="1" t="s">
        <v>472</v>
      </c>
      <c r="J643" s="1" t="s">
        <v>607</v>
      </c>
      <c r="M643" s="15" t="s">
        <v>520</v>
      </c>
      <c r="N643" s="1" t="s">
        <v>3333</v>
      </c>
      <c r="O643" s="15">
        <v>20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S643" s="1"/>
      <c r="T643" s="1"/>
      <c r="U643" s="32" t="s">
        <v>3448</v>
      </c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W643" s="15" t="str">
        <f>_xlfn.TEXTBEFORE(_xlfn.TEXTAFTER(CantoralDB[[#This Row],[index.html]],"&gt;"),"&gt;")&amp;"&gt;"</f>
        <v>&lt;a href="canciones/ixcis/gracias.html"&gt;</v>
      </c>
      <c r="X643"/>
      <c r="AA643" s="1"/>
      <c r="AB643" s="1"/>
    </row>
    <row r="644" spans="1:28" x14ac:dyDescent="0.3">
      <c r="A644" s="1">
        <f>ROW(CantoralDB[[#This Row],[Título]])-1</f>
        <v>643</v>
      </c>
      <c r="B644" s="1" t="s">
        <v>3432</v>
      </c>
      <c r="C644" s="1"/>
      <c r="H644" s="1" t="s">
        <v>1027</v>
      </c>
      <c r="J644" s="1" t="s">
        <v>607</v>
      </c>
      <c r="M644" s="15" t="s">
        <v>520</v>
      </c>
      <c r="N644" s="1" t="s">
        <v>3333</v>
      </c>
      <c r="O644" s="15">
        <v>21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S644" s="1"/>
      <c r="T644" s="1"/>
      <c r="U644" s="32" t="s">
        <v>3449</v>
      </c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W644" s="15" t="str">
        <f>_xlfn.TEXTBEFORE(_xlfn.TEXTAFTER(CantoralDB[[#This Row],[index.html]],"&gt;"),"&gt;")&amp;"&gt;"</f>
        <v>&lt;a href="canciones/ixcis/que_buscais.html"&gt;</v>
      </c>
      <c r="X644"/>
      <c r="AA644" s="1"/>
      <c r="AB644" s="1"/>
    </row>
    <row r="645" spans="1:28" x14ac:dyDescent="0.3">
      <c r="A645" s="1">
        <f>ROW(CantoralDB[[#This Row],[Título]])-1</f>
        <v>644</v>
      </c>
      <c r="B645" s="1" t="s">
        <v>3433</v>
      </c>
      <c r="C645" s="1"/>
      <c r="H645" s="1" t="s">
        <v>530</v>
      </c>
      <c r="J645" s="1" t="s">
        <v>607</v>
      </c>
      <c r="M645" s="15" t="s">
        <v>520</v>
      </c>
      <c r="N645" s="1" t="s">
        <v>3333</v>
      </c>
      <c r="O645" s="15">
        <v>22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S645" s="1"/>
      <c r="T645" s="1"/>
      <c r="U645" s="32" t="s">
        <v>3450</v>
      </c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W645" s="15" t="str">
        <f>_xlfn.TEXTBEFORE(_xlfn.TEXTAFTER(CantoralDB[[#This Row],[index.html]],"&gt;"),"&gt;")&amp;"&gt;"</f>
        <v>&lt;a href="canciones/ixcis/el_mayor.html"&gt;</v>
      </c>
      <c r="X645"/>
      <c r="AA645" s="1"/>
      <c r="AB645" s="1"/>
    </row>
    <row r="646" spans="1:28" x14ac:dyDescent="0.3">
      <c r="A646" s="1">
        <f>ROW(CantoralDB[[#This Row],[Título]])-1</f>
        <v>645</v>
      </c>
      <c r="B646" s="1" t="s">
        <v>72</v>
      </c>
      <c r="C646" s="1"/>
      <c r="H646" s="1" t="s">
        <v>1029</v>
      </c>
      <c r="J646" s="1" t="s">
        <v>607</v>
      </c>
      <c r="M646" s="15" t="s">
        <v>520</v>
      </c>
      <c r="N646" s="1" t="s">
        <v>3333</v>
      </c>
      <c r="O646" s="15">
        <v>23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S646" s="1"/>
      <c r="T646" s="1"/>
      <c r="U646" s="32" t="s">
        <v>3451</v>
      </c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W646" s="15" t="str">
        <f>_xlfn.TEXTBEFORE(_xlfn.TEXTAFTER(CantoralDB[[#This Row],[index.html]],"&gt;"),"&gt;")&amp;"&gt;"</f>
        <v>&lt;a href="canciones/ixcis/hagase.html"&gt;</v>
      </c>
      <c r="X646"/>
      <c r="AA646" s="1"/>
      <c r="AB646" s="1"/>
    </row>
    <row r="647" spans="1:28" x14ac:dyDescent="0.3">
      <c r="A647" s="1">
        <f>ROW(CantoralDB[[#This Row],[Título]])-1</f>
        <v>646</v>
      </c>
      <c r="B647" s="1" t="s">
        <v>3283</v>
      </c>
      <c r="C647" s="1"/>
      <c r="H647" s="1" t="s">
        <v>1029</v>
      </c>
      <c r="I647" s="1" t="s">
        <v>2953</v>
      </c>
      <c r="J647" s="1" t="s">
        <v>607</v>
      </c>
      <c r="M647" s="15" t="s">
        <v>520</v>
      </c>
      <c r="N647" s="1" t="s">
        <v>3282</v>
      </c>
      <c r="O647" s="15">
        <v>2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S647" s="1"/>
      <c r="T647" s="1"/>
      <c r="U647" s="32" t="s">
        <v>3376</v>
      </c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W647" s="15" t="str">
        <f>_xlfn.TEXTBEFORE(_xlfn.TEXTAFTER(CantoralDB[[#This Row],[index.html]],"&gt;"),"&gt;")&amp;"&gt;"</f>
        <v>&lt;a href="canciones/ixcis/abre_una_grieta.html"&gt;</v>
      </c>
      <c r="X647"/>
      <c r="AA647" s="1"/>
      <c r="AB647" s="1"/>
    </row>
    <row r="648" spans="1:28" x14ac:dyDescent="0.3">
      <c r="A648" s="1">
        <f>ROW(CantoralDB[[#This Row],[Título]])-1</f>
        <v>647</v>
      </c>
      <c r="B648" s="1" t="s">
        <v>3282</v>
      </c>
      <c r="C648" s="1"/>
      <c r="H648" s="1" t="s">
        <v>1029</v>
      </c>
      <c r="I648" s="1" t="s">
        <v>2954</v>
      </c>
      <c r="J648" s="1" t="s">
        <v>607</v>
      </c>
      <c r="M648" s="15" t="s">
        <v>520</v>
      </c>
      <c r="N648" s="1" t="s">
        <v>3282</v>
      </c>
      <c r="O648" s="15">
        <v>3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S648" s="1"/>
      <c r="T648" s="1"/>
      <c r="U648" s="32" t="s">
        <v>3369</v>
      </c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W648" s="15" t="str">
        <f>_xlfn.TEXTBEFORE(_xlfn.TEXTAFTER(CantoralDB[[#This Row],[index.html]],"&gt;"),"&gt;")&amp;"&gt;"</f>
        <v>&lt;a href="canciones/ixcis/en_espiritu_y_en_verdad.html"&gt;</v>
      </c>
      <c r="X648"/>
      <c r="AA648" s="1"/>
      <c r="AB648" s="1"/>
    </row>
    <row r="649" spans="1:28" x14ac:dyDescent="0.3">
      <c r="A649" s="1">
        <f>ROW(CantoralDB[[#This Row],[Título]])-1</f>
        <v>648</v>
      </c>
      <c r="B649" s="1" t="s">
        <v>3292</v>
      </c>
      <c r="C649" s="1"/>
      <c r="H649" s="1" t="s">
        <v>1029</v>
      </c>
      <c r="I649" s="1" t="s">
        <v>2950</v>
      </c>
      <c r="J649" s="1" t="s">
        <v>607</v>
      </c>
      <c r="M649" s="15" t="s">
        <v>520</v>
      </c>
      <c r="N649" s="1" t="s">
        <v>3282</v>
      </c>
      <c r="O649" s="15">
        <v>4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S649" s="1"/>
      <c r="T649" s="1"/>
      <c r="U649" s="32" t="s">
        <v>3370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W649" s="15" t="str">
        <f>_xlfn.TEXTBEFORE(_xlfn.TEXTAFTER(CantoralDB[[#This Row],[index.html]],"&gt;"),"&gt;")&amp;"&gt;"</f>
        <v>&lt;a href="canciones/ixcis/solo_tu_espiritu.html"&gt;</v>
      </c>
      <c r="X649"/>
      <c r="AA649" s="1"/>
      <c r="AB649" s="1"/>
    </row>
    <row r="650" spans="1:28" x14ac:dyDescent="0.3">
      <c r="A650" s="1">
        <f>ROW(CantoralDB[[#This Row],[Título]])-1</f>
        <v>649</v>
      </c>
      <c r="B650" s="1" t="s">
        <v>3293</v>
      </c>
      <c r="C650" s="1"/>
      <c r="H650" s="1" t="s">
        <v>530</v>
      </c>
      <c r="I650" s="1" t="s">
        <v>2953</v>
      </c>
      <c r="J650" s="1" t="s">
        <v>607</v>
      </c>
      <c r="M650" s="15" t="s">
        <v>520</v>
      </c>
      <c r="N650" s="1" t="s">
        <v>3282</v>
      </c>
      <c r="O650" s="15">
        <v>5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S650" s="1"/>
      <c r="T650" s="1"/>
      <c r="U650" s="32" t="s">
        <v>3371</v>
      </c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W650" s="15" t="str">
        <f>_xlfn.TEXTBEFORE(_xlfn.TEXTAFTER(CantoralDB[[#This Row],[index.html]],"&gt;"),"&gt;")&amp;"&gt;"</f>
        <v>&lt;a href="canciones/ixcis/sueño_una_iglesia.html"&gt;</v>
      </c>
      <c r="X650"/>
      <c r="AA650" s="1"/>
      <c r="AB650" s="1"/>
    </row>
    <row r="651" spans="1:28" x14ac:dyDescent="0.3">
      <c r="A651" s="1">
        <f>ROW(CantoralDB[[#This Row],[Título]])-1</f>
        <v>650</v>
      </c>
      <c r="B651" s="1" t="s">
        <v>3295</v>
      </c>
      <c r="C651" s="1"/>
      <c r="H651" s="1" t="s">
        <v>530</v>
      </c>
      <c r="I651" s="1" t="s">
        <v>2951</v>
      </c>
      <c r="J651" s="1" t="s">
        <v>607</v>
      </c>
      <c r="M651" s="15" t="s">
        <v>520</v>
      </c>
      <c r="N651" s="1" t="s">
        <v>3282</v>
      </c>
      <c r="O651" s="15">
        <v>6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S651" s="1"/>
      <c r="T651" s="1"/>
      <c r="U651" s="32" t="s">
        <v>3667</v>
      </c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W651" s="15" t="str">
        <f>_xlfn.TEXTBEFORE(_xlfn.TEXTAFTER(CantoralDB[[#This Row],[index.html]],"&gt;"),"&gt;")&amp;"&gt;"</f>
        <v>&lt;a href="canciones/ixcis/somos_pueblo_de_dios.html"&gt;</v>
      </c>
      <c r="X651"/>
      <c r="AA651" s="1"/>
      <c r="AB651" s="1"/>
    </row>
    <row r="652" spans="1:28" x14ac:dyDescent="0.3">
      <c r="A652" s="1">
        <f>ROW(CantoralDB[[#This Row],[Título]])-1</f>
        <v>651</v>
      </c>
      <c r="B652" s="1" t="s">
        <v>3296</v>
      </c>
      <c r="C652" s="1"/>
      <c r="H652" s="1" t="s">
        <v>1026</v>
      </c>
      <c r="J652" s="1" t="s">
        <v>607</v>
      </c>
      <c r="M652" s="15" t="s">
        <v>520</v>
      </c>
      <c r="N652" s="1" t="s">
        <v>3282</v>
      </c>
      <c r="O652" s="15">
        <v>7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S652" s="1"/>
      <c r="T652" s="1"/>
      <c r="U652" s="32" t="s">
        <v>3372</v>
      </c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W652" s="15" t="str">
        <f>_xlfn.TEXTBEFORE(_xlfn.TEXTAFTER(CantoralDB[[#This Row],[index.html]],"&gt;"),"&gt;")&amp;"&gt;"</f>
        <v>&lt;a href="canciones/ixcis/la_historia_se_repite.html"&gt;</v>
      </c>
      <c r="X652"/>
      <c r="AA652" s="1"/>
      <c r="AB652" s="1"/>
    </row>
    <row r="653" spans="1:28" x14ac:dyDescent="0.3">
      <c r="A653" s="1">
        <f>ROW(CantoralDB[[#This Row],[Título]])-1</f>
        <v>652</v>
      </c>
      <c r="B653" s="1" t="s">
        <v>3297</v>
      </c>
      <c r="C653" s="1"/>
      <c r="H653" s="1" t="s">
        <v>530</v>
      </c>
      <c r="I653" s="1" t="s">
        <v>2952</v>
      </c>
      <c r="J653" s="1" t="s">
        <v>607</v>
      </c>
      <c r="M653" s="15" t="s">
        <v>520</v>
      </c>
      <c r="N653" s="1" t="s">
        <v>3282</v>
      </c>
      <c r="O653" s="15">
        <v>8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S653" s="1"/>
      <c r="T653" s="1"/>
      <c r="U653" s="32" t="s">
        <v>3373</v>
      </c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W653" s="15" t="str">
        <f>_xlfn.TEXTBEFORE(_xlfn.TEXTAFTER(CantoralDB[[#This Row],[index.html]],"&gt;"),"&gt;")&amp;"&gt;"</f>
        <v>&lt;a href="canciones/ixcis/llega_el_dia.html"&gt;</v>
      </c>
      <c r="X653"/>
      <c r="AA653" s="1"/>
      <c r="AB653" s="1"/>
    </row>
    <row r="654" spans="1:28" x14ac:dyDescent="0.3">
      <c r="A654" s="1">
        <f>ROW(CantoralDB[[#This Row],[Título]])-1</f>
        <v>653</v>
      </c>
      <c r="B654" s="1" t="s">
        <v>3294</v>
      </c>
      <c r="C654" s="1"/>
      <c r="H654" s="1" t="s">
        <v>530</v>
      </c>
      <c r="I654" s="1" t="s">
        <v>2954</v>
      </c>
      <c r="J654" s="1" t="s">
        <v>607</v>
      </c>
      <c r="M654" s="15" t="s">
        <v>520</v>
      </c>
      <c r="N654" s="1" t="s">
        <v>3282</v>
      </c>
      <c r="O654" s="15">
        <v>9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S654" s="1"/>
      <c r="T654" s="1"/>
      <c r="U654" s="32" t="s">
        <v>3668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W654" s="15" t="str">
        <f>_xlfn.TEXTBEFORE(_xlfn.TEXTAFTER(CantoralDB[[#This Row],[index.html]],"&gt;"),"&gt;")&amp;"&gt;"</f>
        <v>&lt;a href="canciones/ixcis/coge_tu_cruz.html"&gt;</v>
      </c>
      <c r="X654"/>
      <c r="AA654" s="1"/>
      <c r="AB654" s="1"/>
    </row>
    <row r="655" spans="1:28" x14ac:dyDescent="0.3">
      <c r="A655" s="1">
        <f>ROW(CantoralDB[[#This Row],[Título]])-1</f>
        <v>654</v>
      </c>
      <c r="B655" s="1" t="s">
        <v>3288</v>
      </c>
      <c r="C655" s="1"/>
      <c r="H655" s="1" t="s">
        <v>1028</v>
      </c>
      <c r="J655" s="1" t="s">
        <v>607</v>
      </c>
      <c r="M655" s="15" t="s">
        <v>520</v>
      </c>
      <c r="N655" s="1" t="s">
        <v>3282</v>
      </c>
      <c r="O655" s="15">
        <v>10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S655" s="1"/>
      <c r="T655" s="1"/>
      <c r="U655" s="32" t="s">
        <v>3374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W655" s="15" t="str">
        <f>_xlfn.TEXTBEFORE(_xlfn.TEXTAFTER(CantoralDB[[#This Row],[index.html]],"&gt;"),"&gt;")&amp;"&gt;"</f>
        <v>&lt;a href="canciones/ixcis/bienaventurados.html"&gt;</v>
      </c>
      <c r="X655"/>
      <c r="AA655" s="1"/>
      <c r="AB655" s="1"/>
    </row>
    <row r="656" spans="1:28" x14ac:dyDescent="0.3">
      <c r="A656" s="1">
        <f>ROW(CantoralDB[[#This Row],[Título]])-1</f>
        <v>655</v>
      </c>
      <c r="B656" s="1" t="s">
        <v>3289</v>
      </c>
      <c r="C656" s="1"/>
      <c r="H656" s="1" t="s">
        <v>472</v>
      </c>
      <c r="J656" s="1" t="s">
        <v>607</v>
      </c>
      <c r="M656" s="15" t="s">
        <v>520</v>
      </c>
      <c r="N656" s="1" t="s">
        <v>3282</v>
      </c>
      <c r="O656" s="15">
        <v>11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S656" s="1"/>
      <c r="T656" s="1"/>
      <c r="U656" s="32" t="s">
        <v>3375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W656" s="15" t="str">
        <f>_xlfn.TEXTBEFORE(_xlfn.TEXTAFTER(CantoralDB[[#This Row],[index.html]],"&gt;"),"&gt;")&amp;"&gt;"</f>
        <v>&lt;a href="canciones/ixcis/los_pobres.html"&gt;</v>
      </c>
      <c r="X656"/>
      <c r="AA656" s="1"/>
      <c r="AB656" s="1"/>
    </row>
    <row r="657" spans="1:28" x14ac:dyDescent="0.3">
      <c r="A657" s="1">
        <f>ROW(CantoralDB[[#This Row],[Título]])-1</f>
        <v>656</v>
      </c>
      <c r="B657" s="1" t="s">
        <v>3290</v>
      </c>
      <c r="C657" s="1"/>
      <c r="H657" s="1" t="s">
        <v>1026</v>
      </c>
      <c r="J657" s="1" t="s">
        <v>607</v>
      </c>
      <c r="M657" s="15" t="s">
        <v>520</v>
      </c>
      <c r="N657" s="1" t="s">
        <v>3282</v>
      </c>
      <c r="O657" s="15">
        <v>12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S657" s="1"/>
      <c r="T657" s="1"/>
      <c r="U657" s="32" t="s">
        <v>3377</v>
      </c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W657" s="15" t="str">
        <f>_xlfn.TEXTBEFORE(_xlfn.TEXTAFTER(CantoralDB[[#This Row],[index.html]],"&gt;"),"&gt;")&amp;"&gt;"</f>
        <v>&lt;a href="canciones/ixcis/los_mansos_y_humildes.html"&gt;</v>
      </c>
      <c r="X657"/>
      <c r="AA657" s="1"/>
      <c r="AB657" s="1"/>
    </row>
    <row r="658" spans="1:28" x14ac:dyDescent="0.3">
      <c r="A658" s="1">
        <f>ROW(CantoralDB[[#This Row],[Título]])-1</f>
        <v>657</v>
      </c>
      <c r="B658" s="1" t="s">
        <v>3291</v>
      </c>
      <c r="C658" s="1"/>
      <c r="H658" s="1" t="s">
        <v>530</v>
      </c>
      <c r="J658" s="1" t="s">
        <v>607</v>
      </c>
      <c r="M658" s="15" t="s">
        <v>520</v>
      </c>
      <c r="N658" s="1" t="s">
        <v>3282</v>
      </c>
      <c r="O658" s="15">
        <v>13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S658" s="1"/>
      <c r="T658" s="1"/>
      <c r="U658" s="32" t="s">
        <v>3378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W658" s="15" t="str">
        <f>_xlfn.TEXTBEFORE(_xlfn.TEXTAFTER(CantoralDB[[#This Row],[index.html]],"&gt;"),"&gt;")&amp;"&gt;"</f>
        <v>&lt;a href="canciones/ixcis/los_que_lloran.html"&gt;</v>
      </c>
      <c r="X658"/>
      <c r="AA658" s="1"/>
      <c r="AB658" s="1"/>
    </row>
    <row r="659" spans="1:28" x14ac:dyDescent="0.3">
      <c r="A659" s="1">
        <f>ROW(CantoralDB[[#This Row],[Título]])-1</f>
        <v>658</v>
      </c>
      <c r="B659" s="1" t="s">
        <v>3284</v>
      </c>
      <c r="C659" s="1"/>
      <c r="H659" s="1" t="s">
        <v>1028</v>
      </c>
      <c r="J659" s="1" t="s">
        <v>607</v>
      </c>
      <c r="M659" s="15" t="s">
        <v>520</v>
      </c>
      <c r="N659" s="1" t="s">
        <v>3282</v>
      </c>
      <c r="O659" s="15">
        <v>14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S659" s="1"/>
      <c r="T659" s="1"/>
      <c r="U659" s="32" t="s">
        <v>3379</v>
      </c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W659" s="15" t="str">
        <f>_xlfn.TEXTBEFORE(_xlfn.TEXTAFTER(CantoralDB[[#This Row],[index.html]],"&gt;"),"&gt;")&amp;"&gt;"</f>
        <v>&lt;a href="canciones/ixcis/los_que_tienen_hambre_y_sed_de_justicia.html"&gt;</v>
      </c>
      <c r="X659"/>
      <c r="AA659" s="1"/>
      <c r="AB659" s="1"/>
    </row>
    <row r="660" spans="1:28" x14ac:dyDescent="0.3">
      <c r="A660" s="1">
        <f>ROW(CantoralDB[[#This Row],[Título]])-1</f>
        <v>659</v>
      </c>
      <c r="B660" s="1" t="s">
        <v>3285</v>
      </c>
      <c r="C660" s="1"/>
      <c r="H660" s="1" t="s">
        <v>1028</v>
      </c>
      <c r="J660" s="1" t="s">
        <v>607</v>
      </c>
      <c r="M660" s="15" t="s">
        <v>520</v>
      </c>
      <c r="N660" s="1" t="s">
        <v>3282</v>
      </c>
      <c r="O660" s="15">
        <v>15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S660" s="1"/>
      <c r="T660" s="1"/>
      <c r="U660" s="32" t="s">
        <v>3380</v>
      </c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W660" s="15" t="str">
        <f>_xlfn.TEXTBEFORE(_xlfn.TEXTAFTER(CantoralDB[[#This Row],[index.html]],"&gt;"),"&gt;")&amp;"&gt;"</f>
        <v>&lt;a href="canciones/ixcis/los_limpios_de_corazon.html"&gt;</v>
      </c>
      <c r="X660"/>
      <c r="AA660" s="1"/>
      <c r="AB660" s="1"/>
    </row>
    <row r="661" spans="1:28" x14ac:dyDescent="0.3">
      <c r="A661" s="1">
        <f>ROW(CantoralDB[[#This Row],[Título]])-1</f>
        <v>660</v>
      </c>
      <c r="B661" s="1" t="s">
        <v>3286</v>
      </c>
      <c r="C661" s="1"/>
      <c r="H661" s="1" t="s">
        <v>1029</v>
      </c>
      <c r="J661" s="1" t="s">
        <v>607</v>
      </c>
      <c r="M661" s="15" t="s">
        <v>520</v>
      </c>
      <c r="N661" s="1" t="s">
        <v>3282</v>
      </c>
      <c r="O661" s="15">
        <v>16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S661" s="1"/>
      <c r="T661" s="1"/>
      <c r="U661" s="32" t="s">
        <v>3381</v>
      </c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W661" s="15" t="str">
        <f>_xlfn.TEXTBEFORE(_xlfn.TEXTAFTER(CantoralDB[[#This Row],[index.html]],"&gt;"),"&gt;")&amp;"&gt;"</f>
        <v>&lt;a href="canciones/ixcis/los_misericordiosos.html"&gt;</v>
      </c>
      <c r="X661"/>
      <c r="AA661" s="1"/>
      <c r="AB661" s="1"/>
    </row>
    <row r="662" spans="1:28" x14ac:dyDescent="0.3">
      <c r="A662" s="1">
        <f>ROW(CantoralDB[[#This Row],[Título]])-1</f>
        <v>661</v>
      </c>
      <c r="B662" s="1" t="s">
        <v>3287</v>
      </c>
      <c r="C662" s="1"/>
      <c r="H662" s="1" t="s">
        <v>1028</v>
      </c>
      <c r="J662" s="1" t="s">
        <v>607</v>
      </c>
      <c r="M662" s="15" t="s">
        <v>520</v>
      </c>
      <c r="N662" s="1" t="s">
        <v>3282</v>
      </c>
      <c r="O662" s="15">
        <v>17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S662" s="1"/>
      <c r="T662" s="1"/>
      <c r="U662" s="32" t="s">
        <v>3382</v>
      </c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W662" s="15" t="str">
        <f>_xlfn.TEXTBEFORE(_xlfn.TEXTAFTER(CantoralDB[[#This Row],[index.html]],"&gt;"),"&gt;")&amp;"&gt;"</f>
        <v>&lt;a href="canciones/ixcis/los_constructores_de_paz.html"&gt;</v>
      </c>
      <c r="X662"/>
      <c r="AA662" s="1"/>
      <c r="AB662" s="1"/>
    </row>
    <row r="663" spans="1:28" x14ac:dyDescent="0.3">
      <c r="A663" s="1">
        <f>ROW(CantoralDB[[#This Row],[Título]])-1</f>
        <v>662</v>
      </c>
      <c r="B663" s="1" t="s">
        <v>3281</v>
      </c>
      <c r="C663" s="1"/>
      <c r="H663" s="1" t="s">
        <v>1029</v>
      </c>
      <c r="J663" s="1" t="s">
        <v>607</v>
      </c>
      <c r="M663" s="15" t="s">
        <v>520</v>
      </c>
      <c r="N663" s="1" t="s">
        <v>3282</v>
      </c>
      <c r="O663" s="15">
        <v>18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S663" s="1"/>
      <c r="T663" s="1"/>
      <c r="U663" s="32" t="s">
        <v>3383</v>
      </c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W663" s="15" t="str">
        <f>_xlfn.TEXTBEFORE(_xlfn.TEXTAFTER(CantoralDB[[#This Row],[index.html]],"&gt;"),"&gt;")&amp;"&gt;"</f>
        <v>&lt;a href="canciones/ixcis/los_perseguidos.html"&gt;</v>
      </c>
      <c r="X663"/>
      <c r="AA663" s="1"/>
      <c r="AB663" s="1"/>
    </row>
    <row r="664" spans="1:28" x14ac:dyDescent="0.3">
      <c r="A664" s="1">
        <f>ROW(CantoralDB[[#This Row],[Título]])-1</f>
        <v>663</v>
      </c>
      <c r="B664" s="1" t="s">
        <v>635</v>
      </c>
      <c r="C664" s="1" t="s">
        <v>200</v>
      </c>
      <c r="D664" s="1" t="s">
        <v>1398</v>
      </c>
      <c r="G664" s="1" t="s">
        <v>636</v>
      </c>
      <c r="H664" s="1" t="s">
        <v>1029</v>
      </c>
      <c r="J664" s="1" t="s">
        <v>607</v>
      </c>
      <c r="M664" s="15" t="s">
        <v>520</v>
      </c>
      <c r="N664" s="1" t="s">
        <v>3282</v>
      </c>
      <c r="O664" s="15">
        <v>19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S664" s="1" t="s">
        <v>814</v>
      </c>
      <c r="T664" s="1"/>
      <c r="U664" s="32" t="s">
        <v>3098</v>
      </c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W664" s="15" t="str">
        <f>_xlfn.TEXTBEFORE(_xlfn.TEXTAFTER(CantoralDB[[#This Row],[index.html]],"&gt;"),"&gt;")&amp;"&gt;"</f>
        <v>&lt;a href="canciones/ixcis/como_sal_como_luz.html"&gt;</v>
      </c>
      <c r="X664"/>
      <c r="AA664" s="1"/>
      <c r="AB664" s="1"/>
    </row>
    <row r="665" spans="1:28" x14ac:dyDescent="0.3">
      <c r="A665" s="1">
        <f>ROW(CantoralDB[[#This Row],[Título]])-1</f>
        <v>664</v>
      </c>
      <c r="B665" s="1" t="s">
        <v>3279</v>
      </c>
      <c r="C665" s="1"/>
      <c r="H665" s="1" t="s">
        <v>530</v>
      </c>
      <c r="I665" s="1" t="s">
        <v>2950</v>
      </c>
      <c r="J665" s="1" t="s">
        <v>607</v>
      </c>
      <c r="M665" s="15" t="s">
        <v>520</v>
      </c>
      <c r="N665" s="1" t="s">
        <v>3282</v>
      </c>
      <c r="O665" s="15">
        <v>20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S665" s="1"/>
      <c r="T665" s="1"/>
      <c r="U665" s="32" t="s">
        <v>3384</v>
      </c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W665" s="15" t="str">
        <f>_xlfn.TEXTBEFORE(_xlfn.TEXTAFTER(CantoralDB[[#This Row],[index.html]],"&gt;"),"&gt;")&amp;"&gt;"</f>
        <v>&lt;a href="canciones/ixcis/infinito_abismo.html"&gt;</v>
      </c>
      <c r="X665"/>
      <c r="AA665" s="1"/>
      <c r="AB665" s="1"/>
    </row>
    <row r="666" spans="1:28" x14ac:dyDescent="0.3">
      <c r="A666" s="1">
        <f>ROW(CantoralDB[[#This Row],[Título]])-1</f>
        <v>665</v>
      </c>
      <c r="B666" s="1" t="s">
        <v>3280</v>
      </c>
      <c r="C666" s="1"/>
      <c r="H666" s="1" t="s">
        <v>1029</v>
      </c>
      <c r="I666" s="1" t="s">
        <v>2952</v>
      </c>
      <c r="J666" s="1" t="s">
        <v>607</v>
      </c>
      <c r="M666" s="15" t="s">
        <v>520</v>
      </c>
      <c r="N666" s="1" t="s">
        <v>3282</v>
      </c>
      <c r="O666" s="15">
        <v>22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S666" s="1"/>
      <c r="T666" s="1"/>
      <c r="U666" s="32" t="s">
        <v>3385</v>
      </c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W666" s="15" t="str">
        <f>_xlfn.TEXTBEFORE(_xlfn.TEXTAFTER(CantoralDB[[#This Row],[index.html]],"&gt;"),"&gt;")&amp;"&gt;"</f>
        <v>&lt;a href="canciones/ixcis/hacia_ti.html"&gt;</v>
      </c>
      <c r="X666"/>
      <c r="AA666" s="1"/>
      <c r="AB666" s="1"/>
    </row>
    <row r="667" spans="1:28" x14ac:dyDescent="0.3">
      <c r="A667" s="1">
        <f>ROW(CantoralDB[[#This Row],[Título]])-1</f>
        <v>666</v>
      </c>
      <c r="B667" s="1" t="s">
        <v>3118</v>
      </c>
      <c r="C667" s="1"/>
      <c r="H667" s="1" t="s">
        <v>530</v>
      </c>
      <c r="J667" s="1" t="s">
        <v>607</v>
      </c>
      <c r="M667" s="15" t="s">
        <v>520</v>
      </c>
      <c r="N667" s="1" t="s">
        <v>3117</v>
      </c>
      <c r="O667" s="15">
        <v>2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S667" s="1"/>
      <c r="T667" s="1"/>
      <c r="U667" s="32" t="s">
        <v>3119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W667" s="15" t="str">
        <f>_xlfn.TEXTBEFORE(_xlfn.TEXTAFTER(CantoralDB[[#This Row],[index.html]],"&gt;"),"&gt;")&amp;"&gt;"</f>
        <v>&lt;a href="canciones/ixcis/ora_en_mi.html"&gt;</v>
      </c>
      <c r="X667"/>
      <c r="AA667" s="1"/>
      <c r="AB667" s="1"/>
    </row>
    <row r="668" spans="1:28" x14ac:dyDescent="0.3">
      <c r="A668" s="1">
        <f>ROW(CantoralDB[[#This Row],[Título]])-1</f>
        <v>667</v>
      </c>
      <c r="B668" s="1" t="s">
        <v>3116</v>
      </c>
      <c r="C668" s="1"/>
      <c r="H668" s="1" t="s">
        <v>1029</v>
      </c>
      <c r="J668" s="1" t="s">
        <v>607</v>
      </c>
      <c r="M668" s="15" t="s">
        <v>520</v>
      </c>
      <c r="N668" s="1" t="s">
        <v>3117</v>
      </c>
      <c r="O668" s="15">
        <v>3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S668" s="1"/>
      <c r="T668" s="1"/>
      <c r="U668" s="32" t="s">
        <v>3115</v>
      </c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W668" s="15" t="str">
        <f>_xlfn.TEXTBEFORE(_xlfn.TEXTAFTER(CantoralDB[[#This Row],[index.html]],"&gt;"),"&gt;")&amp;"&gt;"</f>
        <v>&lt;a href="canciones/ixcis/vuelve.html"&gt;</v>
      </c>
      <c r="X668"/>
      <c r="AA668" s="1"/>
      <c r="AB668" s="1"/>
    </row>
    <row r="669" spans="1:28" x14ac:dyDescent="0.3">
      <c r="A669" s="1">
        <f>ROW(CantoralDB[[#This Row],[Título]])-1</f>
        <v>668</v>
      </c>
      <c r="B669" s="1" t="s">
        <v>3121</v>
      </c>
      <c r="C669" s="1"/>
      <c r="H669" s="1" t="s">
        <v>530</v>
      </c>
      <c r="I669" s="1" t="s">
        <v>2950</v>
      </c>
      <c r="J669" s="1" t="s">
        <v>607</v>
      </c>
      <c r="M669" s="15" t="s">
        <v>520</v>
      </c>
      <c r="N669" s="1" t="s">
        <v>3117</v>
      </c>
      <c r="O669" s="15">
        <v>4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S669" s="1"/>
      <c r="T669" s="1"/>
      <c r="U669" s="32" t="s">
        <v>3120</v>
      </c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W669" s="15" t="str">
        <f>_xlfn.TEXTBEFORE(_xlfn.TEXTAFTER(CantoralDB[[#This Row],[index.html]],"&gt;"),"&gt;")&amp;"&gt;"</f>
        <v>&lt;a href="canciones/ixcis/espero_en_ti.html"&gt;</v>
      </c>
      <c r="X669"/>
      <c r="AA669" s="1"/>
      <c r="AB669" s="1"/>
    </row>
    <row r="670" spans="1:28" x14ac:dyDescent="0.3">
      <c r="A670" s="1">
        <f>ROW(CantoralDB[[#This Row],[Título]])-1</f>
        <v>669</v>
      </c>
      <c r="B670" s="1" t="s">
        <v>3122</v>
      </c>
      <c r="C670" s="1"/>
      <c r="H670" s="1" t="s">
        <v>1026</v>
      </c>
      <c r="I670" s="1" t="s">
        <v>2950</v>
      </c>
      <c r="J670" s="1" t="s">
        <v>607</v>
      </c>
      <c r="M670" s="15" t="s">
        <v>520</v>
      </c>
      <c r="N670" s="1" t="s">
        <v>3117</v>
      </c>
      <c r="O670" s="15">
        <v>5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S670" s="1"/>
      <c r="T670" s="1"/>
      <c r="U670" s="32" t="s">
        <v>3123</v>
      </c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W670" s="15" t="str">
        <f>_xlfn.TEXTBEFORE(_xlfn.TEXTAFTER(CantoralDB[[#This Row],[index.html]],"&gt;"),"&gt;")&amp;"&gt;"</f>
        <v>&lt;a href="canciones/ixcis/extiende_tu_mano.html"&gt;</v>
      </c>
      <c r="X670"/>
      <c r="AA670" s="1"/>
      <c r="AB670" s="1"/>
    </row>
    <row r="671" spans="1:28" x14ac:dyDescent="0.3">
      <c r="A671" s="1">
        <f>ROW(CantoralDB[[#This Row],[Título]])-1</f>
        <v>670</v>
      </c>
      <c r="B671" s="1" t="s">
        <v>1756</v>
      </c>
      <c r="C671" s="1"/>
      <c r="H671" s="1" t="s">
        <v>1029</v>
      </c>
      <c r="I671" s="1" t="s">
        <v>2953</v>
      </c>
      <c r="J671" s="1" t="s">
        <v>607</v>
      </c>
      <c r="M671" s="15" t="s">
        <v>520</v>
      </c>
      <c r="N671" s="1" t="s">
        <v>3117</v>
      </c>
      <c r="O671" s="15">
        <v>6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S671" s="1"/>
      <c r="T671" s="1"/>
      <c r="U671" s="32" t="s">
        <v>3124</v>
      </c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W671" s="15" t="str">
        <f>_xlfn.TEXTBEFORE(_xlfn.TEXTAFTER(CantoralDB[[#This Row],[index.html]],"&gt;"),"&gt;")&amp;"&gt;"</f>
        <v>&lt;a href="canciones/ixcis/ruah.html"&gt;</v>
      </c>
      <c r="X671"/>
      <c r="AA671" s="1"/>
      <c r="AB671" s="1"/>
    </row>
    <row r="672" spans="1:28" x14ac:dyDescent="0.3">
      <c r="A672" s="1">
        <f>ROW(CantoralDB[[#This Row],[Título]])-1</f>
        <v>671</v>
      </c>
      <c r="B672" s="1" t="s">
        <v>3125</v>
      </c>
      <c r="C672" s="1"/>
      <c r="H672" s="1" t="s">
        <v>472</v>
      </c>
      <c r="I672" s="1" t="s">
        <v>2953</v>
      </c>
      <c r="J672" s="1" t="s">
        <v>607</v>
      </c>
      <c r="M672" s="15" t="s">
        <v>520</v>
      </c>
      <c r="N672" s="1" t="s">
        <v>3117</v>
      </c>
      <c r="O672" s="15">
        <v>7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S672" s="1"/>
      <c r="T672" s="1"/>
      <c r="U672" s="32" t="s">
        <v>3126</v>
      </c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W672" s="15" t="str">
        <f>_xlfn.TEXTBEFORE(_xlfn.TEXTAFTER(CantoralDB[[#This Row],[index.html]],"&gt;"),"&gt;")&amp;"&gt;"</f>
        <v>&lt;a href="canciones/ixcis/descansa.html"&gt;</v>
      </c>
      <c r="X672"/>
      <c r="AA672" s="1"/>
      <c r="AB672" s="1"/>
    </row>
    <row r="673" spans="1:28" x14ac:dyDescent="0.3">
      <c r="A673" s="1">
        <f>ROW(CantoralDB[[#This Row],[Título]])-1</f>
        <v>672</v>
      </c>
      <c r="B673" s="1" t="s">
        <v>3128</v>
      </c>
      <c r="C673" s="1"/>
      <c r="H673" s="1" t="s">
        <v>530</v>
      </c>
      <c r="J673" s="1" t="s">
        <v>607</v>
      </c>
      <c r="M673" s="15" t="s">
        <v>520</v>
      </c>
      <c r="N673" s="1" t="s">
        <v>3117</v>
      </c>
      <c r="O673" s="15">
        <v>8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S673" s="1"/>
      <c r="T673" s="1"/>
      <c r="U673" s="32" t="s">
        <v>3127</v>
      </c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W673" s="15" t="str">
        <f>_xlfn.TEXTBEFORE(_xlfn.TEXTAFTER(CantoralDB[[#This Row],[index.html]],"&gt;"),"&gt;")&amp;"&gt;"</f>
        <v>&lt;a href="canciones/ixcis/cuando_vuelva_tu_luz.html"&gt;</v>
      </c>
      <c r="X673"/>
      <c r="AA673" s="1"/>
      <c r="AB673" s="1"/>
    </row>
    <row r="674" spans="1:28" x14ac:dyDescent="0.3">
      <c r="A674" s="1">
        <f>ROW(CantoralDB[[#This Row],[Título]])-1</f>
        <v>673</v>
      </c>
      <c r="B674" s="1" t="s">
        <v>3130</v>
      </c>
      <c r="C674" s="1"/>
      <c r="H674" s="1" t="s">
        <v>1029</v>
      </c>
      <c r="J674" s="1" t="s">
        <v>607</v>
      </c>
      <c r="M674" s="15" t="s">
        <v>520</v>
      </c>
      <c r="N674" s="1" t="s">
        <v>3117</v>
      </c>
      <c r="O674" s="15">
        <v>9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S674" s="1"/>
      <c r="T674" s="1"/>
      <c r="U674" s="32" t="s">
        <v>3129</v>
      </c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W674" s="15" t="str">
        <f>_xlfn.TEXTBEFORE(_xlfn.TEXTAFTER(CantoralDB[[#This Row],[index.html]],"&gt;"),"&gt;")&amp;"&gt;"</f>
        <v>&lt;a href="canciones/ixcis/entra_en_tu_cuarto.html"&gt;</v>
      </c>
      <c r="X674"/>
      <c r="AA674" s="1"/>
      <c r="AB674" s="1"/>
    </row>
    <row r="675" spans="1:28" x14ac:dyDescent="0.3">
      <c r="A675" s="1">
        <f>ROW(CantoralDB[[#This Row],[Título]])-1</f>
        <v>674</v>
      </c>
      <c r="B675" s="1" t="s">
        <v>3132</v>
      </c>
      <c r="C675" s="1"/>
      <c r="H675" s="1" t="s">
        <v>530</v>
      </c>
      <c r="J675" s="1" t="s">
        <v>607</v>
      </c>
      <c r="M675" s="15" t="s">
        <v>520</v>
      </c>
      <c r="N675" s="1" t="s">
        <v>3117</v>
      </c>
      <c r="O675" s="15">
        <v>10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S675" s="1"/>
      <c r="T675" s="1"/>
      <c r="U675" s="32" t="s">
        <v>3131</v>
      </c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W675" s="15" t="str">
        <f>_xlfn.TEXTBEFORE(_xlfn.TEXTAFTER(CantoralDB[[#This Row],[index.html]],"&gt;"),"&gt;")&amp;"&gt;"</f>
        <v>&lt;a href="canciones/ixcis/transfigurame.html"&gt;</v>
      </c>
      <c r="X675"/>
      <c r="AA675" s="1"/>
      <c r="AB675" s="1"/>
    </row>
    <row r="676" spans="1:28" x14ac:dyDescent="0.3">
      <c r="A676" s="1">
        <f>ROW(CantoralDB[[#This Row],[Título]])-1</f>
        <v>675</v>
      </c>
      <c r="B676" s="1" t="s">
        <v>3133</v>
      </c>
      <c r="C676" s="1"/>
      <c r="H676" s="1" t="s">
        <v>472</v>
      </c>
      <c r="J676" s="1" t="s">
        <v>607</v>
      </c>
      <c r="M676" s="15" t="s">
        <v>520</v>
      </c>
      <c r="N676" s="1" t="s">
        <v>3117</v>
      </c>
      <c r="O676" s="15">
        <v>11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S676" s="1"/>
      <c r="T676" s="1"/>
      <c r="U676" s="32" t="s">
        <v>3134</v>
      </c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W676" s="15" t="str">
        <f>_xlfn.TEXTBEFORE(_xlfn.TEXTAFTER(CantoralDB[[#This Row],[index.html]],"&gt;"),"&gt;")&amp;"&gt;"</f>
        <v>&lt;a href="canciones/ixcis/tengo_fe.html"&gt;</v>
      </c>
      <c r="X676"/>
      <c r="AA676" s="1"/>
      <c r="AB676" s="1"/>
    </row>
    <row r="677" spans="1:28" x14ac:dyDescent="0.3">
      <c r="A677" s="1">
        <f>ROW(CantoralDB[[#This Row],[Título]])-1</f>
        <v>676</v>
      </c>
      <c r="B677" s="1" t="s">
        <v>3135</v>
      </c>
      <c r="C677" s="1"/>
      <c r="H677" s="1" t="s">
        <v>530</v>
      </c>
      <c r="J677" s="1" t="s">
        <v>607</v>
      </c>
      <c r="M677" s="15" t="s">
        <v>520</v>
      </c>
      <c r="N677" s="1" t="s">
        <v>3117</v>
      </c>
      <c r="O677" s="15">
        <v>12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S677" s="1"/>
      <c r="T677" s="1"/>
      <c r="U677" s="32" t="s">
        <v>3136</v>
      </c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W677" s="15" t="str">
        <f>_xlfn.TEXTBEFORE(_xlfn.TEXTAFTER(CantoralDB[[#This Row],[index.html]],"&gt;"),"&gt;")&amp;"&gt;"</f>
        <v>&lt;a href="canciones/ixcis/que_sean_uno.html"&gt;</v>
      </c>
      <c r="X677"/>
      <c r="AA677" s="1"/>
      <c r="AB677" s="1"/>
    </row>
    <row r="678" spans="1:28" x14ac:dyDescent="0.3">
      <c r="A678" s="1">
        <f>ROW(CantoralDB[[#This Row],[Título]])-1</f>
        <v>677</v>
      </c>
      <c r="B678" s="1" t="s">
        <v>3137</v>
      </c>
      <c r="C678" s="1"/>
      <c r="H678" s="1" t="s">
        <v>1028</v>
      </c>
      <c r="J678" s="1" t="s">
        <v>607</v>
      </c>
      <c r="M678" s="15" t="s">
        <v>520</v>
      </c>
      <c r="N678" s="1" t="s">
        <v>3117</v>
      </c>
      <c r="O678" s="15">
        <v>13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S678" s="1"/>
      <c r="T678" s="1"/>
      <c r="U678" s="32" t="s">
        <v>3138</v>
      </c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W678" s="15" t="str">
        <f>_xlfn.TEXTBEFORE(_xlfn.TEXTAFTER(CantoralDB[[#This Row],[index.html]],"&gt;"),"&gt;")&amp;"&gt;"</f>
        <v>&lt;a href="canciones/ixcis/ama_y_haz_lo_que_quieras.html"&gt;</v>
      </c>
      <c r="X678"/>
      <c r="AA678" s="1"/>
      <c r="AB678" s="1"/>
    </row>
    <row r="679" spans="1:28" x14ac:dyDescent="0.3">
      <c r="A679" s="1">
        <f>ROW(CantoralDB[[#This Row],[Título]])-1</f>
        <v>678</v>
      </c>
      <c r="B679" s="1" t="s">
        <v>3140</v>
      </c>
      <c r="C679" s="1"/>
      <c r="H679" s="1" t="s">
        <v>1026</v>
      </c>
      <c r="J679" s="1" t="s">
        <v>607</v>
      </c>
      <c r="M679" s="15" t="s">
        <v>520</v>
      </c>
      <c r="N679" s="1" t="s">
        <v>3117</v>
      </c>
      <c r="O679" s="15">
        <v>14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S679" s="1"/>
      <c r="T679" s="1"/>
      <c r="U679" s="32" t="s">
        <v>3139</v>
      </c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W679" s="15" t="str">
        <f>_xlfn.TEXTBEFORE(_xlfn.TEXTAFTER(CantoralDB[[#This Row],[index.html]],"&gt;"),"&gt;")&amp;"&gt;"</f>
        <v>&lt;a href="canciones/ixcis/si_no_te_dejo_marchar.html"&gt;</v>
      </c>
      <c r="X679"/>
      <c r="AA679" s="1"/>
      <c r="AB679" s="1"/>
    </row>
    <row r="680" spans="1:28" x14ac:dyDescent="0.3">
      <c r="A680" s="1">
        <f>ROW(CantoralDB[[#This Row],[Título]])-1</f>
        <v>679</v>
      </c>
      <c r="B680" s="1" t="s">
        <v>3141</v>
      </c>
      <c r="C680" s="1"/>
      <c r="H680" s="1" t="s">
        <v>1026</v>
      </c>
      <c r="J680" s="1" t="s">
        <v>607</v>
      </c>
      <c r="M680" s="15" t="s">
        <v>520</v>
      </c>
      <c r="N680" s="1" t="s">
        <v>3117</v>
      </c>
      <c r="O680" s="15">
        <v>15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S680" s="1"/>
      <c r="T680" s="1"/>
      <c r="U680" s="32" t="s">
        <v>3142</v>
      </c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W680" s="15" t="str">
        <f>_xlfn.TEXTBEFORE(_xlfn.TEXTAFTER(CantoralDB[[#This Row],[index.html]],"&gt;"),"&gt;")&amp;"&gt;"</f>
        <v>&lt;a href="canciones/ixcis/sopla_en_mi.html"&gt;</v>
      </c>
      <c r="X680"/>
      <c r="AA680" s="1"/>
      <c r="AB680" s="1"/>
    </row>
    <row r="681" spans="1:28" x14ac:dyDescent="0.3">
      <c r="A681" s="1">
        <f>ROW(CantoralDB[[#This Row],[Título]])-1</f>
        <v>680</v>
      </c>
      <c r="B681" s="1" t="s">
        <v>3143</v>
      </c>
      <c r="C681" s="1"/>
      <c r="H681" s="1" t="s">
        <v>530</v>
      </c>
      <c r="I681" s="1" t="s">
        <v>2950</v>
      </c>
      <c r="J681" s="1" t="s">
        <v>607</v>
      </c>
      <c r="M681" s="15" t="s">
        <v>520</v>
      </c>
      <c r="N681" s="1" t="s">
        <v>3117</v>
      </c>
      <c r="O681" s="15">
        <v>16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S681" s="1"/>
      <c r="T681" s="1"/>
      <c r="U681" s="32" t="s">
        <v>3144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W681" s="15" t="str">
        <f>_xlfn.TEXTBEFORE(_xlfn.TEXTAFTER(CantoralDB[[#This Row],[index.html]],"&gt;"),"&gt;")&amp;"&gt;"</f>
        <v>&lt;a href="canciones/ixcis/peña_mia.html"&gt;</v>
      </c>
      <c r="X681"/>
      <c r="AA681" s="1"/>
      <c r="AB681" s="1"/>
    </row>
    <row r="682" spans="1:28" x14ac:dyDescent="0.3">
      <c r="A682" s="1">
        <f>ROW(CantoralDB[[#This Row],[Título]])-1</f>
        <v>681</v>
      </c>
      <c r="B682" s="1" t="s">
        <v>3145</v>
      </c>
      <c r="C682" s="1"/>
      <c r="H682" s="1" t="s">
        <v>1026</v>
      </c>
      <c r="I682" s="1" t="s">
        <v>2950</v>
      </c>
      <c r="J682" s="1" t="s">
        <v>607</v>
      </c>
      <c r="M682" s="15" t="s">
        <v>520</v>
      </c>
      <c r="N682" s="1" t="s">
        <v>3117</v>
      </c>
      <c r="O682" s="15">
        <v>17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S682" s="1"/>
      <c r="T682" s="1"/>
      <c r="U682" s="32" t="s">
        <v>3146</v>
      </c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W682" s="15" t="str">
        <f>_xlfn.TEXTBEFORE(_xlfn.TEXTAFTER(CantoralDB[[#This Row],[index.html]],"&gt;"),"&gt;")&amp;"&gt;"</f>
        <v>&lt;a href="canciones/ixcis/vuestra_soy.html"&gt;</v>
      </c>
      <c r="X682"/>
      <c r="AA682" s="1"/>
      <c r="AB682" s="1"/>
    </row>
    <row r="683" spans="1:28" x14ac:dyDescent="0.3">
      <c r="A683" s="1">
        <f>ROW(CantoralDB[[#This Row],[Título]])-1</f>
        <v>682</v>
      </c>
      <c r="B683" s="1" t="s">
        <v>3148</v>
      </c>
      <c r="C683" s="1"/>
      <c r="H683" s="1" t="s">
        <v>1028</v>
      </c>
      <c r="I683" s="1" t="s">
        <v>2952</v>
      </c>
      <c r="J683" s="1" t="s">
        <v>607</v>
      </c>
      <c r="M683" s="15" t="s">
        <v>520</v>
      </c>
      <c r="N683" s="1" t="s">
        <v>3117</v>
      </c>
      <c r="O683" s="15">
        <v>18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S683" s="1"/>
      <c r="T683" s="1"/>
      <c r="U683" s="32" t="s">
        <v>3147</v>
      </c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W683" s="15" t="str">
        <f>_xlfn.TEXTBEFORE(_xlfn.TEXTAFTER(CantoralDB[[#This Row],[index.html]],"&gt;"),"&gt;")&amp;"&gt;"</f>
        <v>&lt;a href="canciones/ixcis/la_partida.html"&gt;</v>
      </c>
      <c r="X683"/>
      <c r="AA683" s="1"/>
      <c r="AB683" s="1"/>
    </row>
    <row r="684" spans="1:28" x14ac:dyDescent="0.3">
      <c r="A684" s="1">
        <f>ROW(CantoralDB[[#This Row],[Título]])-1</f>
        <v>683</v>
      </c>
      <c r="B684" s="1" t="s">
        <v>3149</v>
      </c>
      <c r="C684" s="1"/>
      <c r="H684" s="1" t="s">
        <v>472</v>
      </c>
      <c r="I684" s="1" t="s">
        <v>2950</v>
      </c>
      <c r="J684" s="1" t="s">
        <v>607</v>
      </c>
      <c r="M684" s="15" t="s">
        <v>520</v>
      </c>
      <c r="N684" s="1" t="s">
        <v>3117</v>
      </c>
      <c r="O684" s="15">
        <v>19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S684" s="1"/>
      <c r="T684" s="1"/>
      <c r="U684" s="32" t="s">
        <v>3150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W684" s="15" t="str">
        <f>_xlfn.TEXTBEFORE(_xlfn.TEXTAFTER(CantoralDB[[#This Row],[index.html]],"&gt;"),"&gt;")&amp;"&gt;"</f>
        <v>&lt;a href="canciones/ixcis/por_ti_madrugo.html"&gt;</v>
      </c>
      <c r="X684"/>
      <c r="AA684" s="1"/>
      <c r="AB684" s="1"/>
    </row>
    <row r="685" spans="1:28" x14ac:dyDescent="0.3">
      <c r="A685" s="1">
        <f>ROW(CantoralDB[[#This Row],[Título]])-1</f>
        <v>684</v>
      </c>
      <c r="B685" s="1" t="s">
        <v>3152</v>
      </c>
      <c r="C685" s="1"/>
      <c r="H685" s="1" t="s">
        <v>1029</v>
      </c>
      <c r="I685" s="1" t="s">
        <v>2950</v>
      </c>
      <c r="J685" s="1" t="s">
        <v>607</v>
      </c>
      <c r="M685" s="15" t="s">
        <v>520</v>
      </c>
      <c r="N685" s="1" t="s">
        <v>3117</v>
      </c>
      <c r="O685" s="15">
        <v>20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S685" s="1"/>
      <c r="T685" s="1"/>
      <c r="U685" s="32" t="s">
        <v>3151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W685" s="15" t="str">
        <f>_xlfn.TEXTBEFORE(_xlfn.TEXTAFTER(CantoralDB[[#This Row],[index.html]],"&gt;"),"&gt;")&amp;"&gt;"</f>
        <v>&lt;a href="canciones/ixcis/si_te_tengo_a_ti.html"&gt;</v>
      </c>
      <c r="X685"/>
      <c r="AA685" s="1"/>
      <c r="AB685" s="1"/>
    </row>
    <row r="686" spans="1:28" x14ac:dyDescent="0.3">
      <c r="A686" s="1">
        <f>ROW(CantoralDB[[#This Row],[Título]])-1</f>
        <v>685</v>
      </c>
      <c r="B686" s="1" t="s">
        <v>3153</v>
      </c>
      <c r="C686" s="1"/>
      <c r="H686" s="1" t="s">
        <v>472</v>
      </c>
      <c r="I686" s="1" t="s">
        <v>2953</v>
      </c>
      <c r="J686" s="1" t="s">
        <v>607</v>
      </c>
      <c r="M686" s="15" t="s">
        <v>520</v>
      </c>
      <c r="N686" s="1" t="s">
        <v>3117</v>
      </c>
      <c r="O686" s="15">
        <v>21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S686" s="1"/>
      <c r="T686" s="1"/>
      <c r="U686" s="32" t="s">
        <v>3154</v>
      </c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W686" s="15" t="str">
        <f>_xlfn.TEXTBEFORE(_xlfn.TEXTAFTER(CantoralDB[[#This Row],[index.html]],"&gt;"),"&gt;")&amp;"&gt;"</f>
        <v>&lt;a href="canciones/ixcis/la_verdad.html"&gt;</v>
      </c>
      <c r="X686"/>
      <c r="AA686" s="1"/>
      <c r="AB686" s="1"/>
    </row>
    <row r="687" spans="1:28" x14ac:dyDescent="0.3">
      <c r="A687" s="1">
        <f>ROW(CantoralDB[[#This Row],[Título]])-1</f>
        <v>686</v>
      </c>
      <c r="B687" s="1" t="s">
        <v>3155</v>
      </c>
      <c r="C687" s="1"/>
      <c r="H687" s="1" t="s">
        <v>530</v>
      </c>
      <c r="I687" s="1" t="s">
        <v>2952</v>
      </c>
      <c r="J687" s="1" t="s">
        <v>607</v>
      </c>
      <c r="M687" s="15" t="s">
        <v>520</v>
      </c>
      <c r="N687" s="1" t="s">
        <v>3117</v>
      </c>
      <c r="O687" s="15">
        <v>22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S687" s="1"/>
      <c r="T687" s="1"/>
      <c r="U687" s="32" t="s">
        <v>3156</v>
      </c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W687" s="15" t="str">
        <f>_xlfn.TEXTBEFORE(_xlfn.TEXTAFTER(CantoralDB[[#This Row],[index.html]],"&gt;"),"&gt;")&amp;"&gt;"</f>
        <v>&lt;a href="canciones/ixcis/te_quiero.html"&gt;</v>
      </c>
      <c r="X687"/>
      <c r="AA687" s="1"/>
      <c r="AB687" s="1"/>
    </row>
    <row r="688" spans="1:28" x14ac:dyDescent="0.3">
      <c r="A688" s="1">
        <f>ROW(CantoralDB[[#This Row],[Título]])-1</f>
        <v>687</v>
      </c>
      <c r="B688" s="1" t="s">
        <v>533</v>
      </c>
      <c r="C688" s="1"/>
      <c r="H688" s="1" t="s">
        <v>530</v>
      </c>
      <c r="J688" s="1" t="s">
        <v>607</v>
      </c>
      <c r="M688" s="15" t="s">
        <v>520</v>
      </c>
      <c r="N688" s="1" t="s">
        <v>3117</v>
      </c>
      <c r="O688" s="15">
        <v>23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S688" s="1"/>
      <c r="T688" s="1"/>
      <c r="U688" s="32" t="s">
        <v>3157</v>
      </c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W688" s="15" t="str">
        <f>_xlfn.TEXTBEFORE(_xlfn.TEXTAFTER(CantoralDB[[#This Row],[index.html]],"&gt;"),"&gt;")&amp;"&gt;"</f>
        <v>&lt;a href="canciones/ixcis/maria_de_nazaret.html"&gt;</v>
      </c>
      <c r="X688"/>
      <c r="AA688" s="1"/>
      <c r="AB688" s="1"/>
    </row>
    <row r="689" spans="1:28" x14ac:dyDescent="0.3">
      <c r="A689" s="1">
        <f>ROW(CantoralDB[[#This Row],[Título]])-1</f>
        <v>688</v>
      </c>
      <c r="B689" s="1" t="s">
        <v>3190</v>
      </c>
      <c r="C689" s="1"/>
      <c r="H689" s="1" t="s">
        <v>472</v>
      </c>
      <c r="J689" s="1" t="s">
        <v>607</v>
      </c>
      <c r="M689" s="15" t="s">
        <v>520</v>
      </c>
      <c r="N689" s="1" t="s">
        <v>3192</v>
      </c>
      <c r="O689" s="15">
        <v>1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S689" s="1"/>
      <c r="T689" s="1"/>
      <c r="U689" s="32" t="s">
        <v>3193</v>
      </c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W689" s="15" t="str">
        <f>_xlfn.TEXTBEFORE(_xlfn.TEXTAFTER(CantoralDB[[#This Row],[index.html]],"&gt;"),"&gt;")&amp;"&gt;"</f>
        <v>&lt;a href="canciones/ixcis/regalada.html"&gt;</v>
      </c>
      <c r="X689"/>
      <c r="AA689" s="1"/>
      <c r="AB689" s="1"/>
    </row>
    <row r="690" spans="1:28" x14ac:dyDescent="0.3">
      <c r="A690" s="1">
        <f>ROW(CantoralDB[[#This Row],[Título]])-1</f>
        <v>689</v>
      </c>
      <c r="B690" s="1" t="s">
        <v>3191</v>
      </c>
      <c r="C690" s="1"/>
      <c r="H690" s="1" t="s">
        <v>472</v>
      </c>
      <c r="J690" s="1" t="s">
        <v>607</v>
      </c>
      <c r="M690" s="15" t="s">
        <v>520</v>
      </c>
      <c r="N690" s="1" t="s">
        <v>3192</v>
      </c>
      <c r="O690" s="15">
        <v>2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S690" s="1"/>
      <c r="T690" s="1"/>
      <c r="U690" s="32" t="s">
        <v>3194</v>
      </c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W690" s="15" t="str">
        <f>_xlfn.TEXTBEFORE(_xlfn.TEXTAFTER(CantoralDB[[#This Row],[index.html]],"&gt;"),"&gt;")&amp;"&gt;"</f>
        <v>&lt;a href="canciones/ixcis/darnos_del_todo.html"&gt;</v>
      </c>
      <c r="X690"/>
      <c r="AA690" s="1"/>
      <c r="AB690" s="1"/>
    </row>
    <row r="691" spans="1:28" x14ac:dyDescent="0.3">
      <c r="A691" s="1">
        <f>ROW(CantoralDB[[#This Row],[Título]])-1</f>
        <v>690</v>
      </c>
      <c r="B691" s="1" t="s">
        <v>2294</v>
      </c>
      <c r="C691" s="1"/>
      <c r="H691" s="1" t="s">
        <v>1027</v>
      </c>
      <c r="J691" s="1" t="s">
        <v>607</v>
      </c>
      <c r="M691" s="15" t="s">
        <v>520</v>
      </c>
      <c r="N691" s="1" t="s">
        <v>3195</v>
      </c>
      <c r="O691" s="15">
        <v>1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S691" s="1"/>
      <c r="T691" s="1"/>
      <c r="U691" s="32" t="s">
        <v>3214</v>
      </c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W691" s="15" t="str">
        <f>_xlfn.TEXTBEFORE(_xlfn.TEXTAFTER(CantoralDB[[#This Row],[index.html]],"&gt;"),"&gt;")&amp;"&gt;"</f>
        <v>&lt;a href="canciones/ixcis/misericordia.html"&gt;</v>
      </c>
      <c r="X691"/>
      <c r="AA691" s="1"/>
      <c r="AB691" s="1"/>
    </row>
    <row r="692" spans="1:28" x14ac:dyDescent="0.3">
      <c r="A692" s="1">
        <f>ROW(CantoralDB[[#This Row],[Título]])-1</f>
        <v>691</v>
      </c>
      <c r="B692" s="1" t="s">
        <v>3196</v>
      </c>
      <c r="C692" s="1"/>
      <c r="H692" s="1" t="s">
        <v>1029</v>
      </c>
      <c r="J692" s="1" t="s">
        <v>607</v>
      </c>
      <c r="M692" s="15" t="s">
        <v>520</v>
      </c>
      <c r="N692" s="1" t="s">
        <v>3195</v>
      </c>
      <c r="O692" s="15">
        <v>2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S692" s="1"/>
      <c r="T692" s="1"/>
      <c r="U692" s="32" t="s">
        <v>3215</v>
      </c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W692" s="15" t="str">
        <f>_xlfn.TEXTBEFORE(_xlfn.TEXTAFTER(CantoralDB[[#This Row],[index.html]],"&gt;"),"&gt;")&amp;"&gt;"</f>
        <v>&lt;a href="canciones/ixcis/enseñame_a_quereme.html"&gt;</v>
      </c>
      <c r="X692"/>
      <c r="AA692" s="1"/>
      <c r="AB692" s="1"/>
    </row>
    <row r="693" spans="1:28" x14ac:dyDescent="0.3">
      <c r="A693" s="1">
        <f>ROW(CantoralDB[[#This Row],[Título]])-1</f>
        <v>692</v>
      </c>
      <c r="B693" s="1" t="s">
        <v>3197</v>
      </c>
      <c r="C693" s="1"/>
      <c r="H693" s="1" t="s">
        <v>530</v>
      </c>
      <c r="I693" s="1" t="s">
        <v>2950</v>
      </c>
      <c r="J693" s="1" t="s">
        <v>607</v>
      </c>
      <c r="M693" s="15" t="s">
        <v>520</v>
      </c>
      <c r="N693" s="1" t="s">
        <v>3195</v>
      </c>
      <c r="O693" s="15">
        <v>3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S693" s="1"/>
      <c r="T693" s="1"/>
      <c r="U693" s="32" t="s">
        <v>3216</v>
      </c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W693" s="15" t="str">
        <f>_xlfn.TEXTBEFORE(_xlfn.TEXTAFTER(CantoralDB[[#This Row],[index.html]],"&gt;"),"&gt;")&amp;"&gt;"</f>
        <v>&lt;a href="canciones/ixcis/tu_sabes_quien_soy.html"&gt;</v>
      </c>
      <c r="X693"/>
      <c r="AA693" s="1"/>
      <c r="AB693" s="1"/>
    </row>
    <row r="694" spans="1:28" x14ac:dyDescent="0.3">
      <c r="A694" s="1">
        <f>ROW(CantoralDB[[#This Row],[Título]])-1</f>
        <v>693</v>
      </c>
      <c r="B694" s="1" t="s">
        <v>3198</v>
      </c>
      <c r="C694" s="1"/>
      <c r="H694" s="1" t="s">
        <v>530</v>
      </c>
      <c r="I694" s="1" t="s">
        <v>2952</v>
      </c>
      <c r="J694" s="1" t="s">
        <v>607</v>
      </c>
      <c r="M694" s="15" t="s">
        <v>520</v>
      </c>
      <c r="N694" s="1" t="s">
        <v>3195</v>
      </c>
      <c r="O694" s="15">
        <v>4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S694" s="1"/>
      <c r="T694" s="1"/>
      <c r="U694" s="32" t="s">
        <v>3217</v>
      </c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W694" s="15" t="str">
        <f>_xlfn.TEXTBEFORE(_xlfn.TEXTAFTER(CantoralDB[[#This Row],[index.html]],"&gt;"),"&gt;")&amp;"&gt;"</f>
        <v>&lt;a href="canciones/ixcis/tu_bondad.html"&gt;</v>
      </c>
      <c r="X694"/>
      <c r="AA694" s="1"/>
      <c r="AB694" s="1"/>
    </row>
    <row r="695" spans="1:28" x14ac:dyDescent="0.3">
      <c r="A695" s="1">
        <f>ROW(CantoralDB[[#This Row],[Título]])-1</f>
        <v>694</v>
      </c>
      <c r="B695" s="1" t="s">
        <v>3199</v>
      </c>
      <c r="C695" s="1"/>
      <c r="H695" s="1" t="s">
        <v>1029</v>
      </c>
      <c r="J695" s="1" t="s">
        <v>607</v>
      </c>
      <c r="M695" s="15" t="s">
        <v>520</v>
      </c>
      <c r="N695" s="1" t="s">
        <v>3195</v>
      </c>
      <c r="O695" s="15">
        <v>5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S695" s="1"/>
      <c r="T695" s="1"/>
      <c r="U695" s="32" t="s">
        <v>3218</v>
      </c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W695" s="15" t="str">
        <f>_xlfn.TEXTBEFORE(_xlfn.TEXTAFTER(CantoralDB[[#This Row],[index.html]],"&gt;"),"&gt;")&amp;"&gt;"</f>
        <v>&lt;a href="canciones/ixcis/levantaos_esta_cerca.html"&gt;</v>
      </c>
      <c r="X695"/>
      <c r="AA695" s="1"/>
      <c r="AB695" s="1"/>
    </row>
    <row r="696" spans="1:28" x14ac:dyDescent="0.3">
      <c r="A696" s="1">
        <f>ROW(CantoralDB[[#This Row],[Título]])-1</f>
        <v>695</v>
      </c>
      <c r="B696" s="1" t="s">
        <v>3200</v>
      </c>
      <c r="C696" s="1"/>
      <c r="H696" s="1" t="s">
        <v>530</v>
      </c>
      <c r="J696" s="1" t="s">
        <v>607</v>
      </c>
      <c r="M696" s="15" t="s">
        <v>520</v>
      </c>
      <c r="N696" s="1" t="s">
        <v>3195</v>
      </c>
      <c r="O696" s="15">
        <v>6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S696" s="1"/>
      <c r="T696" s="1"/>
      <c r="U696" s="32" t="s">
        <v>3219</v>
      </c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W696" s="15" t="str">
        <f>_xlfn.TEXTBEFORE(_xlfn.TEXTAFTER(CantoralDB[[#This Row],[index.html]],"&gt;"),"&gt;")&amp;"&gt;"</f>
        <v>&lt;a href="canciones/ixcis/ven_a_sanarme.html"&gt;</v>
      </c>
      <c r="X696"/>
      <c r="AA696" s="1"/>
      <c r="AB696" s="1"/>
    </row>
    <row r="697" spans="1:28" x14ac:dyDescent="0.3">
      <c r="A697" s="1">
        <f>ROW(CantoralDB[[#This Row],[Título]])-1</f>
        <v>696</v>
      </c>
      <c r="B697" s="1" t="s">
        <v>3201</v>
      </c>
      <c r="C697" s="1"/>
      <c r="H697" s="1" t="s">
        <v>530</v>
      </c>
      <c r="I697" s="1" t="s">
        <v>2953</v>
      </c>
      <c r="J697" s="1" t="s">
        <v>607</v>
      </c>
      <c r="M697" s="15" t="s">
        <v>520</v>
      </c>
      <c r="N697" s="1" t="s">
        <v>3195</v>
      </c>
      <c r="O697" s="15">
        <v>8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S697" s="1"/>
      <c r="T697" s="1"/>
      <c r="U697" s="32" t="s">
        <v>3220</v>
      </c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W697" s="15" t="str">
        <f>_xlfn.TEXTBEFORE(_xlfn.TEXTAFTER(CantoralDB[[#This Row],[index.html]],"&gt;"),"&gt;")&amp;"&gt;"</f>
        <v>&lt;a href="canciones/ixcis/el_circulo_del_juicio.html"&gt;</v>
      </c>
      <c r="X697"/>
      <c r="AA697" s="1"/>
      <c r="AB697" s="1"/>
    </row>
    <row r="698" spans="1:28" x14ac:dyDescent="0.3">
      <c r="A698" s="1">
        <f>ROW(CantoralDB[[#This Row],[Título]])-1</f>
        <v>697</v>
      </c>
      <c r="B698" s="1" t="s">
        <v>2800</v>
      </c>
      <c r="C698" s="1"/>
      <c r="H698" s="1" t="s">
        <v>1026</v>
      </c>
      <c r="J698" s="1" t="s">
        <v>607</v>
      </c>
      <c r="M698" s="15" t="s">
        <v>520</v>
      </c>
      <c r="N698" s="1" t="s">
        <v>3195</v>
      </c>
      <c r="O698" s="15">
        <v>9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S698" s="1"/>
      <c r="T698" s="1"/>
      <c r="U698" s="32" t="s">
        <v>3221</v>
      </c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W698" s="15" t="str">
        <f>_xlfn.TEXTBEFORE(_xlfn.TEXTAFTER(CantoralDB[[#This Row],[index.html]],"&gt;"),"&gt;")&amp;"&gt;"</f>
        <v>&lt;a href="canciones/ixcis/hijo_de_david.html"&gt;</v>
      </c>
      <c r="X698"/>
      <c r="AA698" s="1"/>
      <c r="AB698" s="1"/>
    </row>
    <row r="699" spans="1:28" x14ac:dyDescent="0.3">
      <c r="A699" s="1">
        <f>ROW(CantoralDB[[#This Row],[Título]])-1</f>
        <v>698</v>
      </c>
      <c r="B699" s="1" t="s">
        <v>3202</v>
      </c>
      <c r="C699" s="1"/>
      <c r="H699" s="1" t="s">
        <v>1029</v>
      </c>
      <c r="J699" s="1" t="s">
        <v>607</v>
      </c>
      <c r="M699" s="15" t="s">
        <v>520</v>
      </c>
      <c r="N699" s="1" t="s">
        <v>3195</v>
      </c>
      <c r="O699" s="15">
        <v>10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S699" s="1"/>
      <c r="T699" s="1"/>
      <c r="U699" s="32" t="s">
        <v>3222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W699" s="15" t="str">
        <f>_xlfn.TEXTBEFORE(_xlfn.TEXTAFTER(CantoralDB[[#This Row],[index.html]],"&gt;"),"&gt;")&amp;"&gt;"</f>
        <v>&lt;a href="canciones/ixcis/hambre_y_sed_de_ti.html"&gt;</v>
      </c>
      <c r="X699"/>
      <c r="AA699" s="1"/>
      <c r="AB699" s="1"/>
    </row>
    <row r="700" spans="1:28" x14ac:dyDescent="0.3">
      <c r="A700" s="1">
        <f>ROW(CantoralDB[[#This Row],[Título]])-1</f>
        <v>699</v>
      </c>
      <c r="B700" s="1" t="s">
        <v>3203</v>
      </c>
      <c r="C700" s="1"/>
      <c r="H700" s="1" t="s">
        <v>1029</v>
      </c>
      <c r="J700" s="1" t="s">
        <v>607</v>
      </c>
      <c r="M700" s="15" t="s">
        <v>520</v>
      </c>
      <c r="N700" s="1" t="s">
        <v>3195</v>
      </c>
      <c r="O700" s="15">
        <v>11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S700" s="1"/>
      <c r="T700" s="1"/>
      <c r="U700" s="32" t="s">
        <v>3223</v>
      </c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W700" s="15" t="str">
        <f>_xlfn.TEXTBEFORE(_xlfn.TEXTAFTER(CantoralDB[[#This Row],[index.html]],"&gt;"),"&gt;")&amp;"&gt;"</f>
        <v>&lt;a href="canciones/ixcis/madre_de_la_humanidad.html"&gt;</v>
      </c>
      <c r="X700"/>
      <c r="AA700" s="1"/>
      <c r="AB700" s="1"/>
    </row>
    <row r="701" spans="1:28" x14ac:dyDescent="0.3">
      <c r="A701" s="1">
        <f>ROW(CantoralDB[[#This Row],[Título]])-1</f>
        <v>700</v>
      </c>
      <c r="B701" s="1" t="s">
        <v>3204</v>
      </c>
      <c r="C701" s="1"/>
      <c r="H701" s="1" t="s">
        <v>530</v>
      </c>
      <c r="I701" s="1" t="s">
        <v>2950</v>
      </c>
      <c r="J701" s="1" t="s">
        <v>607</v>
      </c>
      <c r="M701" s="15" t="s">
        <v>520</v>
      </c>
      <c r="N701" s="1" t="s">
        <v>3195</v>
      </c>
      <c r="O701" s="15">
        <v>12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S701" s="1"/>
      <c r="T701" s="1"/>
      <c r="U701" s="32" t="s">
        <v>3224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W701" s="15" t="str">
        <f>_xlfn.TEXTBEFORE(_xlfn.TEXTAFTER(CantoralDB[[#This Row],[index.html]],"&gt;"),"&gt;")&amp;"&gt;"</f>
        <v>&lt;a href="canciones/ixcis/transformame.html"&gt;</v>
      </c>
      <c r="X701"/>
      <c r="AA701" s="1"/>
      <c r="AB701" s="1"/>
    </row>
    <row r="702" spans="1:28" x14ac:dyDescent="0.3">
      <c r="A702" s="1">
        <f>ROW(CantoralDB[[#This Row],[Título]])-1</f>
        <v>701</v>
      </c>
      <c r="B702" s="1" t="s">
        <v>3205</v>
      </c>
      <c r="C702" s="1"/>
      <c r="H702" s="1" t="s">
        <v>1026</v>
      </c>
      <c r="J702" s="1" t="s">
        <v>607</v>
      </c>
      <c r="M702" s="15" t="s">
        <v>520</v>
      </c>
      <c r="N702" s="1" t="s">
        <v>3195</v>
      </c>
      <c r="O702" s="15">
        <v>13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S702" s="1"/>
      <c r="T702" s="1"/>
      <c r="U702" s="32" t="s">
        <v>3225</v>
      </c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W702" s="15" t="str">
        <f>_xlfn.TEXTBEFORE(_xlfn.TEXTAFTER(CantoralDB[[#This Row],[index.html]],"&gt;"),"&gt;")&amp;"&gt;"</f>
        <v>&lt;a href="canciones/ixcis/quien_curara.html"&gt;</v>
      </c>
      <c r="X702"/>
      <c r="AA702" s="1"/>
      <c r="AB702" s="1"/>
    </row>
    <row r="703" spans="1:28" x14ac:dyDescent="0.3">
      <c r="A703" s="1">
        <f>ROW(CantoralDB[[#This Row],[Título]])-1</f>
        <v>702</v>
      </c>
      <c r="B703" s="1" t="s">
        <v>3206</v>
      </c>
      <c r="C703" s="1"/>
      <c r="H703" s="1" t="s">
        <v>530</v>
      </c>
      <c r="J703" s="1" t="s">
        <v>607</v>
      </c>
      <c r="M703" s="15" t="s">
        <v>520</v>
      </c>
      <c r="N703" s="1" t="s">
        <v>3195</v>
      </c>
      <c r="O703" s="15">
        <v>14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S703" s="1"/>
      <c r="T703" s="1"/>
      <c r="U703" s="32" t="s">
        <v>3226</v>
      </c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W703" s="15" t="str">
        <f>_xlfn.TEXTBEFORE(_xlfn.TEXTAFTER(CantoralDB[[#This Row],[index.html]],"&gt;"),"&gt;")&amp;"&gt;"</f>
        <v>&lt;a href="canciones/ixcis/lazaro_grita.html"&gt;</v>
      </c>
      <c r="X703"/>
      <c r="AA703" s="1"/>
      <c r="AB703" s="1"/>
    </row>
    <row r="704" spans="1:28" x14ac:dyDescent="0.3">
      <c r="A704" s="1">
        <f>ROW(CantoralDB[[#This Row],[Título]])-1</f>
        <v>703</v>
      </c>
      <c r="B704" s="1" t="s">
        <v>3228</v>
      </c>
      <c r="C704" s="1"/>
      <c r="H704" s="1" t="s">
        <v>530</v>
      </c>
      <c r="I704" s="1" t="s">
        <v>2953</v>
      </c>
      <c r="J704" s="1" t="s">
        <v>607</v>
      </c>
      <c r="M704" s="15" t="s">
        <v>520</v>
      </c>
      <c r="N704" s="1" t="s">
        <v>3195</v>
      </c>
      <c r="O704" s="15">
        <v>15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S704" s="1"/>
      <c r="T704" s="1"/>
      <c r="U704" s="32" t="s">
        <v>3227</v>
      </c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W704" s="15" t="str">
        <f>_xlfn.TEXTBEFORE(_xlfn.TEXTAFTER(CantoralDB[[#This Row],[index.html]],"&gt;"),"&gt;")&amp;"&gt;"</f>
        <v>&lt;a href="canciones/ixcis/mi_buen_pastor.html"&gt;</v>
      </c>
      <c r="X704"/>
      <c r="AA704" s="1"/>
      <c r="AB704" s="1"/>
    </row>
    <row r="705" spans="1:28" x14ac:dyDescent="0.3">
      <c r="A705" s="1">
        <f>ROW(CantoralDB[[#This Row],[Título]])-1</f>
        <v>704</v>
      </c>
      <c r="B705" s="1" t="s">
        <v>3207</v>
      </c>
      <c r="C705" s="1"/>
      <c r="H705" s="1" t="s">
        <v>530</v>
      </c>
      <c r="I705" s="1" t="s">
        <v>2950</v>
      </c>
      <c r="J705" s="1" t="s">
        <v>607</v>
      </c>
      <c r="M705" s="15" t="s">
        <v>520</v>
      </c>
      <c r="N705" s="1" t="s">
        <v>3195</v>
      </c>
      <c r="O705" s="15">
        <v>16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S705" s="1"/>
      <c r="T705" s="1"/>
      <c r="U705" s="32" t="s">
        <v>3229</v>
      </c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W705" s="15" t="str">
        <f>_xlfn.TEXTBEFORE(_xlfn.TEXTAFTER(CantoralDB[[#This Row],[index.html]],"&gt;"),"&gt;")&amp;"&gt;"</f>
        <v>&lt;a href="canciones/ixcis/la_ley_y_el_sabado.html"&gt;</v>
      </c>
      <c r="X705"/>
      <c r="AA705" s="1"/>
      <c r="AB705" s="1"/>
    </row>
    <row r="706" spans="1:28" x14ac:dyDescent="0.3">
      <c r="A706" s="1">
        <f>ROW(CantoralDB[[#This Row],[Título]])-1</f>
        <v>705</v>
      </c>
      <c r="B706" s="1" t="s">
        <v>3208</v>
      </c>
      <c r="C706" s="1"/>
      <c r="H706" s="1" t="s">
        <v>1029</v>
      </c>
      <c r="J706" s="1" t="s">
        <v>607</v>
      </c>
      <c r="M706" s="15" t="s">
        <v>520</v>
      </c>
      <c r="N706" s="1" t="s">
        <v>3195</v>
      </c>
      <c r="O706" s="15">
        <v>17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S706" s="1"/>
      <c r="T706" s="1"/>
      <c r="U706" s="32" t="s">
        <v>3230</v>
      </c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W706" s="15" t="str">
        <f>_xlfn.TEXTBEFORE(_xlfn.TEXTAFTER(CantoralDB[[#This Row],[index.html]],"&gt;"),"&gt;")&amp;"&gt;"</f>
        <v>&lt;a href="canciones/ixcis/el_ayuno_que_yo_quiero.html"&gt;</v>
      </c>
      <c r="X706"/>
      <c r="AA706" s="1"/>
      <c r="AB706" s="1"/>
    </row>
    <row r="707" spans="1:28" x14ac:dyDescent="0.3">
      <c r="A707" s="1">
        <f>ROW(CantoralDB[[#This Row],[Título]])-1</f>
        <v>706</v>
      </c>
      <c r="B707" s="1" t="s">
        <v>3209</v>
      </c>
      <c r="C707" s="1"/>
      <c r="H707" s="1" t="s">
        <v>1029</v>
      </c>
      <c r="J707" s="1" t="s">
        <v>607</v>
      </c>
      <c r="M707" s="15" t="s">
        <v>520</v>
      </c>
      <c r="N707" s="1" t="s">
        <v>3195</v>
      </c>
      <c r="O707" s="15">
        <v>18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S707" s="1"/>
      <c r="T707" s="1"/>
      <c r="U707" s="32" t="s">
        <v>3231</v>
      </c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W707" s="15" t="str">
        <f>_xlfn.TEXTBEFORE(_xlfn.TEXTAFTER(CantoralDB[[#This Row],[index.html]],"&gt;"),"&gt;")&amp;"&gt;"</f>
        <v>&lt;a href="canciones/ixcis/amad_a_vuestros_enemigos.html"&gt;</v>
      </c>
      <c r="X707"/>
      <c r="AA707" s="1"/>
      <c r="AB707" s="1"/>
    </row>
    <row r="708" spans="1:28" x14ac:dyDescent="0.3">
      <c r="A708" s="1">
        <f>ROW(CantoralDB[[#This Row],[Título]])-1</f>
        <v>707</v>
      </c>
      <c r="B708" s="1" t="s">
        <v>3210</v>
      </c>
      <c r="C708" s="1"/>
      <c r="H708" s="1" t="s">
        <v>530</v>
      </c>
      <c r="J708" s="1" t="s">
        <v>607</v>
      </c>
      <c r="M708" s="15" t="s">
        <v>520</v>
      </c>
      <c r="N708" s="1" t="s">
        <v>3195</v>
      </c>
      <c r="O708" s="15">
        <v>19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S708" s="1"/>
      <c r="T708" s="1"/>
      <c r="U708" s="32" t="s">
        <v>3232</v>
      </c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W708" s="15" t="str">
        <f>_xlfn.TEXTBEFORE(_xlfn.TEXTAFTER(CantoralDB[[#This Row],[index.html]],"&gt;"),"&gt;")&amp;"&gt;"</f>
        <v>&lt;a href="canciones/ixcis/tu_lluvia_desciende.html"&gt;</v>
      </c>
      <c r="X708"/>
      <c r="AA708" s="1"/>
      <c r="AB708" s="1"/>
    </row>
    <row r="709" spans="1:28" x14ac:dyDescent="0.3">
      <c r="A709" s="1">
        <f>ROW(CantoralDB[[#This Row],[Título]])-1</f>
        <v>708</v>
      </c>
      <c r="B709" s="1" t="s">
        <v>3211</v>
      </c>
      <c r="C709" s="1"/>
      <c r="H709" s="1" t="s">
        <v>1029</v>
      </c>
      <c r="I709" s="1" t="s">
        <v>2951</v>
      </c>
      <c r="J709" s="1" t="s">
        <v>607</v>
      </c>
      <c r="M709" s="15" t="s">
        <v>520</v>
      </c>
      <c r="N709" s="1" t="s">
        <v>3195</v>
      </c>
      <c r="O709" s="15">
        <v>21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S709" s="1"/>
      <c r="T709" s="1"/>
      <c r="U709" s="32" t="s">
        <v>3233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W709" s="15" t="str">
        <f>_xlfn.TEXTBEFORE(_xlfn.TEXTAFTER(CantoralDB[[#This Row],[index.html]],"&gt;"),"&gt;")&amp;"&gt;"</f>
        <v>&lt;a href="canciones/ixcis/mirad_los_lirios.html"&gt;</v>
      </c>
      <c r="X709"/>
      <c r="AA709" s="1"/>
      <c r="AB709" s="1"/>
    </row>
    <row r="710" spans="1:28" x14ac:dyDescent="0.3">
      <c r="A710" s="1">
        <f>ROW(CantoralDB[[#This Row],[Título]])-1</f>
        <v>709</v>
      </c>
      <c r="B710" s="1" t="s">
        <v>3212</v>
      </c>
      <c r="C710" s="1"/>
      <c r="H710" s="1" t="s">
        <v>1026</v>
      </c>
      <c r="I710" s="1" t="s">
        <v>2953</v>
      </c>
      <c r="J710" s="1" t="s">
        <v>607</v>
      </c>
      <c r="M710" s="15" t="s">
        <v>520</v>
      </c>
      <c r="N710" s="1" t="s">
        <v>3195</v>
      </c>
      <c r="O710" s="15">
        <v>22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S710" s="1"/>
      <c r="T710" s="1"/>
      <c r="U710" s="32" t="s">
        <v>3234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W710" s="15" t="str">
        <f>_xlfn.TEXTBEFORE(_xlfn.TEXTAFTER(CantoralDB[[#This Row],[index.html]],"&gt;"),"&gt;")&amp;"&gt;"</f>
        <v>&lt;a href="canciones/ixcis/por_todos.html"&gt;</v>
      </c>
      <c r="X710"/>
      <c r="AA710" s="1"/>
      <c r="AB710" s="1"/>
    </row>
    <row r="711" spans="1:28" x14ac:dyDescent="0.3">
      <c r="A711" s="1">
        <f>ROW(CantoralDB[[#This Row],[Título]])-1</f>
        <v>710</v>
      </c>
      <c r="B711" s="1" t="s">
        <v>1705</v>
      </c>
      <c r="C711" s="1"/>
      <c r="H711" s="1" t="s">
        <v>1029</v>
      </c>
      <c r="I711" s="1" t="s">
        <v>2953</v>
      </c>
      <c r="J711" s="1" t="s">
        <v>607</v>
      </c>
      <c r="M711" s="15" t="s">
        <v>520</v>
      </c>
      <c r="N711" s="1" t="s">
        <v>3195</v>
      </c>
      <c r="O711" s="15">
        <v>23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S711" s="1"/>
      <c r="T711" s="1"/>
      <c r="U711" s="32" t="s">
        <v>3235</v>
      </c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W711" s="15" t="str">
        <f>_xlfn.TEXTBEFORE(_xlfn.TEXTAFTER(CantoralDB[[#This Row],[index.html]],"&gt;"),"&gt;")&amp;"&gt;"</f>
        <v>&lt;a href="canciones/ixcis/te_seguire.html"&gt;</v>
      </c>
      <c r="X711"/>
      <c r="AA711" s="1"/>
      <c r="AB711" s="1"/>
    </row>
    <row r="712" spans="1:28" x14ac:dyDescent="0.3">
      <c r="A712" s="1">
        <f>ROW(CantoralDB[[#This Row],[Título]])-1</f>
        <v>711</v>
      </c>
      <c r="B712" s="1" t="s">
        <v>3213</v>
      </c>
      <c r="C712" s="1"/>
      <c r="H712" s="1" t="s">
        <v>530</v>
      </c>
      <c r="I712" s="1" t="s">
        <v>2950</v>
      </c>
      <c r="J712" s="1" t="s">
        <v>607</v>
      </c>
      <c r="M712" s="15" t="s">
        <v>520</v>
      </c>
      <c r="N712" s="1" t="s">
        <v>3195</v>
      </c>
      <c r="O712" s="15">
        <v>24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S712" s="1"/>
      <c r="T712" s="1"/>
      <c r="U712" s="32" t="s">
        <v>3236</v>
      </c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W712" s="15" t="str">
        <f>_xlfn.TEXTBEFORE(_xlfn.TEXTAFTER(CantoralDB[[#This Row],[index.html]],"&gt;"),"&gt;")&amp;"&gt;"</f>
        <v>&lt;a href="canciones/ixcis/proclama_mi_alma.html"&gt;</v>
      </c>
      <c r="X712"/>
      <c r="AA712" s="1"/>
      <c r="AB712" s="1"/>
    </row>
    <row r="713" spans="1:28" x14ac:dyDescent="0.3">
      <c r="A713" s="1">
        <f>ROW(CantoralDB[[#This Row],[Título]])-1</f>
        <v>712</v>
      </c>
      <c r="B713" s="1" t="s">
        <v>3159</v>
      </c>
      <c r="C713" s="1"/>
      <c r="H713" s="1" t="s">
        <v>530</v>
      </c>
      <c r="J713" s="1" t="s">
        <v>607</v>
      </c>
      <c r="M713" s="15" t="s">
        <v>520</v>
      </c>
      <c r="N713" s="1" t="s">
        <v>3158</v>
      </c>
      <c r="O713" s="15">
        <v>1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S713" s="1"/>
      <c r="T713" s="1"/>
      <c r="U713" s="32" t="s">
        <v>3160</v>
      </c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W713" s="15" t="str">
        <f>_xlfn.TEXTBEFORE(_xlfn.TEXTAFTER(CantoralDB[[#This Row],[index.html]],"&gt;"),"&gt;")&amp;"&gt;"</f>
        <v>&lt;a href="canciones/ixcis/tanto_tiempo.html"&gt;</v>
      </c>
      <c r="X713"/>
      <c r="AA713" s="1"/>
      <c r="AB713" s="1"/>
    </row>
    <row r="714" spans="1:28" x14ac:dyDescent="0.3">
      <c r="A714" s="1">
        <f>ROW(CantoralDB[[#This Row],[Título]])-1</f>
        <v>713</v>
      </c>
      <c r="B714" s="1" t="s">
        <v>3161</v>
      </c>
      <c r="C714" s="1"/>
      <c r="H714" s="1" t="s">
        <v>530</v>
      </c>
      <c r="J714" s="1" t="s">
        <v>607</v>
      </c>
      <c r="M714" s="15" t="s">
        <v>520</v>
      </c>
      <c r="N714" s="1" t="s">
        <v>3158</v>
      </c>
      <c r="O714" s="15">
        <v>2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S714" s="1"/>
      <c r="T714" s="1"/>
      <c r="U714" s="32" t="s">
        <v>3175</v>
      </c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W714" s="15" t="str">
        <f>_xlfn.TEXTBEFORE(_xlfn.TEXTAFTER(CantoralDB[[#This Row],[index.html]],"&gt;"),"&gt;")&amp;"&gt;"</f>
        <v>&lt;a href="canciones/ixcis/tu_en_mi_yo_en_todos.html"&gt;</v>
      </c>
      <c r="X714"/>
      <c r="AA714" s="1"/>
      <c r="AB714" s="1"/>
    </row>
    <row r="715" spans="1:28" x14ac:dyDescent="0.3">
      <c r="A715" s="1">
        <f>ROW(CantoralDB[[#This Row],[Título]])-1</f>
        <v>714</v>
      </c>
      <c r="B715" s="1" t="s">
        <v>3162</v>
      </c>
      <c r="C715" s="1"/>
      <c r="H715" s="1" t="s">
        <v>1029</v>
      </c>
      <c r="J715" s="1" t="s">
        <v>607</v>
      </c>
      <c r="M715" s="15" t="s">
        <v>520</v>
      </c>
      <c r="N715" s="1" t="s">
        <v>3158</v>
      </c>
      <c r="O715" s="15">
        <v>3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S715" s="1"/>
      <c r="T715" s="1"/>
      <c r="U715" s="32" t="s">
        <v>3176</v>
      </c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W715" s="15" t="str">
        <f>_xlfn.TEXTBEFORE(_xlfn.TEXTAFTER(CantoralDB[[#This Row],[index.html]],"&gt;"),"&gt;")&amp;"&gt;"</f>
        <v>&lt;a href="canciones/ixcis/padre_me_ofrezco.html"&gt;</v>
      </c>
      <c r="X715"/>
      <c r="AA715" s="1"/>
      <c r="AB715" s="1"/>
    </row>
    <row r="716" spans="1:28" x14ac:dyDescent="0.3">
      <c r="A716" s="1">
        <f>ROW(CantoralDB[[#This Row],[Título]])-1</f>
        <v>715</v>
      </c>
      <c r="B716" s="1" t="s">
        <v>3163</v>
      </c>
      <c r="C716" s="1"/>
      <c r="H716" s="1" t="s">
        <v>1027</v>
      </c>
      <c r="J716" s="1" t="s">
        <v>607</v>
      </c>
      <c r="M716" s="15" t="s">
        <v>520</v>
      </c>
      <c r="N716" s="1" t="s">
        <v>3158</v>
      </c>
      <c r="O716" s="15">
        <v>4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S716" s="1"/>
      <c r="T716" s="1"/>
      <c r="U716" s="32" t="s">
        <v>3177</v>
      </c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W716" s="15" t="str">
        <f>_xlfn.TEXTBEFORE(_xlfn.TEXTAFTER(CantoralDB[[#This Row],[index.html]],"&gt;"),"&gt;")&amp;"&gt;"</f>
        <v>&lt;a href="canciones/ixcis/dios_padre_y_madre.html"&gt;</v>
      </c>
      <c r="X716"/>
      <c r="AA716" s="1"/>
      <c r="AB716" s="1"/>
    </row>
    <row r="717" spans="1:28" x14ac:dyDescent="0.3">
      <c r="A717" s="1">
        <f>ROW(CantoralDB[[#This Row],[Título]])-1</f>
        <v>716</v>
      </c>
      <c r="B717" s="1" t="s">
        <v>3164</v>
      </c>
      <c r="C717" s="1"/>
      <c r="H717" s="1" t="s">
        <v>530</v>
      </c>
      <c r="J717" s="1" t="s">
        <v>607</v>
      </c>
      <c r="M717" s="15" t="s">
        <v>520</v>
      </c>
      <c r="N717" s="1" t="s">
        <v>3158</v>
      </c>
      <c r="O717" s="15">
        <v>5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S717" s="1"/>
      <c r="T717" s="1"/>
      <c r="U717" s="32" t="s">
        <v>3178</v>
      </c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W717" s="15" t="str">
        <f>_xlfn.TEXTBEFORE(_xlfn.TEXTAFTER(CantoralDB[[#This Row],[index.html]],"&gt;"),"&gt;")&amp;"&gt;"</f>
        <v>&lt;a href="canciones/ixcis/dios_del_cielo.html"&gt;</v>
      </c>
      <c r="X717"/>
      <c r="AA717" s="1"/>
      <c r="AB717" s="1"/>
    </row>
    <row r="718" spans="1:28" x14ac:dyDescent="0.3">
      <c r="A718" s="1">
        <f>ROW(CantoralDB[[#This Row],[Título]])-1</f>
        <v>717</v>
      </c>
      <c r="B718" s="1" t="s">
        <v>3165</v>
      </c>
      <c r="C718" s="1"/>
      <c r="H718" s="1" t="s">
        <v>1029</v>
      </c>
      <c r="J718" s="1" t="s">
        <v>607</v>
      </c>
      <c r="M718" s="15" t="s">
        <v>520</v>
      </c>
      <c r="N718" s="1" t="s">
        <v>3158</v>
      </c>
      <c r="O718" s="15">
        <v>6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S718" s="1"/>
      <c r="T718" s="1"/>
      <c r="U718" s="32" t="s">
        <v>3179</v>
      </c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W718" s="15" t="str">
        <f>_xlfn.TEXTBEFORE(_xlfn.TEXTAFTER(CantoralDB[[#This Row],[index.html]],"&gt;"),"&gt;")&amp;"&gt;"</f>
        <v>&lt;a href="canciones/ixcis/santificare_tu_nombre.html"&gt;</v>
      </c>
      <c r="X718"/>
      <c r="AA718" s="1"/>
      <c r="AB718" s="1"/>
    </row>
    <row r="719" spans="1:28" x14ac:dyDescent="0.3">
      <c r="A719" s="1">
        <f>ROW(CantoralDB[[#This Row],[Título]])-1</f>
        <v>718</v>
      </c>
      <c r="B719" s="1" t="s">
        <v>3166</v>
      </c>
      <c r="C719" s="1"/>
      <c r="H719" s="1" t="s">
        <v>530</v>
      </c>
      <c r="J719" s="1" t="s">
        <v>607</v>
      </c>
      <c r="M719" s="15" t="s">
        <v>520</v>
      </c>
      <c r="N719" s="1" t="s">
        <v>3158</v>
      </c>
      <c r="O719" s="15">
        <v>7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S719" s="1"/>
      <c r="T719" s="1"/>
      <c r="U719" s="32" t="s">
        <v>3180</v>
      </c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W719" s="15" t="str">
        <f>_xlfn.TEXTBEFORE(_xlfn.TEXTAFTER(CantoralDB[[#This Row],[index.html]],"&gt;"),"&gt;")&amp;"&gt;"</f>
        <v>&lt;a href="canciones/ixcis/parabola_del_reino.html"&gt;</v>
      </c>
      <c r="X719"/>
      <c r="AA719" s="1"/>
      <c r="AB719" s="1"/>
    </row>
    <row r="720" spans="1:28" x14ac:dyDescent="0.3">
      <c r="A720" s="1">
        <f>ROW(CantoralDB[[#This Row],[Título]])-1</f>
        <v>719</v>
      </c>
      <c r="B720" s="1" t="s">
        <v>3167</v>
      </c>
      <c r="C720" s="1"/>
      <c r="H720" s="1" t="s">
        <v>472</v>
      </c>
      <c r="J720" s="1" t="s">
        <v>607</v>
      </c>
      <c r="M720" s="15" t="s">
        <v>520</v>
      </c>
      <c r="N720" s="1" t="s">
        <v>3158</v>
      </c>
      <c r="O720" s="15">
        <v>8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S720" s="1"/>
      <c r="T720" s="1"/>
      <c r="U720" s="32" t="s">
        <v>3181</v>
      </c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W720" s="15" t="str">
        <f>_xlfn.TEXTBEFORE(_xlfn.TEXTAFTER(CantoralDB[[#This Row],[index.html]],"&gt;"),"&gt;")&amp;"&gt;"</f>
        <v>&lt;a href="canciones/ixcis/hacer_tu_voluntad.html"&gt;</v>
      </c>
      <c r="X720"/>
      <c r="AA720" s="1"/>
      <c r="AB720" s="1"/>
    </row>
    <row r="721" spans="1:28" x14ac:dyDescent="0.3">
      <c r="A721" s="1">
        <f>ROW(CantoralDB[[#This Row],[Título]])-1</f>
        <v>720</v>
      </c>
      <c r="B721" s="1" t="s">
        <v>3168</v>
      </c>
      <c r="C721" s="1"/>
      <c r="H721" s="1" t="s">
        <v>1026</v>
      </c>
      <c r="J721" s="1" t="s">
        <v>607</v>
      </c>
      <c r="M721" s="15" t="s">
        <v>520</v>
      </c>
      <c r="N721" s="1" t="s">
        <v>3158</v>
      </c>
      <c r="O721" s="15">
        <v>9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S721" s="1"/>
      <c r="T721" s="1"/>
      <c r="U721" s="32" t="s">
        <v>3182</v>
      </c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W721" s="15" t="str">
        <f>_xlfn.TEXTBEFORE(_xlfn.TEXTAFTER(CantoralDB[[#This Row],[index.html]],"&gt;"),"&gt;")&amp;"&gt;"</f>
        <v>&lt;a href="canciones/ixcis/nueva_tierra.html"&gt;</v>
      </c>
      <c r="X721"/>
      <c r="AA721" s="1"/>
      <c r="AB721" s="1"/>
    </row>
    <row r="722" spans="1:28" x14ac:dyDescent="0.3">
      <c r="A722" s="1">
        <f>ROW(CantoralDB[[#This Row],[Título]])-1</f>
        <v>721</v>
      </c>
      <c r="B722" s="1" t="s">
        <v>3169</v>
      </c>
      <c r="C722" s="1"/>
      <c r="H722" s="1" t="s">
        <v>472</v>
      </c>
      <c r="J722" s="1" t="s">
        <v>607</v>
      </c>
      <c r="M722" s="15" t="s">
        <v>520</v>
      </c>
      <c r="N722" s="1" t="s">
        <v>3158</v>
      </c>
      <c r="O722" s="15">
        <v>10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S722" s="1"/>
      <c r="T722" s="1"/>
      <c r="U722" s="32" t="s">
        <v>3183</v>
      </c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W722" s="15" t="str">
        <f>_xlfn.TEXTBEFORE(_xlfn.TEXTAFTER(CantoralDB[[#This Row],[index.html]],"&gt;"),"&gt;")&amp;"&gt;"</f>
        <v>&lt;a href="canciones/ixcis/danos_hoy.html"&gt;</v>
      </c>
      <c r="X722"/>
      <c r="AA722" s="1"/>
      <c r="AB722" s="1"/>
    </row>
    <row r="723" spans="1:28" x14ac:dyDescent="0.3">
      <c r="A723" s="1">
        <f>ROW(CantoralDB[[#This Row],[Título]])-1</f>
        <v>722</v>
      </c>
      <c r="B723" s="1" t="s">
        <v>3170</v>
      </c>
      <c r="C723" s="1"/>
      <c r="H723" s="1" t="s">
        <v>1026</v>
      </c>
      <c r="I723" s="1" t="s">
        <v>2950</v>
      </c>
      <c r="J723" s="1" t="s">
        <v>607</v>
      </c>
      <c r="M723" s="15" t="s">
        <v>520</v>
      </c>
      <c r="N723" s="1" t="s">
        <v>3158</v>
      </c>
      <c r="O723" s="15">
        <v>11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S723" s="1"/>
      <c r="T723" s="1"/>
      <c r="U723" s="32" t="s">
        <v>3184</v>
      </c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W723" s="15" t="str">
        <f>_xlfn.TEXTBEFORE(_xlfn.TEXTAFTER(CantoralDB[[#This Row],[index.html]],"&gt;"),"&gt;")&amp;"&gt;"</f>
        <v>&lt;a href="canciones/ixcis/perdonanos.html"&gt;</v>
      </c>
      <c r="X723"/>
      <c r="AA723" s="1"/>
      <c r="AB723" s="1"/>
    </row>
    <row r="724" spans="1:28" x14ac:dyDescent="0.3">
      <c r="A724" s="1">
        <f>ROW(CantoralDB[[#This Row],[Título]])-1</f>
        <v>723</v>
      </c>
      <c r="B724" s="1" t="s">
        <v>3171</v>
      </c>
      <c r="C724" s="1"/>
      <c r="H724" s="1" t="s">
        <v>1029</v>
      </c>
      <c r="J724" s="1" t="s">
        <v>607</v>
      </c>
      <c r="M724" s="15" t="s">
        <v>520</v>
      </c>
      <c r="N724" s="1" t="s">
        <v>3158</v>
      </c>
      <c r="O724" s="15">
        <v>12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S724" s="1"/>
      <c r="T724" s="1"/>
      <c r="U724" s="32" t="s">
        <v>3185</v>
      </c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W724" s="15" t="str">
        <f>_xlfn.TEXTBEFORE(_xlfn.TEXTAFTER(CantoralDB[[#This Row],[index.html]],"&gt;"),"&gt;")&amp;"&gt;"</f>
        <v>&lt;a href="canciones/ixcis/no_nos_dejes_caer.html"&gt;</v>
      </c>
      <c r="X724"/>
      <c r="AA724" s="1"/>
      <c r="AB724" s="1"/>
    </row>
    <row r="725" spans="1:28" x14ac:dyDescent="0.3">
      <c r="A725" s="1">
        <f>ROW(CantoralDB[[#This Row],[Título]])-1</f>
        <v>724</v>
      </c>
      <c r="B725" s="1" t="s">
        <v>3172</v>
      </c>
      <c r="C725" s="1"/>
      <c r="H725" s="1" t="s">
        <v>1026</v>
      </c>
      <c r="I725" s="1" t="s">
        <v>2950</v>
      </c>
      <c r="J725" s="1" t="s">
        <v>607</v>
      </c>
      <c r="M725" s="15" t="s">
        <v>520</v>
      </c>
      <c r="N725" s="1" t="s">
        <v>3158</v>
      </c>
      <c r="O725" s="15">
        <v>13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S725" s="1"/>
      <c r="T725" s="1"/>
      <c r="U725" s="32" t="s">
        <v>3186</v>
      </c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W725" s="15" t="str">
        <f>_xlfn.TEXTBEFORE(_xlfn.TEXTAFTER(CantoralDB[[#This Row],[index.html]],"&gt;"),"&gt;")&amp;"&gt;"</f>
        <v>&lt;a href="canciones/ixcis/librame.html"&gt;</v>
      </c>
      <c r="X725"/>
      <c r="AA725" s="1"/>
      <c r="AB725" s="1"/>
    </row>
    <row r="726" spans="1:28" x14ac:dyDescent="0.3">
      <c r="A726" s="1">
        <f>ROW(CantoralDB[[#This Row],[Título]])-1</f>
        <v>725</v>
      </c>
      <c r="B726" s="1" t="s">
        <v>3173</v>
      </c>
      <c r="C726" s="1"/>
      <c r="H726" s="1" t="s">
        <v>1026</v>
      </c>
      <c r="J726" s="1" t="s">
        <v>607</v>
      </c>
      <c r="M726" s="15" t="s">
        <v>520</v>
      </c>
      <c r="N726" s="1" t="s">
        <v>3158</v>
      </c>
      <c r="O726" s="15">
        <v>14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S726" s="1"/>
      <c r="T726" s="1"/>
      <c r="U726" s="32" t="s">
        <v>3187</v>
      </c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W726" s="15" t="str">
        <f>_xlfn.TEXTBEFORE(_xlfn.TEXTAFTER(CantoralDB[[#This Row],[index.html]],"&gt;"),"&gt;")&amp;"&gt;"</f>
        <v>&lt;a href="canciones/ixcis/tu_amen.html"&gt;</v>
      </c>
      <c r="X726"/>
      <c r="AA726" s="1"/>
      <c r="AB726" s="1"/>
    </row>
    <row r="727" spans="1:28" x14ac:dyDescent="0.3">
      <c r="A727" s="1">
        <f>ROW(CantoralDB[[#This Row],[Título]])-1</f>
        <v>726</v>
      </c>
      <c r="B727" s="1" t="s">
        <v>3174</v>
      </c>
      <c r="C727" s="1"/>
      <c r="H727" s="1" t="s">
        <v>1029</v>
      </c>
      <c r="J727" s="1" t="s">
        <v>607</v>
      </c>
      <c r="M727" s="15" t="s">
        <v>520</v>
      </c>
      <c r="N727" s="1" t="s">
        <v>3158</v>
      </c>
      <c r="O727" s="15">
        <v>15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S727" s="1"/>
      <c r="T727" s="1"/>
      <c r="U727" s="32" t="s">
        <v>3188</v>
      </c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W727" s="15" t="str">
        <f>_xlfn.TEXTBEFORE(_xlfn.TEXTAFTER(CantoralDB[[#This Row],[index.html]],"&gt;"),"&gt;")&amp;"&gt;"</f>
        <v>&lt;a href="canciones/ixcis/somos_tu_pueblo.html"&gt;</v>
      </c>
      <c r="X727"/>
      <c r="AA727" s="1"/>
      <c r="AB727" s="1"/>
    </row>
    <row r="728" spans="1:28" x14ac:dyDescent="0.3">
      <c r="A728" s="1">
        <f>ROW(CantoralDB[[#This Row],[Título]])-1</f>
        <v>727</v>
      </c>
      <c r="B728" s="1" t="s">
        <v>3460</v>
      </c>
      <c r="C728" s="1"/>
      <c r="H728" s="1" t="s">
        <v>1026</v>
      </c>
      <c r="J728" s="1" t="s">
        <v>607</v>
      </c>
      <c r="M728" s="15" t="s">
        <v>520</v>
      </c>
      <c r="N728" s="1" t="s">
        <v>3158</v>
      </c>
      <c r="O728" s="15">
        <v>16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S728" s="1"/>
      <c r="T728" s="1"/>
      <c r="U728" s="32" t="s">
        <v>3189</v>
      </c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W728" s="15" t="str">
        <f>_xlfn.TEXTBEFORE(_xlfn.TEXTAFTER(CantoralDB[[#This Row],[index.html]],"&gt;"),"&gt;")&amp;"&gt;"</f>
        <v>&lt;a href="canciones/ixcis/padrenuestro_ii.html"&gt;</v>
      </c>
      <c r="X728"/>
      <c r="AA728" s="1"/>
      <c r="AB728" s="1"/>
    </row>
    <row r="729" spans="1:28" x14ac:dyDescent="0.3">
      <c r="A729" s="1">
        <f>ROW(CantoralDB[[#This Row],[Título]])-1</f>
        <v>728</v>
      </c>
      <c r="B729" s="1" t="s">
        <v>3238</v>
      </c>
      <c r="C729" s="1"/>
      <c r="H729" s="1" t="s">
        <v>1029</v>
      </c>
      <c r="J729" s="1" t="s">
        <v>607</v>
      </c>
      <c r="M729" s="15" t="s">
        <v>520</v>
      </c>
      <c r="N729" s="1" t="s">
        <v>3237</v>
      </c>
      <c r="O729" s="15">
        <v>2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S729" s="1"/>
      <c r="T729" s="1"/>
      <c r="U729" s="32" t="s">
        <v>3253</v>
      </c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W729" s="15" t="str">
        <f>_xlfn.TEXTBEFORE(_xlfn.TEXTAFTER(CantoralDB[[#This Row],[index.html]],"&gt;"),"&gt;")&amp;"&gt;"</f>
        <v>&lt;a href="canciones/ixcis/te_necesito.html"&gt;</v>
      </c>
      <c r="X729"/>
      <c r="AA729" s="1"/>
      <c r="AB729" s="1"/>
    </row>
    <row r="730" spans="1:28" x14ac:dyDescent="0.3">
      <c r="A730" s="1">
        <f>ROW(CantoralDB[[#This Row],[Título]])-1</f>
        <v>729</v>
      </c>
      <c r="B730" s="1" t="s">
        <v>3239</v>
      </c>
      <c r="C730" s="1"/>
      <c r="H730" s="1" t="s">
        <v>1029</v>
      </c>
      <c r="I730" s="1" t="s">
        <v>2954</v>
      </c>
      <c r="J730" s="1" t="s">
        <v>607</v>
      </c>
      <c r="M730" s="15" t="s">
        <v>520</v>
      </c>
      <c r="N730" s="1" t="s">
        <v>3237</v>
      </c>
      <c r="O730" s="15">
        <v>3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S730" s="1"/>
      <c r="T730" s="1"/>
      <c r="U730" s="32" t="s">
        <v>3254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W730" s="15" t="str">
        <f>_xlfn.TEXTBEFORE(_xlfn.TEXTAFTER(CantoralDB[[#This Row],[index.html]],"&gt;"),"&gt;")&amp;"&gt;"</f>
        <v>&lt;a href="canciones/ixcis/solo_quedas_tu.html"&gt;</v>
      </c>
      <c r="X730"/>
      <c r="AA730" s="1"/>
      <c r="AB730" s="1"/>
    </row>
    <row r="731" spans="1:28" x14ac:dyDescent="0.3">
      <c r="A731" s="1">
        <f>ROW(CantoralDB[[#This Row],[Título]])-1</f>
        <v>730</v>
      </c>
      <c r="B731" s="1" t="s">
        <v>3240</v>
      </c>
      <c r="C731" s="1"/>
      <c r="H731" s="1" t="s">
        <v>1029</v>
      </c>
      <c r="J731" s="1" t="s">
        <v>607</v>
      </c>
      <c r="M731" s="15" t="s">
        <v>520</v>
      </c>
      <c r="N731" s="1" t="s">
        <v>3237</v>
      </c>
      <c r="O731" s="15">
        <v>4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S731" s="1"/>
      <c r="T731" s="1"/>
      <c r="U731" s="32" t="s">
        <v>3255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W731" s="15" t="str">
        <f>_xlfn.TEXTBEFORE(_xlfn.TEXTAFTER(CantoralDB[[#This Row],[index.html]],"&gt;"),"&gt;")&amp;"&gt;"</f>
        <v>&lt;a href="canciones/ixcis/talihakum.html"&gt;</v>
      </c>
      <c r="X731"/>
      <c r="AA731" s="1"/>
      <c r="AB731" s="1"/>
    </row>
    <row r="732" spans="1:28" x14ac:dyDescent="0.3">
      <c r="A732" s="1">
        <f>ROW(CantoralDB[[#This Row],[Título]])-1</f>
        <v>731</v>
      </c>
      <c r="B732" s="1" t="s">
        <v>3241</v>
      </c>
      <c r="C732" s="1"/>
      <c r="H732" s="1" t="s">
        <v>1029</v>
      </c>
      <c r="I732" s="1" t="s">
        <v>2954</v>
      </c>
      <c r="J732" s="1" t="s">
        <v>607</v>
      </c>
      <c r="M732" s="15" t="s">
        <v>520</v>
      </c>
      <c r="N732" s="1" t="s">
        <v>3237</v>
      </c>
      <c r="O732" s="15">
        <v>5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S732" s="1"/>
      <c r="T732" s="1"/>
      <c r="U732" s="32" t="s">
        <v>3256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W732" s="15" t="str">
        <f>_xlfn.TEXTBEFORE(_xlfn.TEXTAFTER(CantoralDB[[#This Row],[index.html]],"&gt;"),"&gt;")&amp;"&gt;"</f>
        <v>&lt;a href="canciones/ixcis/cristianos_de_orilla.html"&gt;</v>
      </c>
      <c r="X732"/>
      <c r="AA732" s="1"/>
      <c r="AB732" s="1"/>
    </row>
    <row r="733" spans="1:28" x14ac:dyDescent="0.3">
      <c r="A733" s="1">
        <f>ROW(CantoralDB[[#This Row],[Título]])-1</f>
        <v>732</v>
      </c>
      <c r="B733" s="1" t="s">
        <v>3242</v>
      </c>
      <c r="C733" s="1"/>
      <c r="H733" s="1" t="s">
        <v>1026</v>
      </c>
      <c r="J733" s="1" t="s">
        <v>607</v>
      </c>
      <c r="M733" s="15" t="s">
        <v>520</v>
      </c>
      <c r="N733" s="1" t="s">
        <v>3237</v>
      </c>
      <c r="O733" s="15">
        <v>6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S733" s="1"/>
      <c r="T733" s="1"/>
      <c r="U733" s="32" t="s">
        <v>3334</v>
      </c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W733" s="15" t="str">
        <f>_xlfn.TEXTBEFORE(_xlfn.TEXTAFTER(CantoralDB[[#This Row],[index.html]],"&gt;"),"&gt;")&amp;"&gt;"</f>
        <v>&lt;a href="canciones/ixcis/vive_lo_que_cantas.html"&gt;</v>
      </c>
      <c r="X733"/>
      <c r="AA733" s="1"/>
      <c r="AB733" s="1"/>
    </row>
    <row r="734" spans="1:28" x14ac:dyDescent="0.3">
      <c r="A734" s="1">
        <f>ROW(CantoralDB[[#This Row],[Título]])-1</f>
        <v>733</v>
      </c>
      <c r="B734" s="1" t="s">
        <v>3243</v>
      </c>
      <c r="C734" s="1"/>
      <c r="H734" s="1" t="s">
        <v>1029</v>
      </c>
      <c r="I734" s="1" t="s">
        <v>2953</v>
      </c>
      <c r="J734" s="1" t="s">
        <v>607</v>
      </c>
      <c r="M734" s="15" t="s">
        <v>520</v>
      </c>
      <c r="N734" s="1" t="s">
        <v>3237</v>
      </c>
      <c r="O734" s="15">
        <v>7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S734" s="1"/>
      <c r="T734" s="1"/>
      <c r="U734" s="32" t="s">
        <v>3335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W734" s="15" t="str">
        <f>_xlfn.TEXTBEFORE(_xlfn.TEXTAFTER(CantoralDB[[#This Row],[index.html]],"&gt;"),"&gt;")&amp;"&gt;"</f>
        <v>&lt;a href="canciones/ixcis/culpable.html"&gt;</v>
      </c>
      <c r="X734"/>
      <c r="AA734" s="1"/>
      <c r="AB734" s="1"/>
    </row>
    <row r="735" spans="1:28" x14ac:dyDescent="0.3">
      <c r="A735" s="1">
        <f>ROW(CantoralDB[[#This Row],[Título]])-1</f>
        <v>734</v>
      </c>
      <c r="B735" s="1" t="s">
        <v>3244</v>
      </c>
      <c r="C735" s="1"/>
      <c r="H735" s="1" t="s">
        <v>1028</v>
      </c>
      <c r="J735" s="1" t="s">
        <v>607</v>
      </c>
      <c r="M735" s="15" t="s">
        <v>520</v>
      </c>
      <c r="N735" s="1" t="s">
        <v>3237</v>
      </c>
      <c r="O735" s="15">
        <v>8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S735" s="1"/>
      <c r="T735" s="1"/>
      <c r="U735" s="32" t="s">
        <v>3336</v>
      </c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W735" s="15" t="str">
        <f>_xlfn.TEXTBEFORE(_xlfn.TEXTAFTER(CantoralDB[[#This Row],[index.html]],"&gt;"),"&gt;")&amp;"&gt;"</f>
        <v>&lt;a href="canciones/ixcis/me_siento_perdonado.html"&gt;</v>
      </c>
      <c r="X735"/>
      <c r="AA735" s="1"/>
      <c r="AB735" s="1"/>
    </row>
    <row r="736" spans="1:28" x14ac:dyDescent="0.3">
      <c r="A736" s="1">
        <f>ROW(CantoralDB[[#This Row],[Título]])-1</f>
        <v>735</v>
      </c>
      <c r="B736" s="1" t="s">
        <v>3245</v>
      </c>
      <c r="C736" s="1"/>
      <c r="H736" s="1" t="s">
        <v>1026</v>
      </c>
      <c r="J736" s="1" t="s">
        <v>607</v>
      </c>
      <c r="M736" s="15" t="s">
        <v>520</v>
      </c>
      <c r="N736" s="1" t="s">
        <v>3237</v>
      </c>
      <c r="O736" s="15">
        <v>9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S736" s="1"/>
      <c r="T736" s="1"/>
      <c r="U736" s="32" t="s">
        <v>3337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W736" s="15" t="str">
        <f>_xlfn.TEXTBEFORE(_xlfn.TEXTAFTER(CantoralDB[[#This Row],[index.html]],"&gt;"),"&gt;")&amp;"&gt;"</f>
        <v>&lt;a href="canciones/ixcis/yo_te_alabo.html"&gt;</v>
      </c>
      <c r="X736"/>
      <c r="AA736" s="1"/>
      <c r="AB736" s="1"/>
    </row>
    <row r="737" spans="1:28" x14ac:dyDescent="0.3">
      <c r="A737" s="1">
        <f>ROW(CantoralDB[[#This Row],[Título]])-1</f>
        <v>736</v>
      </c>
      <c r="B737" s="1" t="s">
        <v>3246</v>
      </c>
      <c r="C737" s="1"/>
      <c r="H737" s="1" t="s">
        <v>472</v>
      </c>
      <c r="J737" s="1" t="s">
        <v>607</v>
      </c>
      <c r="M737" s="15" t="s">
        <v>520</v>
      </c>
      <c r="N737" s="1" t="s">
        <v>3237</v>
      </c>
      <c r="O737" s="15">
        <v>11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S737" s="1"/>
      <c r="T737" s="1"/>
      <c r="U737" s="32" t="s">
        <v>3338</v>
      </c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W737" s="15" t="str">
        <f>_xlfn.TEXTBEFORE(_xlfn.TEXTAFTER(CantoralDB[[#This Row],[index.html]],"&gt;"),"&gt;")&amp;"&gt;"</f>
        <v>&lt;a href="canciones/ixcis/gracias_amigo_del_alma.html"&gt;</v>
      </c>
      <c r="X737"/>
      <c r="AA737" s="1"/>
      <c r="AB737" s="1"/>
    </row>
    <row r="738" spans="1:28" x14ac:dyDescent="0.3">
      <c r="A738" s="1">
        <f>ROW(CantoralDB[[#This Row],[Título]])-1</f>
        <v>737</v>
      </c>
      <c r="B738" s="1" t="s">
        <v>3247</v>
      </c>
      <c r="C738" s="1"/>
      <c r="H738" s="1" t="s">
        <v>1026</v>
      </c>
      <c r="J738" s="1" t="s">
        <v>607</v>
      </c>
      <c r="M738" s="15" t="s">
        <v>520</v>
      </c>
      <c r="N738" s="1" t="s">
        <v>3237</v>
      </c>
      <c r="O738" s="15">
        <v>12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S738" s="1"/>
      <c r="T738" s="1"/>
      <c r="U738" s="32" t="s">
        <v>3339</v>
      </c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W738" s="15" t="str">
        <f>_xlfn.TEXTBEFORE(_xlfn.TEXTAFTER(CantoralDB[[#This Row],[index.html]],"&gt;"),"&gt;")&amp;"&gt;"</f>
        <v>&lt;a href="canciones/ixcis/adonde_vayas.html"&gt;</v>
      </c>
      <c r="X738"/>
      <c r="AA738" s="1"/>
      <c r="AB738" s="1"/>
    </row>
    <row r="739" spans="1:28" x14ac:dyDescent="0.3">
      <c r="A739" s="1">
        <f>ROW(CantoralDB[[#This Row],[Título]])-1</f>
        <v>738</v>
      </c>
      <c r="B739" s="1" t="s">
        <v>3248</v>
      </c>
      <c r="C739" s="1"/>
      <c r="H739" s="1" t="s">
        <v>530</v>
      </c>
      <c r="J739" s="1" t="s">
        <v>607</v>
      </c>
      <c r="M739" s="15" t="s">
        <v>520</v>
      </c>
      <c r="N739" s="1" t="s">
        <v>3237</v>
      </c>
      <c r="O739" s="15">
        <v>13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S739" s="1"/>
      <c r="T739" s="1"/>
      <c r="U739" s="32" t="s">
        <v>3340</v>
      </c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W739" s="15" t="str">
        <f>_xlfn.TEXTBEFORE(_xlfn.TEXTAFTER(CantoralDB[[#This Row],[index.html]],"&gt;"),"&gt;")&amp;"&gt;"</f>
        <v>&lt;a href="canciones/ixcis/contigo.html"&gt;</v>
      </c>
      <c r="X739"/>
      <c r="AA739" s="1"/>
      <c r="AB739" s="1"/>
    </row>
    <row r="740" spans="1:28" x14ac:dyDescent="0.3">
      <c r="A740" s="1">
        <f>ROW(CantoralDB[[#This Row],[Título]])-1</f>
        <v>739</v>
      </c>
      <c r="B740" s="1" t="s">
        <v>3249</v>
      </c>
      <c r="C740" s="1"/>
      <c r="H740" s="1" t="s">
        <v>1028</v>
      </c>
      <c r="J740" s="1" t="s">
        <v>607</v>
      </c>
      <c r="M740" s="15" t="s">
        <v>520</v>
      </c>
      <c r="N740" s="1" t="s">
        <v>3237</v>
      </c>
      <c r="O740" s="15">
        <v>14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S740" s="1"/>
      <c r="T740" s="1"/>
      <c r="U740" s="32" t="s">
        <v>3341</v>
      </c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W740" s="15" t="str">
        <f>_xlfn.TEXTBEFORE(_xlfn.TEXTAFTER(CantoralDB[[#This Row],[index.html]],"&gt;"),"&gt;")&amp;"&gt;"</f>
        <v>&lt;a href="canciones/ixcis/tu_mi_raiz.html"&gt;</v>
      </c>
      <c r="X740"/>
      <c r="AA740" s="1"/>
      <c r="AB740" s="1"/>
    </row>
    <row r="741" spans="1:28" x14ac:dyDescent="0.3">
      <c r="A741" s="1">
        <f>ROW(CantoralDB[[#This Row],[Título]])-1</f>
        <v>740</v>
      </c>
      <c r="B741" s="1" t="s">
        <v>3250</v>
      </c>
      <c r="C741" s="1"/>
      <c r="H741" s="1" t="s">
        <v>1027</v>
      </c>
      <c r="J741" s="1" t="s">
        <v>607</v>
      </c>
      <c r="M741" s="15" t="s">
        <v>520</v>
      </c>
      <c r="N741" s="1" t="s">
        <v>3237</v>
      </c>
      <c r="O741" s="15">
        <v>15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S741" s="1"/>
      <c r="T741" s="1"/>
      <c r="U741" s="32" t="s">
        <v>3342</v>
      </c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W741" s="15" t="str">
        <f>_xlfn.TEXTBEFORE(_xlfn.TEXTAFTER(CantoralDB[[#This Row],[index.html]],"&gt;"),"&gt;")&amp;"&gt;"</f>
        <v>&lt;a href="canciones/ixcis/cuando_dos_se_aman.html"&gt;</v>
      </c>
      <c r="X741"/>
      <c r="AA741" s="1"/>
      <c r="AB741" s="1"/>
    </row>
    <row r="742" spans="1:28" x14ac:dyDescent="0.3">
      <c r="A742" s="1">
        <f>ROW(CantoralDB[[#This Row],[Título]])-1</f>
        <v>741</v>
      </c>
      <c r="B742" s="1" t="s">
        <v>3251</v>
      </c>
      <c r="C742" s="1"/>
      <c r="H742" s="1" t="s">
        <v>472</v>
      </c>
      <c r="I742" s="1" t="s">
        <v>2952</v>
      </c>
      <c r="J742" s="1" t="s">
        <v>607</v>
      </c>
      <c r="M742" s="15" t="s">
        <v>520</v>
      </c>
      <c r="N742" s="1" t="s">
        <v>3237</v>
      </c>
      <c r="O742" s="15">
        <v>16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S742" s="1"/>
      <c r="T742" s="1"/>
      <c r="U742" s="32" t="s">
        <v>3343</v>
      </c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W742" s="15" t="str">
        <f>_xlfn.TEXTBEFORE(_xlfn.TEXTAFTER(CantoralDB[[#This Row],[index.html]],"&gt;"),"&gt;")&amp;"&gt;"</f>
        <v>&lt;a href="canciones/ixcis/un_poco_de_fe.html"&gt;</v>
      </c>
      <c r="X742"/>
      <c r="AA742" s="1"/>
      <c r="AB742" s="1"/>
    </row>
    <row r="743" spans="1:28" x14ac:dyDescent="0.3">
      <c r="A743" s="1">
        <f>ROW(CantoralDB[[#This Row],[Título]])-1</f>
        <v>742</v>
      </c>
      <c r="B743" s="1" t="s">
        <v>3252</v>
      </c>
      <c r="C743" s="1"/>
      <c r="H743" s="1" t="s">
        <v>530</v>
      </c>
      <c r="J743" s="1" t="s">
        <v>607</v>
      </c>
      <c r="M743" s="15" t="s">
        <v>520</v>
      </c>
      <c r="N743" s="1" t="s">
        <v>3237</v>
      </c>
      <c r="O743" s="15">
        <v>17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S743" s="1"/>
      <c r="T743" s="1"/>
      <c r="U743" s="32" t="s">
        <v>3344</v>
      </c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W743" s="15" t="str">
        <f>_xlfn.TEXTBEFORE(_xlfn.TEXTAFTER(CantoralDB[[#This Row],[index.html]],"&gt;"),"&gt;")&amp;"&gt;"</f>
        <v>&lt;a href="canciones/ixcis/no_me_rendire.html"&gt;</v>
      </c>
      <c r="X743"/>
      <c r="AA743" s="1"/>
      <c r="AB743" s="1"/>
    </row>
    <row r="744" spans="1:28" x14ac:dyDescent="0.3">
      <c r="A744" s="1">
        <f>ROW(CantoralDB[[#This Row],[Título]])-1</f>
        <v>743</v>
      </c>
      <c r="B744" s="1" t="s">
        <v>213</v>
      </c>
      <c r="C744" s="1"/>
      <c r="H744" s="1" t="s">
        <v>472</v>
      </c>
      <c r="J744" s="1" t="s">
        <v>607</v>
      </c>
      <c r="M744" s="15" t="s">
        <v>520</v>
      </c>
      <c r="N744" s="1" t="s">
        <v>3237</v>
      </c>
      <c r="O744" s="15">
        <v>19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S744" s="1"/>
      <c r="T744" s="1"/>
      <c r="U744" s="32" t="s">
        <v>3345</v>
      </c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W744" s="15" t="str">
        <f>_xlfn.TEXTBEFORE(_xlfn.TEXTAFTER(CantoralDB[[#This Row],[index.html]],"&gt;"),"&gt;")&amp;"&gt;"</f>
        <v>&lt;a href="canciones/ixcis/enviame.html"&gt;</v>
      </c>
      <c r="X744"/>
      <c r="AA744" s="1"/>
      <c r="AB744" s="1"/>
    </row>
    <row r="745" spans="1:28" x14ac:dyDescent="0.3">
      <c r="A745" s="1">
        <f>ROW(CantoralDB[[#This Row],[Título]])-1</f>
        <v>744</v>
      </c>
      <c r="B745" s="1" t="s">
        <v>10</v>
      </c>
      <c r="C745" s="1" t="s">
        <v>992</v>
      </c>
      <c r="D745" s="1" t="s">
        <v>1035</v>
      </c>
      <c r="E745" s="1">
        <v>12</v>
      </c>
      <c r="G745" s="1" t="s">
        <v>208</v>
      </c>
      <c r="H745" s="1" t="s">
        <v>530</v>
      </c>
      <c r="J745" s="1" t="s">
        <v>607</v>
      </c>
      <c r="M745" s="15" t="s">
        <v>484</v>
      </c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745" s="1" t="s">
        <v>799</v>
      </c>
      <c r="T745" s="1"/>
      <c r="U745" s="32" t="s">
        <v>3075</v>
      </c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745" s="15" t="str">
        <f>_xlfn.TEXTBEFORE(_xlfn.TEXTAFTER(CantoralDB[[#This Row],[index.html]],"&gt;"),"&gt;")&amp;"&gt;"</f>
        <v>&lt;a href="canciones/joaquin_madurga/al_ver_jesus.html"&gt;</v>
      </c>
      <c r="X745"/>
      <c r="AA745" s="1"/>
      <c r="AB745" s="1"/>
    </row>
    <row r="746" spans="1:28" x14ac:dyDescent="0.3">
      <c r="A746" s="1">
        <f>ROW(CantoralDB[[#This Row],[Título]])-1</f>
        <v>745</v>
      </c>
      <c r="B746" s="1" t="s">
        <v>230</v>
      </c>
      <c r="C746" s="1" t="s">
        <v>193</v>
      </c>
      <c r="D746" s="1" t="s">
        <v>646</v>
      </c>
      <c r="G746" s="1" t="s">
        <v>208</v>
      </c>
      <c r="H746" s="1" t="s">
        <v>1028</v>
      </c>
      <c r="J746" s="1" t="s">
        <v>607</v>
      </c>
      <c r="M746" s="15" t="s">
        <v>484</v>
      </c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746" s="1"/>
      <c r="T746" s="1"/>
      <c r="U746" s="32" t="s">
        <v>3671</v>
      </c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746" s="15" t="str">
        <f>_xlfn.TEXTBEFORE(_xlfn.TEXTAFTER(CantoralDB[[#This Row],[index.html]],"&gt;"),"&gt;")&amp;"&gt;"</f>
        <v>&lt;a href="canciones/joaquin_madurga/aleluya_ha_nacido_el_salvador.html"&gt;</v>
      </c>
      <c r="X746"/>
      <c r="AA746" s="1"/>
      <c r="AB746" s="1"/>
    </row>
    <row r="747" spans="1:28" x14ac:dyDescent="0.3">
      <c r="A747" s="1">
        <f>ROW(CantoralDB[[#This Row],[Título]])-1</f>
        <v>746</v>
      </c>
      <c r="B747" s="1" t="s">
        <v>25</v>
      </c>
      <c r="C747" s="1" t="s">
        <v>194</v>
      </c>
      <c r="D747" s="1" t="s">
        <v>1382</v>
      </c>
      <c r="E747" s="1">
        <v>26</v>
      </c>
      <c r="G747" s="1" t="s">
        <v>208</v>
      </c>
      <c r="H747" s="1" t="s">
        <v>530</v>
      </c>
      <c r="I747" s="1" t="s">
        <v>2953</v>
      </c>
      <c r="J747" s="1" t="s">
        <v>607</v>
      </c>
      <c r="M747" s="15" t="s">
        <v>484</v>
      </c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747" s="1" t="s">
        <v>804</v>
      </c>
      <c r="T747" s="1"/>
      <c r="U747" s="32" t="s">
        <v>3076</v>
      </c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747" s="15" t="str">
        <f>_xlfn.TEXTBEFORE(_xlfn.TEXTAFTER(CantoralDB[[#This Row],[index.html]],"&gt;"),"&gt;")&amp;"&gt;"</f>
        <v>&lt;a href="canciones/joaquin_madurga/andando_por_el_camino.html"&gt;</v>
      </c>
      <c r="X747"/>
      <c r="AA747" s="1"/>
      <c r="AB747" s="1"/>
    </row>
    <row r="748" spans="1:28" x14ac:dyDescent="0.3">
      <c r="A748" s="1">
        <f>ROW(CantoralDB[[#This Row],[Título]])-1</f>
        <v>747</v>
      </c>
      <c r="B748" s="1" t="s">
        <v>1178</v>
      </c>
      <c r="C748" s="1"/>
      <c r="E748" s="1">
        <v>48</v>
      </c>
      <c r="H748" s="1" t="s">
        <v>1029</v>
      </c>
      <c r="J748" s="1" t="s">
        <v>607</v>
      </c>
      <c r="M748" s="15" t="s">
        <v>484</v>
      </c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748" s="1"/>
      <c r="T748" s="1"/>
      <c r="U748" s="32" t="s">
        <v>3078</v>
      </c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748" s="15" t="str">
        <f>_xlfn.TEXTBEFORE(_xlfn.TEXTAFTER(CantoralDB[[#This Row],[index.html]],"&gt;"),"&gt;")&amp;"&gt;"</f>
        <v>&lt;a href="canciones/joaquin_madurga/comiendo_del_mismo_pan.html"&gt;</v>
      </c>
      <c r="X748"/>
      <c r="AA748" s="1"/>
      <c r="AB748" s="1"/>
    </row>
    <row r="749" spans="1:28" x14ac:dyDescent="0.3">
      <c r="A749" s="1">
        <f>ROW(CantoralDB[[#This Row],[Título]])-1</f>
        <v>748</v>
      </c>
      <c r="B749" s="1" t="s">
        <v>47</v>
      </c>
      <c r="C749" s="1" t="s">
        <v>194</v>
      </c>
      <c r="D749" s="1" t="s">
        <v>1409</v>
      </c>
      <c r="E749" s="1">
        <v>84</v>
      </c>
      <c r="G749" s="1" t="s">
        <v>208</v>
      </c>
      <c r="H749" s="1" t="s">
        <v>530</v>
      </c>
      <c r="I749" s="1" t="s">
        <v>2952</v>
      </c>
      <c r="J749" s="1" t="s">
        <v>607</v>
      </c>
      <c r="M749" s="15" t="s">
        <v>484</v>
      </c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749" s="1"/>
      <c r="T749" s="1"/>
      <c r="U749" s="32" t="s">
        <v>3079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749" s="15" t="str">
        <f>_xlfn.TEXTBEFORE(_xlfn.TEXTAFTER(CantoralDB[[#This Row],[index.html]],"&gt;"),"&gt;")&amp;"&gt;"</f>
        <v>&lt;a href="canciones/joaquin_madurga/donde_hay_caridad_y_amor.html"&gt;</v>
      </c>
      <c r="X749"/>
      <c r="AA749" s="1"/>
      <c r="AB749" s="1"/>
    </row>
    <row r="750" spans="1:28" x14ac:dyDescent="0.3">
      <c r="A750" s="1">
        <f>ROW(CantoralDB[[#This Row],[Título]])-1</f>
        <v>749</v>
      </c>
      <c r="B750" s="1" t="s">
        <v>223</v>
      </c>
      <c r="C750" s="1" t="s">
        <v>190</v>
      </c>
      <c r="D750" s="1" t="s">
        <v>735</v>
      </c>
      <c r="G750" s="1" t="s">
        <v>215</v>
      </c>
      <c r="H750" s="1" t="s">
        <v>1027</v>
      </c>
      <c r="J750" s="1" t="s">
        <v>607</v>
      </c>
      <c r="M750" s="15" t="s">
        <v>484</v>
      </c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750" s="1"/>
      <c r="T750" s="1"/>
      <c r="U750" s="32" t="s">
        <v>3077</v>
      </c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750" s="15" t="str">
        <f>_xlfn.TEXTBEFORE(_xlfn.TEXTAFTER(CantoralDB[[#This Row],[index.html]],"&gt;"),"&gt;")&amp;"&gt;"</f>
        <v>&lt;a href="canciones/joaquin_madurga/el_señor_resucito.html"&gt;</v>
      </c>
      <c r="X750"/>
      <c r="AA750" s="1"/>
      <c r="AB750" s="1"/>
    </row>
    <row r="751" spans="1:28" x14ac:dyDescent="0.3">
      <c r="A751" s="1">
        <f>ROW(CantoralDB[[#This Row],[Título]])-1</f>
        <v>750</v>
      </c>
      <c r="B751" s="1" t="s">
        <v>65</v>
      </c>
      <c r="C751" s="1" t="s">
        <v>190</v>
      </c>
      <c r="D751" s="1" t="s">
        <v>739</v>
      </c>
      <c r="E751" s="1">
        <v>122</v>
      </c>
      <c r="G751" s="1" t="s">
        <v>208</v>
      </c>
      <c r="H751" s="1" t="s">
        <v>530</v>
      </c>
      <c r="J751" s="1" t="s">
        <v>607</v>
      </c>
      <c r="M751" s="15" t="s">
        <v>484</v>
      </c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751" s="1"/>
      <c r="T751" s="1"/>
      <c r="U751" s="32" t="s">
        <v>3080</v>
      </c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751" s="15" t="str">
        <f>_xlfn.TEXTBEFORE(_xlfn.TEXTAFTER(CantoralDB[[#This Row],[index.html]],"&gt;"),"&gt;")&amp;"&gt;"</f>
        <v>&lt;a href="canciones/joaquin_madurga/esta_es_tu_fiesta.html"&gt;</v>
      </c>
      <c r="X751"/>
      <c r="AA751" s="1"/>
      <c r="AB751" s="1"/>
    </row>
    <row r="752" spans="1:28" x14ac:dyDescent="0.3">
      <c r="A752" s="1">
        <f>ROW(CantoralDB[[#This Row],[Título]])-1</f>
        <v>751</v>
      </c>
      <c r="B752" s="1" t="s">
        <v>155</v>
      </c>
      <c r="C752" s="1" t="s">
        <v>190</v>
      </c>
      <c r="D752" s="1" t="s">
        <v>754</v>
      </c>
      <c r="E752" s="1">
        <v>275</v>
      </c>
      <c r="G752" s="1" t="s">
        <v>208</v>
      </c>
      <c r="H752" s="1" t="s">
        <v>1029</v>
      </c>
      <c r="I752" s="1" t="s">
        <v>2953</v>
      </c>
      <c r="J752" s="1" t="s">
        <v>607</v>
      </c>
      <c r="M752" s="15" t="s">
        <v>484</v>
      </c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52" s="1"/>
      <c r="T752" s="1"/>
      <c r="U752" s="32" t="s">
        <v>3081</v>
      </c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52" s="15" t="str">
        <f>_xlfn.TEXTBEFORE(_xlfn.TEXTAFTER(CantoralDB[[#This Row],[index.html]],"&gt;"),"&gt;")&amp;"&gt;"</f>
        <v>&lt;a href="canciones/joaquin_madurga/unidos_en_la_fiesta.html"&gt;</v>
      </c>
      <c r="X752"/>
      <c r="AA752" s="1"/>
      <c r="AB752" s="1"/>
    </row>
    <row r="753" spans="1:28" x14ac:dyDescent="0.3">
      <c r="A753" s="1">
        <f>ROW(CantoralDB[[#This Row],[Título]])-1</f>
        <v>752</v>
      </c>
      <c r="B753" s="1" t="s">
        <v>1343</v>
      </c>
      <c r="C753" s="1"/>
      <c r="E753" s="1">
        <v>287</v>
      </c>
      <c r="H753" s="1" t="s">
        <v>1027</v>
      </c>
      <c r="J753" s="1" t="s">
        <v>607</v>
      </c>
      <c r="M753" s="15" t="s">
        <v>484</v>
      </c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53" s="1"/>
      <c r="T753" s="1"/>
      <c r="U753" s="32" t="s">
        <v>3082</v>
      </c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53" s="15" t="str">
        <f>_xlfn.TEXTBEFORE(_xlfn.TEXTAFTER(CantoralDB[[#This Row],[index.html]],"&gt;"),"&gt;")&amp;"&gt;"</f>
        <v>&lt;a href="canciones/joaquin_madurga/vamos_buscando_la_verdad.html"&gt;</v>
      </c>
      <c r="X753"/>
      <c r="AA753" s="1"/>
      <c r="AB753" s="1"/>
    </row>
    <row r="754" spans="1:28" x14ac:dyDescent="0.3">
      <c r="A754" s="1">
        <f>ROW(CantoralDB[[#This Row],[Título]])-1</f>
        <v>753</v>
      </c>
      <c r="B754" s="1" t="s">
        <v>171</v>
      </c>
      <c r="C754" s="1" t="s">
        <v>992</v>
      </c>
      <c r="D754" s="1" t="s">
        <v>1032</v>
      </c>
      <c r="F754" s="1">
        <v>400</v>
      </c>
      <c r="G754" s="1" t="s">
        <v>208</v>
      </c>
      <c r="H754" s="1" t="s">
        <v>1029</v>
      </c>
      <c r="J754" s="1" t="s">
        <v>607</v>
      </c>
      <c r="M754" s="15" t="s">
        <v>538</v>
      </c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754" s="15" t="str">
        <f>_xlfn.TEXTBEFORE(_xlfn.TEXTAFTER(CantoralDB[[#This Row],[index.html]],"&gt;"),"&gt;")&amp;"&gt;"</f>
        <v>&lt;a href="canciones/josep_asuncion/adorare_tu_cuerpo_herido.html"&gt;</v>
      </c>
      <c r="X754"/>
      <c r="AA754" s="1"/>
      <c r="AB754" s="1"/>
    </row>
    <row r="755" spans="1:28" x14ac:dyDescent="0.3">
      <c r="A755" s="1">
        <f>ROW(CantoralDB[[#This Row],[Título]])-1</f>
        <v>754</v>
      </c>
      <c r="B755" s="1" t="s">
        <v>2666</v>
      </c>
      <c r="C755" s="1"/>
      <c r="F755" s="1">
        <v>291</v>
      </c>
      <c r="J755" s="1"/>
      <c r="M755" s="15" t="s">
        <v>538</v>
      </c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755" s="1"/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755" s="15" t="str">
        <f>_xlfn.TEXTBEFORE(_xlfn.TEXTAFTER(CantoralDB[[#This Row],[index.html]],"&gt;"),"&gt;")&amp;"&gt;"</f>
        <v>&lt;a href="canciones/josep_asuncion/alabandote.html"&gt;</v>
      </c>
      <c r="X755"/>
      <c r="AA755" s="1"/>
      <c r="AB755" s="1"/>
    </row>
    <row r="756" spans="1:28" x14ac:dyDescent="0.3">
      <c r="A756" s="1">
        <f>ROW(CantoralDB[[#This Row],[Título]])-1</f>
        <v>755</v>
      </c>
      <c r="B756" s="1" t="s">
        <v>2477</v>
      </c>
      <c r="C756" s="1"/>
      <c r="F756" s="1">
        <v>94</v>
      </c>
      <c r="J756" s="1"/>
      <c r="M756" s="15" t="s">
        <v>538</v>
      </c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756" s="15" t="str">
        <f>_xlfn.TEXTBEFORE(_xlfn.TEXTAFTER(CantoralDB[[#This Row],[index.html]],"&gt;"),"&gt;")&amp;"&gt;"</f>
        <v>&lt;a href="canciones/josep_asuncion/amor_loco.html"&gt;</v>
      </c>
      <c r="X756"/>
      <c r="AA756" s="1"/>
      <c r="AB756" s="1"/>
    </row>
    <row r="757" spans="1:28" x14ac:dyDescent="0.3">
      <c r="A757" s="1">
        <f>ROW(CantoralDB[[#This Row],[Título]])-1</f>
        <v>756</v>
      </c>
      <c r="B757" s="1" t="s">
        <v>2528</v>
      </c>
      <c r="C757" s="1"/>
      <c r="F757" s="1">
        <v>141</v>
      </c>
      <c r="J757" s="1"/>
      <c r="M757" s="15" t="s">
        <v>538</v>
      </c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757" s="1"/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757" s="15" t="str">
        <f>_xlfn.TEXTBEFORE(_xlfn.TEXTAFTER(CantoralDB[[#This Row],[index.html]],"&gt;"),"&gt;")&amp;"&gt;"</f>
        <v>&lt;a href="canciones/josep_asuncion/como_las_tiendas_de_quedar.html"&gt;</v>
      </c>
      <c r="X757"/>
      <c r="AA757" s="1"/>
      <c r="AB757" s="1"/>
    </row>
    <row r="758" spans="1:28" x14ac:dyDescent="0.3">
      <c r="A758" s="1">
        <f>ROW(CantoralDB[[#This Row],[Título]])-1</f>
        <v>757</v>
      </c>
      <c r="B758" s="1" t="s">
        <v>2554</v>
      </c>
      <c r="C758" s="1"/>
      <c r="F758" s="1">
        <v>165</v>
      </c>
      <c r="J758" s="1"/>
      <c r="M758" s="15" t="s">
        <v>538</v>
      </c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758" s="15" t="str">
        <f>_xlfn.TEXTBEFORE(_xlfn.TEXTAFTER(CantoralDB[[#This Row],[index.html]],"&gt;"),"&gt;")&amp;"&gt;"</f>
        <v>&lt;a href="canciones/josep_asuncion/dos_mil_años_de_luz.html"&gt;</v>
      </c>
      <c r="X758"/>
      <c r="AA758" s="1"/>
      <c r="AB758" s="1"/>
    </row>
    <row r="759" spans="1:28" x14ac:dyDescent="0.3">
      <c r="A759" s="1">
        <f>ROW(CantoralDB[[#This Row],[Título]])-1</f>
        <v>758</v>
      </c>
      <c r="B759" s="1" t="s">
        <v>2412</v>
      </c>
      <c r="C759" s="1"/>
      <c r="F759" s="1">
        <v>34</v>
      </c>
      <c r="J759" s="1"/>
      <c r="M759" s="15" t="s">
        <v>538</v>
      </c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759" s="15" t="str">
        <f>_xlfn.TEXTBEFORE(_xlfn.TEXTAFTER(CantoralDB[[#This Row],[index.html]],"&gt;"),"&gt;")&amp;"&gt;"</f>
        <v>&lt;a href="canciones/josep_asuncion/en_quien_me_fijare.html"&gt;</v>
      </c>
      <c r="X759"/>
      <c r="AA759" s="1"/>
      <c r="AB759" s="1"/>
    </row>
    <row r="760" spans="1:28" x14ac:dyDescent="0.3">
      <c r="A760" s="1">
        <f>ROW(CantoralDB[[#This Row],[Título]])-1</f>
        <v>759</v>
      </c>
      <c r="B760" s="1" t="s">
        <v>2659</v>
      </c>
      <c r="C760" s="1"/>
      <c r="F760" s="1">
        <v>282</v>
      </c>
      <c r="J760" s="1"/>
      <c r="M760" s="15" t="s">
        <v>538</v>
      </c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760" s="15" t="str">
        <f>_xlfn.TEXTBEFORE(_xlfn.TEXTAFTER(CantoralDB[[#This Row],[index.html]],"&gt;"),"&gt;")&amp;"&gt;"</f>
        <v>&lt;a href="canciones/josep_asuncion/gloriosa_luz_de_dios.html"&gt;</v>
      </c>
      <c r="X760"/>
      <c r="AA760" s="1"/>
      <c r="AB760" s="1"/>
    </row>
    <row r="761" spans="1:28" x14ac:dyDescent="0.3">
      <c r="A761" s="1">
        <f>ROW(CantoralDB[[#This Row],[Título]])-1</f>
        <v>760</v>
      </c>
      <c r="B761" s="1" t="s">
        <v>2670</v>
      </c>
      <c r="C761" s="1"/>
      <c r="F761" s="1">
        <v>295</v>
      </c>
      <c r="J761" s="1"/>
      <c r="M761" s="15" t="s">
        <v>538</v>
      </c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761" s="1"/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761" s="15" t="str">
        <f>_xlfn.TEXTBEFORE(_xlfn.TEXTAFTER(CantoralDB[[#This Row],[index.html]],"&gt;"),"&gt;")&amp;"&gt;"</f>
        <v>&lt;a href="canciones/josep_asuncion/me_basta_tu_presencia_y_tu_figura.html"&gt;</v>
      </c>
      <c r="X761"/>
      <c r="AA761" s="1"/>
      <c r="AB761" s="1"/>
    </row>
    <row r="762" spans="1:28" x14ac:dyDescent="0.3">
      <c r="A762" s="1">
        <f>ROW(CantoralDB[[#This Row],[Título]])-1</f>
        <v>761</v>
      </c>
      <c r="B762" s="1" t="s">
        <v>2499</v>
      </c>
      <c r="C762" s="1"/>
      <c r="F762" s="1">
        <v>118</v>
      </c>
      <c r="J762" s="1"/>
      <c r="M762" s="15" t="s">
        <v>538</v>
      </c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762" s="1"/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762" s="15" t="str">
        <f>_xlfn.TEXTBEFORE(_xlfn.TEXTAFTER(CantoralDB[[#This Row],[index.html]],"&gt;"),"&gt;")&amp;"&gt;"</f>
        <v>&lt;a href="canciones/josep_asuncion/te_cubrire.html"&gt;</v>
      </c>
      <c r="X762"/>
      <c r="AA762" s="1"/>
      <c r="AB762" s="1"/>
    </row>
    <row r="763" spans="1:28" x14ac:dyDescent="0.3">
      <c r="A763" s="1">
        <f>ROW(CantoralDB[[#This Row],[Título]])-1</f>
        <v>762</v>
      </c>
      <c r="B763" s="1" t="s">
        <v>2459</v>
      </c>
      <c r="C763" s="1"/>
      <c r="F763" s="1">
        <v>77</v>
      </c>
      <c r="J763" s="1"/>
      <c r="M763" s="15" t="s">
        <v>538</v>
      </c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63" s="1"/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63" s="15" t="str">
        <f>_xlfn.TEXTBEFORE(_xlfn.TEXTAFTER(CantoralDB[[#This Row],[index.html]],"&gt;"),"&gt;")&amp;"&gt;"</f>
        <v>&lt;a href="canciones/josep_asuncion/ven_y_dejate_llevar.html"&gt;</v>
      </c>
      <c r="X763"/>
      <c r="AA763" s="1"/>
      <c r="AB763" s="1"/>
    </row>
    <row r="764" spans="1:28" x14ac:dyDescent="0.3">
      <c r="A764" s="1">
        <f>ROW(CantoralDB[[#This Row],[Título]])-1</f>
        <v>763</v>
      </c>
      <c r="B764" s="1" t="s">
        <v>592</v>
      </c>
      <c r="C764" s="1" t="s">
        <v>200</v>
      </c>
      <c r="D764" s="1" t="s">
        <v>676</v>
      </c>
      <c r="F764" s="1">
        <v>368</v>
      </c>
      <c r="G764" s="1" t="s">
        <v>212</v>
      </c>
      <c r="H764" s="1" t="s">
        <v>530</v>
      </c>
      <c r="J764" s="1" t="s">
        <v>607</v>
      </c>
      <c r="M764" s="15" t="s">
        <v>538</v>
      </c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764" s="15" t="str">
        <f>_xlfn.TEXTBEFORE(_xlfn.TEXTAFTER(CantoralDB[[#This Row],[index.html]],"&gt;"),"&gt;")&amp;"&gt;"</f>
        <v>&lt;a href="canciones/josep_asuncion/ven_y_descansate.html"&gt;</v>
      </c>
      <c r="X764"/>
      <c r="AA764" s="1"/>
      <c r="AB764" s="1"/>
    </row>
    <row r="765" spans="1:28" x14ac:dyDescent="0.3">
      <c r="A765" s="1">
        <f>ROW(CantoralDB[[#This Row],[Título]])-1</f>
        <v>764</v>
      </c>
      <c r="B765" s="1" t="s">
        <v>228</v>
      </c>
      <c r="C765" s="1" t="s">
        <v>200</v>
      </c>
      <c r="D765" s="1" t="s">
        <v>1358</v>
      </c>
      <c r="E765" s="1">
        <v>4</v>
      </c>
      <c r="G765" s="1" t="s">
        <v>215</v>
      </c>
      <c r="H765" s="1" t="s">
        <v>1029</v>
      </c>
      <c r="J765" s="1" t="s">
        <v>607</v>
      </c>
      <c r="M765" s="15" t="s">
        <v>490</v>
      </c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765" s="1"/>
      <c r="T765" s="1"/>
      <c r="U765" s="32" t="s">
        <v>3042</v>
      </c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765" s="15" t="str">
        <f>_xlfn.TEXTBEFORE(_xlfn.TEXTAFTER(CantoralDB[[#This Row],[index.html]],"&gt;"),"&gt;")&amp;"&gt;"</f>
        <v>&lt;a href="canciones/juan_antonio_espinosa/a_dios_den_gracias_los_pueblos.html"&gt;</v>
      </c>
      <c r="X765"/>
      <c r="AA765" s="1"/>
      <c r="AB765" s="1"/>
    </row>
    <row r="766" spans="1:28" x14ac:dyDescent="0.3">
      <c r="A766" s="1">
        <f>ROW(CantoralDB[[#This Row],[Título]])-1</f>
        <v>765</v>
      </c>
      <c r="B766" s="1" t="s">
        <v>11</v>
      </c>
      <c r="C766" s="1" t="s">
        <v>190</v>
      </c>
      <c r="D766" s="1" t="s">
        <v>1367</v>
      </c>
      <c r="E766" s="1">
        <v>16</v>
      </c>
      <c r="F766" s="1">
        <v>301</v>
      </c>
      <c r="G766" s="1" t="s">
        <v>208</v>
      </c>
      <c r="H766" s="1" t="s">
        <v>1026</v>
      </c>
      <c r="I766" s="1" t="s">
        <v>2953</v>
      </c>
      <c r="J766" s="1" t="s">
        <v>607</v>
      </c>
      <c r="M766" s="15" t="s">
        <v>490</v>
      </c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766" s="1"/>
      <c r="T766" s="1"/>
      <c r="U766" s="32" t="s">
        <v>3083</v>
      </c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766" s="15" t="str">
        <f>_xlfn.TEXTBEFORE(_xlfn.TEXTAFTER(CantoralDB[[#This Row],[index.html]],"&gt;"),"&gt;")&amp;"&gt;"</f>
        <v>&lt;a href="canciones/juan_antonio_espinosa/alegre_la_mañana.html"&gt;</v>
      </c>
      <c r="X766"/>
      <c r="AA766" s="1"/>
      <c r="AB766" s="1"/>
    </row>
    <row r="767" spans="1:28" x14ac:dyDescent="0.3">
      <c r="A767" s="1">
        <f>ROW(CantoralDB[[#This Row],[Título]])-1</f>
        <v>766</v>
      </c>
      <c r="B767" s="1" t="s">
        <v>1170</v>
      </c>
      <c r="C767" s="1" t="s">
        <v>190</v>
      </c>
      <c r="D767" s="1" t="s">
        <v>1391</v>
      </c>
      <c r="E767" s="1">
        <v>35</v>
      </c>
      <c r="G767" s="1" t="s">
        <v>208</v>
      </c>
      <c r="H767" s="1" t="s">
        <v>1029</v>
      </c>
      <c r="I767" s="1" t="s">
        <v>2953</v>
      </c>
      <c r="J767" s="1" t="s">
        <v>607</v>
      </c>
      <c r="M767" s="15" t="s">
        <v>490</v>
      </c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767" s="1"/>
      <c r="T767" s="1"/>
      <c r="U767" s="32" t="s">
        <v>3084</v>
      </c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767" s="15" t="str">
        <f>_xlfn.TEXTBEFORE(_xlfn.TEXTAFTER(CantoralDB[[#This Row],[index.html]],"&gt;"),"&gt;")&amp;"&gt;"</f>
        <v>&lt;a href="canciones/juan_antonio_espinosa/caminamos_hacia_el_sol.html"&gt;</v>
      </c>
      <c r="X767"/>
      <c r="AA767" s="1"/>
      <c r="AB767" s="1"/>
    </row>
    <row r="768" spans="1:28" x14ac:dyDescent="0.3">
      <c r="A768" s="1">
        <f>ROW(CantoralDB[[#This Row],[Título]])-1</f>
        <v>767</v>
      </c>
      <c r="B768" s="1" t="s">
        <v>1171</v>
      </c>
      <c r="C768" s="1"/>
      <c r="E768" s="1">
        <v>39</v>
      </c>
      <c r="H768" s="1" t="s">
        <v>1029</v>
      </c>
      <c r="J768" s="1" t="s">
        <v>607</v>
      </c>
      <c r="M768" s="15" t="s">
        <v>490</v>
      </c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768" s="1"/>
      <c r="T768" s="1"/>
      <c r="U768" s="32" t="s">
        <v>3085</v>
      </c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768" s="15" t="str">
        <f>_xlfn.TEXTBEFORE(_xlfn.TEXTAFTER(CantoralDB[[#This Row],[index.html]],"&gt;"),"&gt;")&amp;"&gt;"</f>
        <v>&lt;a href="canciones/juan_antonio_espinosa/caminare_en_presencia_del_señor.html"&gt;</v>
      </c>
      <c r="X768"/>
      <c r="AA768" s="1"/>
      <c r="AB768" s="1"/>
    </row>
    <row r="769" spans="1:28" x14ac:dyDescent="0.3">
      <c r="A769" s="1">
        <f>ROW(CantoralDB[[#This Row],[Título]])-1</f>
        <v>768</v>
      </c>
      <c r="B769" s="1" t="s">
        <v>1196</v>
      </c>
      <c r="C769" s="1"/>
      <c r="E769" s="1">
        <v>73</v>
      </c>
      <c r="H769" s="1" t="s">
        <v>1029</v>
      </c>
      <c r="J769" s="1" t="s">
        <v>607</v>
      </c>
      <c r="M769" s="15" t="s">
        <v>490</v>
      </c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769" s="1"/>
      <c r="T769" s="1"/>
      <c r="U769" s="32" t="s">
        <v>3086</v>
      </c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769" s="15" t="str">
        <f>_xlfn.TEXTBEFORE(_xlfn.TEXTAFTER(CantoralDB[[#This Row],[index.html]],"&gt;"),"&gt;")&amp;"&gt;"</f>
        <v>&lt;a href="canciones/juan_antonio_espinosa/dad_gracias_al_señor_porque_es_bueno.html"&gt;</v>
      </c>
      <c r="X769"/>
      <c r="AA769" s="1"/>
      <c r="AB769" s="1"/>
    </row>
    <row r="770" spans="1:28" x14ac:dyDescent="0.3">
      <c r="A770" s="1">
        <f>ROW(CantoralDB[[#This Row],[Título]])-1</f>
        <v>769</v>
      </c>
      <c r="B770" s="1" t="s">
        <v>43</v>
      </c>
      <c r="C770" s="1" t="s">
        <v>992</v>
      </c>
      <c r="D770" s="1" t="s">
        <v>693</v>
      </c>
      <c r="E770" s="1">
        <v>75</v>
      </c>
      <c r="G770" s="1" t="s">
        <v>208</v>
      </c>
      <c r="H770" s="1" t="s">
        <v>530</v>
      </c>
      <c r="I770" s="1" t="s">
        <v>2952</v>
      </c>
      <c r="J770" s="1" t="s">
        <v>607</v>
      </c>
      <c r="M770" s="15" t="s">
        <v>490</v>
      </c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770" s="1" t="s">
        <v>818</v>
      </c>
      <c r="T770" s="1"/>
      <c r="U770" s="32" t="s">
        <v>3087</v>
      </c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770" s="15" t="str">
        <f>_xlfn.TEXTBEFORE(_xlfn.TEXTAFTER(CantoralDB[[#This Row],[index.html]],"&gt;"),"&gt;")&amp;"&gt;"</f>
        <v>&lt;a href="canciones/juan_antonio_espinosa/danos_un_corazon.html"&gt;</v>
      </c>
      <c r="X770"/>
      <c r="AA770" s="1"/>
      <c r="AB770" s="1"/>
    </row>
    <row r="771" spans="1:28" x14ac:dyDescent="0.3">
      <c r="A771" s="1">
        <f>ROW(CantoralDB[[#This Row],[Título]])-1</f>
        <v>770</v>
      </c>
      <c r="B771" s="1" t="s">
        <v>46</v>
      </c>
      <c r="C771" s="1" t="s">
        <v>992</v>
      </c>
      <c r="D771" s="1" t="s">
        <v>695</v>
      </c>
      <c r="E771" s="1">
        <v>77</v>
      </c>
      <c r="G771" s="1" t="s">
        <v>208</v>
      </c>
      <c r="H771" s="1" t="s">
        <v>530</v>
      </c>
      <c r="I771" s="1" t="s">
        <v>2954</v>
      </c>
      <c r="J771" s="1" t="s">
        <v>607</v>
      </c>
      <c r="M771" s="15" t="s">
        <v>490</v>
      </c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771" s="1" t="s">
        <v>820</v>
      </c>
      <c r="T771" s="1"/>
      <c r="U771" s="32" t="s">
        <v>3088</v>
      </c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771" s="15" t="str">
        <f>_xlfn.TEXTBEFORE(_xlfn.TEXTAFTER(CantoralDB[[#This Row],[index.html]],"&gt;"),"&gt;")&amp;"&gt;"</f>
        <v>&lt;a href="canciones/juan_antonio_espinosa/dolorosa.html"&gt;</v>
      </c>
      <c r="X771"/>
      <c r="AA771" s="1"/>
      <c r="AB771" s="1"/>
    </row>
    <row r="772" spans="1:28" x14ac:dyDescent="0.3">
      <c r="A772" s="1">
        <f>ROW(CantoralDB[[#This Row],[Título]])-1</f>
        <v>771</v>
      </c>
      <c r="B772" s="1" t="s">
        <v>1217</v>
      </c>
      <c r="C772" s="1"/>
      <c r="E772" s="1">
        <v>102</v>
      </c>
      <c r="H772" s="1" t="s">
        <v>530</v>
      </c>
      <c r="J772" s="1" t="s">
        <v>607</v>
      </c>
      <c r="M772" s="15" t="s">
        <v>490</v>
      </c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772" s="1"/>
      <c r="T772" s="1"/>
      <c r="U772" s="32" t="s">
        <v>2976</v>
      </c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772" s="15" t="str">
        <f>_xlfn.TEXTBEFORE(_xlfn.TEXTAFTER(CantoralDB[[#This Row],[index.html]],"&gt;"),"&gt;")&amp;"&gt;"</f>
        <v>&lt;a href="canciones/juan_antonio_espinosa/el_señor_es_mi_fuerza.html"&gt;</v>
      </c>
      <c r="X772"/>
      <c r="AA772" s="1"/>
      <c r="AB772" s="1"/>
    </row>
    <row r="773" spans="1:28" x14ac:dyDescent="0.3">
      <c r="A773" s="1">
        <f>ROW(CantoralDB[[#This Row],[Título]])-1</f>
        <v>772</v>
      </c>
      <c r="B773" s="1" t="s">
        <v>58</v>
      </c>
      <c r="C773" s="1" t="s">
        <v>194</v>
      </c>
      <c r="D773" s="1" t="s">
        <v>1417</v>
      </c>
      <c r="E773" s="1">
        <v>94</v>
      </c>
      <c r="G773" s="1" t="s">
        <v>208</v>
      </c>
      <c r="H773" s="1" t="s">
        <v>530</v>
      </c>
      <c r="I773" s="1" t="s">
        <v>2953</v>
      </c>
      <c r="J773" s="1" t="s">
        <v>607</v>
      </c>
      <c r="M773" s="15" t="s">
        <v>490</v>
      </c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773" s="1"/>
      <c r="T773" s="1"/>
      <c r="U773" s="32" t="s">
        <v>3089</v>
      </c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773" s="15" t="str">
        <f>_xlfn.TEXTBEFORE(_xlfn.TEXTAFTER(CantoralDB[[#This Row],[index.html]],"&gt;"),"&gt;")&amp;"&gt;"</f>
        <v>&lt;a href="canciones/juan_antonio_espinosa/en_la_comida_que_cristo_nos_da.html"&gt;</v>
      </c>
      <c r="X773"/>
      <c r="AA773" s="1"/>
      <c r="AB773" s="1"/>
    </row>
    <row r="774" spans="1:28" x14ac:dyDescent="0.3">
      <c r="A774" s="1">
        <f>ROW(CantoralDB[[#This Row],[Título]])-1</f>
        <v>773</v>
      </c>
      <c r="B774" s="1" t="s">
        <v>2115</v>
      </c>
      <c r="C774" s="1"/>
      <c r="E774" s="1">
        <v>108</v>
      </c>
      <c r="H774" s="1" t="s">
        <v>530</v>
      </c>
      <c r="J774" s="1" t="s">
        <v>607</v>
      </c>
      <c r="M774" s="15" t="s">
        <v>490</v>
      </c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774" s="1"/>
      <c r="T774" s="1"/>
      <c r="U774" s="32" t="s">
        <v>3090</v>
      </c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774" s="15" t="str">
        <f>_xlfn.TEXTBEFORE(_xlfn.TEXTAFTER(CantoralDB[[#This Row],[index.html]],"&gt;"),"&gt;")&amp;"&gt;"</f>
        <v>&lt;a href="canciones/juan_antonio_espinosa/errante_voy.html"&gt;</v>
      </c>
      <c r="X774"/>
      <c r="AA774" s="1"/>
      <c r="AB774" s="1"/>
    </row>
    <row r="775" spans="1:28" x14ac:dyDescent="0.3">
      <c r="A775" s="1">
        <f>ROW(CantoralDB[[#This Row],[Título]])-1</f>
        <v>774</v>
      </c>
      <c r="B775" s="1" t="s">
        <v>2900</v>
      </c>
      <c r="C775" s="1"/>
      <c r="E775" s="1">
        <v>117</v>
      </c>
      <c r="H775" s="1" t="s">
        <v>1042</v>
      </c>
      <c r="J775" s="1" t="s">
        <v>607</v>
      </c>
      <c r="M775" s="15" t="s">
        <v>490</v>
      </c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775" s="15" t="str">
        <f>_xlfn.TEXTBEFORE(_xlfn.TEXTAFTER(CantoralDB[[#This Row],[index.html]],"&gt;"),"&gt;")&amp;"&gt;"</f>
        <v>&lt;a href="canciones/juan_antonio_espinosa/escucha_nuestros_gritos_en_la_noche.html"&gt;</v>
      </c>
      <c r="X775"/>
      <c r="AA775" s="1"/>
      <c r="AB775" s="1"/>
    </row>
    <row r="776" spans="1:28" x14ac:dyDescent="0.3">
      <c r="A776" s="1">
        <f>ROW(CantoralDB[[#This Row],[Título]])-1</f>
        <v>775</v>
      </c>
      <c r="B776" s="1" t="s">
        <v>932</v>
      </c>
      <c r="C776" s="1"/>
      <c r="E776" s="1">
        <v>121</v>
      </c>
      <c r="H776" s="1" t="s">
        <v>1026</v>
      </c>
      <c r="J776" s="1" t="s">
        <v>607</v>
      </c>
      <c r="M776" s="15" t="s">
        <v>490</v>
      </c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776" s="15" t="str">
        <f>_xlfn.TEXTBEFORE(_xlfn.TEXTAFTER(CantoralDB[[#This Row],[index.html]],"&gt;"),"&gt;")&amp;"&gt;"</f>
        <v>&lt;a href="canciones/juan_antonio_espinosa/este_es_el_dia_del_señor.html"&gt;</v>
      </c>
      <c r="X776"/>
      <c r="AA776" s="1"/>
      <c r="AB776" s="1"/>
    </row>
    <row r="777" spans="1:28" x14ac:dyDescent="0.3">
      <c r="A777" s="1">
        <f>ROW(CantoralDB[[#This Row],[Título]])-1</f>
        <v>776</v>
      </c>
      <c r="B777" s="1" t="s">
        <v>1255</v>
      </c>
      <c r="C777" s="1"/>
      <c r="E777" s="1">
        <v>125</v>
      </c>
      <c r="H777" s="1" t="s">
        <v>1027</v>
      </c>
      <c r="J777" s="1" t="s">
        <v>607</v>
      </c>
      <c r="M777" s="15" t="s">
        <v>490</v>
      </c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777" s="15" t="str">
        <f>_xlfn.TEXTBEFORE(_xlfn.TEXTAFTER(CantoralDB[[#This Row],[index.html]],"&gt;"),"&gt;")&amp;"&gt;"</f>
        <v>&lt;a href="canciones/juan_antonio_espinosa/feliz_el_hombre.html"&gt;</v>
      </c>
      <c r="X777"/>
      <c r="AA777" s="1"/>
      <c r="AB777" s="1"/>
    </row>
    <row r="778" spans="1:28" x14ac:dyDescent="0.3">
      <c r="A778" s="1">
        <f>ROW(CantoralDB[[#This Row],[Título]])-1</f>
        <v>777</v>
      </c>
      <c r="B778" s="1" t="s">
        <v>78</v>
      </c>
      <c r="C778" s="1" t="s">
        <v>198</v>
      </c>
      <c r="D778" s="1" t="s">
        <v>1431</v>
      </c>
      <c r="E778" s="1">
        <v>140</v>
      </c>
      <c r="G778" s="1" t="s">
        <v>208</v>
      </c>
      <c r="H778" s="1" t="s">
        <v>1028</v>
      </c>
      <c r="J778" s="1" t="s">
        <v>607</v>
      </c>
      <c r="M778" s="15" t="s">
        <v>490</v>
      </c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778" s="15" t="str">
        <f>_xlfn.TEXTBEFORE(_xlfn.TEXTAFTER(CantoralDB[[#This Row],[index.html]],"&gt;"),"&gt;")&amp;"&gt;"</f>
        <v>&lt;a href="canciones/juan_antonio_espinosa/hoy_señor_te_damos_gracias.html"&gt;</v>
      </c>
      <c r="X778"/>
      <c r="AA778" s="1"/>
      <c r="AB778" s="1"/>
    </row>
    <row r="779" spans="1:28" x14ac:dyDescent="0.3">
      <c r="A779" s="1">
        <f>ROW(CantoralDB[[#This Row],[Título]])-1</f>
        <v>778</v>
      </c>
      <c r="B779" s="1" t="s">
        <v>88</v>
      </c>
      <c r="C779" s="1" t="s">
        <v>199</v>
      </c>
      <c r="D779" s="1" t="s">
        <v>1439</v>
      </c>
      <c r="E779" s="1">
        <v>163</v>
      </c>
      <c r="G779" s="1" t="s">
        <v>208</v>
      </c>
      <c r="H779" s="1" t="s">
        <v>530</v>
      </c>
      <c r="I779" s="1" t="s">
        <v>2952</v>
      </c>
      <c r="J779" s="1" t="s">
        <v>607</v>
      </c>
      <c r="M779" s="15" t="s">
        <v>490</v>
      </c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779" s="15" t="str">
        <f>_xlfn.TEXTBEFORE(_xlfn.TEXTAFTER(CantoralDB[[#This Row],[index.html]],"&gt;"),"&gt;")&amp;"&gt;"</f>
        <v>&lt;a href="canciones/juan_antonio_espinosa/madre_de_todos_los_hombres.html"&gt;</v>
      </c>
      <c r="X779"/>
      <c r="AA779" s="1"/>
      <c r="AB779" s="1"/>
    </row>
    <row r="780" spans="1:28" x14ac:dyDescent="0.3">
      <c r="A780" s="1">
        <f>ROW(CantoralDB[[#This Row],[Título]])-1</f>
        <v>779</v>
      </c>
      <c r="B780" s="1" t="s">
        <v>1283</v>
      </c>
      <c r="C780" s="1"/>
      <c r="E780" s="1">
        <v>174</v>
      </c>
      <c r="H780" s="1" t="s">
        <v>1026</v>
      </c>
      <c r="J780" s="1" t="s">
        <v>607</v>
      </c>
      <c r="M780" s="15" t="s">
        <v>490</v>
      </c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780" s="15" t="str">
        <f>_xlfn.TEXTBEFORE(_xlfn.TEXTAFTER(CantoralDB[[#This Row],[index.html]],"&gt;"),"&gt;")&amp;"&gt;"</f>
        <v>&lt;a href="canciones/juan_antonio_espinosa/nacidos_de_la_luz.html"&gt;</v>
      </c>
      <c r="X780"/>
      <c r="AA780" s="1"/>
      <c r="AB780" s="1"/>
    </row>
    <row r="781" spans="1:28" x14ac:dyDescent="0.3">
      <c r="A781" s="1">
        <f>ROW(CantoralDB[[#This Row],[Título]])-1</f>
        <v>780</v>
      </c>
      <c r="B781" s="1" t="s">
        <v>637</v>
      </c>
      <c r="C781" s="1" t="s">
        <v>992</v>
      </c>
      <c r="D781" s="1" t="s">
        <v>722</v>
      </c>
      <c r="G781" s="1" t="s">
        <v>247</v>
      </c>
      <c r="H781" s="1" t="s">
        <v>1028</v>
      </c>
      <c r="J781" s="1" t="s">
        <v>607</v>
      </c>
      <c r="M781" s="15" t="s">
        <v>490</v>
      </c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781" s="15" t="str">
        <f>_xlfn.TEXTBEFORE(_xlfn.TEXTAFTER(CantoralDB[[#This Row],[index.html]],"&gt;"),"&gt;")&amp;"&gt;"</f>
        <v>&lt;a href="canciones/juan_antonio_espinosa/no_podemos_caminar_(hambre_de_dios).html"&gt;</v>
      </c>
      <c r="X781"/>
      <c r="AA781" s="1"/>
      <c r="AB781" s="1"/>
    </row>
    <row r="782" spans="1:28" x14ac:dyDescent="0.3">
      <c r="A782" s="1">
        <f>ROW(CantoralDB[[#This Row],[Título]])-1</f>
        <v>781</v>
      </c>
      <c r="B782" s="1" t="s">
        <v>1287</v>
      </c>
      <c r="C782" s="1"/>
      <c r="E782" s="1">
        <v>178</v>
      </c>
      <c r="H782" s="1" t="s">
        <v>1027</v>
      </c>
      <c r="J782" s="1" t="s">
        <v>607</v>
      </c>
      <c r="M782" s="15" t="s">
        <v>490</v>
      </c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782" s="15" t="str">
        <f>_xlfn.TEXTBEFORE(_xlfn.TEXTAFTER(CantoralDB[[#This Row],[index.html]],"&gt;"),"&gt;")&amp;"&gt;"</f>
        <v>&lt;a href="canciones/juan_antonio_espinosa/no_yo_no_dejo_la_tierra.html"&gt;</v>
      </c>
      <c r="X782"/>
      <c r="AA782" s="1"/>
      <c r="AB782" s="1"/>
    </row>
    <row r="783" spans="1:28" x14ac:dyDescent="0.3">
      <c r="A783" s="1">
        <f>ROW(CantoralDB[[#This Row],[Título]])-1</f>
        <v>782</v>
      </c>
      <c r="B783" s="1" t="s">
        <v>1303</v>
      </c>
      <c r="C783" s="1"/>
      <c r="E783" s="1">
        <v>212</v>
      </c>
      <c r="H783" s="1" t="s">
        <v>1029</v>
      </c>
      <c r="J783" s="1" t="s">
        <v>607</v>
      </c>
      <c r="M783" s="15" t="s">
        <v>490</v>
      </c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783" s="1"/>
      <c r="T783" s="1"/>
      <c r="U783" s="32" t="s">
        <v>2977</v>
      </c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783" s="15" t="str">
        <f>_xlfn.TEXTBEFORE(_xlfn.TEXTAFTER(CantoralDB[[#This Row],[index.html]],"&gt;"),"&gt;")&amp;"&gt;"</f>
        <v>&lt;a href="canciones/juan_antonio_espinosa/perdon_señor_perdon.html"&gt;</v>
      </c>
      <c r="X783"/>
      <c r="AA783" s="1"/>
      <c r="AB783" s="1"/>
    </row>
    <row r="784" spans="1:28" x14ac:dyDescent="0.3">
      <c r="A784" s="1">
        <f>ROW(CantoralDB[[#This Row],[Título]])-1</f>
        <v>783</v>
      </c>
      <c r="B784" s="1" t="s">
        <v>114</v>
      </c>
      <c r="C784" s="1" t="s">
        <v>198</v>
      </c>
      <c r="D784" s="1" t="s">
        <v>1454</v>
      </c>
      <c r="E784" s="1">
        <v>203</v>
      </c>
      <c r="G784" s="1" t="s">
        <v>208</v>
      </c>
      <c r="H784" s="1" t="s">
        <v>472</v>
      </c>
      <c r="J784" s="1" t="s">
        <v>607</v>
      </c>
      <c r="M784" s="15" t="s">
        <v>490</v>
      </c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784" s="1" t="s">
        <v>853</v>
      </c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784" s="15" t="str">
        <f>_xlfn.TEXTBEFORE(_xlfn.TEXTAFTER(CantoralDB[[#This Row],[index.html]],"&gt;"),"&gt;")&amp;"&gt;"</f>
        <v>&lt;a href="canciones/juan_antonio_espinosa/por_ti_mi_dios.html"&gt;</v>
      </c>
      <c r="X784"/>
      <c r="AA784" s="1"/>
      <c r="AB784" s="1"/>
    </row>
    <row r="785" spans="1:28" x14ac:dyDescent="0.3">
      <c r="A785" s="1">
        <f>ROW(CantoralDB[[#This Row],[Título]])-1</f>
        <v>784</v>
      </c>
      <c r="B785" s="1" t="s">
        <v>122</v>
      </c>
      <c r="C785" s="1" t="s">
        <v>190</v>
      </c>
      <c r="D785" s="1" t="s">
        <v>748</v>
      </c>
      <c r="E785" s="1">
        <v>220</v>
      </c>
      <c r="G785" s="1" t="s">
        <v>208</v>
      </c>
      <c r="H785" s="1" t="s">
        <v>1029</v>
      </c>
      <c r="J785" s="1" t="s">
        <v>607</v>
      </c>
      <c r="M785" s="15" t="s">
        <v>490</v>
      </c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785" s="1" t="s">
        <v>857</v>
      </c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785" s="15" t="str">
        <f>_xlfn.TEXTBEFORE(_xlfn.TEXTAFTER(CantoralDB[[#This Row],[index.html]],"&gt;"),"&gt;")&amp;"&gt;"</f>
        <v>&lt;a href="canciones/juan_antonio_espinosa/que_ves_en_la_noche.html"&gt;</v>
      </c>
      <c r="X785"/>
      <c r="AA785" s="1"/>
      <c r="AB785" s="1"/>
    </row>
    <row r="786" spans="1:28" x14ac:dyDescent="0.3">
      <c r="A786" s="1">
        <f>ROW(CantoralDB[[#This Row],[Título]])-1</f>
        <v>785</v>
      </c>
      <c r="B786" s="1" t="s">
        <v>123</v>
      </c>
      <c r="C786" s="1" t="s">
        <v>992</v>
      </c>
      <c r="D786" s="1" t="s">
        <v>997</v>
      </c>
      <c r="E786" s="1">
        <v>222</v>
      </c>
      <c r="G786" s="1" t="s">
        <v>208</v>
      </c>
      <c r="H786" s="1" t="s">
        <v>1029</v>
      </c>
      <c r="J786" s="1" t="s">
        <v>607</v>
      </c>
      <c r="M786" s="15" t="s">
        <v>490</v>
      </c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786" s="1" t="s">
        <v>804</v>
      </c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786" s="15" t="str">
        <f>_xlfn.TEXTBEFORE(_xlfn.TEXTAFTER(CantoralDB[[#This Row],[index.html]],"&gt;"),"&gt;")&amp;"&gt;"</f>
        <v>&lt;a href="canciones/juan_antonio_espinosa/quedate_con_nosotros.html"&gt;</v>
      </c>
      <c r="X786"/>
      <c r="AA786" s="1"/>
      <c r="AB786" s="1"/>
    </row>
    <row r="787" spans="1:28" x14ac:dyDescent="0.3">
      <c r="A787" s="1">
        <f>ROW(CantoralDB[[#This Row],[Título]])-1</f>
        <v>786</v>
      </c>
      <c r="B787" s="1" t="s">
        <v>128</v>
      </c>
      <c r="C787" s="1" t="s">
        <v>199</v>
      </c>
      <c r="D787" s="1" t="s">
        <v>1054</v>
      </c>
      <c r="E787" s="1">
        <v>164</v>
      </c>
      <c r="G787" s="1" t="s">
        <v>208</v>
      </c>
      <c r="H787" s="1" t="s">
        <v>530</v>
      </c>
      <c r="J787" s="1" t="s">
        <v>607</v>
      </c>
      <c r="M787" s="15" t="s">
        <v>490</v>
      </c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787" s="15" t="str">
        <f>_xlfn.TEXTBEFORE(_xlfn.TEXTAFTER(CantoralDB[[#This Row],[index.html]],"&gt;"),"&gt;")&amp;"&gt;"</f>
        <v>&lt;a href="canciones/juan_antonio_espinosa/santa_maria_del_camino.html"&gt;</v>
      </c>
      <c r="X787"/>
      <c r="AA787" s="1"/>
      <c r="AB787" s="1"/>
    </row>
    <row r="788" spans="1:28" x14ac:dyDescent="0.3">
      <c r="A788" s="1">
        <f>ROW(CantoralDB[[#This Row],[Título]])-1</f>
        <v>787</v>
      </c>
      <c r="B788" s="1" t="s">
        <v>1321</v>
      </c>
      <c r="C788" s="1"/>
      <c r="E788" s="1">
        <v>243</v>
      </c>
      <c r="H788" s="1" t="s">
        <v>1029</v>
      </c>
      <c r="J788" s="1" t="s">
        <v>607</v>
      </c>
      <c r="M788" s="15" t="s">
        <v>490</v>
      </c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788" s="1"/>
      <c r="T788" s="1"/>
      <c r="U788" s="32" t="s">
        <v>2978</v>
      </c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788" s="15" t="str">
        <f>_xlfn.TEXTBEFORE(_xlfn.TEXTAFTER(CantoralDB[[#This Row],[index.html]],"&gt;"),"&gt;")&amp;"&gt;"</f>
        <v>&lt;a href="canciones/juan_antonio_espinosa/señor_tu_que_brillas.html"&gt;</v>
      </c>
      <c r="X788"/>
      <c r="AA788" s="1"/>
      <c r="AB788" s="1"/>
    </row>
    <row r="789" spans="1:28" x14ac:dyDescent="0.3">
      <c r="A789" s="1">
        <f>ROW(CantoralDB[[#This Row],[Título]])-1</f>
        <v>788</v>
      </c>
      <c r="B789" s="1" t="s">
        <v>140</v>
      </c>
      <c r="C789" s="1"/>
      <c r="E789" s="1">
        <v>258</v>
      </c>
      <c r="G789" s="1" t="s">
        <v>208</v>
      </c>
      <c r="H789" s="1" t="s">
        <v>530</v>
      </c>
      <c r="J789" s="1" t="s">
        <v>607</v>
      </c>
      <c r="M789" s="15" t="s">
        <v>490</v>
      </c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789" s="1"/>
      <c r="T789" s="1"/>
      <c r="U789" s="32" t="s">
        <v>2979</v>
      </c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789" s="15" t="str">
        <f>_xlfn.TEXTBEFORE(_xlfn.TEXTAFTER(CantoralDB[[#This Row],[index.html]],"&gt;"),"&gt;")&amp;"&gt;"</f>
        <v>&lt;a href="canciones/juan_antonio_espinosa/te_damos_gracias_señor.html"&gt;</v>
      </c>
      <c r="X789"/>
      <c r="AA789" s="1"/>
      <c r="AB789" s="1"/>
    </row>
    <row r="790" spans="1:28" x14ac:dyDescent="0.3">
      <c r="A790" s="1">
        <f>ROW(CantoralDB[[#This Row],[Título]])-1</f>
        <v>789</v>
      </c>
      <c r="B790" s="1" t="s">
        <v>147</v>
      </c>
      <c r="C790" s="1" t="s">
        <v>992</v>
      </c>
      <c r="D790" s="1" t="s">
        <v>1013</v>
      </c>
      <c r="E790" s="1">
        <v>262</v>
      </c>
      <c r="G790" s="1" t="s">
        <v>208</v>
      </c>
      <c r="H790" s="1" t="s">
        <v>1026</v>
      </c>
      <c r="J790" s="1" t="s">
        <v>607</v>
      </c>
      <c r="M790" s="15" t="s">
        <v>490</v>
      </c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790" s="1"/>
      <c r="T790" s="1"/>
      <c r="U790" s="32" t="s">
        <v>3468</v>
      </c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790" s="15" t="str">
        <f>_xlfn.TEXTBEFORE(_xlfn.TEXTAFTER(CantoralDB[[#This Row],[index.html]],"&gt;"),"&gt;")&amp;"&gt;"</f>
        <v>&lt;a href="canciones/juan_antonio_espinosa/tu_eres_el_dios_que_nos_salva.html"&gt;</v>
      </c>
      <c r="X790"/>
      <c r="AA790" s="1"/>
      <c r="AB790" s="1"/>
    </row>
    <row r="791" spans="1:28" x14ac:dyDescent="0.3">
      <c r="A791" s="1">
        <f>ROW(CantoralDB[[#This Row],[Título]])-1</f>
        <v>790</v>
      </c>
      <c r="B791" s="1" t="s">
        <v>148</v>
      </c>
      <c r="C791" s="1" t="s">
        <v>200</v>
      </c>
      <c r="D791" s="1" t="s">
        <v>674</v>
      </c>
      <c r="E791" s="1">
        <v>254</v>
      </c>
      <c r="G791" s="1" t="s">
        <v>208</v>
      </c>
      <c r="H791" s="1" t="s">
        <v>530</v>
      </c>
      <c r="I791" s="1" t="s">
        <v>2953</v>
      </c>
      <c r="J791" s="1" t="s">
        <v>607</v>
      </c>
      <c r="M791" s="15" t="s">
        <v>490</v>
      </c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791" s="15" t="str">
        <f>_xlfn.TEXTBEFORE(_xlfn.TEXTAFTER(CantoralDB[[#This Row],[index.html]],"&gt;"),"&gt;")&amp;"&gt;"</f>
        <v>&lt;a href="canciones/juan_antonio_espinosa/tu_palabra_me_da_vida.html"&gt;</v>
      </c>
      <c r="X791"/>
      <c r="AA791" s="1"/>
      <c r="AB791" s="1"/>
    </row>
    <row r="792" spans="1:28" x14ac:dyDescent="0.3">
      <c r="A792" s="1">
        <f>ROW(CantoralDB[[#This Row],[Título]])-1</f>
        <v>791</v>
      </c>
      <c r="B792" s="1" t="s">
        <v>476</v>
      </c>
      <c r="C792" s="1" t="s">
        <v>190</v>
      </c>
      <c r="D792" s="1" t="s">
        <v>752</v>
      </c>
      <c r="E792" s="1">
        <v>272</v>
      </c>
      <c r="G792" s="1" t="s">
        <v>215</v>
      </c>
      <c r="H792" s="1" t="s">
        <v>1029</v>
      </c>
      <c r="J792" s="1" t="s">
        <v>607</v>
      </c>
      <c r="M792" s="15" t="s">
        <v>490</v>
      </c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792" s="15" t="str">
        <f>_xlfn.TEXTBEFORE(_xlfn.TEXTAFTER(CantoralDB[[#This Row],[index.html]],"&gt;"),"&gt;")&amp;"&gt;"</f>
        <v>&lt;a href="canciones/juan_antonio_espinosa/un_pueblo_que_camina_por_el_mundo.html"&gt;</v>
      </c>
      <c r="X792"/>
      <c r="AA792" s="1"/>
      <c r="AB792" s="1"/>
    </row>
    <row r="793" spans="1:28" x14ac:dyDescent="0.3">
      <c r="A793" s="1">
        <f>ROW(CantoralDB[[#This Row],[Título]])-1</f>
        <v>792</v>
      </c>
      <c r="B793" s="1" t="s">
        <v>1337</v>
      </c>
      <c r="C793" s="1"/>
      <c r="E793" s="1">
        <v>269</v>
      </c>
      <c r="H793" s="1" t="s">
        <v>472</v>
      </c>
      <c r="J793" s="1" t="s">
        <v>607</v>
      </c>
      <c r="M793" s="15" t="s">
        <v>490</v>
      </c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793" s="1"/>
      <c r="T793" s="1"/>
      <c r="U793" s="32" t="s">
        <v>2980</v>
      </c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793" s="15" t="str">
        <f>_xlfn.TEXTBEFORE(_xlfn.TEXTAFTER(CantoralDB[[#This Row],[index.html]],"&gt;"),"&gt;")&amp;"&gt;"</f>
        <v>&lt;a href="canciones/juan_antonio_espinosa/una_ciudad_para_todos.html"&gt;</v>
      </c>
      <c r="X793"/>
      <c r="AA793" s="1"/>
      <c r="AB793" s="1"/>
    </row>
    <row r="794" spans="1:28" x14ac:dyDescent="0.3">
      <c r="A794" s="1">
        <f>ROW(CantoralDB[[#This Row],[Título]])-1</f>
        <v>793</v>
      </c>
      <c r="B794" s="1" t="s">
        <v>211</v>
      </c>
      <c r="C794" s="1" t="s">
        <v>199</v>
      </c>
      <c r="D794" s="1" t="s">
        <v>1056</v>
      </c>
      <c r="E794" s="1">
        <v>297</v>
      </c>
      <c r="G794" s="1" t="s">
        <v>208</v>
      </c>
      <c r="H794" s="1" t="s">
        <v>1026</v>
      </c>
      <c r="J794" s="1" t="s">
        <v>607</v>
      </c>
      <c r="M794" s="15" t="s">
        <v>490</v>
      </c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794" s="15" t="str">
        <f>_xlfn.TEXTBEFORE(_xlfn.TEXTAFTER(CantoralDB[[#This Row],[index.html]],"&gt;"),"&gt;")&amp;"&gt;"</f>
        <v>&lt;a href="canciones/juan_antonio_espinosa/unidos_a_todos_los_pueblos.html"&gt;</v>
      </c>
      <c r="X794"/>
      <c r="AA794" s="1"/>
      <c r="AB794" s="1"/>
    </row>
    <row r="795" spans="1:28" x14ac:dyDescent="0.3">
      <c r="A795" s="1">
        <f>ROW(CantoralDB[[#This Row],[Título]])-1</f>
        <v>794</v>
      </c>
      <c r="B795" s="1" t="s">
        <v>157</v>
      </c>
      <c r="C795" s="1" t="s">
        <v>190</v>
      </c>
      <c r="D795" s="1" t="s">
        <v>756</v>
      </c>
      <c r="E795" s="1">
        <v>277</v>
      </c>
      <c r="G795" s="1" t="s">
        <v>208</v>
      </c>
      <c r="H795" s="1" t="s">
        <v>1026</v>
      </c>
      <c r="J795" s="1" t="s">
        <v>607</v>
      </c>
      <c r="M795" s="15" t="s">
        <v>490</v>
      </c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795" s="15" t="str">
        <f>_xlfn.TEXTBEFORE(_xlfn.TEXTAFTER(CantoralDB[[#This Row],[index.html]],"&gt;"),"&gt;")&amp;"&gt;"</f>
        <v>&lt;a href="canciones/juan_antonio_espinosa/vamos_cantando_al_señor.html"&gt;</v>
      </c>
      <c r="X795"/>
      <c r="AA795" s="1"/>
      <c r="AB795" s="1"/>
    </row>
    <row r="796" spans="1:28" x14ac:dyDescent="0.3">
      <c r="A796" s="1">
        <f>ROW(CantoralDB[[#This Row],[Título]])-1</f>
        <v>795</v>
      </c>
      <c r="B796" s="1" t="s">
        <v>2</v>
      </c>
      <c r="C796" s="1" t="s">
        <v>190</v>
      </c>
      <c r="D796" s="1" t="s">
        <v>1360</v>
      </c>
      <c r="E796" s="1">
        <v>32</v>
      </c>
      <c r="G796" s="1" t="s">
        <v>208</v>
      </c>
      <c r="H796" s="1" t="s">
        <v>530</v>
      </c>
      <c r="J796" s="1" t="s">
        <v>607</v>
      </c>
      <c r="M796" s="15" t="s">
        <v>479</v>
      </c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796" s="15" t="str">
        <f>_xlfn.TEXTBEFORE(_xlfn.TEXTAFTER(CantoralDB[[#This Row],[index.html]],"&gt;"),"&gt;")&amp;"&gt;"</f>
        <v>&lt;a href="canciones/juanjo_elezkano/a_la_fiesta_del_señor.html"&gt;</v>
      </c>
      <c r="X796"/>
      <c r="AA796" s="1"/>
      <c r="AB796" s="1"/>
    </row>
    <row r="797" spans="1:28" x14ac:dyDescent="0.3">
      <c r="A797" s="1">
        <f>ROW(CantoralDB[[#This Row],[Título]])-1</f>
        <v>796</v>
      </c>
      <c r="B797" s="1" t="s">
        <v>34</v>
      </c>
      <c r="C797" s="1" t="s">
        <v>190</v>
      </c>
      <c r="D797" s="1" t="s">
        <v>730</v>
      </c>
      <c r="E797" s="1" t="s">
        <v>1191</v>
      </c>
      <c r="G797" s="1" t="s">
        <v>208</v>
      </c>
      <c r="H797" s="1" t="s">
        <v>472</v>
      </c>
      <c r="J797" s="1" t="s">
        <v>607</v>
      </c>
      <c r="M797" s="15" t="s">
        <v>479</v>
      </c>
      <c r="O797" s="15"/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797" s="15" t="str">
        <f>_xlfn.TEXTBEFORE(_xlfn.TEXTAFTER(CantoralDB[[#This Row],[index.html]],"&gt;"),"&gt;")&amp;"&gt;"</f>
        <v>&lt;a href="canciones/juanjo_elezkano/comeremos_de_la_mesa.html"&gt;</v>
      </c>
      <c r="X797"/>
      <c r="AA797" s="1"/>
      <c r="AB797" s="1"/>
    </row>
    <row r="798" spans="1:28" x14ac:dyDescent="0.3">
      <c r="A798" s="1">
        <f>ROW(CantoralDB[[#This Row],[Título]])-1</f>
        <v>797</v>
      </c>
      <c r="B798" s="1" t="s">
        <v>1258</v>
      </c>
      <c r="C798" s="1"/>
      <c r="E798" s="1">
        <v>130</v>
      </c>
      <c r="J798" s="1"/>
      <c r="M798" s="15" t="s">
        <v>479</v>
      </c>
      <c r="O798" s="15"/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798" s="15" t="str">
        <f>_xlfn.TEXTBEFORE(_xlfn.TEXTAFTER(CantoralDB[[#This Row],[index.html]],"&gt;"),"&gt;")&amp;"&gt;"</f>
        <v>&lt;a href="canciones/juanjo_elezkano/hoy_cantamos_a_dios.html"&gt;</v>
      </c>
      <c r="X798"/>
      <c r="AA798" s="1"/>
      <c r="AB798" s="1"/>
    </row>
    <row r="799" spans="1:28" x14ac:dyDescent="0.3">
      <c r="A799" s="1">
        <f>ROW(CantoralDB[[#This Row],[Título]])-1</f>
        <v>798</v>
      </c>
      <c r="B799" s="1" t="s">
        <v>1266</v>
      </c>
      <c r="C799" s="1"/>
      <c r="E799" s="1">
        <v>147</v>
      </c>
      <c r="J799" s="1"/>
      <c r="M799" s="15" t="s">
        <v>479</v>
      </c>
      <c r="O799" s="15"/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799" s="15" t="str">
        <f>_xlfn.TEXTBEFORE(_xlfn.TEXTAFTER(CantoralDB[[#This Row],[index.html]],"&gt;"),"&gt;")&amp;"&gt;"</f>
        <v>&lt;a href="canciones/juanjo_elezkano/juventud_de_todos_los_paises.html"&gt;</v>
      </c>
      <c r="X799"/>
      <c r="AA799" s="1"/>
      <c r="AB799" s="1"/>
    </row>
    <row r="800" spans="1:28" x14ac:dyDescent="0.3">
      <c r="A800" s="1">
        <f>ROW(CantoralDB[[#This Row],[Título]])-1</f>
        <v>799</v>
      </c>
      <c r="B800" s="1" t="s">
        <v>1268</v>
      </c>
      <c r="C800" s="1"/>
      <c r="E800" s="1">
        <v>149</v>
      </c>
      <c r="J800" s="1"/>
      <c r="M800" s="15" t="s">
        <v>479</v>
      </c>
      <c r="O800" s="15"/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800" s="15" t="str">
        <f>_xlfn.TEXTBEFORE(_xlfn.TEXTAFTER(CantoralDB[[#This Row],[index.html]],"&gt;"),"&gt;")&amp;"&gt;"</f>
        <v>&lt;a href="canciones/juanjo_elezkano/los_pobres_de_la_tierra.html"&gt;</v>
      </c>
      <c r="X800"/>
      <c r="AA800" s="1"/>
      <c r="AB800" s="1"/>
    </row>
    <row r="801" spans="1:28" x14ac:dyDescent="0.3">
      <c r="A801" s="1">
        <f>ROW(CantoralDB[[#This Row],[Título]])-1</f>
        <v>800</v>
      </c>
      <c r="B801" s="1" t="s">
        <v>1284</v>
      </c>
      <c r="C801" s="1" t="s">
        <v>992</v>
      </c>
      <c r="D801" s="1" t="s">
        <v>719</v>
      </c>
      <c r="E801" s="1">
        <v>175</v>
      </c>
      <c r="G801" s="1" t="s">
        <v>247</v>
      </c>
      <c r="H801" s="1" t="s">
        <v>1028</v>
      </c>
      <c r="J801" s="1" t="s">
        <v>607</v>
      </c>
      <c r="M801" s="15" t="s">
        <v>479</v>
      </c>
      <c r="O801" s="15"/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801" s="1"/>
      <c r="T801" s="1"/>
      <c r="U801" s="32" t="s">
        <v>2981</v>
      </c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801" s="15" t="str">
        <f>_xlfn.TEXTBEFORE(_xlfn.TEXTAFTER(CantoralDB[[#This Row],[index.html]],"&gt;"),"&gt;")&amp;"&gt;"</f>
        <v>&lt;a href="canciones/juanjo_elezkano/necesitamos_comer_tu_pan.html"&gt;</v>
      </c>
      <c r="X801"/>
      <c r="AA801" s="1"/>
      <c r="AB801" s="1"/>
    </row>
    <row r="802" spans="1:28" x14ac:dyDescent="0.3">
      <c r="A802" s="1">
        <f>ROW(CantoralDB[[#This Row],[Título]])-1</f>
        <v>801</v>
      </c>
      <c r="B802" s="1" t="s">
        <v>1305</v>
      </c>
      <c r="C802" s="1"/>
      <c r="E802" s="1">
        <v>215</v>
      </c>
      <c r="J802" s="1"/>
      <c r="M802" s="15" t="s">
        <v>479</v>
      </c>
      <c r="O802" s="15"/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802" s="15" t="str">
        <f>_xlfn.TEXTBEFORE(_xlfn.TEXTAFTER(CantoralDB[[#This Row],[index.html]],"&gt;"),"&gt;")&amp;"&gt;"</f>
        <v>&lt;a href="canciones/juanjo_elezkano/perdoname_señor.html"&gt;</v>
      </c>
      <c r="X802"/>
      <c r="AA802" s="1"/>
      <c r="AB802" s="1"/>
    </row>
    <row r="803" spans="1:28" x14ac:dyDescent="0.3">
      <c r="A803" s="1">
        <f>ROW(CantoralDB[[#This Row],[Título]])-1</f>
        <v>802</v>
      </c>
      <c r="B803" s="1" t="s">
        <v>2397</v>
      </c>
      <c r="C803" s="1"/>
      <c r="F803" s="1">
        <v>18</v>
      </c>
      <c r="H803" s="1" t="s">
        <v>530</v>
      </c>
      <c r="J803" s="1" t="s">
        <v>607</v>
      </c>
      <c r="M803" s="15" t="s">
        <v>479</v>
      </c>
      <c r="O803" s="15"/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803" s="1"/>
      <c r="T803" s="1"/>
      <c r="U803" s="32" t="s">
        <v>3045</v>
      </c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803" s="15" t="str">
        <f>_xlfn.TEXTBEFORE(_xlfn.TEXTAFTER(CantoralDB[[#This Row],[index.html]],"&gt;"),"&gt;")&amp;"&gt;"</f>
        <v>&lt;a href="canciones/juanjo_elezkano/santo_tu_eres_señor.html"&gt;</v>
      </c>
      <c r="X803"/>
      <c r="AA803" s="1"/>
      <c r="AB803" s="1"/>
    </row>
    <row r="804" spans="1:28" x14ac:dyDescent="0.3">
      <c r="A804" s="1">
        <f>ROW(CantoralDB[[#This Row],[Título]])-1</f>
        <v>803</v>
      </c>
      <c r="B804" s="1" t="s">
        <v>1325</v>
      </c>
      <c r="C804" s="1"/>
      <c r="E804" s="1">
        <v>247</v>
      </c>
      <c r="J804" s="1"/>
      <c r="M804" s="15" t="s">
        <v>479</v>
      </c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804" s="15" t="str">
        <f>_xlfn.TEXTBEFORE(_xlfn.TEXTAFTER(CantoralDB[[#This Row],[index.html]],"&gt;"),"&gt;")&amp;"&gt;"</f>
        <v>&lt;a href="canciones/juanjo_elezkano/siempre_que_es_navidad.html"&gt;</v>
      </c>
      <c r="X804"/>
      <c r="AA804" s="1"/>
      <c r="AB804" s="1"/>
    </row>
    <row r="805" spans="1:28" x14ac:dyDescent="0.3">
      <c r="A805" s="1">
        <f>ROW(CantoralDB[[#This Row],[Título]])-1</f>
        <v>804</v>
      </c>
      <c r="B805" s="1" t="s">
        <v>2101</v>
      </c>
      <c r="C805" s="1"/>
      <c r="E805" s="1">
        <v>276</v>
      </c>
      <c r="J805" s="1"/>
      <c r="M805" s="15" t="s">
        <v>479</v>
      </c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805" s="1"/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805" s="15" t="str">
        <f>_xlfn.TEXTBEFORE(_xlfn.TEXTAFTER(CantoralDB[[#This Row],[index.html]],"&gt;"),"&gt;")&amp;"&gt;"</f>
        <v>&lt;a href="canciones/juanjo_elezkano/un_corazon_arrepentido.html"&gt;</v>
      </c>
      <c r="X805"/>
      <c r="AA805" s="1"/>
      <c r="AB805" s="1"/>
    </row>
    <row r="806" spans="1:28" x14ac:dyDescent="0.3">
      <c r="A806" s="1">
        <f>ROW(CantoralDB[[#This Row],[Título]])-1</f>
        <v>805</v>
      </c>
      <c r="B806" s="1" t="s">
        <v>161</v>
      </c>
      <c r="C806" s="1" t="s">
        <v>200</v>
      </c>
      <c r="D806" s="1" t="s">
        <v>679</v>
      </c>
      <c r="E806" s="1">
        <v>471</v>
      </c>
      <c r="G806" s="1" t="s">
        <v>208</v>
      </c>
      <c r="H806" s="1" t="s">
        <v>1029</v>
      </c>
      <c r="J806" s="1" t="s">
        <v>607</v>
      </c>
      <c r="M806" s="15" t="s">
        <v>479</v>
      </c>
      <c r="O806" s="15"/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806" s="1"/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806" s="15" t="str">
        <f>_xlfn.TEXTBEFORE(_xlfn.TEXTAFTER(CantoralDB[[#This Row],[index.html]],"&gt;"),"&gt;")&amp;"&gt;"</f>
        <v>&lt;a href="canciones/juanjo_elezkano/venimos_a_escuchar_tu_voz.html"&gt;</v>
      </c>
      <c r="X806"/>
      <c r="AA806" s="1"/>
      <c r="AB806" s="1"/>
    </row>
    <row r="807" spans="1:28" x14ac:dyDescent="0.3">
      <c r="A807" s="1">
        <f>ROW(CantoralDB[[#This Row],[Título]])-1</f>
        <v>806</v>
      </c>
      <c r="B807" s="1" t="s">
        <v>1707</v>
      </c>
      <c r="C807" s="1"/>
      <c r="J807" s="1"/>
      <c r="M807" s="15" t="s">
        <v>483</v>
      </c>
      <c r="N807" s="1" t="s">
        <v>1500</v>
      </c>
      <c r="O807" s="15">
        <v>1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807" s="1"/>
      <c r="T807" s="1"/>
      <c r="U807" s="32" t="s">
        <v>3716</v>
      </c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807" s="15" t="str">
        <f>_xlfn.TEXTBEFORE(_xlfn.TEXTAFTER(CantoralDB[[#This Row],[index.html]],"&gt;"),"&gt;")&amp;"&gt;"</f>
        <v>&lt;a href="canciones/kairoi/desde_tu_gesto.html"&gt;</v>
      </c>
      <c r="X807"/>
      <c r="AA807" s="1"/>
      <c r="AB807" s="1"/>
    </row>
    <row r="808" spans="1:28" x14ac:dyDescent="0.3">
      <c r="A808" s="1">
        <f>ROW(CantoralDB[[#This Row],[Título]])-1</f>
        <v>807</v>
      </c>
      <c r="B808" s="1" t="s">
        <v>1708</v>
      </c>
      <c r="C808" s="1"/>
      <c r="J808" s="1"/>
      <c r="M808" s="15" t="s">
        <v>483</v>
      </c>
      <c r="N808" s="1" t="s">
        <v>1500</v>
      </c>
      <c r="O808" s="15">
        <v>2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808" s="1"/>
      <c r="T808" s="1"/>
      <c r="U808" s="32" t="s">
        <v>3717</v>
      </c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808" s="15" t="str">
        <f>_xlfn.TEXTBEFORE(_xlfn.TEXTAFTER(CantoralDB[[#This Row],[index.html]],"&gt;"),"&gt;")&amp;"&gt;"</f>
        <v>&lt;a href="canciones/kairoi/el_silencio_de_mi_corazon.html"&gt;</v>
      </c>
      <c r="X808"/>
      <c r="AA808" s="1"/>
      <c r="AB808" s="1"/>
    </row>
    <row r="809" spans="1:28" x14ac:dyDescent="0.3">
      <c r="A809" s="1">
        <f>ROW(CantoralDB[[#This Row],[Título]])-1</f>
        <v>808</v>
      </c>
      <c r="B809" s="1" t="s">
        <v>2357</v>
      </c>
      <c r="C809" s="1"/>
      <c r="J809" s="1"/>
      <c r="M809" s="15" t="s">
        <v>483</v>
      </c>
      <c r="N809" s="1" t="s">
        <v>1500</v>
      </c>
      <c r="O809" s="15">
        <v>3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809" s="1"/>
      <c r="T809" s="1"/>
      <c r="U809" s="32" t="s">
        <v>3718</v>
      </c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809" s="15" t="str">
        <f>_xlfn.TEXTBEFORE(_xlfn.TEXTAFTER(CantoralDB[[#This Row],[index.html]],"&gt;"),"&gt;")&amp;"&gt;"</f>
        <v>&lt;a href="canciones/kairoi/venid_a_mi.html"&gt;</v>
      </c>
      <c r="X809"/>
      <c r="AA809" s="1"/>
      <c r="AB809" s="1"/>
    </row>
    <row r="810" spans="1:28" x14ac:dyDescent="0.3">
      <c r="A810" s="1">
        <f>ROW(CantoralDB[[#This Row],[Título]])-1</f>
        <v>809</v>
      </c>
      <c r="B810" s="1" t="s">
        <v>2875</v>
      </c>
      <c r="C810" s="1"/>
      <c r="J810" s="1"/>
      <c r="M810" s="15" t="s">
        <v>483</v>
      </c>
      <c r="N810" s="1" t="s">
        <v>1500</v>
      </c>
      <c r="O810" s="15">
        <v>4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810" s="1"/>
      <c r="T810" s="1"/>
      <c r="U810" s="32" t="s">
        <v>3719</v>
      </c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810" s="15" t="str">
        <f>_xlfn.TEXTBEFORE(_xlfn.TEXTAFTER(CantoralDB[[#This Row],[index.html]],"&gt;"),"&gt;")&amp;"&gt;"</f>
        <v>&lt;a href="canciones/kairoi/ave_maria_ii.html"&gt;</v>
      </c>
      <c r="X810"/>
      <c r="AA810" s="1"/>
      <c r="AB810" s="1"/>
    </row>
    <row r="811" spans="1:28" x14ac:dyDescent="0.3">
      <c r="A811" s="1">
        <f>ROW(CantoralDB[[#This Row],[Título]])-1</f>
        <v>810</v>
      </c>
      <c r="B811" s="1" t="s">
        <v>1709</v>
      </c>
      <c r="C811" s="1"/>
      <c r="J811" s="1"/>
      <c r="M811" s="15" t="s">
        <v>483</v>
      </c>
      <c r="N811" s="1" t="s">
        <v>1500</v>
      </c>
      <c r="O811" s="15">
        <v>5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811" s="1"/>
      <c r="T811" s="1"/>
      <c r="U811" s="32" t="s">
        <v>3720</v>
      </c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811" s="15" t="str">
        <f>_xlfn.TEXTBEFORE(_xlfn.TEXTAFTER(CantoralDB[[#This Row],[index.html]],"&gt;"),"&gt;")&amp;"&gt;"</f>
        <v>&lt;a href="canciones/kairoi/si_tu_sabes.html"&gt;</v>
      </c>
      <c r="X811"/>
      <c r="AA811" s="1"/>
      <c r="AB811" s="1"/>
    </row>
    <row r="812" spans="1:28" x14ac:dyDescent="0.3">
      <c r="A812" s="1">
        <f>ROW(CantoralDB[[#This Row],[Título]])-1</f>
        <v>811</v>
      </c>
      <c r="B812" s="1" t="s">
        <v>1710</v>
      </c>
      <c r="C812" s="1"/>
      <c r="J812" s="1"/>
      <c r="M812" s="15" t="s">
        <v>483</v>
      </c>
      <c r="N812" s="1" t="s">
        <v>1500</v>
      </c>
      <c r="O812" s="15">
        <v>6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812" s="1"/>
      <c r="T812" s="1"/>
      <c r="U812" s="32" t="s">
        <v>3721</v>
      </c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812" s="15" t="str">
        <f>_xlfn.TEXTBEFORE(_xlfn.TEXTAFTER(CantoralDB[[#This Row],[index.html]],"&gt;"),"&gt;")&amp;"&gt;"</f>
        <v>&lt;a href="canciones/kairoi/la_utopia_es_posible.html"&gt;</v>
      </c>
      <c r="X812"/>
      <c r="AA812" s="1"/>
      <c r="AB812" s="1"/>
    </row>
    <row r="813" spans="1:28" x14ac:dyDescent="0.3">
      <c r="A813" s="1">
        <f>ROW(CantoralDB[[#This Row],[Título]])-1</f>
        <v>812</v>
      </c>
      <c r="B813" s="1" t="s">
        <v>2944</v>
      </c>
      <c r="C813" s="1"/>
      <c r="J813" s="1"/>
      <c r="M813" s="15" t="s">
        <v>483</v>
      </c>
      <c r="N813" s="1" t="s">
        <v>1500</v>
      </c>
      <c r="O813" s="15">
        <v>7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813" s="1"/>
      <c r="T813" s="1"/>
      <c r="U813" s="32" t="s">
        <v>3722</v>
      </c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813" s="15" t="str">
        <f>_xlfn.TEXTBEFORE(_xlfn.TEXTAFTER(CantoralDB[[#This Row],[index.html]],"&gt;"),"&gt;")&amp;"&gt;"</f>
        <v>&lt;a href="canciones/kairoi/padre_nuestro_iii.html"&gt;</v>
      </c>
      <c r="X813"/>
      <c r="AA813" s="1"/>
      <c r="AB813" s="1"/>
    </row>
    <row r="814" spans="1:28" x14ac:dyDescent="0.3">
      <c r="A814" s="1">
        <f>ROW(CantoralDB[[#This Row],[Título]])-1</f>
        <v>813</v>
      </c>
      <c r="B814" s="1" t="s">
        <v>1711</v>
      </c>
      <c r="C814" s="1"/>
      <c r="J814" s="1"/>
      <c r="M814" s="15" t="s">
        <v>483</v>
      </c>
      <c r="N814" s="1" t="s">
        <v>1500</v>
      </c>
      <c r="O814" s="15">
        <v>8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814" s="1"/>
      <c r="T814" s="1"/>
      <c r="U814" s="32" t="s">
        <v>3723</v>
      </c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814" s="15" t="str">
        <f>_xlfn.TEXTBEFORE(_xlfn.TEXTAFTER(CantoralDB[[#This Row],[index.html]],"&gt;"),"&gt;")&amp;"&gt;"</f>
        <v>&lt;a href="canciones/kairoi/que_vuestro_corazon_no_se_turbe.html"&gt;</v>
      </c>
      <c r="X814"/>
      <c r="AA814" s="1"/>
      <c r="AB814" s="1"/>
    </row>
    <row r="815" spans="1:28" x14ac:dyDescent="0.3">
      <c r="A815" s="1">
        <f>ROW(CantoralDB[[#This Row],[Título]])-1</f>
        <v>814</v>
      </c>
      <c r="B815" s="1" t="s">
        <v>1712</v>
      </c>
      <c r="C815" s="1"/>
      <c r="J815" s="1"/>
      <c r="M815" s="15" t="s">
        <v>483</v>
      </c>
      <c r="N815" s="1" t="s">
        <v>1500</v>
      </c>
      <c r="O815" s="15">
        <v>9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815" s="1"/>
      <c r="T815" s="1"/>
      <c r="U815" s="32" t="s">
        <v>3724</v>
      </c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815" s="15" t="str">
        <f>_xlfn.TEXTBEFORE(_xlfn.TEXTAFTER(CantoralDB[[#This Row],[index.html]],"&gt;"),"&gt;")&amp;"&gt;"</f>
        <v>&lt;a href="canciones/kairoi/decid_si.html"&gt;</v>
      </c>
      <c r="X815"/>
      <c r="AA815" s="1"/>
      <c r="AB815" s="1"/>
    </row>
    <row r="816" spans="1:28" x14ac:dyDescent="0.3">
      <c r="A816" s="1">
        <f>ROW(CantoralDB[[#This Row],[Título]])-1</f>
        <v>815</v>
      </c>
      <c r="B816" s="1" t="s">
        <v>1713</v>
      </c>
      <c r="C816" s="1"/>
      <c r="J816" s="1"/>
      <c r="M816" s="15" t="s">
        <v>483</v>
      </c>
      <c r="N816" s="1" t="s">
        <v>1500</v>
      </c>
      <c r="O816" s="15">
        <v>10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816" s="1"/>
      <c r="T816" s="1"/>
      <c r="U816" s="32" t="s">
        <v>3725</v>
      </c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816" s="15" t="str">
        <f>_xlfn.TEXTBEFORE(_xlfn.TEXTAFTER(CantoralDB[[#This Row],[index.html]],"&gt;"),"&gt;")&amp;"&gt;"</f>
        <v>&lt;a href="canciones/kairoi/estrellas_en_el_mar.html"&gt;</v>
      </c>
      <c r="X816"/>
      <c r="AA816" s="1"/>
      <c r="AB816" s="1"/>
    </row>
    <row r="817" spans="1:28" x14ac:dyDescent="0.3">
      <c r="A817" s="1">
        <f>ROW(CantoralDB[[#This Row],[Título]])-1</f>
        <v>816</v>
      </c>
      <c r="B817" s="1" t="s">
        <v>2358</v>
      </c>
      <c r="C817" s="1"/>
      <c r="J817" s="1"/>
      <c r="M817" s="15" t="s">
        <v>483</v>
      </c>
      <c r="N817" s="1" t="s">
        <v>1500</v>
      </c>
      <c r="O817" s="15">
        <v>11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817" s="1"/>
      <c r="T817" s="1"/>
      <c r="U817" s="32" t="s">
        <v>3726</v>
      </c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817" s="15" t="str">
        <f>_xlfn.TEXTBEFORE(_xlfn.TEXTAFTER(CantoralDB[[#This Row],[index.html]],"&gt;"),"&gt;")&amp;"&gt;"</f>
        <v>&lt;a href="canciones/kairoi/quien_eres_jesus_para_mi.html"&gt;</v>
      </c>
      <c r="X817"/>
      <c r="AA817" s="1"/>
      <c r="AB817" s="1"/>
    </row>
    <row r="818" spans="1:28" x14ac:dyDescent="0.3">
      <c r="A818" s="1">
        <f>ROW(CantoralDB[[#This Row],[Título]])-1</f>
        <v>817</v>
      </c>
      <c r="B818" s="1" t="s">
        <v>1714</v>
      </c>
      <c r="C818" s="1"/>
      <c r="J818" s="1"/>
      <c r="M818" s="15" t="s">
        <v>483</v>
      </c>
      <c r="N818" s="1" t="s">
        <v>1500</v>
      </c>
      <c r="O818" s="15">
        <v>12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818" s="1"/>
      <c r="T818" s="1"/>
      <c r="U818" s="32" t="s">
        <v>3727</v>
      </c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818" s="15" t="str">
        <f>_xlfn.TEXTBEFORE(_xlfn.TEXTAFTER(CantoralDB[[#This Row],[index.html]],"&gt;"),"&gt;")&amp;"&gt;"</f>
        <v>&lt;a href="canciones/kairoi/venimos_ante_ti.html"&gt;</v>
      </c>
      <c r="X818"/>
      <c r="AA818" s="1"/>
      <c r="AB818" s="1"/>
    </row>
    <row r="819" spans="1:28" x14ac:dyDescent="0.3">
      <c r="A819" s="1">
        <f>ROW(CantoralDB[[#This Row],[Título]])-1</f>
        <v>818</v>
      </c>
      <c r="B819" s="1" t="s">
        <v>1715</v>
      </c>
      <c r="C819" s="1"/>
      <c r="J819" s="1"/>
      <c r="M819" s="15" t="s">
        <v>483</v>
      </c>
      <c r="N819" s="1" t="s">
        <v>1500</v>
      </c>
      <c r="O819" s="15">
        <v>13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819" s="1"/>
      <c r="T819" s="1"/>
      <c r="U819" s="32" t="s">
        <v>3728</v>
      </c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819" s="15" t="str">
        <f>_xlfn.TEXTBEFORE(_xlfn.TEXTAFTER(CantoralDB[[#This Row],[index.html]],"&gt;"),"&gt;")&amp;"&gt;"</f>
        <v>&lt;a href="canciones/kairoi/en_la_oscuridad_de_la_noche.html"&gt;</v>
      </c>
      <c r="X819"/>
      <c r="AA819" s="1"/>
      <c r="AB819" s="1"/>
    </row>
    <row r="820" spans="1:28" x14ac:dyDescent="0.3">
      <c r="A820" s="1">
        <f>ROW(CantoralDB[[#This Row],[Título]])-1</f>
        <v>819</v>
      </c>
      <c r="B820" s="1" t="s">
        <v>1716</v>
      </c>
      <c r="C820" s="1"/>
      <c r="J820" s="1"/>
      <c r="M820" s="15" t="s">
        <v>483</v>
      </c>
      <c r="N820" s="1" t="s">
        <v>1500</v>
      </c>
      <c r="O820" s="15">
        <v>14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820" s="1"/>
      <c r="T820" s="1"/>
      <c r="U820" s="32" t="s">
        <v>3729</v>
      </c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820" s="15" t="str">
        <f>_xlfn.TEXTBEFORE(_xlfn.TEXTAFTER(CantoralDB[[#This Row],[index.html]],"&gt;"),"&gt;")&amp;"&gt;"</f>
        <v>&lt;a href="canciones/kairoi/padre.html"&gt;</v>
      </c>
      <c r="X820"/>
      <c r="AA820" s="1"/>
      <c r="AB820" s="1"/>
    </row>
    <row r="821" spans="1:28" x14ac:dyDescent="0.3">
      <c r="A821" s="1">
        <f>ROW(CantoralDB[[#This Row],[Título]])-1</f>
        <v>820</v>
      </c>
      <c r="B821" s="1" t="s">
        <v>602</v>
      </c>
      <c r="C821" s="1" t="s">
        <v>200</v>
      </c>
      <c r="D821" s="1" t="s">
        <v>658</v>
      </c>
      <c r="G821" s="1" t="s">
        <v>552</v>
      </c>
      <c r="H821" s="1" t="s">
        <v>1026</v>
      </c>
      <c r="J821" s="1" t="s">
        <v>607</v>
      </c>
      <c r="M821" s="15" t="s">
        <v>483</v>
      </c>
      <c r="N821" s="1" t="s">
        <v>1489</v>
      </c>
      <c r="O821" s="15">
        <v>1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821" s="1" t="s">
        <v>840</v>
      </c>
      <c r="T821" s="1"/>
      <c r="U821" s="32" t="s">
        <v>3730</v>
      </c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821" s="15" t="str">
        <f>_xlfn.TEXTBEFORE(_xlfn.TEXTAFTER(CantoralDB[[#This Row],[index.html]],"&gt;"),"&gt;")&amp;"&gt;"</f>
        <v>&lt;a href="canciones/kairoi/la_bondad_y_el_amor_del_señor.html"&gt;</v>
      </c>
      <c r="X821"/>
      <c r="AA821" s="1"/>
      <c r="AB821" s="1"/>
    </row>
    <row r="822" spans="1:28" x14ac:dyDescent="0.3">
      <c r="A822" s="1">
        <f>ROW(CantoralDB[[#This Row],[Título]])-1</f>
        <v>821</v>
      </c>
      <c r="B822" s="1" t="s">
        <v>2025</v>
      </c>
      <c r="C822" s="1"/>
      <c r="H822" s="1" t="s">
        <v>1026</v>
      </c>
      <c r="J822" s="1" t="s">
        <v>607</v>
      </c>
      <c r="M822" s="15" t="s">
        <v>483</v>
      </c>
      <c r="N822" s="1" t="s">
        <v>1489</v>
      </c>
      <c r="O822" s="15">
        <v>2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822" s="1"/>
      <c r="T822" s="1"/>
      <c r="U822" s="32" t="s">
        <v>3731</v>
      </c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822" s="15" t="str">
        <f>_xlfn.TEXTBEFORE(_xlfn.TEXTAFTER(CantoralDB[[#This Row],[index.html]],"&gt;"),"&gt;")&amp;"&gt;"</f>
        <v>&lt;a href="canciones/kairoi/vamos_hacia_ti_(gloria_a_dios).html"&gt;</v>
      </c>
      <c r="X822"/>
      <c r="AA822" s="1"/>
      <c r="AB822" s="1"/>
    </row>
    <row r="823" spans="1:28" x14ac:dyDescent="0.3">
      <c r="A823" s="1">
        <f>ROW(CantoralDB[[#This Row],[Título]])-1</f>
        <v>822</v>
      </c>
      <c r="B823" s="1" t="s">
        <v>1570</v>
      </c>
      <c r="C823" s="1"/>
      <c r="H823" s="1" t="s">
        <v>1028</v>
      </c>
      <c r="J823" s="1" t="s">
        <v>607</v>
      </c>
      <c r="M823" s="15" t="s">
        <v>483</v>
      </c>
      <c r="N823" s="1" t="s">
        <v>1489</v>
      </c>
      <c r="O823" s="15">
        <v>3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823" s="1"/>
      <c r="T823" s="1"/>
      <c r="U823" s="32" t="s">
        <v>3732</v>
      </c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823" s="15" t="str">
        <f>_xlfn.TEXTBEFORE(_xlfn.TEXTAFTER(CantoralDB[[#This Row],[index.html]],"&gt;"),"&gt;")&amp;"&gt;"</f>
        <v>&lt;a href="canciones/kairoi/quedate_aqui_señor.html"&gt;</v>
      </c>
      <c r="X823"/>
      <c r="AA823" s="1"/>
      <c r="AB823" s="1"/>
    </row>
    <row r="824" spans="1:28" x14ac:dyDescent="0.3">
      <c r="A824" s="1">
        <f>ROW(CantoralDB[[#This Row],[Título]])-1</f>
        <v>823</v>
      </c>
      <c r="B824" s="1" t="s">
        <v>557</v>
      </c>
      <c r="C824" s="1" t="s">
        <v>191</v>
      </c>
      <c r="D824" s="1" t="s">
        <v>1449</v>
      </c>
      <c r="G824" s="1" t="s">
        <v>552</v>
      </c>
      <c r="H824" s="1" t="s">
        <v>1029</v>
      </c>
      <c r="I824" s="1" t="s">
        <v>2954</v>
      </c>
      <c r="J824" s="1" t="s">
        <v>607</v>
      </c>
      <c r="M824" s="15" t="s">
        <v>483</v>
      </c>
      <c r="N824" s="1" t="s">
        <v>1489</v>
      </c>
      <c r="O824" s="15">
        <v>4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824" s="1" t="s">
        <v>851</v>
      </c>
      <c r="T824" s="1"/>
      <c r="U824" s="32" t="s">
        <v>3733</v>
      </c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824" s="15" t="str">
        <f>_xlfn.TEXTBEFORE(_xlfn.TEXTAFTER(CantoralDB[[#This Row],[index.html]],"&gt;"),"&gt;")&amp;"&gt;"</f>
        <v>&lt;a href="canciones/kairoi/padre_vuelvo_a_ti.html"&gt;</v>
      </c>
      <c r="X824"/>
      <c r="AA824" s="1"/>
      <c r="AB824" s="1"/>
    </row>
    <row r="825" spans="1:28" x14ac:dyDescent="0.3">
      <c r="A825" s="1">
        <f>ROW(CantoralDB[[#This Row],[Título]])-1</f>
        <v>824</v>
      </c>
      <c r="B825" s="1" t="s">
        <v>89</v>
      </c>
      <c r="C825" s="1" t="s">
        <v>199</v>
      </c>
      <c r="D825" s="1" t="s">
        <v>1044</v>
      </c>
      <c r="E825" s="1">
        <v>433</v>
      </c>
      <c r="G825" s="1" t="s">
        <v>208</v>
      </c>
      <c r="H825" s="1" t="s">
        <v>530</v>
      </c>
      <c r="I825" s="1" t="s">
        <v>2953</v>
      </c>
      <c r="J825" s="1" t="s">
        <v>607</v>
      </c>
      <c r="M825" s="15" t="s">
        <v>483</v>
      </c>
      <c r="N825" s="1" t="s">
        <v>1489</v>
      </c>
      <c r="O825" s="15">
        <v>5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825" s="1"/>
      <c r="T825" s="1"/>
      <c r="U825" s="32" t="s">
        <v>3734</v>
      </c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825" s="15" t="str">
        <f>_xlfn.TEXTBEFORE(_xlfn.TEXTAFTER(CantoralDB[[#This Row],[index.html]],"&gt;"),"&gt;")&amp;"&gt;"</f>
        <v>&lt;a href="canciones/kairoi/maria_la_madre_buena.html"&gt;</v>
      </c>
      <c r="X825"/>
      <c r="AA825" s="1"/>
      <c r="AB825" s="1"/>
    </row>
    <row r="826" spans="1:28" x14ac:dyDescent="0.3">
      <c r="A826" s="1">
        <f>ROW(CantoralDB[[#This Row],[Título]])-1</f>
        <v>825</v>
      </c>
      <c r="B826" s="1" t="s">
        <v>234</v>
      </c>
      <c r="C826" s="1" t="s">
        <v>218</v>
      </c>
      <c r="D826" s="1" t="s">
        <v>1414</v>
      </c>
      <c r="F826" s="1">
        <v>210</v>
      </c>
      <c r="G826" s="1" t="s">
        <v>208</v>
      </c>
      <c r="H826" s="1" t="s">
        <v>1026</v>
      </c>
      <c r="J826" s="1" t="s">
        <v>607</v>
      </c>
      <c r="M826" s="15" t="s">
        <v>483</v>
      </c>
      <c r="N826" s="1" t="s">
        <v>1489</v>
      </c>
      <c r="O826" s="15">
        <v>7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826" s="1" t="s">
        <v>827</v>
      </c>
      <c r="T826" s="1"/>
      <c r="U826" s="32" t="s">
        <v>3735</v>
      </c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826" s="15" t="str">
        <f>_xlfn.TEXTBEFORE(_xlfn.TEXTAFTER(CantoralDB[[#This Row],[index.html]],"&gt;"),"&gt;")&amp;"&gt;"</f>
        <v>&lt;a href="canciones/kairoi/el_señor_os_dara_su_espiritu_santo.html"&gt;</v>
      </c>
      <c r="X826"/>
      <c r="AA826" s="1"/>
      <c r="AB826" s="1"/>
    </row>
    <row r="827" spans="1:28" x14ac:dyDescent="0.3">
      <c r="A827" s="1">
        <f>ROW(CantoralDB[[#This Row],[Título]])-1</f>
        <v>826</v>
      </c>
      <c r="B827" s="1" t="s">
        <v>553</v>
      </c>
      <c r="C827" s="1" t="s">
        <v>193</v>
      </c>
      <c r="D827" s="1" t="s">
        <v>1371</v>
      </c>
      <c r="G827" s="1" t="s">
        <v>208</v>
      </c>
      <c r="H827" s="1" t="s">
        <v>530</v>
      </c>
      <c r="I827" s="1" t="s">
        <v>2953</v>
      </c>
      <c r="J827" s="1" t="s">
        <v>607</v>
      </c>
      <c r="M827" s="15" t="s">
        <v>483</v>
      </c>
      <c r="N827" s="1" t="s">
        <v>1489</v>
      </c>
      <c r="O827" s="15">
        <v>8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827" s="1"/>
      <c r="T827" s="1"/>
      <c r="U827" s="32" t="s">
        <v>3736</v>
      </c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827" s="15" t="str">
        <f>_xlfn.TEXTBEFORE(_xlfn.TEXTAFTER(CantoralDB[[#This Row],[index.html]],"&gt;"),"&gt;")&amp;"&gt;"</f>
        <v>&lt;a href="canciones/kairoi/aleluya_(junto_a_ti_jesus).html"&gt;</v>
      </c>
      <c r="X827"/>
      <c r="AA827" s="1"/>
      <c r="AB827" s="1"/>
    </row>
    <row r="828" spans="1:28" x14ac:dyDescent="0.3">
      <c r="A828" s="1">
        <f>ROW(CantoralDB[[#This Row],[Título]])-1</f>
        <v>827</v>
      </c>
      <c r="B828" s="1" t="s">
        <v>1489</v>
      </c>
      <c r="C828" s="1"/>
      <c r="H828" s="1" t="s">
        <v>530</v>
      </c>
      <c r="J828" s="1" t="s">
        <v>607</v>
      </c>
      <c r="M828" s="15" t="s">
        <v>483</v>
      </c>
      <c r="N828" s="1" t="s">
        <v>1489</v>
      </c>
      <c r="O828" s="15">
        <v>9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828" s="1"/>
      <c r="T828" s="1"/>
      <c r="U828" s="32" t="s">
        <v>3737</v>
      </c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828" s="15" t="str">
        <f>_xlfn.TEXTBEFORE(_xlfn.TEXTAFTER(CantoralDB[[#This Row],[index.html]],"&gt;"),"&gt;")&amp;"&gt;"</f>
        <v>&lt;a href="canciones/kairoi/a_tu_lado_señor.html"&gt;</v>
      </c>
      <c r="X828"/>
      <c r="AA828" s="1"/>
      <c r="AB828" s="1"/>
    </row>
    <row r="829" spans="1:28" x14ac:dyDescent="0.3">
      <c r="A829" s="1">
        <f>ROW(CantoralDB[[#This Row],[Título]])-1</f>
        <v>828</v>
      </c>
      <c r="B829" s="1" t="s">
        <v>1571</v>
      </c>
      <c r="C829" s="1"/>
      <c r="H829" s="1" t="s">
        <v>530</v>
      </c>
      <c r="J829" s="1" t="s">
        <v>607</v>
      </c>
      <c r="M829" s="15" t="s">
        <v>483</v>
      </c>
      <c r="N829" s="1" t="s">
        <v>1489</v>
      </c>
      <c r="O829" s="15">
        <v>10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829" s="1"/>
      <c r="T829" s="1"/>
      <c r="U829" s="32" t="s">
        <v>3738</v>
      </c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829" s="15" t="str">
        <f>_xlfn.TEXTBEFORE(_xlfn.TEXTAFTER(CantoralDB[[#This Row],[index.html]],"&gt;"),"&gt;")&amp;"&gt;"</f>
        <v>&lt;a href="canciones/kairoi/canto_de_maria.html"&gt;</v>
      </c>
      <c r="X829"/>
      <c r="AA829" s="1"/>
      <c r="AB829" s="1"/>
    </row>
    <row r="830" spans="1:28" x14ac:dyDescent="0.3">
      <c r="A830" s="1">
        <f>ROW(CantoralDB[[#This Row],[Título]])-1</f>
        <v>829</v>
      </c>
      <c r="B830" s="1" t="s">
        <v>1572</v>
      </c>
      <c r="C830" s="1"/>
      <c r="H830" s="1" t="s">
        <v>1029</v>
      </c>
      <c r="J830" s="1" t="s">
        <v>607</v>
      </c>
      <c r="M830" s="15" t="s">
        <v>483</v>
      </c>
      <c r="N830" s="1" t="s">
        <v>1489</v>
      </c>
      <c r="O830" s="15">
        <v>11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830" s="1"/>
      <c r="T830" s="1"/>
      <c r="U830" s="32" t="s">
        <v>3739</v>
      </c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830" s="15" t="str">
        <f>_xlfn.TEXTBEFORE(_xlfn.TEXTAFTER(CantoralDB[[#This Row],[index.html]],"&gt;"),"&gt;")&amp;"&gt;"</f>
        <v>&lt;a href="canciones/kairoi/tu_jesus.html"&gt;</v>
      </c>
      <c r="X830"/>
      <c r="AA830" s="1"/>
      <c r="AB830" s="1"/>
    </row>
    <row r="831" spans="1:28" x14ac:dyDescent="0.3">
      <c r="A831" s="1">
        <f>ROW(CantoralDB[[#This Row],[Título]])-1</f>
        <v>830</v>
      </c>
      <c r="B831" s="1" t="s">
        <v>1625</v>
      </c>
      <c r="C831" s="1"/>
      <c r="J831" s="1"/>
      <c r="M831" s="15" t="s">
        <v>483</v>
      </c>
      <c r="N831" s="1" t="s">
        <v>1489</v>
      </c>
      <c r="O831" s="15">
        <v>12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831" s="1"/>
      <c r="T831" s="1"/>
      <c r="U831" s="32" t="s">
        <v>3740</v>
      </c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831" s="15" t="str">
        <f>_xlfn.TEXTBEFORE(_xlfn.TEXTAFTER(CantoralDB[[#This Row],[index.html]],"&gt;"),"&gt;")&amp;"&gt;"</f>
        <v>&lt;a href="canciones/kairoi/ven_conmigo_amigo.html"&gt;</v>
      </c>
      <c r="X831"/>
      <c r="AA831" s="1"/>
      <c r="AB831" s="1"/>
    </row>
    <row r="832" spans="1:28" x14ac:dyDescent="0.3">
      <c r="A832" s="1">
        <f>ROW(CantoralDB[[#This Row],[Título]])-1</f>
        <v>831</v>
      </c>
      <c r="B832" s="1" t="s">
        <v>1613</v>
      </c>
      <c r="C832" s="1"/>
      <c r="J832" s="1"/>
      <c r="M832" s="15" t="s">
        <v>483</v>
      </c>
      <c r="N832" s="1" t="s">
        <v>1488</v>
      </c>
      <c r="O832" s="15">
        <v>1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832" s="1"/>
      <c r="T832" s="1"/>
      <c r="U832" s="32" t="s">
        <v>3741</v>
      </c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832" s="15" t="str">
        <f>_xlfn.TEXTBEFORE(_xlfn.TEXTAFTER(CantoralDB[[#This Row],[index.html]],"&gt;"),"&gt;")&amp;"&gt;"</f>
        <v>&lt;a href="canciones/kairoi/es_tu_amigo_es.html"&gt;</v>
      </c>
      <c r="X832"/>
      <c r="AA832" s="1"/>
      <c r="AB832" s="1"/>
    </row>
    <row r="833" spans="1:28" x14ac:dyDescent="0.3">
      <c r="A833" s="1">
        <f>ROW(CantoralDB[[#This Row],[Título]])-1</f>
        <v>832</v>
      </c>
      <c r="B833" s="1" t="s">
        <v>1614</v>
      </c>
      <c r="C833" s="1"/>
      <c r="J833" s="1"/>
      <c r="M833" s="15" t="s">
        <v>483</v>
      </c>
      <c r="N833" s="1" t="s">
        <v>1488</v>
      </c>
      <c r="O833" s="15">
        <v>2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833" s="1"/>
      <c r="T833" s="1"/>
      <c r="U833" s="32" t="s">
        <v>3742</v>
      </c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833" s="15" t="str">
        <f>_xlfn.TEXTBEFORE(_xlfn.TEXTAFTER(CantoralDB[[#This Row],[index.html]],"&gt;"),"&gt;")&amp;"&gt;"</f>
        <v>&lt;a href="canciones/kairoi/rock_de_paz.html"&gt;</v>
      </c>
      <c r="X833"/>
      <c r="AA833" s="1"/>
      <c r="AB833" s="1"/>
    </row>
    <row r="834" spans="1:28" x14ac:dyDescent="0.3">
      <c r="A834" s="1">
        <f>ROW(CantoralDB[[#This Row],[Título]])-1</f>
        <v>833</v>
      </c>
      <c r="B834" s="1" t="s">
        <v>1488</v>
      </c>
      <c r="C834" s="1"/>
      <c r="J834" s="1"/>
      <c r="M834" s="15" t="s">
        <v>483</v>
      </c>
      <c r="N834" s="1" t="s">
        <v>1488</v>
      </c>
      <c r="O834" s="15">
        <v>3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834" s="1"/>
      <c r="T834" s="1"/>
      <c r="U834" s="32" t="s">
        <v>3743</v>
      </c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834" s="15" t="str">
        <f>_xlfn.TEXTBEFORE(_xlfn.TEXTAFTER(CantoralDB[[#This Row],[index.html]],"&gt;"),"&gt;")&amp;"&gt;"</f>
        <v>&lt;a href="canciones/kairoi/amigos.html"&gt;</v>
      </c>
      <c r="X834"/>
      <c r="AA834" s="1"/>
      <c r="AB834" s="1"/>
    </row>
    <row r="835" spans="1:28" x14ac:dyDescent="0.3">
      <c r="A835" s="1">
        <f>ROW(CantoralDB[[#This Row],[Título]])-1</f>
        <v>834</v>
      </c>
      <c r="B835" s="1" t="s">
        <v>1615</v>
      </c>
      <c r="C835" s="1"/>
      <c r="J835" s="1"/>
      <c r="M835" s="15" t="s">
        <v>483</v>
      </c>
      <c r="N835" s="1" t="s">
        <v>1488</v>
      </c>
      <c r="O835" s="15">
        <v>4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835" s="1"/>
      <c r="T835" s="1"/>
      <c r="U835" s="32" t="s">
        <v>3744</v>
      </c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835" s="15" t="str">
        <f>_xlfn.TEXTBEFORE(_xlfn.TEXTAFTER(CantoralDB[[#This Row],[index.html]],"&gt;"),"&gt;")&amp;"&gt;"</f>
        <v>&lt;a href="canciones/kairoi/kua_kua_kua.html"&gt;</v>
      </c>
      <c r="X835"/>
      <c r="AA835" s="1"/>
      <c r="AB835" s="1"/>
    </row>
    <row r="836" spans="1:28" x14ac:dyDescent="0.3">
      <c r="A836" s="1">
        <f>ROW(CantoralDB[[#This Row],[Título]])-1</f>
        <v>835</v>
      </c>
      <c r="B836" s="1" t="s">
        <v>1616</v>
      </c>
      <c r="C836" s="1"/>
      <c r="J836" s="1"/>
      <c r="M836" s="15" t="s">
        <v>483</v>
      </c>
      <c r="N836" s="1" t="s">
        <v>1488</v>
      </c>
      <c r="O836" s="15">
        <v>5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836" s="1"/>
      <c r="T836" s="1"/>
      <c r="U836" s="32" t="s">
        <v>3745</v>
      </c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836" s="15" t="str">
        <f>_xlfn.TEXTBEFORE(_xlfn.TEXTAFTER(CantoralDB[[#This Row],[index.html]],"&gt;"),"&gt;")&amp;"&gt;"</f>
        <v>&lt;a href="canciones/kairoi/el_dinosaurio.html"&gt;</v>
      </c>
      <c r="X836"/>
      <c r="AA836" s="1"/>
      <c r="AB836" s="1"/>
    </row>
    <row r="837" spans="1:28" x14ac:dyDescent="0.3">
      <c r="A837" s="1">
        <f>ROW(CantoralDB[[#This Row],[Título]])-1</f>
        <v>836</v>
      </c>
      <c r="B837" s="1" t="s">
        <v>1617</v>
      </c>
      <c r="C837" s="1"/>
      <c r="J837" s="1"/>
      <c r="M837" s="15" t="s">
        <v>483</v>
      </c>
      <c r="N837" s="1" t="s">
        <v>1488</v>
      </c>
      <c r="O837" s="15">
        <v>6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837" s="1"/>
      <c r="T837" s="1"/>
      <c r="U837" s="32" t="s">
        <v>3746</v>
      </c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837" s="15" t="str">
        <f>_xlfn.TEXTBEFORE(_xlfn.TEXTAFTER(CantoralDB[[#This Row],[index.html]],"&gt;"),"&gt;")&amp;"&gt;"</f>
        <v>&lt;a href="canciones/kairoi/noche_silenciosa.html"&gt;</v>
      </c>
      <c r="X837"/>
      <c r="AA837" s="1"/>
      <c r="AB837" s="1"/>
    </row>
    <row r="838" spans="1:28" x14ac:dyDescent="0.3">
      <c r="A838" s="1">
        <f>ROW(CantoralDB[[#This Row],[Título]])-1</f>
        <v>837</v>
      </c>
      <c r="B838" s="1" t="s">
        <v>1618</v>
      </c>
      <c r="C838" s="1"/>
      <c r="J838" s="1"/>
      <c r="M838" s="15" t="s">
        <v>483</v>
      </c>
      <c r="N838" s="1" t="s">
        <v>1488</v>
      </c>
      <c r="O838" s="15">
        <v>7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838" s="1"/>
      <c r="T838" s="1"/>
      <c r="U838" s="32" t="s">
        <v>3747</v>
      </c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838" s="15" t="str">
        <f>_xlfn.TEXTBEFORE(_xlfn.TEXTAFTER(CantoralDB[[#This Row],[index.html]],"&gt;"),"&gt;")&amp;"&gt;"</f>
        <v>&lt;a href="canciones/kairoi/con_los_niños.html"&gt;</v>
      </c>
      <c r="X838"/>
      <c r="AA838" s="1"/>
      <c r="AB838" s="1"/>
    </row>
    <row r="839" spans="1:28" x14ac:dyDescent="0.3">
      <c r="A839" s="1">
        <f>ROW(CantoralDB[[#This Row],[Título]])-1</f>
        <v>838</v>
      </c>
      <c r="B839" s="1" t="s">
        <v>1619</v>
      </c>
      <c r="C839" s="1"/>
      <c r="J839" s="1"/>
      <c r="M839" s="15" t="s">
        <v>483</v>
      </c>
      <c r="N839" s="1" t="s">
        <v>1488</v>
      </c>
      <c r="O839" s="15">
        <v>8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839" s="1"/>
      <c r="T839" s="1"/>
      <c r="U839" s="32" t="s">
        <v>3748</v>
      </c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839" s="15" t="str">
        <f>_xlfn.TEXTBEFORE(_xlfn.TEXTAFTER(CantoralDB[[#This Row],[index.html]],"&gt;"),"&gt;")&amp;"&gt;"</f>
        <v>&lt;a href="canciones/kairoi/kenee_chineke_nna.html"&gt;</v>
      </c>
      <c r="X839"/>
      <c r="AA839" s="1"/>
      <c r="AB839" s="1"/>
    </row>
    <row r="840" spans="1:28" x14ac:dyDescent="0.3">
      <c r="A840" s="1">
        <f>ROW(CantoralDB[[#This Row],[Título]])-1</f>
        <v>839</v>
      </c>
      <c r="B840" s="1" t="s">
        <v>1620</v>
      </c>
      <c r="C840" s="1"/>
      <c r="J840" s="1"/>
      <c r="M840" s="15" t="s">
        <v>483</v>
      </c>
      <c r="N840" s="1" t="s">
        <v>1488</v>
      </c>
      <c r="O840" s="15">
        <v>9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840" s="1"/>
      <c r="T840" s="1"/>
      <c r="U840" s="32" t="s">
        <v>3749</v>
      </c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840" s="15" t="str">
        <f>_xlfn.TEXTBEFORE(_xlfn.TEXTAFTER(CantoralDB[[#This Row],[index.html]],"&gt;"),"&gt;")&amp;"&gt;"</f>
        <v>&lt;a href="canciones/kairoi/al_nacer_el_nuevo_dia.html"&gt;</v>
      </c>
      <c r="X840"/>
      <c r="AA840" s="1"/>
      <c r="AB840" s="1"/>
    </row>
    <row r="841" spans="1:28" x14ac:dyDescent="0.3">
      <c r="A841" s="1">
        <f>ROW(CantoralDB[[#This Row],[Título]])-1</f>
        <v>840</v>
      </c>
      <c r="B841" s="1" t="s">
        <v>1621</v>
      </c>
      <c r="C841" s="1"/>
      <c r="J841" s="1"/>
      <c r="M841" s="15" t="s">
        <v>483</v>
      </c>
      <c r="N841" s="1" t="s">
        <v>1488</v>
      </c>
      <c r="O841" s="15">
        <v>10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841" s="1"/>
      <c r="T841" s="1"/>
      <c r="U841" s="32" t="s">
        <v>3750</v>
      </c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841" s="15" t="str">
        <f>_xlfn.TEXTBEFORE(_xlfn.TEXTAFTER(CantoralDB[[#This Row],[index.html]],"&gt;"),"&gt;")&amp;"&gt;"</f>
        <v>&lt;a href="canciones/kairoi/ki_ki_ki.html"&gt;</v>
      </c>
      <c r="X841"/>
      <c r="AA841" s="1"/>
      <c r="AB841" s="1"/>
    </row>
    <row r="842" spans="1:28" x14ac:dyDescent="0.3">
      <c r="A842" s="1">
        <f>ROW(CantoralDB[[#This Row],[Título]])-1</f>
        <v>841</v>
      </c>
      <c r="B842" s="1" t="s">
        <v>1622</v>
      </c>
      <c r="C842" s="1"/>
      <c r="J842" s="1"/>
      <c r="M842" s="15" t="s">
        <v>483</v>
      </c>
      <c r="N842" s="1" t="s">
        <v>1488</v>
      </c>
      <c r="O842" s="15">
        <v>11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842" s="1"/>
      <c r="T842" s="1"/>
      <c r="U842" s="32" t="s">
        <v>3751</v>
      </c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842" s="15" t="str">
        <f>_xlfn.TEXTBEFORE(_xlfn.TEXTAFTER(CantoralDB[[#This Row],[index.html]],"&gt;"),"&gt;")&amp;"&gt;"</f>
        <v>&lt;a href="canciones/kairoi/al_señor_cantad.html"&gt;</v>
      </c>
      <c r="X842"/>
      <c r="AA842" s="1"/>
      <c r="AB842" s="1"/>
    </row>
    <row r="843" spans="1:28" x14ac:dyDescent="0.3">
      <c r="A843" s="1">
        <f>ROW(CantoralDB[[#This Row],[Título]])-1</f>
        <v>842</v>
      </c>
      <c r="B843" s="1" t="s">
        <v>1623</v>
      </c>
      <c r="C843" s="1"/>
      <c r="J843" s="1"/>
      <c r="M843" s="15" t="s">
        <v>483</v>
      </c>
      <c r="N843" s="1" t="s">
        <v>1488</v>
      </c>
      <c r="O843" s="15">
        <v>12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843" s="1"/>
      <c r="T843" s="1"/>
      <c r="U843" s="32" t="s">
        <v>3752</v>
      </c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843" s="15" t="str">
        <f>_xlfn.TEXTBEFORE(_xlfn.TEXTAFTER(CantoralDB[[#This Row],[index.html]],"&gt;"),"&gt;")&amp;"&gt;"</f>
        <v>&lt;a href="canciones/kairoi/xerinola.html"&gt;</v>
      </c>
      <c r="X843"/>
      <c r="AA843" s="1"/>
      <c r="AB843" s="1"/>
    </row>
    <row r="844" spans="1:28" x14ac:dyDescent="0.3">
      <c r="A844" s="1">
        <f>ROW(CantoralDB[[#This Row],[Título]])-1</f>
        <v>843</v>
      </c>
      <c r="B844" s="1" t="s">
        <v>1666</v>
      </c>
      <c r="C844" s="1"/>
      <c r="J844" s="1"/>
      <c r="M844" s="15" t="s">
        <v>483</v>
      </c>
      <c r="N844" s="1" t="s">
        <v>1495</v>
      </c>
      <c r="O844" s="15">
        <v>1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844" s="1"/>
      <c r="T844" s="1"/>
      <c r="U844" s="32" t="s">
        <v>3753</v>
      </c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844" s="15" t="str">
        <f>_xlfn.TEXTBEFORE(_xlfn.TEXTAFTER(CantoralDB[[#This Row],[index.html]],"&gt;"),"&gt;")&amp;"&gt;"</f>
        <v>&lt;a href="canciones/kairoi/testigos_del_señor.html"&gt;</v>
      </c>
      <c r="X844"/>
      <c r="AA844" s="1"/>
      <c r="AB844" s="1"/>
    </row>
    <row r="845" spans="1:28" x14ac:dyDescent="0.3">
      <c r="A845" s="1">
        <f>ROW(CantoralDB[[#This Row],[Título]])-1</f>
        <v>844</v>
      </c>
      <c r="B845" s="1" t="s">
        <v>1667</v>
      </c>
      <c r="C845" s="1"/>
      <c r="H845" s="1" t="s">
        <v>2958</v>
      </c>
      <c r="J845" s="1" t="s">
        <v>607</v>
      </c>
      <c r="M845" s="15" t="s">
        <v>483</v>
      </c>
      <c r="N845" s="1" t="s">
        <v>1495</v>
      </c>
      <c r="O845" s="15">
        <v>2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845" s="1"/>
      <c r="T845" s="1"/>
      <c r="U845" s="32" t="s">
        <v>3754</v>
      </c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845" s="15" t="str">
        <f>_xlfn.TEXTBEFORE(_xlfn.TEXTAFTER(CantoralDB[[#This Row],[index.html]],"&gt;"),"&gt;")&amp;"&gt;"</f>
        <v>&lt;a href="canciones/kairoi/confianza_en_dios.html"&gt;</v>
      </c>
      <c r="X845"/>
      <c r="AA845" s="1"/>
      <c r="AB845" s="1"/>
    </row>
    <row r="846" spans="1:28" x14ac:dyDescent="0.3">
      <c r="A846" s="1">
        <f>ROW(CantoralDB[[#This Row],[Título]])-1</f>
        <v>845</v>
      </c>
      <c r="B846" s="1" t="s">
        <v>1668</v>
      </c>
      <c r="C846" s="1"/>
      <c r="H846" s="1" t="s">
        <v>1028</v>
      </c>
      <c r="J846" s="1" t="s">
        <v>607</v>
      </c>
      <c r="M846" s="15" t="s">
        <v>483</v>
      </c>
      <c r="N846" s="1" t="s">
        <v>1495</v>
      </c>
      <c r="O846" s="15">
        <v>3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846" s="1"/>
      <c r="T846" s="1"/>
      <c r="U846" s="32" t="s">
        <v>3755</v>
      </c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846" s="15" t="str">
        <f>_xlfn.TEXTBEFORE(_xlfn.TEXTAFTER(CantoralDB[[#This Row],[index.html]],"&gt;"),"&gt;")&amp;"&gt;"</f>
        <v>&lt;a href="canciones/kairoi/en_la_esperanza_madre.html"&gt;</v>
      </c>
      <c r="X846"/>
      <c r="AA846" s="1"/>
      <c r="AB846" s="1"/>
    </row>
    <row r="847" spans="1:28" x14ac:dyDescent="0.3">
      <c r="A847" s="1">
        <f>ROW(CantoralDB[[#This Row],[Título]])-1</f>
        <v>846</v>
      </c>
      <c r="B847" s="1" t="s">
        <v>1669</v>
      </c>
      <c r="C847" s="1"/>
      <c r="H847" s="1" t="s">
        <v>530</v>
      </c>
      <c r="J847" s="1" t="s">
        <v>607</v>
      </c>
      <c r="M847" s="15" t="s">
        <v>483</v>
      </c>
      <c r="N847" s="1" t="s">
        <v>1495</v>
      </c>
      <c r="O847" s="15">
        <v>4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847" s="1"/>
      <c r="T847" s="1"/>
      <c r="U847" s="32" t="s">
        <v>3756</v>
      </c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847" s="15" t="str">
        <f>_xlfn.TEXTBEFORE(_xlfn.TEXTAFTER(CantoralDB[[#This Row],[index.html]],"&gt;"),"&gt;")&amp;"&gt;"</f>
        <v>&lt;a href="canciones/kairoi/con_sencillo_corazon.html"&gt;</v>
      </c>
      <c r="X847"/>
      <c r="AB847" s="1"/>
    </row>
    <row r="848" spans="1:28" x14ac:dyDescent="0.3">
      <c r="A848" s="1">
        <f>ROW(CantoralDB[[#This Row],[Título]])-1</f>
        <v>847</v>
      </c>
      <c r="B848" s="1" t="s">
        <v>1670</v>
      </c>
      <c r="C848" s="1"/>
      <c r="H848" s="1" t="s">
        <v>1028</v>
      </c>
      <c r="J848" s="1" t="s">
        <v>607</v>
      </c>
      <c r="M848" s="15" t="s">
        <v>483</v>
      </c>
      <c r="N848" s="1" t="s">
        <v>1495</v>
      </c>
      <c r="O848" s="15">
        <v>5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848" s="1"/>
      <c r="T848" s="1"/>
      <c r="U848" s="32" t="s">
        <v>3757</v>
      </c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848" s="15" t="str">
        <f>_xlfn.TEXTBEFORE(_xlfn.TEXTAFTER(CantoralDB[[#This Row],[index.html]],"&gt;"),"&gt;")&amp;"&gt;"</f>
        <v>&lt;a href="canciones/kairoi/fraternidad.html"&gt;</v>
      </c>
      <c r="X848"/>
      <c r="AB848" s="1"/>
    </row>
    <row r="849" spans="1:28" x14ac:dyDescent="0.3">
      <c r="A849" s="1">
        <f>ROW(CantoralDB[[#This Row],[Título]])-1</f>
        <v>848</v>
      </c>
      <c r="B849" s="1" t="s">
        <v>1671</v>
      </c>
      <c r="C849" s="1"/>
      <c r="J849" s="1"/>
      <c r="M849" s="15" t="s">
        <v>483</v>
      </c>
      <c r="N849" s="1" t="s">
        <v>1495</v>
      </c>
      <c r="O849" s="15">
        <v>6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849" s="1"/>
      <c r="T849" s="1"/>
      <c r="U849" s="32" t="s">
        <v>3758</v>
      </c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849" s="15" t="str">
        <f>_xlfn.TEXTBEFORE(_xlfn.TEXTAFTER(CantoralDB[[#This Row],[index.html]],"&gt;"),"&gt;")&amp;"&gt;"</f>
        <v>&lt;a href="canciones/kairoi/teresa_toda.html"&gt;</v>
      </c>
      <c r="X849"/>
      <c r="AB849" s="1"/>
    </row>
    <row r="850" spans="1:28" x14ac:dyDescent="0.3">
      <c r="A850" s="1">
        <f>ROW(CantoralDB[[#This Row],[Título]])-1</f>
        <v>849</v>
      </c>
      <c r="B850" s="1" t="s">
        <v>1672</v>
      </c>
      <c r="C850" s="1"/>
      <c r="J850" s="1"/>
      <c r="M850" s="15" t="s">
        <v>483</v>
      </c>
      <c r="N850" s="1" t="s">
        <v>1495</v>
      </c>
      <c r="O850" s="15">
        <v>7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850" s="1"/>
      <c r="T850" s="1"/>
      <c r="U850" s="32" t="s">
        <v>3759</v>
      </c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850" s="15" t="str">
        <f>_xlfn.TEXTBEFORE(_xlfn.TEXTAFTER(CantoralDB[[#This Row],[index.html]],"&gt;"),"&gt;")&amp;"&gt;"</f>
        <v>&lt;a href="canciones/kairoi/pinta_de_luz.html"&gt;</v>
      </c>
      <c r="X850"/>
      <c r="AB850" s="1"/>
    </row>
    <row r="851" spans="1:28" x14ac:dyDescent="0.3">
      <c r="A851" s="1">
        <f>ROW(CantoralDB[[#This Row],[Título]])-1</f>
        <v>850</v>
      </c>
      <c r="B851" s="1" t="s">
        <v>1673</v>
      </c>
      <c r="C851" s="1"/>
      <c r="H851" s="1" t="s">
        <v>1029</v>
      </c>
      <c r="J851" s="1" t="s">
        <v>607</v>
      </c>
      <c r="M851" s="15" t="s">
        <v>483</v>
      </c>
      <c r="N851" s="1" t="s">
        <v>1495</v>
      </c>
      <c r="O851" s="15">
        <v>8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851" s="1"/>
      <c r="T851" s="1"/>
      <c r="U851" s="32" t="s">
        <v>3760</v>
      </c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851" s="15" t="str">
        <f>_xlfn.TEXTBEFORE(_xlfn.TEXTAFTER(CantoralDB[[#This Row],[index.html]],"&gt;"),"&gt;")&amp;"&gt;"</f>
        <v>&lt;a href="canciones/kairoi/mantas_de_carton.html"&gt;</v>
      </c>
      <c r="X851"/>
      <c r="AB851" s="1"/>
    </row>
    <row r="852" spans="1:28" x14ac:dyDescent="0.3">
      <c r="A852" s="1">
        <f>ROW(CantoralDB[[#This Row],[Título]])-1</f>
        <v>851</v>
      </c>
      <c r="B852" s="1" t="s">
        <v>1674</v>
      </c>
      <c r="C852" s="1"/>
      <c r="H852" s="1" t="s">
        <v>1028</v>
      </c>
      <c r="J852" s="1" t="s">
        <v>607</v>
      </c>
      <c r="M852" s="15" t="s">
        <v>483</v>
      </c>
      <c r="N852" s="1" t="s">
        <v>1495</v>
      </c>
      <c r="O852" s="15">
        <v>9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852" s="1"/>
      <c r="T852" s="1"/>
      <c r="U852" s="32" t="s">
        <v>3761</v>
      </c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852" s="15" t="str">
        <f>_xlfn.TEXTBEFORE(_xlfn.TEXTAFTER(CantoralDB[[#This Row],[index.html]],"&gt;"),"&gt;")&amp;"&gt;"</f>
        <v>&lt;a href="canciones/kairoi/soñar_un_mundo_mas_feliz.html"&gt;</v>
      </c>
      <c r="X852"/>
      <c r="AB852" s="1"/>
    </row>
    <row r="853" spans="1:28" x14ac:dyDescent="0.3">
      <c r="A853" s="1">
        <f>ROW(CantoralDB[[#This Row],[Título]])-1</f>
        <v>852</v>
      </c>
      <c r="B853" s="1" t="s">
        <v>1675</v>
      </c>
      <c r="C853" s="1"/>
      <c r="J853" s="1"/>
      <c r="M853" s="15" t="s">
        <v>483</v>
      </c>
      <c r="N853" s="1" t="s">
        <v>1495</v>
      </c>
      <c r="O853" s="15">
        <v>10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853" s="1"/>
      <c r="T853" s="1"/>
      <c r="U853" s="32" t="s">
        <v>3762</v>
      </c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853" s="15" t="str">
        <f>_xlfn.TEXTBEFORE(_xlfn.TEXTAFTER(CantoralDB[[#This Row],[index.html]],"&gt;"),"&gt;")&amp;"&gt;"</f>
        <v>&lt;a href="canciones/kairoi/hacia_la_luz.html"&gt;</v>
      </c>
      <c r="X853"/>
      <c r="AB853" s="1"/>
    </row>
    <row r="854" spans="1:28" x14ac:dyDescent="0.3">
      <c r="A854" s="1">
        <f>ROW(CantoralDB[[#This Row],[Título]])-1</f>
        <v>853</v>
      </c>
      <c r="B854" s="1" t="s">
        <v>1730</v>
      </c>
      <c r="C854" s="1"/>
      <c r="J854" s="1"/>
      <c r="M854" s="15" t="s">
        <v>483</v>
      </c>
      <c r="N854" s="1" t="s">
        <v>1502</v>
      </c>
      <c r="O854" s="15">
        <v>1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854" s="1"/>
      <c r="T854" s="1"/>
      <c r="U854" s="32" t="s">
        <v>3763</v>
      </c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854" s="15" t="str">
        <f>_xlfn.TEXTBEFORE(_xlfn.TEXTAFTER(CantoralDB[[#This Row],[index.html]],"&gt;"),"&gt;")&amp;"&gt;"</f>
        <v>&lt;a href="canciones/kairoi/corazones_nomadas.html"&gt;</v>
      </c>
      <c r="X854"/>
      <c r="AB854" s="1"/>
    </row>
    <row r="855" spans="1:28" x14ac:dyDescent="0.3">
      <c r="A855" s="1">
        <f>ROW(CantoralDB[[#This Row],[Título]])-1</f>
        <v>854</v>
      </c>
      <c r="B855" s="1" t="s">
        <v>1731</v>
      </c>
      <c r="C855" s="1"/>
      <c r="J855" s="1"/>
      <c r="M855" s="15" t="s">
        <v>483</v>
      </c>
      <c r="N855" s="1" t="s">
        <v>1502</v>
      </c>
      <c r="O855" s="15">
        <v>2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855" s="1"/>
      <c r="T855" s="1"/>
      <c r="U855" s="32" t="s">
        <v>3764</v>
      </c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855" s="15" t="str">
        <f>_xlfn.TEXTBEFORE(_xlfn.TEXTAFTER(CantoralDB[[#This Row],[index.html]],"&gt;"),"&gt;")&amp;"&gt;"</f>
        <v>&lt;a href="canciones/kairoi/de_la_mano.html"&gt;</v>
      </c>
      <c r="X855"/>
      <c r="AB855" s="1"/>
    </row>
    <row r="856" spans="1:28" x14ac:dyDescent="0.3">
      <c r="A856" s="1">
        <f>ROW(CantoralDB[[#This Row],[Título]])-1</f>
        <v>855</v>
      </c>
      <c r="B856" s="1" t="s">
        <v>1732</v>
      </c>
      <c r="C856" s="1"/>
      <c r="J856" s="1"/>
      <c r="M856" s="15" t="s">
        <v>483</v>
      </c>
      <c r="N856" s="1" t="s">
        <v>1502</v>
      </c>
      <c r="O856" s="15">
        <v>3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856" s="1"/>
      <c r="T856" s="1"/>
      <c r="U856" s="32" t="s">
        <v>3766</v>
      </c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856" s="15" t="str">
        <f>_xlfn.TEXTBEFORE(_xlfn.TEXTAFTER(CantoralDB[[#This Row],[index.html]],"&gt;"),"&gt;")&amp;"&gt;"</f>
        <v>&lt;a href="canciones/kairoi/plegaria.html"&gt;</v>
      </c>
      <c r="X856"/>
      <c r="AB856" s="1"/>
    </row>
    <row r="857" spans="1:28" x14ac:dyDescent="0.3">
      <c r="A857" s="1">
        <f>ROW(CantoralDB[[#This Row],[Título]])-1</f>
        <v>856</v>
      </c>
      <c r="B857" s="1" t="s">
        <v>1733</v>
      </c>
      <c r="C857" s="1"/>
      <c r="J857" s="1"/>
      <c r="M857" s="15" t="s">
        <v>483</v>
      </c>
      <c r="N857" s="1" t="s">
        <v>1502</v>
      </c>
      <c r="O857" s="15">
        <v>4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857" s="1"/>
      <c r="T857" s="1"/>
      <c r="U857" s="32" t="s">
        <v>3767</v>
      </c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857" s="15" t="str">
        <f>_xlfn.TEXTBEFORE(_xlfn.TEXTAFTER(CantoralDB[[#This Row],[index.html]],"&gt;"),"&gt;")&amp;"&gt;"</f>
        <v>&lt;a href="canciones/kairoi/somos_iglesia.html"&gt;</v>
      </c>
      <c r="X857"/>
      <c r="AB857" s="1"/>
    </row>
    <row r="858" spans="1:28" x14ac:dyDescent="0.3">
      <c r="A858" s="1">
        <f>ROW(CantoralDB[[#This Row],[Título]])-1</f>
        <v>857</v>
      </c>
      <c r="B858" s="1" t="s">
        <v>1734</v>
      </c>
      <c r="C858" s="1"/>
      <c r="J858" s="1"/>
      <c r="M858" s="15" t="s">
        <v>483</v>
      </c>
      <c r="N858" s="1" t="s">
        <v>1502</v>
      </c>
      <c r="O858" s="15">
        <v>5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858" s="1"/>
      <c r="T858" s="1"/>
      <c r="U858" s="32" t="s">
        <v>3768</v>
      </c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858" s="15" t="str">
        <f>_xlfn.TEXTBEFORE(_xlfn.TEXTAFTER(CantoralDB[[#This Row],[index.html]],"&gt;"),"&gt;")&amp;"&gt;"</f>
        <v>&lt;a href="canciones/kairoi/decir_tu_nombre_maria.html"&gt;</v>
      </c>
      <c r="X858"/>
      <c r="AB858" s="1"/>
    </row>
    <row r="859" spans="1:28" x14ac:dyDescent="0.3">
      <c r="A859" s="1">
        <f>ROW(CantoralDB[[#This Row],[Título]])-1</f>
        <v>858</v>
      </c>
      <c r="B859" s="1" t="s">
        <v>1735</v>
      </c>
      <c r="C859" s="1"/>
      <c r="J859" s="1"/>
      <c r="M859" s="15" t="s">
        <v>483</v>
      </c>
      <c r="N859" s="1" t="s">
        <v>1502</v>
      </c>
      <c r="O859" s="15">
        <v>6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859" s="1"/>
      <c r="T859" s="1"/>
      <c r="U859" s="32" t="s">
        <v>3769</v>
      </c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859" s="15" t="str">
        <f>_xlfn.TEXTBEFORE(_xlfn.TEXTAFTER(CantoralDB[[#This Row],[index.html]],"&gt;"),"&gt;")&amp;"&gt;"</f>
        <v>&lt;a href="canciones/kairoi/rebosando_nombres.html"&gt;</v>
      </c>
      <c r="X859"/>
      <c r="AB859" s="1"/>
    </row>
    <row r="860" spans="1:28" x14ac:dyDescent="0.3">
      <c r="A860" s="1">
        <f>ROW(CantoralDB[[#This Row],[Título]])-1</f>
        <v>859</v>
      </c>
      <c r="B860" s="1" t="s">
        <v>1736</v>
      </c>
      <c r="C860" s="1"/>
      <c r="J860" s="1"/>
      <c r="M860" s="15" t="s">
        <v>483</v>
      </c>
      <c r="N860" s="1" t="s">
        <v>1502</v>
      </c>
      <c r="O860" s="15">
        <v>7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860" s="1"/>
      <c r="T860" s="1"/>
      <c r="U860" s="32" t="s">
        <v>3770</v>
      </c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860" s="15" t="str">
        <f>_xlfn.TEXTBEFORE(_xlfn.TEXTAFTER(CantoralDB[[#This Row],[index.html]],"&gt;"),"&gt;")&amp;"&gt;"</f>
        <v>&lt;a href="canciones/kairoi/perdona_que_te_lo_diga.html"&gt;</v>
      </c>
      <c r="X860"/>
      <c r="AB860" s="1"/>
    </row>
    <row r="861" spans="1:28" x14ac:dyDescent="0.3">
      <c r="A861" s="1">
        <f>ROW(CantoralDB[[#This Row],[Título]])-1</f>
        <v>860</v>
      </c>
      <c r="B861" s="1" t="s">
        <v>1737</v>
      </c>
      <c r="C861" s="1"/>
      <c r="J861" s="1"/>
      <c r="M861" s="15" t="s">
        <v>483</v>
      </c>
      <c r="N861" s="1" t="s">
        <v>1502</v>
      </c>
      <c r="O861" s="15">
        <v>8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861" s="1"/>
      <c r="T861" s="1"/>
      <c r="U861" s="32" t="s">
        <v>3771</v>
      </c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861" s="15" t="str">
        <f>_xlfn.TEXTBEFORE(_xlfn.TEXTAFTER(CantoralDB[[#This Row],[index.html]],"&gt;"),"&gt;")&amp;"&gt;"</f>
        <v>&lt;a href="canciones/kairoi/padre_del_hombre.html"&gt;</v>
      </c>
      <c r="X861"/>
      <c r="AB861" s="1"/>
    </row>
    <row r="862" spans="1:28" x14ac:dyDescent="0.3">
      <c r="A862" s="1">
        <f>ROW(CantoralDB[[#This Row],[Título]])-1</f>
        <v>861</v>
      </c>
      <c r="B862" s="1" t="s">
        <v>1738</v>
      </c>
      <c r="C862" s="1"/>
      <c r="J862" s="1"/>
      <c r="M862" s="15" t="s">
        <v>483</v>
      </c>
      <c r="N862" s="1" t="s">
        <v>1502</v>
      </c>
      <c r="O862" s="15">
        <v>9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862" s="1"/>
      <c r="T862" s="1"/>
      <c r="U862" s="32" t="s">
        <v>3772</v>
      </c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862" s="15" t="str">
        <f>_xlfn.TEXTBEFORE(_xlfn.TEXTAFTER(CantoralDB[[#This Row],[index.html]],"&gt;"),"&gt;")&amp;"&gt;"</f>
        <v>&lt;a href="canciones/kairoi/marcelino.html"&gt;</v>
      </c>
      <c r="X862"/>
      <c r="AB862" s="1"/>
    </row>
    <row r="863" spans="1:28" x14ac:dyDescent="0.3">
      <c r="A863" s="1">
        <f>ROW(CantoralDB[[#This Row],[Título]])-1</f>
        <v>862</v>
      </c>
      <c r="B863" s="1" t="s">
        <v>1739</v>
      </c>
      <c r="C863" s="1"/>
      <c r="J863" s="1"/>
      <c r="M863" s="15" t="s">
        <v>483</v>
      </c>
      <c r="N863" s="1" t="s">
        <v>1502</v>
      </c>
      <c r="O863" s="15">
        <v>10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863" s="1"/>
      <c r="T863" s="1"/>
      <c r="U863" s="32" t="s">
        <v>3773</v>
      </c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863" s="15" t="str">
        <f>_xlfn.TEXTBEFORE(_xlfn.TEXTAFTER(CantoralDB[[#This Row],[index.html]],"&gt;"),"&gt;")&amp;"&gt;"</f>
        <v>&lt;a href="canciones/kairoi/siento_tu_dolor.html"&gt;</v>
      </c>
      <c r="X863"/>
      <c r="AB863" s="1"/>
    </row>
    <row r="864" spans="1:28" x14ac:dyDescent="0.3">
      <c r="A864" s="1">
        <f>ROW(CantoralDB[[#This Row],[Título]])-1</f>
        <v>863</v>
      </c>
      <c r="B864" s="1" t="s">
        <v>1740</v>
      </c>
      <c r="C864" s="1"/>
      <c r="J864" s="1"/>
      <c r="M864" s="15" t="s">
        <v>483</v>
      </c>
      <c r="N864" s="1" t="s">
        <v>1502</v>
      </c>
      <c r="O864" s="15">
        <v>11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864" s="1"/>
      <c r="T864" s="1"/>
      <c r="U864" s="32" t="s">
        <v>3774</v>
      </c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864" s="15" t="str">
        <f>_xlfn.TEXTBEFORE(_xlfn.TEXTAFTER(CantoralDB[[#This Row],[index.html]],"&gt;"),"&gt;")&amp;"&gt;"</f>
        <v>&lt;a href="canciones/kairoi/si_yo_cambiara.html"&gt;</v>
      </c>
      <c r="X864"/>
      <c r="AB864" s="1"/>
    </row>
    <row r="865" spans="1:28" x14ac:dyDescent="0.3">
      <c r="A865" s="1">
        <f>ROW(CantoralDB[[#This Row],[Título]])-1</f>
        <v>864</v>
      </c>
      <c r="B865" s="1" t="s">
        <v>3765</v>
      </c>
      <c r="C865" s="1"/>
      <c r="J865" s="1"/>
      <c r="M865" s="15" t="s">
        <v>483</v>
      </c>
      <c r="N865" s="1" t="s">
        <v>1502</v>
      </c>
      <c r="O865" s="15">
        <v>12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S865" s="1"/>
      <c r="T865" s="1"/>
      <c r="U865" s="32" t="s">
        <v>3775</v>
      </c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W865" s="15" t="str">
        <f>_xlfn.TEXTBEFORE(_xlfn.TEXTAFTER(CantoralDB[[#This Row],[index.html]],"&gt;"),"&gt;")&amp;"&gt;"</f>
        <v>&lt;a href="canciones/kairoi/no_pasa_nada.html"&gt;</v>
      </c>
      <c r="X865"/>
      <c r="AB865" s="1"/>
    </row>
    <row r="866" spans="1:28" x14ac:dyDescent="0.3">
      <c r="A866" s="1">
        <f>ROW(CantoralDB[[#This Row],[Título]])-1</f>
        <v>865</v>
      </c>
      <c r="B866" s="1" t="s">
        <v>1717</v>
      </c>
      <c r="C866" s="1"/>
      <c r="J866" s="1"/>
      <c r="M866" s="15" t="s">
        <v>483</v>
      </c>
      <c r="N866" s="1" t="s">
        <v>1501</v>
      </c>
      <c r="O866" s="15">
        <v>1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866" s="1"/>
      <c r="T866" s="1"/>
      <c r="U866" s="32" t="s">
        <v>3776</v>
      </c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866" s="15" t="str">
        <f>_xlfn.TEXTBEFORE(_xlfn.TEXTAFTER(CantoralDB[[#This Row],[index.html]],"&gt;"),"&gt;")&amp;"&gt;"</f>
        <v>&lt;a href="canciones/kairoi/mundo_de_ensueño.html"&gt;</v>
      </c>
      <c r="X866"/>
      <c r="AB866" s="1"/>
    </row>
    <row r="867" spans="1:28" x14ac:dyDescent="0.3">
      <c r="A867" s="1">
        <f>ROW(CantoralDB[[#This Row],[Título]])-1</f>
        <v>866</v>
      </c>
      <c r="B867" s="1" t="s">
        <v>1718</v>
      </c>
      <c r="C867" s="1"/>
      <c r="J867" s="1"/>
      <c r="M867" s="15" t="s">
        <v>483</v>
      </c>
      <c r="N867" s="1" t="s">
        <v>1501</v>
      </c>
      <c r="O867" s="15">
        <v>2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867" s="1"/>
      <c r="T867" s="1"/>
      <c r="U867" s="32" t="s">
        <v>3777</v>
      </c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867" s="15" t="str">
        <f>_xlfn.TEXTBEFORE(_xlfn.TEXTAFTER(CantoralDB[[#This Row],[index.html]],"&gt;"),"&gt;")&amp;"&gt;"</f>
        <v>&lt;a href="canciones/kairoi/tras_el_cristal.html"&gt;</v>
      </c>
      <c r="X867"/>
      <c r="AB867" s="1"/>
    </row>
    <row r="868" spans="1:28" x14ac:dyDescent="0.3">
      <c r="A868" s="1">
        <f>ROW(CantoralDB[[#This Row],[Título]])-1</f>
        <v>867</v>
      </c>
      <c r="B868" s="1" t="s">
        <v>1719</v>
      </c>
      <c r="C868" s="1"/>
      <c r="J868" s="1"/>
      <c r="M868" s="15" t="s">
        <v>483</v>
      </c>
      <c r="N868" s="1" t="s">
        <v>1501</v>
      </c>
      <c r="O868" s="15">
        <v>3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868" s="1"/>
      <c r="T868" s="1"/>
      <c r="U868" s="32" t="s">
        <v>3778</v>
      </c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868" s="15" t="str">
        <f>_xlfn.TEXTBEFORE(_xlfn.TEXTAFTER(CantoralDB[[#This Row],[index.html]],"&gt;"),"&gt;")&amp;"&gt;"</f>
        <v>&lt;a href="canciones/kairoi/carta_a_un_general.html"&gt;</v>
      </c>
      <c r="X868"/>
      <c r="AB868" s="1"/>
    </row>
    <row r="869" spans="1:28" x14ac:dyDescent="0.3">
      <c r="A869" s="1">
        <f>ROW(CantoralDB[[#This Row],[Título]])-1</f>
        <v>868</v>
      </c>
      <c r="B869" s="1" t="s">
        <v>1720</v>
      </c>
      <c r="C869" s="1"/>
      <c r="J869" s="1"/>
      <c r="M869" s="15" t="s">
        <v>483</v>
      </c>
      <c r="N869" s="1" t="s">
        <v>1501</v>
      </c>
      <c r="O869" s="15">
        <v>4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869" s="1"/>
      <c r="T869" s="1"/>
      <c r="U869" s="32" t="s">
        <v>3779</v>
      </c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869" s="15" t="str">
        <f>_xlfn.TEXTBEFORE(_xlfn.TEXTAFTER(CantoralDB[[#This Row],[index.html]],"&gt;"),"&gt;")&amp;"&gt;"</f>
        <v>&lt;a href="canciones/kairoi/un_gesto.html"&gt;</v>
      </c>
      <c r="X869"/>
      <c r="AB869" s="1"/>
    </row>
    <row r="870" spans="1:28" x14ac:dyDescent="0.3">
      <c r="A870" s="1">
        <f>ROW(CantoralDB[[#This Row],[Título]])-1</f>
        <v>869</v>
      </c>
      <c r="B870" s="1" t="s">
        <v>1721</v>
      </c>
      <c r="C870" s="1"/>
      <c r="J870" s="1"/>
      <c r="M870" s="15" t="s">
        <v>483</v>
      </c>
      <c r="N870" s="1" t="s">
        <v>1501</v>
      </c>
      <c r="O870" s="15">
        <v>5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870" s="1"/>
      <c r="T870" s="1"/>
      <c r="U870" s="32" t="s">
        <v>3780</v>
      </c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870" s="15" t="str">
        <f>_xlfn.TEXTBEFORE(_xlfn.TEXTAFTER(CantoralDB[[#This Row],[index.html]],"&gt;"),"&gt;")&amp;"&gt;"</f>
        <v>&lt;a href="canciones/kairoi/angel.html"&gt;</v>
      </c>
      <c r="X870"/>
      <c r="AB870" s="1"/>
    </row>
    <row r="871" spans="1:28" x14ac:dyDescent="0.3">
      <c r="A871" s="1">
        <f>ROW(CantoralDB[[#This Row],[Título]])-1</f>
        <v>870</v>
      </c>
      <c r="B871" s="1" t="s">
        <v>1722</v>
      </c>
      <c r="C871" s="1"/>
      <c r="J871" s="1"/>
      <c r="M871" s="15" t="s">
        <v>483</v>
      </c>
      <c r="N871" s="1" t="s">
        <v>1501</v>
      </c>
      <c r="O871" s="15">
        <v>6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871" s="1"/>
      <c r="T871" s="1"/>
      <c r="U871" s="32" t="s">
        <v>3781</v>
      </c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871" s="15" t="str">
        <f>_xlfn.TEXTBEFORE(_xlfn.TEXTAFTER(CantoralDB[[#This Row],[index.html]],"&gt;"),"&gt;")&amp;"&gt;"</f>
        <v>&lt;a href="canciones/kairoi/scaramouche.html"&gt;</v>
      </c>
      <c r="X871"/>
      <c r="AB871" s="1"/>
    </row>
    <row r="872" spans="1:28" x14ac:dyDescent="0.3">
      <c r="A872" s="1">
        <f>ROW(CantoralDB[[#This Row],[Título]])-1</f>
        <v>871</v>
      </c>
      <c r="B872" s="1" t="s">
        <v>1724</v>
      </c>
      <c r="C872" s="1"/>
      <c r="J872" s="1"/>
      <c r="M872" s="15" t="s">
        <v>483</v>
      </c>
      <c r="N872" s="1" t="s">
        <v>1501</v>
      </c>
      <c r="O872" s="15">
        <v>8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872" s="1"/>
      <c r="T872" s="1"/>
      <c r="U872" s="32" t="s">
        <v>3782</v>
      </c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872" s="15" t="str">
        <f>_xlfn.TEXTBEFORE(_xlfn.TEXTAFTER(CantoralDB[[#This Row],[index.html]],"&gt;"),"&gt;")&amp;"&gt;"</f>
        <v>&lt;a href="canciones/kairoi/en_que_mundo_vives.html"&gt;</v>
      </c>
      <c r="X872"/>
      <c r="AB872" s="1"/>
    </row>
    <row r="873" spans="1:28" x14ac:dyDescent="0.3">
      <c r="A873" s="1">
        <f>ROW(CantoralDB[[#This Row],[Título]])-1</f>
        <v>872</v>
      </c>
      <c r="B873" s="1" t="s">
        <v>1725</v>
      </c>
      <c r="C873" s="1"/>
      <c r="J873" s="1"/>
      <c r="M873" s="15" t="s">
        <v>483</v>
      </c>
      <c r="N873" s="1" t="s">
        <v>1501</v>
      </c>
      <c r="O873" s="15">
        <v>9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873" s="1"/>
      <c r="T873" s="1"/>
      <c r="U873" s="32" t="s">
        <v>3783</v>
      </c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873" s="15" t="str">
        <f>_xlfn.TEXTBEFORE(_xlfn.TEXTAFTER(CantoralDB[[#This Row],[index.html]],"&gt;"),"&gt;")&amp;"&gt;"</f>
        <v>&lt;a href="canciones/kairoi/una_iglesia_de_excluidos.html"&gt;</v>
      </c>
      <c r="X873"/>
      <c r="AB873" s="1"/>
    </row>
    <row r="874" spans="1:28" x14ac:dyDescent="0.3">
      <c r="A874" s="1">
        <f>ROW(CantoralDB[[#This Row],[Título]])-1</f>
        <v>873</v>
      </c>
      <c r="B874" s="1" t="s">
        <v>1726</v>
      </c>
      <c r="C874" s="1"/>
      <c r="J874" s="1"/>
      <c r="M874" s="15" t="s">
        <v>483</v>
      </c>
      <c r="N874" s="1" t="s">
        <v>1501</v>
      </c>
      <c r="O874" s="15">
        <v>10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874" s="1"/>
      <c r="T874" s="1"/>
      <c r="U874" s="32" t="s">
        <v>3784</v>
      </c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874" s="15" t="str">
        <f>_xlfn.TEXTBEFORE(_xlfn.TEXTAFTER(CantoralDB[[#This Row],[index.html]],"&gt;"),"&gt;")&amp;"&gt;"</f>
        <v>&lt;a href="canciones/kairoi/un_dios_que_huele.html"&gt;</v>
      </c>
      <c r="X874"/>
      <c r="AB874" s="1"/>
    </row>
    <row r="875" spans="1:28" x14ac:dyDescent="0.3">
      <c r="A875" s="1">
        <f>ROW(CantoralDB[[#This Row],[Título]])-1</f>
        <v>874</v>
      </c>
      <c r="B875" s="1" t="s">
        <v>1727</v>
      </c>
      <c r="C875" s="1"/>
      <c r="J875" s="1"/>
      <c r="M875" s="15" t="s">
        <v>483</v>
      </c>
      <c r="N875" s="1" t="s">
        <v>1501</v>
      </c>
      <c r="O875" s="15">
        <v>11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875" s="1"/>
      <c r="T875" s="1"/>
      <c r="U875" s="32" t="s">
        <v>3785</v>
      </c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875" s="15" t="str">
        <f>_xlfn.TEXTBEFORE(_xlfn.TEXTAFTER(CantoralDB[[#This Row],[index.html]],"&gt;"),"&gt;")&amp;"&gt;"</f>
        <v>&lt;a href="canciones/kairoi/a_su_imagen_y_semejanza.html"&gt;</v>
      </c>
      <c r="X875"/>
      <c r="AB875" s="1"/>
    </row>
    <row r="876" spans="1:28" x14ac:dyDescent="0.3">
      <c r="A876" s="1">
        <f>ROW(CantoralDB[[#This Row],[Título]])-1</f>
        <v>875</v>
      </c>
      <c r="B876" s="1" t="s">
        <v>1728</v>
      </c>
      <c r="C876" s="1"/>
      <c r="J876" s="1"/>
      <c r="M876" s="15" t="s">
        <v>483</v>
      </c>
      <c r="N876" s="1" t="s">
        <v>1501</v>
      </c>
      <c r="O876" s="15">
        <v>12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876" s="1"/>
      <c r="T876" s="1"/>
      <c r="U876" s="32" t="s">
        <v>3786</v>
      </c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876" s="15" t="str">
        <f>_xlfn.TEXTBEFORE(_xlfn.TEXTAFTER(CantoralDB[[#This Row],[index.html]],"&gt;"),"&gt;")&amp;"&gt;"</f>
        <v>&lt;a href="canciones/kairoi/ante_el_espejo.html"&gt;</v>
      </c>
      <c r="X876"/>
      <c r="AB876" s="1"/>
    </row>
    <row r="877" spans="1:28" x14ac:dyDescent="0.3">
      <c r="A877" s="1">
        <f>ROW(CantoralDB[[#This Row],[Título]])-1</f>
        <v>876</v>
      </c>
      <c r="B877" s="1" t="s">
        <v>1729</v>
      </c>
      <c r="C877" s="1"/>
      <c r="J877" s="1"/>
      <c r="M877" s="15" t="s">
        <v>483</v>
      </c>
      <c r="N877" s="1" t="s">
        <v>1501</v>
      </c>
      <c r="O877" s="15">
        <v>13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877" s="1"/>
      <c r="T877" s="1"/>
      <c r="U877" s="32" t="s">
        <v>3787</v>
      </c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877" s="15" t="str">
        <f>_xlfn.TEXTBEFORE(_xlfn.TEXTAFTER(CantoralDB[[#This Row],[index.html]],"&gt;"),"&gt;")&amp;"&gt;"</f>
        <v>&lt;a href="canciones/kairoi/angel_remix.html"&gt;</v>
      </c>
      <c r="X877"/>
      <c r="AB877" s="1"/>
    </row>
    <row r="878" spans="1:28" x14ac:dyDescent="0.3">
      <c r="A878" s="1">
        <f>ROW(CantoralDB[[#This Row],[Título]])-1</f>
        <v>877</v>
      </c>
      <c r="B878" s="1" t="s">
        <v>1906</v>
      </c>
      <c r="C878" s="1"/>
      <c r="H878" s="1" t="s">
        <v>472</v>
      </c>
      <c r="J878" s="1" t="s">
        <v>607</v>
      </c>
      <c r="M878" s="15" t="s">
        <v>483</v>
      </c>
      <c r="N878" s="1" t="s">
        <v>1494</v>
      </c>
      <c r="O878" s="15">
        <v>1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878" s="1"/>
      <c r="T878" s="1"/>
      <c r="U878" s="32" t="s">
        <v>3788</v>
      </c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878" s="15" t="str">
        <f>_xlfn.TEXTBEFORE(_xlfn.TEXTAFTER(CantoralDB[[#This Row],[index.html]],"&gt;"),"&gt;")&amp;"&gt;"</f>
        <v>&lt;a href="canciones/kairoi/somos_cancion.html"&gt;</v>
      </c>
      <c r="X878"/>
      <c r="AB878" s="1"/>
    </row>
    <row r="879" spans="1:28" x14ac:dyDescent="0.3">
      <c r="A879" s="1">
        <f>ROW(CantoralDB[[#This Row],[Título]])-1</f>
        <v>878</v>
      </c>
      <c r="B879" s="1" t="s">
        <v>2026</v>
      </c>
      <c r="C879" s="1"/>
      <c r="H879" s="1" t="s">
        <v>530</v>
      </c>
      <c r="J879" s="1" t="s">
        <v>607</v>
      </c>
      <c r="M879" s="15" t="s">
        <v>483</v>
      </c>
      <c r="N879" s="1" t="s">
        <v>1494</v>
      </c>
      <c r="O879" s="15">
        <v>2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879" s="1"/>
      <c r="T879" s="1"/>
      <c r="U879" s="32" t="s">
        <v>3789</v>
      </c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879" s="15" t="str">
        <f>_xlfn.TEXTBEFORE(_xlfn.TEXTAFTER(CantoralDB[[#This Row],[index.html]],"&gt;"),"&gt;")&amp;"&gt;"</f>
        <v>&lt;a href="canciones/kairoi/ten_piedad_de_mi.html"&gt;</v>
      </c>
      <c r="X879"/>
      <c r="AB879" s="1"/>
    </row>
    <row r="880" spans="1:28" x14ac:dyDescent="0.3">
      <c r="A880" s="1">
        <f>ROW(CantoralDB[[#This Row],[Título]])-1</f>
        <v>879</v>
      </c>
      <c r="B880" s="1" t="s">
        <v>192</v>
      </c>
      <c r="C880" s="1"/>
      <c r="H880" s="1" t="s">
        <v>1028</v>
      </c>
      <c r="J880" s="1" t="s">
        <v>607</v>
      </c>
      <c r="M880" s="15" t="s">
        <v>483</v>
      </c>
      <c r="N880" s="1" t="s">
        <v>1494</v>
      </c>
      <c r="O880" s="15">
        <v>3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880" s="1"/>
      <c r="T880" s="1"/>
      <c r="U880" s="32" t="s">
        <v>3790</v>
      </c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880" s="15" t="str">
        <f>_xlfn.TEXTBEFORE(_xlfn.TEXTAFTER(CantoralDB[[#This Row],[index.html]],"&gt;"),"&gt;")&amp;"&gt;"</f>
        <v>&lt;a href="canciones/kairoi/gloria.html"&gt;</v>
      </c>
      <c r="X880"/>
      <c r="AB880" s="1"/>
    </row>
    <row r="881" spans="1:28" x14ac:dyDescent="0.3">
      <c r="A881" s="1">
        <f>ROW(CantoralDB[[#This Row],[Título]])-1</f>
        <v>880</v>
      </c>
      <c r="B881" s="1" t="s">
        <v>1662</v>
      </c>
      <c r="C881" s="1"/>
      <c r="J881" s="1"/>
      <c r="M881" s="15" t="s">
        <v>483</v>
      </c>
      <c r="N881" s="1" t="s">
        <v>1494</v>
      </c>
      <c r="O881" s="15">
        <v>4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881" s="1"/>
      <c r="T881" s="1"/>
      <c r="U881" s="32" t="s">
        <v>3791</v>
      </c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881" s="15" t="str">
        <f>_xlfn.TEXTBEFORE(_xlfn.TEXTAFTER(CantoralDB[[#This Row],[index.html]],"&gt;"),"&gt;")&amp;"&gt;"</f>
        <v>&lt;a href="canciones/kairoi/salmo.html"&gt;</v>
      </c>
      <c r="X881"/>
      <c r="AB881" s="1"/>
    </row>
    <row r="882" spans="1:28" x14ac:dyDescent="0.3">
      <c r="A882" s="1">
        <f>ROW(CantoralDB[[#This Row],[Título]])-1</f>
        <v>881</v>
      </c>
      <c r="B882" s="1" t="s">
        <v>193</v>
      </c>
      <c r="C882" s="1"/>
      <c r="H882" s="1" t="s">
        <v>1028</v>
      </c>
      <c r="J882" s="1" t="s">
        <v>607</v>
      </c>
      <c r="M882" s="15" t="s">
        <v>483</v>
      </c>
      <c r="N882" s="1" t="s">
        <v>1494</v>
      </c>
      <c r="O882" s="15">
        <v>5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882" s="1"/>
      <c r="T882" s="1"/>
      <c r="U882" s="32" t="s">
        <v>3792</v>
      </c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882" s="15" t="str">
        <f>_xlfn.TEXTBEFORE(_xlfn.TEXTAFTER(CantoralDB[[#This Row],[index.html]],"&gt;"),"&gt;")&amp;"&gt;"</f>
        <v>&lt;a href="canciones/kairoi/aleluya.html"&gt;</v>
      </c>
      <c r="X882"/>
      <c r="AB882" s="1"/>
    </row>
    <row r="883" spans="1:28" x14ac:dyDescent="0.3">
      <c r="A883" s="1">
        <f>ROW(CantoralDB[[#This Row],[Título]])-1</f>
        <v>882</v>
      </c>
      <c r="B883" s="1" t="s">
        <v>1913</v>
      </c>
      <c r="C883" s="1"/>
      <c r="H883" s="1" t="s">
        <v>1029</v>
      </c>
      <c r="J883" s="1" t="s">
        <v>607</v>
      </c>
      <c r="M883" s="15" t="s">
        <v>483</v>
      </c>
      <c r="N883" s="1" t="s">
        <v>1494</v>
      </c>
      <c r="O883" s="15">
        <v>6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883" s="1"/>
      <c r="T883" s="1"/>
      <c r="U883" s="32" t="s">
        <v>3793</v>
      </c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883" s="15" t="str">
        <f>_xlfn.TEXTBEFORE(_xlfn.TEXTAFTER(CantoralDB[[#This Row],[index.html]],"&gt;"),"&gt;")&amp;"&gt;"</f>
        <v>&lt;a href="canciones/kairoi/estoy_creyendo_en_ti_(credo).html"&gt;</v>
      </c>
      <c r="X883"/>
      <c r="AB883" s="1"/>
    </row>
    <row r="884" spans="1:28" x14ac:dyDescent="0.3">
      <c r="A884" s="1">
        <f>ROW(CantoralDB[[#This Row],[Título]])-1</f>
        <v>883</v>
      </c>
      <c r="B884" s="1" t="s">
        <v>1914</v>
      </c>
      <c r="C884" s="1"/>
      <c r="H884" s="1" t="s">
        <v>1029</v>
      </c>
      <c r="J884" s="1" t="s">
        <v>607</v>
      </c>
      <c r="M884" s="15" t="s">
        <v>483</v>
      </c>
      <c r="N884" s="1" t="s">
        <v>1494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884" s="1"/>
      <c r="T884" s="1"/>
      <c r="U884" s="32" t="s">
        <v>3795</v>
      </c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884" s="15" t="str">
        <f>_xlfn.TEXTBEFORE(_xlfn.TEXTAFTER(CantoralDB[[#This Row],[index.html]],"&gt;"),"&gt;")&amp;"&gt;"</f>
        <v>&lt;a href="canciones/kairoi/conviviendo_en_armonia.html"&gt;</v>
      </c>
      <c r="X884"/>
      <c r="AB884" s="1"/>
    </row>
    <row r="885" spans="1:28" x14ac:dyDescent="0.3">
      <c r="A885" s="1">
        <f>ROW(CantoralDB[[#This Row],[Título]])-1</f>
        <v>884</v>
      </c>
      <c r="B885" s="1" t="s">
        <v>195</v>
      </c>
      <c r="C885" s="1"/>
      <c r="J885" s="1"/>
      <c r="M885" s="15" t="s">
        <v>483</v>
      </c>
      <c r="N885" s="1" t="s">
        <v>1494</v>
      </c>
      <c r="O885" s="15">
        <v>8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885" s="1"/>
      <c r="T885" s="1"/>
      <c r="U885" s="32" t="s">
        <v>3794</v>
      </c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885" s="15" t="str">
        <f>_xlfn.TEXTBEFORE(_xlfn.TEXTAFTER(CantoralDB[[#This Row],[index.html]],"&gt;"),"&gt;")&amp;"&gt;"</f>
        <v>&lt;a href="canciones/kairoi/santo.html"&gt;</v>
      </c>
      <c r="X885"/>
      <c r="AB885" s="1"/>
    </row>
    <row r="886" spans="1:28" x14ac:dyDescent="0.3">
      <c r="A886" s="1">
        <f>ROW(CantoralDB[[#This Row],[Título]])-1</f>
        <v>885</v>
      </c>
      <c r="B886" s="1" t="s">
        <v>2142</v>
      </c>
      <c r="C886" s="1"/>
      <c r="H886" s="1" t="s">
        <v>1029</v>
      </c>
      <c r="J886" s="1" t="s">
        <v>607</v>
      </c>
      <c r="M886" s="15" t="s">
        <v>483</v>
      </c>
      <c r="N886" s="1" t="s">
        <v>1494</v>
      </c>
      <c r="O886" s="15">
        <v>9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886" s="1"/>
      <c r="T886" s="1"/>
      <c r="U886" s="32" t="s">
        <v>3797</v>
      </c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886" s="15" t="str">
        <f>_xlfn.TEXTBEFORE(_xlfn.TEXTAFTER(CantoralDB[[#This Row],[index.html]],"&gt;"),"&gt;")&amp;"&gt;"</f>
        <v>&lt;a href="canciones/kairoi/padre_nuestro_ii.html"&gt;</v>
      </c>
      <c r="X886"/>
      <c r="AB886" s="1"/>
    </row>
    <row r="887" spans="1:28" x14ac:dyDescent="0.3">
      <c r="A887" s="1">
        <f>ROW(CantoralDB[[#This Row],[Título]])-1</f>
        <v>886</v>
      </c>
      <c r="B887" s="1" t="s">
        <v>1664</v>
      </c>
      <c r="C887" s="1"/>
      <c r="J887" s="1"/>
      <c r="M887" s="15" t="s">
        <v>483</v>
      </c>
      <c r="N887" s="1" t="s">
        <v>1494</v>
      </c>
      <c r="O887" s="15">
        <v>10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887" s="1"/>
      <c r="T887" s="1"/>
      <c r="U887" s="32" t="s">
        <v>3796</v>
      </c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887" s="15" t="str">
        <f>_xlfn.TEXTBEFORE(_xlfn.TEXTAFTER(CantoralDB[[#This Row],[index.html]],"&gt;"),"&gt;")&amp;"&gt;"</f>
        <v>&lt;a href="canciones/kairoi/cancion_de_paz.html"&gt;</v>
      </c>
      <c r="X887"/>
      <c r="AB887" s="1"/>
    </row>
    <row r="888" spans="1:28" x14ac:dyDescent="0.3">
      <c r="A888" s="1">
        <f>ROW(CantoralDB[[#This Row],[Título]])-1</f>
        <v>887</v>
      </c>
      <c r="B888" s="1" t="s">
        <v>1665</v>
      </c>
      <c r="C888" s="1"/>
      <c r="H888" s="1" t="s">
        <v>472</v>
      </c>
      <c r="I888" s="1" t="s">
        <v>2950</v>
      </c>
      <c r="J888" s="1" t="s">
        <v>607</v>
      </c>
      <c r="M888" s="15" t="s">
        <v>483</v>
      </c>
      <c r="N888" s="1" t="s">
        <v>1494</v>
      </c>
      <c r="O888" s="15">
        <v>11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888" s="1"/>
      <c r="T888" s="1"/>
      <c r="U888" s="32" t="s">
        <v>3798</v>
      </c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888" s="15" t="str">
        <f>_xlfn.TEXTBEFORE(_xlfn.TEXTAFTER(CantoralDB[[#This Row],[index.html]],"&gt;"),"&gt;")&amp;"&gt;"</f>
        <v>&lt;a href="canciones/kairoi/te_agradezco.html"&gt;</v>
      </c>
      <c r="X888"/>
      <c r="AB888" s="1"/>
    </row>
    <row r="889" spans="1:28" x14ac:dyDescent="0.3">
      <c r="A889" s="1">
        <f>ROW(CantoralDB[[#This Row],[Título]])-1</f>
        <v>888</v>
      </c>
      <c r="B889" s="1" t="s">
        <v>2883</v>
      </c>
      <c r="C889" s="1"/>
      <c r="H889" s="1" t="s">
        <v>1029</v>
      </c>
      <c r="J889" s="1" t="s">
        <v>607</v>
      </c>
      <c r="M889" s="15" t="s">
        <v>483</v>
      </c>
      <c r="N889" s="1" t="s">
        <v>1494</v>
      </c>
      <c r="O889" s="15">
        <v>12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889" s="1"/>
      <c r="T889" s="1"/>
      <c r="U889" s="32" t="s">
        <v>3799</v>
      </c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889" s="15" t="str">
        <f>_xlfn.TEXTBEFORE(_xlfn.TEXTAFTER(CantoralDB[[#This Row],[index.html]],"&gt;"),"&gt;")&amp;"&gt;"</f>
        <v>&lt;a href="canciones/kairoi/escucha_maria.html"&gt;</v>
      </c>
      <c r="X889"/>
      <c r="AB889" s="1"/>
    </row>
    <row r="890" spans="1:28" x14ac:dyDescent="0.3">
      <c r="A890" s="1">
        <f>ROW(CantoralDB[[#This Row],[Título]])-1</f>
        <v>889</v>
      </c>
      <c r="B890" s="1" t="s">
        <v>1642</v>
      </c>
      <c r="C890" s="1"/>
      <c r="J890" s="1"/>
      <c r="M890" s="15" t="s">
        <v>483</v>
      </c>
      <c r="N890" s="1" t="s">
        <v>1492</v>
      </c>
      <c r="O890" s="15">
        <v>1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890" s="1"/>
      <c r="T890" s="1"/>
      <c r="U890" s="32" t="s">
        <v>3800</v>
      </c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890" s="15" t="str">
        <f>_xlfn.TEXTBEFORE(_xlfn.TEXTAFTER(CantoralDB[[#This Row],[index.html]],"&gt;"),"&gt;")&amp;"&gt;"</f>
        <v>&lt;a href="canciones/kairoi/clara_hija_de_la_luz.html"&gt;</v>
      </c>
      <c r="X890"/>
      <c r="AB890" s="1"/>
    </row>
    <row r="891" spans="1:28" x14ac:dyDescent="0.3">
      <c r="A891" s="1">
        <f>ROW(CantoralDB[[#This Row],[Título]])-1</f>
        <v>890</v>
      </c>
      <c r="B891" s="1" t="s">
        <v>1643</v>
      </c>
      <c r="C891" s="1"/>
      <c r="J891" s="1"/>
      <c r="M891" s="15" t="s">
        <v>483</v>
      </c>
      <c r="N891" s="1" t="s">
        <v>1492</v>
      </c>
      <c r="O891" s="15">
        <v>2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891" s="1"/>
      <c r="T891" s="1"/>
      <c r="U891" s="32" t="s">
        <v>3801</v>
      </c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891" s="15" t="str">
        <f>_xlfn.TEXTBEFORE(_xlfn.TEXTAFTER(CantoralDB[[#This Row],[index.html]],"&gt;"),"&gt;")&amp;"&gt;"</f>
        <v>&lt;a href="canciones/kairoi/clara_imagen_de_dios.html"&gt;</v>
      </c>
      <c r="X891"/>
      <c r="AB891" s="1"/>
    </row>
    <row r="892" spans="1:28" x14ac:dyDescent="0.3">
      <c r="A892" s="1">
        <f>ROW(CantoralDB[[#This Row],[Título]])-1</f>
        <v>891</v>
      </c>
      <c r="B892" s="1" t="s">
        <v>1311</v>
      </c>
      <c r="C892" s="1"/>
      <c r="E892" s="1">
        <v>226</v>
      </c>
      <c r="H892" s="1" t="s">
        <v>1029</v>
      </c>
      <c r="J892" s="1" t="s">
        <v>607</v>
      </c>
      <c r="M892" s="15" t="s">
        <v>483</v>
      </c>
      <c r="N892" s="1" t="s">
        <v>1492</v>
      </c>
      <c r="O892" s="15">
        <v>3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892" s="1"/>
      <c r="T892" s="1"/>
      <c r="U892" s="32" t="s">
        <v>3802</v>
      </c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892" s="15" t="str">
        <f>_xlfn.TEXTBEFORE(_xlfn.TEXTAFTER(CantoralDB[[#This Row],[index.html]],"&gt;"),"&gt;")&amp;"&gt;"</f>
        <v>&lt;a href="canciones/kairoi/rezar_no_es_otra_cosa.html"&gt;</v>
      </c>
      <c r="X892"/>
      <c r="AB892" s="1"/>
    </row>
    <row r="893" spans="1:28" x14ac:dyDescent="0.3">
      <c r="A893" s="1">
        <f>ROW(CantoralDB[[#This Row],[Título]])-1</f>
        <v>892</v>
      </c>
      <c r="B893" s="1" t="s">
        <v>1644</v>
      </c>
      <c r="C893" s="1"/>
      <c r="H893" s="1" t="s">
        <v>472</v>
      </c>
      <c r="J893" s="1" t="s">
        <v>607</v>
      </c>
      <c r="M893" s="15" t="s">
        <v>483</v>
      </c>
      <c r="N893" s="1" t="s">
        <v>1492</v>
      </c>
      <c r="O893" s="15">
        <v>4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893" s="1"/>
      <c r="T893" s="1"/>
      <c r="U893" s="32" t="s">
        <v>3803</v>
      </c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893" s="15" t="str">
        <f>_xlfn.TEXTBEFORE(_xlfn.TEXTAFTER(CantoralDB[[#This Row],[index.html]],"&gt;"),"&gt;")&amp;"&gt;"</f>
        <v>&lt;a href="canciones/kairoi/jesus_te_ama.html"&gt;</v>
      </c>
      <c r="X893"/>
      <c r="AB893" s="1"/>
    </row>
    <row r="894" spans="1:28" x14ac:dyDescent="0.3">
      <c r="A894" s="1">
        <f>ROW(CantoralDB[[#This Row],[Título]])-1</f>
        <v>893</v>
      </c>
      <c r="B894" s="1" t="s">
        <v>1645</v>
      </c>
      <c r="C894" s="1"/>
      <c r="H894" s="1" t="s">
        <v>530</v>
      </c>
      <c r="J894" s="1" t="s">
        <v>607</v>
      </c>
      <c r="M894" s="15" t="s">
        <v>483</v>
      </c>
      <c r="N894" s="1" t="s">
        <v>1492</v>
      </c>
      <c r="O894" s="15">
        <v>5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894" s="1"/>
      <c r="T894" s="1"/>
      <c r="U894" s="32" t="s">
        <v>3804</v>
      </c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894" s="15" t="str">
        <f>_xlfn.TEXTBEFORE(_xlfn.TEXTAFTER(CantoralDB[[#This Row],[index.html]],"&gt;"),"&gt;")&amp;"&gt;"</f>
        <v>&lt;a href="canciones/kairoi/cantico_de_las_criaturas.html"&gt;</v>
      </c>
      <c r="X894"/>
      <c r="AB894" s="1"/>
    </row>
    <row r="895" spans="1:28" x14ac:dyDescent="0.3">
      <c r="A895" s="1">
        <f>ROW(CantoralDB[[#This Row],[Título]])-1</f>
        <v>894</v>
      </c>
      <c r="B895" s="1" t="s">
        <v>1910</v>
      </c>
      <c r="C895" s="1"/>
      <c r="H895" s="1" t="s">
        <v>472</v>
      </c>
      <c r="J895" s="1" t="s">
        <v>607</v>
      </c>
      <c r="M895" s="15" t="s">
        <v>483</v>
      </c>
      <c r="N895" s="1" t="s">
        <v>1492</v>
      </c>
      <c r="O895" s="15">
        <v>6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895" s="1"/>
      <c r="T895" s="1"/>
      <c r="U895" s="32" t="s">
        <v>3805</v>
      </c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895" s="15" t="str">
        <f>_xlfn.TEXTBEFORE(_xlfn.TEXTAFTER(CantoralDB[[#This Row],[index.html]],"&gt;"),"&gt;")&amp;"&gt;"</f>
        <v>&lt;a href="canciones/kairoi/ya_no_te_queda_tiempo.html"&gt;</v>
      </c>
      <c r="X895"/>
      <c r="AB895" s="1"/>
    </row>
    <row r="896" spans="1:28" x14ac:dyDescent="0.3">
      <c r="A896" s="1">
        <f>ROW(CantoralDB[[#This Row],[Título]])-1</f>
        <v>895</v>
      </c>
      <c r="B896" s="1" t="s">
        <v>1646</v>
      </c>
      <c r="C896" s="1"/>
      <c r="J896" s="1"/>
      <c r="M896" s="15" t="s">
        <v>483</v>
      </c>
      <c r="N896" s="1" t="s">
        <v>1492</v>
      </c>
      <c r="O896" s="15">
        <v>7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896" s="1"/>
      <c r="T896" s="1"/>
      <c r="U896" s="32" t="s">
        <v>3806</v>
      </c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896" s="15" t="str">
        <f>_xlfn.TEXTBEFORE(_xlfn.TEXTAFTER(CantoralDB[[#This Row],[index.html]],"&gt;"),"&gt;")&amp;"&gt;"</f>
        <v>&lt;a href="canciones/kairoi/oracion_a_san_francisco.html"&gt;</v>
      </c>
      <c r="X896"/>
      <c r="AB896" s="1"/>
    </row>
    <row r="897" spans="1:28" x14ac:dyDescent="0.3">
      <c r="A897" s="1">
        <f>ROW(CantoralDB[[#This Row],[Título]])-1</f>
        <v>896</v>
      </c>
      <c r="B897" s="1" t="s">
        <v>1297</v>
      </c>
      <c r="C897" s="1"/>
      <c r="E897" s="1">
        <v>196</v>
      </c>
      <c r="H897" s="1" t="s">
        <v>1028</v>
      </c>
      <c r="J897" s="1" t="s">
        <v>607</v>
      </c>
      <c r="M897" s="15" t="s">
        <v>483</v>
      </c>
      <c r="N897" s="1" t="s">
        <v>1492</v>
      </c>
      <c r="O897" s="15">
        <v>8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897" s="1"/>
      <c r="T897" s="1"/>
      <c r="U897" s="32" t="s">
        <v>3807</v>
      </c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897" s="15" t="str">
        <f>_xlfn.TEXTBEFORE(_xlfn.TEXTAFTER(CantoralDB[[#This Row],[index.html]],"&gt;"),"&gt;")&amp;"&gt;"</f>
        <v>&lt;a href="canciones/kairoi/padre_de_las_misericordias.html"&gt;</v>
      </c>
      <c r="X897"/>
      <c r="AB897" s="1"/>
    </row>
    <row r="898" spans="1:28" x14ac:dyDescent="0.3">
      <c r="A898" s="1">
        <f>ROW(CantoralDB[[#This Row],[Título]])-1</f>
        <v>897</v>
      </c>
      <c r="B898" s="1" t="s">
        <v>1328</v>
      </c>
      <c r="C898" s="1"/>
      <c r="E898" s="1">
        <v>252</v>
      </c>
      <c r="H898" s="1" t="s">
        <v>1026</v>
      </c>
      <c r="J898" s="1" t="s">
        <v>607</v>
      </c>
      <c r="M898" s="15" t="s">
        <v>483</v>
      </c>
      <c r="N898" s="1" t="s">
        <v>1492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898" s="1"/>
      <c r="T898" s="1"/>
      <c r="U898" s="32" t="s">
        <v>3808</v>
      </c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898" s="15" t="str">
        <f>_xlfn.TEXTBEFORE(_xlfn.TEXTAFTER(CantoralDB[[#This Row],[index.html]],"&gt;"),"&gt;")&amp;"&gt;"</f>
        <v>&lt;a href="canciones/kairoi/te_alabo_señor.html"&gt;</v>
      </c>
      <c r="X898"/>
      <c r="AB898" s="1"/>
    </row>
    <row r="899" spans="1:28" x14ac:dyDescent="0.3">
      <c r="A899" s="1">
        <f>ROW(CantoralDB[[#This Row],[Título]])-1</f>
        <v>898</v>
      </c>
      <c r="B899" s="1" t="s">
        <v>1647</v>
      </c>
      <c r="C899" s="1"/>
      <c r="J899" s="1"/>
      <c r="M899" s="15" t="s">
        <v>483</v>
      </c>
      <c r="N899" s="1" t="s">
        <v>1492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899" s="1"/>
      <c r="T899" s="1"/>
      <c r="U899" s="32" t="s">
        <v>3809</v>
      </c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899" s="15" t="str">
        <f>_xlfn.TEXTBEFORE(_xlfn.TEXTAFTER(CantoralDB[[#This Row],[index.html]],"&gt;"),"&gt;")&amp;"&gt;"</f>
        <v>&lt;a href="canciones/kairoi/si_vamos_desnudos_por_cristo.html"&gt;</v>
      </c>
      <c r="X899"/>
      <c r="AB899" s="1"/>
    </row>
    <row r="900" spans="1:28" x14ac:dyDescent="0.3">
      <c r="A900" s="1">
        <f>ROW(CantoralDB[[#This Row],[Título]])-1</f>
        <v>899</v>
      </c>
      <c r="B900" s="1" t="s">
        <v>1648</v>
      </c>
      <c r="C900" s="1"/>
      <c r="H900" s="1" t="s">
        <v>1029</v>
      </c>
      <c r="J900" s="1" t="s">
        <v>607</v>
      </c>
      <c r="M900" s="15" t="s">
        <v>483</v>
      </c>
      <c r="N900" s="1" t="s">
        <v>1492</v>
      </c>
      <c r="O900" s="15">
        <v>11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900" s="1"/>
      <c r="T900" s="1"/>
      <c r="U900" s="32" t="s">
        <v>3810</v>
      </c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900" s="15" t="str">
        <f>_xlfn.TEXTBEFORE(_xlfn.TEXTAFTER(CantoralDB[[#This Row],[index.html]],"&gt;"),"&gt;")&amp;"&gt;"</f>
        <v>&lt;a href="canciones/kairoi/el_don_de_la_fraternidad.html"&gt;</v>
      </c>
      <c r="X900"/>
      <c r="AB900" s="1"/>
    </row>
    <row r="901" spans="1:28" x14ac:dyDescent="0.3">
      <c r="A901" s="1">
        <f>ROW(CantoralDB[[#This Row],[Título]])-1</f>
        <v>900</v>
      </c>
      <c r="B901" s="1" t="s">
        <v>1568</v>
      </c>
      <c r="C901" s="1"/>
      <c r="H901" s="1" t="s">
        <v>1026</v>
      </c>
      <c r="J901" s="1" t="s">
        <v>607</v>
      </c>
      <c r="M901" s="15" t="s">
        <v>483</v>
      </c>
      <c r="N901" s="1" t="s">
        <v>1487</v>
      </c>
      <c r="O901" s="15">
        <v>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901" s="1"/>
      <c r="T901" s="1"/>
      <c r="U901" s="32" t="s">
        <v>3811</v>
      </c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901" s="15" t="str">
        <f>_xlfn.TEXTBEFORE(_xlfn.TEXTAFTER(CantoralDB[[#This Row],[index.html]],"&gt;"),"&gt;")&amp;"&gt;"</f>
        <v>&lt;a href="canciones/kairoi/jesus_es_verdad.html"&gt;</v>
      </c>
      <c r="X901"/>
      <c r="AB901" s="1"/>
    </row>
    <row r="902" spans="1:28" x14ac:dyDescent="0.3">
      <c r="A902" s="1">
        <f>ROW(CantoralDB[[#This Row],[Título]])-1</f>
        <v>901</v>
      </c>
      <c r="B902" s="1" t="s">
        <v>1603</v>
      </c>
      <c r="C902" s="1"/>
      <c r="J902" s="1"/>
      <c r="M902" s="15" t="s">
        <v>483</v>
      </c>
      <c r="N902" s="1" t="s">
        <v>1487</v>
      </c>
      <c r="O902" s="15">
        <v>3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902" s="1"/>
      <c r="T902" s="1"/>
      <c r="U902" s="32" t="s">
        <v>3812</v>
      </c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902" s="15" t="str">
        <f>_xlfn.TEXTBEFORE(_xlfn.TEXTAFTER(CantoralDB[[#This Row],[index.html]],"&gt;"),"&gt;")&amp;"&gt;"</f>
        <v>&lt;a href="canciones/kairoi/como_marcelino.html"&gt;</v>
      </c>
      <c r="X902"/>
      <c r="AB902" s="1"/>
    </row>
    <row r="903" spans="1:28" x14ac:dyDescent="0.3">
      <c r="A903" s="1">
        <f>ROW(CantoralDB[[#This Row],[Título]])-1</f>
        <v>902</v>
      </c>
      <c r="B903" s="1" t="s">
        <v>1604</v>
      </c>
      <c r="C903" s="1"/>
      <c r="H903" s="1" t="s">
        <v>1029</v>
      </c>
      <c r="J903" s="1" t="s">
        <v>607</v>
      </c>
      <c r="M903" s="15" t="s">
        <v>483</v>
      </c>
      <c r="N903" s="1" t="s">
        <v>1487</v>
      </c>
      <c r="O903" s="15">
        <v>4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903" s="1"/>
      <c r="T903" s="1"/>
      <c r="U903" s="32" t="s">
        <v>3813</v>
      </c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903" s="15" t="str">
        <f>_xlfn.TEXTBEFORE(_xlfn.TEXTAFTER(CantoralDB[[#This Row],[index.html]],"&gt;"),"&gt;")&amp;"&gt;"</f>
        <v>&lt;a href="canciones/kairoi/niño.html"&gt;</v>
      </c>
      <c r="X903"/>
      <c r="AB903" s="1"/>
    </row>
    <row r="904" spans="1:28" x14ac:dyDescent="0.3">
      <c r="A904" s="1">
        <f>ROW(CantoralDB[[#This Row],[Título]])-1</f>
        <v>903</v>
      </c>
      <c r="B904" s="1" t="s">
        <v>1606</v>
      </c>
      <c r="C904" s="1"/>
      <c r="H904" s="1" t="s">
        <v>1026</v>
      </c>
      <c r="J904" s="1" t="s">
        <v>607</v>
      </c>
      <c r="M904" s="15" t="s">
        <v>483</v>
      </c>
      <c r="N904" s="1" t="s">
        <v>1487</v>
      </c>
      <c r="O904" s="15">
        <v>6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904" s="1"/>
      <c r="T904" s="1"/>
      <c r="U904" s="32" t="s">
        <v>3814</v>
      </c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904" s="15" t="str">
        <f>_xlfn.TEXTBEFORE(_xlfn.TEXTAFTER(CantoralDB[[#This Row],[index.html]],"&gt;"),"&gt;")&amp;"&gt;"</f>
        <v>&lt;a href="canciones/kairoi/una_vida.html"&gt;</v>
      </c>
      <c r="X904"/>
      <c r="AB904" s="1"/>
    </row>
    <row r="905" spans="1:28" x14ac:dyDescent="0.3">
      <c r="A905" s="1">
        <f>ROW(CantoralDB[[#This Row],[Título]])-1</f>
        <v>904</v>
      </c>
      <c r="B905" s="1" t="s">
        <v>1609</v>
      </c>
      <c r="C905" s="1"/>
      <c r="H905" s="1" t="s">
        <v>472</v>
      </c>
      <c r="J905" s="1" t="s">
        <v>607</v>
      </c>
      <c r="M905" s="15" t="s">
        <v>483</v>
      </c>
      <c r="N905" s="1" t="s">
        <v>1487</v>
      </c>
      <c r="O905" s="15">
        <v>9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905" s="1"/>
      <c r="T905" s="1"/>
      <c r="U905" s="32" t="s">
        <v>3815</v>
      </c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905" s="15" t="str">
        <f>_xlfn.TEXTBEFORE(_xlfn.TEXTAFTER(CantoralDB[[#This Row],[index.html]],"&gt;"),"&gt;")&amp;"&gt;"</f>
        <v>&lt;a href="canciones/kairoi/dios_en_la_ciudad.html"&gt;</v>
      </c>
      <c r="X905"/>
      <c r="AB905" s="1"/>
    </row>
    <row r="906" spans="1:28" x14ac:dyDescent="0.3">
      <c r="A906" s="1">
        <f>ROW(CantoralDB[[#This Row],[Título]])-1</f>
        <v>905</v>
      </c>
      <c r="B906" s="1" t="s">
        <v>1611</v>
      </c>
      <c r="C906" s="1"/>
      <c r="H906" s="1" t="s">
        <v>530</v>
      </c>
      <c r="J906" s="1" t="s">
        <v>607</v>
      </c>
      <c r="M906" s="15" t="s">
        <v>483</v>
      </c>
      <c r="N906" s="1" t="s">
        <v>1487</v>
      </c>
      <c r="O906" s="15">
        <v>11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906" s="1"/>
      <c r="T906" s="1"/>
      <c r="U906" s="32" t="s">
        <v>3816</v>
      </c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906" s="15" t="str">
        <f>_xlfn.TEXTBEFORE(_xlfn.TEXTAFTER(CantoralDB[[#This Row],[index.html]],"&gt;"),"&gt;")&amp;"&gt;"</f>
        <v>&lt;a href="canciones/kairoi/somos_una_familia.html"&gt;</v>
      </c>
      <c r="X906"/>
      <c r="AB906" s="1"/>
    </row>
    <row r="907" spans="1:28" x14ac:dyDescent="0.3">
      <c r="A907" s="1">
        <f>ROW(CantoralDB[[#This Row],[Título]])-1</f>
        <v>906</v>
      </c>
      <c r="B907" s="1" t="s">
        <v>61</v>
      </c>
      <c r="C907" s="1" t="s">
        <v>190</v>
      </c>
      <c r="D907" s="1" t="s">
        <v>738</v>
      </c>
      <c r="E907" s="1">
        <v>111</v>
      </c>
      <c r="G907" s="1" t="s">
        <v>208</v>
      </c>
      <c r="H907" s="1" t="s">
        <v>530</v>
      </c>
      <c r="I907" s="1" t="s">
        <v>2954</v>
      </c>
      <c r="J907" s="1" t="s">
        <v>607</v>
      </c>
      <c r="M907" s="15" t="s">
        <v>483</v>
      </c>
      <c r="N907" s="1" t="s">
        <v>1491</v>
      </c>
      <c r="O907" s="15">
        <v>1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907" s="1" t="s">
        <v>831</v>
      </c>
      <c r="T907" s="1"/>
      <c r="U907" s="32" t="s">
        <v>3817</v>
      </c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907" s="15" t="str">
        <f>_xlfn.TEXTBEFORE(_xlfn.TEXTAFTER(CantoralDB[[#This Row],[index.html]],"&gt;"),"&gt;")&amp;"&gt;"</f>
        <v>&lt;a href="canciones/kairoi/eres_el_fuego_el_amor.html"&gt;</v>
      </c>
      <c r="X907"/>
      <c r="AB907" s="1"/>
    </row>
    <row r="908" spans="1:28" x14ac:dyDescent="0.3">
      <c r="A908" s="1">
        <f>ROW(CantoralDB[[#This Row],[Título]])-1</f>
        <v>907</v>
      </c>
      <c r="B908" s="1" t="s">
        <v>1573</v>
      </c>
      <c r="C908" s="1"/>
      <c r="H908" s="1" t="s">
        <v>1026</v>
      </c>
      <c r="J908" s="1" t="s">
        <v>607</v>
      </c>
      <c r="M908" s="15" t="s">
        <v>483</v>
      </c>
      <c r="N908" s="1" t="s">
        <v>1491</v>
      </c>
      <c r="O908" s="15">
        <v>2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908" s="1"/>
      <c r="T908" s="1"/>
      <c r="U908" s="32" t="s">
        <v>3818</v>
      </c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908" s="15" t="str">
        <f>_xlfn.TEXTBEFORE(_xlfn.TEXTAFTER(CantoralDB[[#This Row],[index.html]],"&gt;"),"&gt;")&amp;"&gt;"</f>
        <v>&lt;a href="canciones/kairoi/me_has_seducido_señor.html"&gt;</v>
      </c>
      <c r="X908"/>
      <c r="AB908" s="1"/>
    </row>
    <row r="909" spans="1:28" x14ac:dyDescent="0.3">
      <c r="A909" s="1">
        <f>ROW(CantoralDB[[#This Row],[Título]])-1</f>
        <v>908</v>
      </c>
      <c r="B909" s="1" t="s">
        <v>1636</v>
      </c>
      <c r="C909" s="1"/>
      <c r="J909" s="1"/>
      <c r="M909" s="15" t="s">
        <v>483</v>
      </c>
      <c r="N909" s="1" t="s">
        <v>1491</v>
      </c>
      <c r="O909" s="15">
        <v>3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909" s="1"/>
      <c r="T909" s="1"/>
      <c r="U909" s="32" t="s">
        <v>3819</v>
      </c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909" s="15" t="str">
        <f>_xlfn.TEXTBEFORE(_xlfn.TEXTAFTER(CantoralDB[[#This Row],[index.html]],"&gt;"),"&gt;")&amp;"&gt;"</f>
        <v>&lt;a href="canciones/kairoi/deseo_paz.html"&gt;</v>
      </c>
      <c r="X909"/>
      <c r="AB909" s="1"/>
    </row>
    <row r="910" spans="1:28" x14ac:dyDescent="0.3">
      <c r="A910" s="1">
        <f>ROW(CantoralDB[[#This Row],[Título]])-1</f>
        <v>909</v>
      </c>
      <c r="B910" s="1" t="s">
        <v>1574</v>
      </c>
      <c r="C910" s="1"/>
      <c r="H910" s="1" t="s">
        <v>472</v>
      </c>
      <c r="J910" s="1" t="s">
        <v>607</v>
      </c>
      <c r="M910" s="15" t="s">
        <v>483</v>
      </c>
      <c r="N910" s="1" t="s">
        <v>1491</v>
      </c>
      <c r="O910" s="15">
        <v>4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910" s="1"/>
      <c r="T910" s="1"/>
      <c r="U910" s="32" t="s">
        <v>3820</v>
      </c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910" s="15" t="str">
        <f>_xlfn.TEXTBEFORE(_xlfn.TEXTAFTER(CantoralDB[[#This Row],[index.html]],"&gt;"),"&gt;")&amp;"&gt;"</f>
        <v>&lt;a href="canciones/kairoi/una_vida_que_busca_libertad.html"&gt;</v>
      </c>
      <c r="X910"/>
      <c r="AB910" s="1"/>
    </row>
    <row r="911" spans="1:28" x14ac:dyDescent="0.3">
      <c r="A911" s="1">
        <f>ROW(CantoralDB[[#This Row],[Título]])-1</f>
        <v>910</v>
      </c>
      <c r="B911" s="1" t="s">
        <v>1637</v>
      </c>
      <c r="C911" s="1"/>
      <c r="H911" s="1" t="s">
        <v>1027</v>
      </c>
      <c r="J911" s="1" t="s">
        <v>607</v>
      </c>
      <c r="M911" s="15" t="s">
        <v>483</v>
      </c>
      <c r="N911" s="1" t="s">
        <v>1491</v>
      </c>
      <c r="O911" s="15">
        <v>5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911" s="1"/>
      <c r="T911" s="1"/>
      <c r="U911" s="32" t="s">
        <v>3821</v>
      </c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911" s="15" t="str">
        <f>_xlfn.TEXTBEFORE(_xlfn.TEXTAFTER(CantoralDB[[#This Row],[index.html]],"&gt;"),"&gt;")&amp;"&gt;"</f>
        <v>&lt;a href="canciones/kairoi/nuestra_buena_madre.html"&gt;</v>
      </c>
      <c r="X911"/>
      <c r="AB911" s="1"/>
    </row>
    <row r="912" spans="1:28" x14ac:dyDescent="0.3">
      <c r="A912" s="1">
        <f>ROW(CantoralDB[[#This Row],[Título]])-1</f>
        <v>911</v>
      </c>
      <c r="B912" s="1" t="s">
        <v>1575</v>
      </c>
      <c r="C912" s="1"/>
      <c r="H912" s="1" t="s">
        <v>1026</v>
      </c>
      <c r="J912" s="1" t="s">
        <v>607</v>
      </c>
      <c r="M912" s="15" t="s">
        <v>483</v>
      </c>
      <c r="N912" s="1" t="s">
        <v>1491</v>
      </c>
      <c r="O912" s="15">
        <v>6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912" s="1"/>
      <c r="T912" s="1"/>
      <c r="U912" s="32" t="s">
        <v>3822</v>
      </c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912" s="15" t="str">
        <f>_xlfn.TEXTBEFORE(_xlfn.TEXTAFTER(CantoralDB[[#This Row],[index.html]],"&gt;"),"&gt;")&amp;"&gt;"</f>
        <v>&lt;a href="canciones/kairoi/señor_yo_no_soy_digno.html"&gt;</v>
      </c>
      <c r="X912"/>
      <c r="AB912" s="1"/>
    </row>
    <row r="913" spans="1:28" x14ac:dyDescent="0.3">
      <c r="A913" s="1">
        <f>ROW(CantoralDB[[#This Row],[Título]])-1</f>
        <v>912</v>
      </c>
      <c r="B913" s="1" t="s">
        <v>1638</v>
      </c>
      <c r="C913" s="1"/>
      <c r="H913" s="1" t="s">
        <v>472</v>
      </c>
      <c r="J913" s="1" t="s">
        <v>607</v>
      </c>
      <c r="M913" s="15" t="s">
        <v>483</v>
      </c>
      <c r="N913" s="1" t="s">
        <v>1491</v>
      </c>
      <c r="O913" s="15">
        <v>7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913" s="1"/>
      <c r="T913" s="1"/>
      <c r="U913" s="32" t="s">
        <v>3823</v>
      </c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913" s="15" t="str">
        <f>_xlfn.TEXTBEFORE(_xlfn.TEXTAFTER(CantoralDB[[#This Row],[index.html]],"&gt;"),"&gt;")&amp;"&gt;"</f>
        <v>&lt;a href="canciones/kairoi/no_durmais.html"&gt;</v>
      </c>
      <c r="X913"/>
      <c r="AB913" s="1"/>
    </row>
    <row r="914" spans="1:28" x14ac:dyDescent="0.3">
      <c r="A914" s="1">
        <f>ROW(CantoralDB[[#This Row],[Título]])-1</f>
        <v>913</v>
      </c>
      <c r="B914" s="1" t="s">
        <v>1909</v>
      </c>
      <c r="C914" s="1"/>
      <c r="H914" s="1" t="s">
        <v>1029</v>
      </c>
      <c r="J914" s="1" t="s">
        <v>607</v>
      </c>
      <c r="M914" s="15" t="s">
        <v>483</v>
      </c>
      <c r="N914" s="1" t="s">
        <v>1491</v>
      </c>
      <c r="O914" s="15">
        <v>8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914" s="1"/>
      <c r="T914" s="1"/>
      <c r="U914" s="32" t="s">
        <v>3824</v>
      </c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914" s="15" t="str">
        <f>_xlfn.TEXTBEFORE(_xlfn.TEXTAFTER(CantoralDB[[#This Row],[index.html]],"&gt;"),"&gt;")&amp;"&gt;"</f>
        <v>&lt;a href="canciones/kairoi/señor_dios_me_tienes_ante_ti.html"&gt;</v>
      </c>
      <c r="X914"/>
      <c r="AB914" s="1"/>
    </row>
    <row r="915" spans="1:28" x14ac:dyDescent="0.3">
      <c r="A915" s="1">
        <f>ROW(CantoralDB[[#This Row],[Título]])-1</f>
        <v>914</v>
      </c>
      <c r="B915" s="1" t="s">
        <v>174</v>
      </c>
      <c r="C915" s="1" t="s">
        <v>992</v>
      </c>
      <c r="D915" s="1" t="s">
        <v>684</v>
      </c>
      <c r="G915" s="1" t="s">
        <v>208</v>
      </c>
      <c r="H915" s="1" t="s">
        <v>1029</v>
      </c>
      <c r="J915" s="1" t="s">
        <v>607</v>
      </c>
      <c r="M915" s="15" t="s">
        <v>483</v>
      </c>
      <c r="N915" s="1" t="s">
        <v>1491</v>
      </c>
      <c r="O915" s="15">
        <v>9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915" s="1" t="s">
        <v>809</v>
      </c>
      <c r="T915" s="1"/>
      <c r="U915" s="32" t="s">
        <v>3825</v>
      </c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915" s="15" t="str">
        <f>_xlfn.TEXTBEFORE(_xlfn.TEXTAFTER(CantoralDB[[#This Row],[index.html]],"&gt;"),"&gt;")&amp;"&gt;"</f>
        <v>&lt;a href="canciones/kairoi/bienaventuranzas_(kairoi).html"&gt;</v>
      </c>
      <c r="X915"/>
      <c r="AB915" s="1"/>
    </row>
    <row r="916" spans="1:28" x14ac:dyDescent="0.3">
      <c r="A916" s="1">
        <f>ROW(CantoralDB[[#This Row],[Título]])-1</f>
        <v>915</v>
      </c>
      <c r="B916" s="1" t="s">
        <v>1639</v>
      </c>
      <c r="C916" s="1"/>
      <c r="H916" s="1" t="s">
        <v>472</v>
      </c>
      <c r="J916" s="1" t="s">
        <v>607</v>
      </c>
      <c r="M916" s="15" t="s">
        <v>483</v>
      </c>
      <c r="N916" s="1" t="s">
        <v>1491</v>
      </c>
      <c r="O916" s="15">
        <v>10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916" s="1"/>
      <c r="T916" s="1"/>
      <c r="U916" s="32" t="s">
        <v>3826</v>
      </c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916" s="15" t="str">
        <f>_xlfn.TEXTBEFORE(_xlfn.TEXTAFTER(CantoralDB[[#This Row],[index.html]],"&gt;"),"&gt;")&amp;"&gt;"</f>
        <v>&lt;a href="canciones/kairoi/tu_llamada.html"&gt;</v>
      </c>
      <c r="X916"/>
      <c r="AB916" s="1"/>
    </row>
    <row r="917" spans="1:28" x14ac:dyDescent="0.3">
      <c r="A917" s="1">
        <f>ROW(CantoralDB[[#This Row],[Título]])-1</f>
        <v>916</v>
      </c>
      <c r="B917" s="1" t="s">
        <v>1640</v>
      </c>
      <c r="C917" s="1"/>
      <c r="H917" s="1" t="s">
        <v>530</v>
      </c>
      <c r="J917" s="1" t="s">
        <v>607</v>
      </c>
      <c r="M917" s="15" t="s">
        <v>483</v>
      </c>
      <c r="N917" s="1" t="s">
        <v>1491</v>
      </c>
      <c r="O917" s="15">
        <v>11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917" s="1"/>
      <c r="T917" s="1"/>
      <c r="U917" s="32" t="s">
        <v>3827</v>
      </c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917" s="15" t="str">
        <f>_xlfn.TEXTBEFORE(_xlfn.TEXTAFTER(CantoralDB[[#This Row],[index.html]],"&gt;"),"&gt;")&amp;"&gt;"</f>
        <v>&lt;a href="canciones/kairoi/no_es_facil.html"&gt;</v>
      </c>
      <c r="X917"/>
      <c r="AB917" s="1"/>
    </row>
    <row r="918" spans="1:28" x14ac:dyDescent="0.3">
      <c r="A918" s="1">
        <f>ROW(CantoralDB[[#This Row],[Título]])-1</f>
        <v>917</v>
      </c>
      <c r="B918" s="1" t="s">
        <v>1641</v>
      </c>
      <c r="C918" s="1"/>
      <c r="H918" s="1" t="s">
        <v>1027</v>
      </c>
      <c r="J918" s="1" t="s">
        <v>607</v>
      </c>
      <c r="M918" s="15" t="s">
        <v>483</v>
      </c>
      <c r="N918" s="1" t="s">
        <v>1491</v>
      </c>
      <c r="O918" s="15">
        <v>12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918" s="1"/>
      <c r="T918" s="1"/>
      <c r="U918" s="32" t="s">
        <v>3828</v>
      </c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918" s="15" t="str">
        <f>_xlfn.TEXTBEFORE(_xlfn.TEXTAFTER(CantoralDB[[#This Row],[index.html]],"&gt;"),"&gt;")&amp;"&gt;"</f>
        <v>&lt;a href="canciones/kairoi/nacidos_de_la_cruz.html"&gt;</v>
      </c>
      <c r="X918"/>
      <c r="AB918" s="1"/>
    </row>
    <row r="919" spans="1:28" x14ac:dyDescent="0.3">
      <c r="A919" s="1">
        <f>ROW(CantoralDB[[#This Row],[Título]])-1</f>
        <v>918</v>
      </c>
      <c r="B919" s="1" t="s">
        <v>258</v>
      </c>
      <c r="C919" s="1" t="s">
        <v>190</v>
      </c>
      <c r="D919" s="1" t="s">
        <v>740</v>
      </c>
      <c r="F919" s="1">
        <v>1</v>
      </c>
      <c r="G919" s="1" t="s">
        <v>212</v>
      </c>
      <c r="H919" s="1" t="s">
        <v>530</v>
      </c>
      <c r="J919" s="1" t="s">
        <v>607</v>
      </c>
      <c r="M919" s="15" t="s">
        <v>483</v>
      </c>
      <c r="N919" s="1" t="s">
        <v>1482</v>
      </c>
      <c r="O919" s="15">
        <v>1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919" s="1" t="s">
        <v>839</v>
      </c>
      <c r="T919" s="1"/>
      <c r="U919" s="32" t="s">
        <v>3829</v>
      </c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919" s="15" t="str">
        <f>_xlfn.TEXTBEFORE(_xlfn.TEXTAFTER(CantoralDB[[#This Row],[index.html]],"&gt;"),"&gt;")&amp;"&gt;"</f>
        <v>&lt;a href="canciones/kairoi/jesus_es_señor.html"&gt;</v>
      </c>
      <c r="X919"/>
      <c r="AB919" s="1"/>
    </row>
    <row r="920" spans="1:28" x14ac:dyDescent="0.3">
      <c r="A920" s="1">
        <f>ROW(CantoralDB[[#This Row],[Título]])-1</f>
        <v>919</v>
      </c>
      <c r="B920" s="1" t="s">
        <v>166</v>
      </c>
      <c r="C920" s="1" t="s">
        <v>199</v>
      </c>
      <c r="D920" s="1" t="s">
        <v>1057</v>
      </c>
      <c r="E920" s="1">
        <v>474</v>
      </c>
      <c r="F920" s="1">
        <v>60</v>
      </c>
      <c r="G920" s="1" t="s">
        <v>208</v>
      </c>
      <c r="H920" s="1" t="s">
        <v>1026</v>
      </c>
      <c r="J920" s="1" t="s">
        <v>607</v>
      </c>
      <c r="M920" s="15" t="s">
        <v>483</v>
      </c>
      <c r="N920" s="1" t="s">
        <v>1482</v>
      </c>
      <c r="O920" s="15">
        <v>2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920" s="1" t="s">
        <v>867</v>
      </c>
      <c r="T920" s="1"/>
      <c r="U920" s="32" t="s">
        <v>3830</v>
      </c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920" s="15" t="str">
        <f>_xlfn.TEXTBEFORE(_xlfn.TEXTAFTER(CantoralDB[[#This Row],[index.html]],"&gt;"),"&gt;")&amp;"&gt;"</f>
        <v>&lt;a href="canciones/kairoi/yo_cantare_(magnificat).html"&gt;</v>
      </c>
      <c r="X920"/>
      <c r="AB920" s="1"/>
    </row>
    <row r="921" spans="1:28" x14ac:dyDescent="0.3">
      <c r="A921" s="1">
        <f>ROW(CantoralDB[[#This Row],[Título]])-1</f>
        <v>920</v>
      </c>
      <c r="B921" s="1" t="s">
        <v>224</v>
      </c>
      <c r="C921" s="1" t="s">
        <v>190</v>
      </c>
      <c r="D921" s="1" t="s">
        <v>741</v>
      </c>
      <c r="F921" s="1">
        <v>11</v>
      </c>
      <c r="G921" s="1" t="s">
        <v>215</v>
      </c>
      <c r="H921" s="1" t="s">
        <v>530</v>
      </c>
      <c r="J921" s="1" t="s">
        <v>607</v>
      </c>
      <c r="M921" s="15" t="s">
        <v>483</v>
      </c>
      <c r="N921" s="1" t="s">
        <v>1482</v>
      </c>
      <c r="O921" s="15">
        <v>3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921" s="1"/>
      <c r="T921" s="1"/>
      <c r="U921" s="32" t="s">
        <v>3831</v>
      </c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921" s="15" t="str">
        <f>_xlfn.TEXTBEFORE(_xlfn.TEXTAFTER(CantoralDB[[#This Row],[index.html]],"&gt;"),"&gt;")&amp;"&gt;"</f>
        <v>&lt;a href="canciones/kairoi/jesus_esta_entre_nosotros.html"&gt;</v>
      </c>
      <c r="X921"/>
      <c r="AB921" s="1"/>
    </row>
    <row r="922" spans="1:28" x14ac:dyDescent="0.3">
      <c r="A922" s="1">
        <f>ROW(CantoralDB[[#This Row],[Título]])-1</f>
        <v>921</v>
      </c>
      <c r="B922" s="1" t="s">
        <v>603</v>
      </c>
      <c r="C922" s="1" t="s">
        <v>992</v>
      </c>
      <c r="D922" s="1" t="s">
        <v>706</v>
      </c>
      <c r="F922" s="1">
        <v>172</v>
      </c>
      <c r="G922" s="1" t="s">
        <v>212</v>
      </c>
      <c r="H922" s="1" t="s">
        <v>530</v>
      </c>
      <c r="J922" s="1" t="s">
        <v>607</v>
      </c>
      <c r="M922" s="15" t="s">
        <v>483</v>
      </c>
      <c r="N922" s="1" t="s">
        <v>1482</v>
      </c>
      <c r="O922" s="15">
        <v>4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922" s="1"/>
      <c r="T922" s="1"/>
      <c r="U922" s="32" t="s">
        <v>3832</v>
      </c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922" s="15" t="str">
        <f>_xlfn.TEXTBEFORE(_xlfn.TEXTAFTER(CantoralDB[[#This Row],[index.html]],"&gt;"),"&gt;")&amp;"&gt;"</f>
        <v>&lt;a href="canciones/kairoi/hablame.html"&gt;</v>
      </c>
      <c r="X922"/>
      <c r="AB922" s="1"/>
    </row>
    <row r="923" spans="1:28" x14ac:dyDescent="0.3">
      <c r="A923" s="1">
        <f>ROW(CantoralDB[[#This Row],[Título]])-1</f>
        <v>922</v>
      </c>
      <c r="B923" s="1" t="s">
        <v>103</v>
      </c>
      <c r="C923" s="1" t="s">
        <v>992</v>
      </c>
      <c r="D923" s="1" t="s">
        <v>724</v>
      </c>
      <c r="E923" s="1">
        <v>443</v>
      </c>
      <c r="F923" s="1">
        <v>208</v>
      </c>
      <c r="G923" s="1" t="s">
        <v>208</v>
      </c>
      <c r="H923" s="1" t="s">
        <v>530</v>
      </c>
      <c r="I923" s="1" t="s">
        <v>2953</v>
      </c>
      <c r="J923" s="1" t="s">
        <v>607</v>
      </c>
      <c r="M923" s="15" t="s">
        <v>483</v>
      </c>
      <c r="N923" s="1" t="s">
        <v>1482</v>
      </c>
      <c r="O923" s="15">
        <v>5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923" s="1"/>
      <c r="T923" s="1"/>
      <c r="U923" s="32" t="s">
        <v>3833</v>
      </c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923" s="15" t="str">
        <f>_xlfn.TEXTBEFORE(_xlfn.TEXTAFTER(CantoralDB[[#This Row],[index.html]],"&gt;"),"&gt;")&amp;"&gt;"</f>
        <v>&lt;a href="canciones/kairoi/oracion_del_pobre.html"&gt;</v>
      </c>
      <c r="X923"/>
      <c r="AB923" s="1"/>
    </row>
    <row r="924" spans="1:28" x14ac:dyDescent="0.3">
      <c r="A924" s="1">
        <f>ROW(CantoralDB[[#This Row],[Título]])-1</f>
        <v>923</v>
      </c>
      <c r="B924" s="1" t="s">
        <v>1536</v>
      </c>
      <c r="C924" s="1"/>
      <c r="F924" s="1">
        <v>232</v>
      </c>
      <c r="H924" s="1" t="s">
        <v>1026</v>
      </c>
      <c r="J924" s="1" t="s">
        <v>607</v>
      </c>
      <c r="M924" s="15" t="s">
        <v>483</v>
      </c>
      <c r="N924" s="1" t="s">
        <v>1482</v>
      </c>
      <c r="O924" s="15">
        <v>6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924" s="1"/>
      <c r="T924" s="1"/>
      <c r="U924" s="32" t="s">
        <v>3834</v>
      </c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924" s="15" t="str">
        <f>_xlfn.TEXTBEFORE(_xlfn.TEXTAFTER(CantoralDB[[#This Row],[index.html]],"&gt;"),"&gt;")&amp;"&gt;"</f>
        <v>&lt;a href="canciones/kairoi/himno_a_dios.html"&gt;</v>
      </c>
      <c r="X924"/>
      <c r="AB924" s="1"/>
    </row>
    <row r="925" spans="1:28" x14ac:dyDescent="0.3">
      <c r="A925" s="1">
        <f>ROW(CantoralDB[[#This Row],[Título]])-1</f>
        <v>924</v>
      </c>
      <c r="B925" s="1" t="s">
        <v>1537</v>
      </c>
      <c r="C925" s="1"/>
      <c r="H925" s="1" t="s">
        <v>1028</v>
      </c>
      <c r="J925" s="1" t="s">
        <v>607</v>
      </c>
      <c r="M925" s="15" t="s">
        <v>483</v>
      </c>
      <c r="N925" s="1" t="s">
        <v>1482</v>
      </c>
      <c r="O925" s="15">
        <v>7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925" s="1"/>
      <c r="T925" s="1"/>
      <c r="U925" s="32" t="s">
        <v>3835</v>
      </c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925" s="15" t="str">
        <f>_xlfn.TEXTBEFORE(_xlfn.TEXTAFTER(CantoralDB[[#This Row],[index.html]],"&gt;"),"&gt;")&amp;"&gt;"</f>
        <v>&lt;a href="canciones/kairoi/ven_señor_jesus.html"&gt;</v>
      </c>
      <c r="X925"/>
      <c r="AB925" s="1"/>
    </row>
    <row r="926" spans="1:28" x14ac:dyDescent="0.3">
      <c r="A926" s="1">
        <f>ROW(CantoralDB[[#This Row],[Título]])-1</f>
        <v>925</v>
      </c>
      <c r="B926" s="1" t="s">
        <v>1298</v>
      </c>
      <c r="C926" s="1"/>
      <c r="F926" s="1">
        <v>137</v>
      </c>
      <c r="H926" s="1" t="s">
        <v>530</v>
      </c>
      <c r="J926" s="1" t="s">
        <v>607</v>
      </c>
      <c r="M926" s="15" t="s">
        <v>483</v>
      </c>
      <c r="N926" s="1" t="s">
        <v>1482</v>
      </c>
      <c r="O926" s="15">
        <v>8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926" s="1"/>
      <c r="T926" s="1"/>
      <c r="U926" s="32" t="s">
        <v>3836</v>
      </c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926" s="15" t="str">
        <f>_xlfn.TEXTBEFORE(_xlfn.TEXTAFTER(CantoralDB[[#This Row],[index.html]],"&gt;"),"&gt;")&amp;"&gt;"</f>
        <v>&lt;a href="canciones/kairoi/padre_me_pongo_en_tus_manos.html"&gt;</v>
      </c>
      <c r="X926"/>
      <c r="AB926" s="1"/>
    </row>
    <row r="927" spans="1:28" x14ac:dyDescent="0.3">
      <c r="A927" s="1">
        <f>ROW(CantoralDB[[#This Row],[Título]])-1</f>
        <v>926</v>
      </c>
      <c r="B927" s="1" t="s">
        <v>608</v>
      </c>
      <c r="C927" s="1" t="s">
        <v>192</v>
      </c>
      <c r="D927" s="1" t="s">
        <v>1420</v>
      </c>
      <c r="F927" s="1">
        <v>241</v>
      </c>
      <c r="G927" s="1" t="s">
        <v>212</v>
      </c>
      <c r="H927" s="1" t="s">
        <v>530</v>
      </c>
      <c r="I927" s="1" t="s">
        <v>2953</v>
      </c>
      <c r="J927" s="1" t="s">
        <v>607</v>
      </c>
      <c r="M927" s="15" t="s">
        <v>483</v>
      </c>
      <c r="N927" s="1" t="s">
        <v>1482</v>
      </c>
      <c r="O927" s="15">
        <v>9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927" s="1"/>
      <c r="T927" s="1"/>
      <c r="U927" s="32" t="s">
        <v>3837</v>
      </c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927" s="15" t="str">
        <f>_xlfn.TEXTBEFORE(_xlfn.TEXTAFTER(CantoralDB[[#This Row],[index.html]],"&gt;"),"&gt;")&amp;"&gt;"</f>
        <v>&lt;a href="canciones/kairoi/gloria_a_dios_(no_se_como_alabarte).html"&gt;</v>
      </c>
      <c r="X927"/>
      <c r="AB927" s="1"/>
    </row>
    <row r="928" spans="1:28" x14ac:dyDescent="0.3">
      <c r="A928" s="1">
        <f>ROW(CantoralDB[[#This Row],[Título]])-1</f>
        <v>927</v>
      </c>
      <c r="B928" s="1" t="s">
        <v>1538</v>
      </c>
      <c r="C928" s="1"/>
      <c r="F928" s="1">
        <v>265</v>
      </c>
      <c r="H928" s="1" t="s">
        <v>1026</v>
      </c>
      <c r="J928" s="1" t="s">
        <v>607</v>
      </c>
      <c r="M928" s="15" t="s">
        <v>483</v>
      </c>
      <c r="N928" s="1" t="s">
        <v>1482</v>
      </c>
      <c r="O928" s="15">
        <v>10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928" s="1"/>
      <c r="T928" s="1"/>
      <c r="U928" s="32" t="s">
        <v>3838</v>
      </c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928" s="15" t="str">
        <f>_xlfn.TEXTBEFORE(_xlfn.TEXTAFTER(CantoralDB[[#This Row],[index.html]],"&gt;"),"&gt;")&amp;"&gt;"</f>
        <v>&lt;a href="canciones/kairoi/tu_me_sondeas.html"&gt;</v>
      </c>
      <c r="X928"/>
      <c r="AB928" s="1"/>
    </row>
    <row r="929" spans="1:28" x14ac:dyDescent="0.3">
      <c r="A929" s="1">
        <f>ROW(CantoralDB[[#This Row],[Título]])-1</f>
        <v>928</v>
      </c>
      <c r="B929" s="1" t="s">
        <v>1539</v>
      </c>
      <c r="C929" s="1"/>
      <c r="F929" s="1">
        <v>22</v>
      </c>
      <c r="H929" s="1" t="s">
        <v>1028</v>
      </c>
      <c r="J929" s="1" t="s">
        <v>607</v>
      </c>
      <c r="M929" s="15" t="s">
        <v>483</v>
      </c>
      <c r="N929" s="1" t="s">
        <v>1482</v>
      </c>
      <c r="O929" s="15">
        <v>11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929" s="1"/>
      <c r="T929" s="1"/>
      <c r="U929" s="32" t="s">
        <v>3839</v>
      </c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929" s="15" t="str">
        <f>_xlfn.TEXTBEFORE(_xlfn.TEXTAFTER(CantoralDB[[#This Row],[index.html]],"&gt;"),"&gt;")&amp;"&gt;"</f>
        <v>&lt;a href="canciones/kairoi/el_agua_del_señor.html"&gt;</v>
      </c>
      <c r="X929"/>
      <c r="AB929" s="1"/>
    </row>
    <row r="930" spans="1:28" x14ac:dyDescent="0.3">
      <c r="A930" s="1">
        <f>ROW(CantoralDB[[#This Row],[Título]])-1</f>
        <v>929</v>
      </c>
      <c r="B930" s="1" t="s">
        <v>1540</v>
      </c>
      <c r="C930" s="1"/>
      <c r="H930" s="1" t="s">
        <v>530</v>
      </c>
      <c r="J930" s="1" t="s">
        <v>607</v>
      </c>
      <c r="M930" s="15" t="s">
        <v>483</v>
      </c>
      <c r="N930" s="1" t="s">
        <v>1482</v>
      </c>
      <c r="O930" s="15">
        <v>12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930" s="1"/>
      <c r="T930" s="1"/>
      <c r="U930" s="32" t="s">
        <v>3840</v>
      </c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930" s="15" t="str">
        <f>_xlfn.TEXTBEFORE(_xlfn.TEXTAFTER(CantoralDB[[#This Row],[index.html]],"&gt;"),"&gt;")&amp;"&gt;"</f>
        <v>&lt;a href="canciones/kairoi/canta_jerusalen.html"&gt;</v>
      </c>
      <c r="X930"/>
      <c r="AB930" s="1"/>
    </row>
    <row r="931" spans="1:28" x14ac:dyDescent="0.3">
      <c r="A931" s="1">
        <f>ROW(CantoralDB[[#This Row],[Título]])-1</f>
        <v>930</v>
      </c>
      <c r="B931" s="1" t="s">
        <v>1741</v>
      </c>
      <c r="C931" s="1"/>
      <c r="J931" s="1"/>
      <c r="M931" s="15" t="s">
        <v>483</v>
      </c>
      <c r="N931" s="1" t="s">
        <v>1503</v>
      </c>
      <c r="O931" s="15">
        <v>3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931" s="1"/>
      <c r="T931" s="1"/>
      <c r="U931" s="32" t="s">
        <v>3841</v>
      </c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931" s="15" t="str">
        <f>_xlfn.TEXTBEFORE(_xlfn.TEXTAFTER(CantoralDB[[#This Row],[index.html]],"&gt;"),"&gt;")&amp;"&gt;"</f>
        <v>&lt;a href="canciones/kairoi/entorno_al_pan.html"&gt;</v>
      </c>
      <c r="X931"/>
      <c r="AB931" s="1"/>
    </row>
    <row r="932" spans="1:28" x14ac:dyDescent="0.3">
      <c r="A932" s="1">
        <f>ROW(CantoralDB[[#This Row],[Título]])-1</f>
        <v>931</v>
      </c>
      <c r="B932" s="1" t="s">
        <v>1624</v>
      </c>
      <c r="C932" s="1"/>
      <c r="H932" s="1" t="s">
        <v>1026</v>
      </c>
      <c r="J932" s="1" t="s">
        <v>607</v>
      </c>
      <c r="M932" s="15" t="s">
        <v>483</v>
      </c>
      <c r="N932" s="1" t="s">
        <v>1503</v>
      </c>
      <c r="O932" s="15">
        <v>5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932" s="1"/>
      <c r="T932" s="1"/>
      <c r="U932" s="32" t="s">
        <v>3842</v>
      </c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932" s="15" t="str">
        <f>_xlfn.TEXTBEFORE(_xlfn.TEXTAFTER(CantoralDB[[#This Row],[index.html]],"&gt;"),"&gt;")&amp;"&gt;"</f>
        <v>&lt;a href="canciones/kairoi/diremos_que_si.html"&gt;</v>
      </c>
      <c r="X932"/>
      <c r="AB932" s="1"/>
    </row>
    <row r="933" spans="1:28" x14ac:dyDescent="0.3">
      <c r="A933" s="1">
        <f>ROW(CantoralDB[[#This Row],[Título]])-1</f>
        <v>932</v>
      </c>
      <c r="B933" s="1" t="s">
        <v>1723</v>
      </c>
      <c r="C933" s="1"/>
      <c r="J933" s="1"/>
      <c r="M933" s="15" t="s">
        <v>483</v>
      </c>
      <c r="N933" s="1" t="s">
        <v>1503</v>
      </c>
      <c r="O933" s="15">
        <v>6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933" s="1"/>
      <c r="T933" s="1"/>
      <c r="U933" s="32" t="s">
        <v>3843</v>
      </c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933" s="15" t="str">
        <f>_xlfn.TEXTBEFORE(_xlfn.TEXTAFTER(CantoralDB[[#This Row],[index.html]],"&gt;"),"&gt;")&amp;"&gt;"</f>
        <v>&lt;a href="canciones/kairoi/caminar.html"&gt;</v>
      </c>
      <c r="X933"/>
      <c r="AB933" s="1"/>
    </row>
    <row r="934" spans="1:28" x14ac:dyDescent="0.3">
      <c r="A934" s="1">
        <f>ROW(CantoralDB[[#This Row],[Título]])-1</f>
        <v>933</v>
      </c>
      <c r="B934" s="1" t="s">
        <v>1569</v>
      </c>
      <c r="C934" s="1"/>
      <c r="H934" s="1" t="s">
        <v>530</v>
      </c>
      <c r="J934" s="1" t="s">
        <v>607</v>
      </c>
      <c r="M934" s="15" t="s">
        <v>483</v>
      </c>
      <c r="N934" s="1" t="s">
        <v>1503</v>
      </c>
      <c r="O934" s="15">
        <v>7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934" s="1"/>
      <c r="T934" s="1"/>
      <c r="U934" s="32" t="s">
        <v>3844</v>
      </c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934" s="15" t="str">
        <f>_xlfn.TEXTBEFORE(_xlfn.TEXTAFTER(CantoralDB[[#This Row],[index.html]],"&gt;"),"&gt;")&amp;"&gt;"</f>
        <v>&lt;a href="canciones/kairoi/gracias_por_tu_don.html"&gt;</v>
      </c>
      <c r="X934"/>
      <c r="AB934" s="1"/>
    </row>
    <row r="935" spans="1:28" x14ac:dyDescent="0.3">
      <c r="A935" s="1">
        <f>ROW(CantoralDB[[#This Row],[Título]])-1</f>
        <v>934</v>
      </c>
      <c r="B935" s="1" t="s">
        <v>1742</v>
      </c>
      <c r="C935" s="1"/>
      <c r="J935" s="1"/>
      <c r="M935" s="15" t="s">
        <v>483</v>
      </c>
      <c r="N935" s="1" t="s">
        <v>1503</v>
      </c>
      <c r="O935" s="15">
        <v>9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935" s="1"/>
      <c r="T935" s="1"/>
      <c r="U935" s="32" t="s">
        <v>3845</v>
      </c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935" s="15" t="str">
        <f>_xlfn.TEXTBEFORE(_xlfn.TEXTAFTER(CantoralDB[[#This Row],[index.html]],"&gt;"),"&gt;")&amp;"&gt;"</f>
        <v>&lt;a href="canciones/kairoi/somos.html"&gt;</v>
      </c>
      <c r="X935"/>
      <c r="AB935" s="1"/>
    </row>
    <row r="936" spans="1:28" x14ac:dyDescent="0.3">
      <c r="A936" s="1">
        <f>ROW(CantoralDB[[#This Row],[Título]])-1</f>
        <v>935</v>
      </c>
      <c r="B936" s="1" t="s">
        <v>1592</v>
      </c>
      <c r="C936" s="1"/>
      <c r="J936" s="1"/>
      <c r="M936" s="15" t="s">
        <v>483</v>
      </c>
      <c r="N936" s="1" t="s">
        <v>1484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936" s="1"/>
      <c r="T936" s="1"/>
      <c r="U936" s="32" t="s">
        <v>3846</v>
      </c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936" s="15" t="str">
        <f>_xlfn.TEXTBEFORE(_xlfn.TEXTAFTER(CantoralDB[[#This Row],[index.html]],"&gt;"),"&gt;")&amp;"&gt;"</f>
        <v>&lt;a href="canciones/kairoi/un_himno_surgira.html"&gt;</v>
      </c>
      <c r="X936"/>
      <c r="AB936" s="1"/>
    </row>
    <row r="937" spans="1:28" x14ac:dyDescent="0.3">
      <c r="A937" s="1">
        <f>ROW(CantoralDB[[#This Row],[Título]])-1</f>
        <v>936</v>
      </c>
      <c r="B937" s="1" t="s">
        <v>1593</v>
      </c>
      <c r="C937" s="1"/>
      <c r="J937" s="1"/>
      <c r="M937" s="15" t="s">
        <v>483</v>
      </c>
      <c r="N937" s="1" t="s">
        <v>1484</v>
      </c>
      <c r="O937" s="15">
        <v>3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937" s="1"/>
      <c r="T937" s="1"/>
      <c r="U937" s="32" t="s">
        <v>3847</v>
      </c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937" s="15" t="str">
        <f>_xlfn.TEXTBEFORE(_xlfn.TEXTAFTER(CantoralDB[[#This Row],[index.html]],"&gt;"),"&gt;")&amp;"&gt;"</f>
        <v>&lt;a href="canciones/kairoi/hermitage_casa_del_señor.html"&gt;</v>
      </c>
      <c r="X937"/>
      <c r="AB937" s="1"/>
    </row>
    <row r="938" spans="1:28" x14ac:dyDescent="0.3">
      <c r="A938" s="1">
        <f>ROW(CantoralDB[[#This Row],[Título]])-1</f>
        <v>937</v>
      </c>
      <c r="B938" s="1" t="s">
        <v>1594</v>
      </c>
      <c r="C938" s="1"/>
      <c r="J938" s="1"/>
      <c r="M938" s="15" t="s">
        <v>483</v>
      </c>
      <c r="N938" s="1" t="s">
        <v>1484</v>
      </c>
      <c r="O938" s="15">
        <v>5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938" s="1"/>
      <c r="T938" s="1"/>
      <c r="U938" s="32" t="s">
        <v>3848</v>
      </c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938" s="15" t="str">
        <f>_xlfn.TEXTBEFORE(_xlfn.TEXTAFTER(CantoralDB[[#This Row],[index.html]],"&gt;"),"&gt;")&amp;"&gt;"</f>
        <v>&lt;a href="canciones/kairoi/donde_haya_un_niño.html"&gt;</v>
      </c>
      <c r="X938"/>
      <c r="AB938" s="1"/>
    </row>
    <row r="939" spans="1:28" x14ac:dyDescent="0.3">
      <c r="A939" s="1">
        <f>ROW(CantoralDB[[#This Row],[Título]])-1</f>
        <v>938</v>
      </c>
      <c r="B939" s="1" t="s">
        <v>1595</v>
      </c>
      <c r="C939" s="1"/>
      <c r="J939" s="1"/>
      <c r="M939" s="15" t="s">
        <v>483</v>
      </c>
      <c r="N939" s="1" t="s">
        <v>1484</v>
      </c>
      <c r="O939" s="15">
        <v>6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939" s="1"/>
      <c r="T939" s="1"/>
      <c r="U939" s="32" t="s">
        <v>3849</v>
      </c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939" s="15" t="str">
        <f>_xlfn.TEXTBEFORE(_xlfn.TEXTAFTER(CantoralDB[[#This Row],[index.html]],"&gt;"),"&gt;")&amp;"&gt;"</f>
        <v>&lt;a href="canciones/kairoi/pienso_en_usted.html"&gt;</v>
      </c>
      <c r="X939"/>
      <c r="AB939" s="1"/>
    </row>
    <row r="940" spans="1:28" x14ac:dyDescent="0.3">
      <c r="A940" s="1">
        <f>ROW(CantoralDB[[#This Row],[Título]])-1</f>
        <v>939</v>
      </c>
      <c r="B940" s="1" t="s">
        <v>1597</v>
      </c>
      <c r="C940" s="1"/>
      <c r="J940" s="1"/>
      <c r="M940" s="15" t="s">
        <v>483</v>
      </c>
      <c r="N940" s="1" t="s">
        <v>1484</v>
      </c>
      <c r="O940" s="15">
        <v>8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940" s="1"/>
      <c r="T940" s="1"/>
      <c r="U940" s="32" t="s">
        <v>3850</v>
      </c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940" s="15" t="str">
        <f>_xlfn.TEXTBEFORE(_xlfn.TEXTAFTER(CantoralDB[[#This Row],[index.html]],"&gt;"),"&gt;")&amp;"&gt;"</f>
        <v>&lt;a href="canciones/kairoi/confiad_recurrid.html"&gt;</v>
      </c>
      <c r="X940"/>
      <c r="AB940" s="1"/>
    </row>
    <row r="941" spans="1:28" x14ac:dyDescent="0.3">
      <c r="A941" s="1">
        <f>ROW(CantoralDB[[#This Row],[Título]])-1</f>
        <v>940</v>
      </c>
      <c r="B941" s="1" t="s">
        <v>1598</v>
      </c>
      <c r="C941" s="1"/>
      <c r="J941" s="1"/>
      <c r="M941" s="15" t="s">
        <v>483</v>
      </c>
      <c r="N941" s="1" t="s">
        <v>1484</v>
      </c>
      <c r="O941" s="15">
        <v>9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941" s="1"/>
      <c r="T941" s="1"/>
      <c r="U941" s="32" t="s">
        <v>3851</v>
      </c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941" s="15" t="str">
        <f>_xlfn.TEXTBEFORE(_xlfn.TEXTAFTER(CantoralDB[[#This Row],[index.html]],"&gt;"),"&gt;")&amp;"&gt;"</f>
        <v>&lt;a href="canciones/kairoi/hermanitos_de_maria.html"&gt;</v>
      </c>
      <c r="X941"/>
      <c r="AB941" s="1"/>
    </row>
    <row r="942" spans="1:28" x14ac:dyDescent="0.3">
      <c r="A942" s="1">
        <f>ROW(CantoralDB[[#This Row],[Título]])-1</f>
        <v>941</v>
      </c>
      <c r="B942" s="1" t="s">
        <v>1549</v>
      </c>
      <c r="C942" s="1"/>
      <c r="H942" s="1" t="s">
        <v>530</v>
      </c>
      <c r="J942" s="1" t="s">
        <v>607</v>
      </c>
      <c r="M942" s="15" t="s">
        <v>483</v>
      </c>
      <c r="N942" s="1" t="s">
        <v>1484</v>
      </c>
      <c r="O942" s="15">
        <v>10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942" s="1"/>
      <c r="T942" s="1"/>
      <c r="U942" s="32" t="s">
        <v>3852</v>
      </c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942" s="15" t="str">
        <f>_xlfn.TEXTBEFORE(_xlfn.TEXTAFTER(CantoralDB[[#This Row],[index.html]],"&gt;"),"&gt;")&amp;"&gt;"</f>
        <v>&lt;a href="canciones/kairoi/corto_la_roca.html"&gt;</v>
      </c>
      <c r="X942"/>
      <c r="AB942" s="1"/>
    </row>
    <row r="943" spans="1:28" x14ac:dyDescent="0.3">
      <c r="A943" s="1">
        <f>ROW(CantoralDB[[#This Row],[Título]])-1</f>
        <v>942</v>
      </c>
      <c r="B943" s="1" t="s">
        <v>1599</v>
      </c>
      <c r="C943" s="1"/>
      <c r="J943" s="1"/>
      <c r="M943" s="15" t="s">
        <v>483</v>
      </c>
      <c r="N943" s="1" t="s">
        <v>1484</v>
      </c>
      <c r="O943" s="15">
        <v>11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943" s="1"/>
      <c r="T943" s="1"/>
      <c r="U943" s="32" t="s">
        <v>3853</v>
      </c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943" s="15" t="str">
        <f>_xlfn.TEXTBEFORE(_xlfn.TEXTAFTER(CantoralDB[[#This Row],[index.html]],"&gt;"),"&gt;")&amp;"&gt;"</f>
        <v>&lt;a href="canciones/kairoi/testamento_espiritual.html"&gt;</v>
      </c>
      <c r="X943"/>
      <c r="AB943" s="1"/>
    </row>
    <row r="944" spans="1:28" x14ac:dyDescent="0.3">
      <c r="A944" s="1">
        <f>ROW(CantoralDB[[#This Row],[Título]])-1</f>
        <v>943</v>
      </c>
      <c r="B944" s="1" t="s">
        <v>1600</v>
      </c>
      <c r="C944" s="1"/>
      <c r="J944" s="1"/>
      <c r="M944" s="15" t="s">
        <v>483</v>
      </c>
      <c r="N944" s="1" t="s">
        <v>1484</v>
      </c>
      <c r="O944" s="15">
        <v>12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944" s="1"/>
      <c r="T944" s="1"/>
      <c r="U944" s="32" t="s">
        <v>3854</v>
      </c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944" s="15" t="str">
        <f>_xlfn.TEXTBEFORE(_xlfn.TEXTAFTER(CantoralDB[[#This Row],[index.html]],"&gt;"),"&gt;")&amp;"&gt;"</f>
        <v>&lt;a href="canciones/kairoi/nuestras_voces_cantan.html"&gt;</v>
      </c>
      <c r="X944"/>
      <c r="AB944" s="1"/>
    </row>
    <row r="945" spans="1:28" x14ac:dyDescent="0.3">
      <c r="A945" s="1">
        <f>ROW(CantoralDB[[#This Row],[Título]])-1</f>
        <v>944</v>
      </c>
      <c r="B945" s="1" t="s">
        <v>2876</v>
      </c>
      <c r="C945" s="1"/>
      <c r="H945" s="1" t="s">
        <v>530</v>
      </c>
      <c r="J945" s="1" t="s">
        <v>607</v>
      </c>
      <c r="M945" s="15" t="s">
        <v>483</v>
      </c>
      <c r="N945" s="1" t="s">
        <v>92</v>
      </c>
      <c r="O945" s="15">
        <v>1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945" s="1"/>
      <c r="T945" s="1"/>
      <c r="U945" s="32" t="s">
        <v>3855</v>
      </c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945" s="15" t="str">
        <f>_xlfn.TEXTBEFORE(_xlfn.TEXTAFTER(CantoralDB[[#This Row],[index.html]],"&gt;"),"&gt;")&amp;"&gt;"</f>
        <v>&lt;a href="canciones/kairoi/ave_maria_i.html"&gt;</v>
      </c>
      <c r="X945"/>
      <c r="AB945" s="1"/>
    </row>
    <row r="946" spans="1:28" x14ac:dyDescent="0.3">
      <c r="A946" s="1">
        <f>ROW(CantoralDB[[#This Row],[Título]])-1</f>
        <v>945</v>
      </c>
      <c r="B946" s="1" t="s">
        <v>1541</v>
      </c>
      <c r="C946" s="1"/>
      <c r="H946" s="1" t="s">
        <v>1027</v>
      </c>
      <c r="J946" s="1" t="s">
        <v>607</v>
      </c>
      <c r="M946" s="15" t="s">
        <v>483</v>
      </c>
      <c r="N946" s="1" t="s">
        <v>92</v>
      </c>
      <c r="O946" s="15">
        <v>2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946" s="1"/>
      <c r="T946" s="1"/>
      <c r="U946" s="32" t="s">
        <v>3856</v>
      </c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946" s="15" t="str">
        <f>_xlfn.TEXTBEFORE(_xlfn.TEXTAFTER(CantoralDB[[#This Row],[index.html]],"&gt;"),"&gt;")&amp;"&gt;"</f>
        <v>&lt;a href="canciones/kairoi/tu_estas_cerca.html"&gt;</v>
      </c>
      <c r="X946"/>
      <c r="AB946" s="1"/>
    </row>
    <row r="947" spans="1:28" x14ac:dyDescent="0.3">
      <c r="A947" s="1">
        <f>ROW(CantoralDB[[#This Row],[Título]])-1</f>
        <v>946</v>
      </c>
      <c r="B947" s="1" t="s">
        <v>1542</v>
      </c>
      <c r="C947" s="1"/>
      <c r="H947" s="1" t="s">
        <v>530</v>
      </c>
      <c r="J947" s="1" t="s">
        <v>607</v>
      </c>
      <c r="M947" s="15" t="s">
        <v>483</v>
      </c>
      <c r="N947" s="1" t="s">
        <v>92</v>
      </c>
      <c r="O947" s="15">
        <v>3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947" s="1"/>
      <c r="T947" s="1"/>
      <c r="U947" s="32" t="s">
        <v>3857</v>
      </c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947" s="15" t="str">
        <f>_xlfn.TEXTBEFORE(_xlfn.TEXTAFTER(CantoralDB[[#This Row],[index.html]],"&gt;"),"&gt;")&amp;"&gt;"</f>
        <v>&lt;a href="canciones/kairoi/madre_de_los_hijos_pobres.html"&gt;</v>
      </c>
      <c r="X947"/>
      <c r="AB947" s="1"/>
    </row>
    <row r="948" spans="1:28" x14ac:dyDescent="0.3">
      <c r="A948" s="1">
        <f>ROW(CantoralDB[[#This Row],[Título]])-1</f>
        <v>947</v>
      </c>
      <c r="B948" s="1" t="s">
        <v>1543</v>
      </c>
      <c r="C948" s="1"/>
      <c r="H948" s="1" t="s">
        <v>1028</v>
      </c>
      <c r="J948" s="1" t="s">
        <v>607</v>
      </c>
      <c r="M948" s="15" t="s">
        <v>483</v>
      </c>
      <c r="N948" s="1" t="s">
        <v>92</v>
      </c>
      <c r="O948" s="15">
        <v>4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948" s="1"/>
      <c r="T948" s="1"/>
      <c r="U948" s="32" t="s">
        <v>3858</v>
      </c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948" s="15" t="str">
        <f>_xlfn.TEXTBEFORE(_xlfn.TEXTAFTER(CantoralDB[[#This Row],[index.html]],"&gt;"),"&gt;")&amp;"&gt;"</f>
        <v>&lt;a href="canciones/kairoi/magnificat.html"&gt;</v>
      </c>
      <c r="X948"/>
      <c r="AB948" s="1"/>
    </row>
    <row r="949" spans="1:28" x14ac:dyDescent="0.3">
      <c r="A949" s="1">
        <f>ROW(CantoralDB[[#This Row],[Título]])-1</f>
        <v>948</v>
      </c>
      <c r="B949" s="1" t="s">
        <v>1544</v>
      </c>
      <c r="C949" s="1"/>
      <c r="H949" s="1" t="s">
        <v>1029</v>
      </c>
      <c r="J949" s="1" t="s">
        <v>607</v>
      </c>
      <c r="M949" s="15" t="s">
        <v>483</v>
      </c>
      <c r="N949" s="1" t="s">
        <v>92</v>
      </c>
      <c r="O949" s="15">
        <v>5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949" s="1"/>
      <c r="T949" s="1"/>
      <c r="U949" s="32" t="s">
        <v>3859</v>
      </c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949" s="15" t="str">
        <f>_xlfn.TEXTBEFORE(_xlfn.TEXTAFTER(CantoralDB[[#This Row],[index.html]],"&gt;"),"&gt;")&amp;"&gt;"</f>
        <v>&lt;a href="canciones/kairoi/angelus.html"&gt;</v>
      </c>
      <c r="X949"/>
      <c r="AB949" s="1"/>
    </row>
    <row r="950" spans="1:28" x14ac:dyDescent="0.3">
      <c r="A950" s="1">
        <f>ROW(CantoralDB[[#This Row],[Título]])-1</f>
        <v>949</v>
      </c>
      <c r="B950" s="1" t="s">
        <v>2884</v>
      </c>
      <c r="C950" s="1"/>
      <c r="H950" s="1" t="s">
        <v>1026</v>
      </c>
      <c r="J950" s="1" t="s">
        <v>607</v>
      </c>
      <c r="M950" s="15" t="s">
        <v>483</v>
      </c>
      <c r="N950" s="1" t="s">
        <v>92</v>
      </c>
      <c r="O950" s="15">
        <v>6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950" s="1"/>
      <c r="T950" s="1"/>
      <c r="U950" s="32" t="s">
        <v>3860</v>
      </c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950" s="15" t="str">
        <f>_xlfn.TEXTBEFORE(_xlfn.TEXTAFTER(CantoralDB[[#This Row],[index.html]],"&gt;"),"&gt;")&amp;"&gt;"</f>
        <v>&lt;a href="canciones/kairoi/gracias_madre.html"&gt;</v>
      </c>
      <c r="X950"/>
      <c r="AB950" s="1"/>
    </row>
    <row r="951" spans="1:28" x14ac:dyDescent="0.3">
      <c r="A951" s="1">
        <f>ROW(CantoralDB[[#This Row],[Título]])-1</f>
        <v>950</v>
      </c>
      <c r="B951" s="1" t="s">
        <v>92</v>
      </c>
      <c r="C951" s="1" t="s">
        <v>199</v>
      </c>
      <c r="D951" s="1" t="s">
        <v>1048</v>
      </c>
      <c r="E951" s="1">
        <v>436</v>
      </c>
      <c r="F951" s="1">
        <v>31</v>
      </c>
      <c r="G951" s="1" t="s">
        <v>208</v>
      </c>
      <c r="H951" s="1" t="s">
        <v>530</v>
      </c>
      <c r="I951" s="1" t="s">
        <v>2953</v>
      </c>
      <c r="J951" s="1" t="s">
        <v>607</v>
      </c>
      <c r="M951" s="15" t="s">
        <v>483</v>
      </c>
      <c r="N951" s="1" t="s">
        <v>92</v>
      </c>
      <c r="O951" s="15">
        <v>7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951" s="1"/>
      <c r="T951" s="1"/>
      <c r="U951" s="32" t="s">
        <v>3861</v>
      </c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951" s="15" t="str">
        <f>_xlfn.TEXTBEFORE(_xlfn.TEXTAFTER(CantoralDB[[#This Row],[index.html]],"&gt;"),"&gt;")&amp;"&gt;"</f>
        <v>&lt;a href="canciones/kairoi/maria_musica_de_dios.html"&gt;</v>
      </c>
      <c r="X951"/>
      <c r="AB951" s="1"/>
    </row>
    <row r="952" spans="1:28" x14ac:dyDescent="0.3">
      <c r="A952" s="1">
        <f>ROW(CantoralDB[[#This Row],[Título]])-1</f>
        <v>951</v>
      </c>
      <c r="B952" s="1" t="s">
        <v>1545</v>
      </c>
      <c r="C952" s="1"/>
      <c r="H952" s="1" t="s">
        <v>530</v>
      </c>
      <c r="J952" s="1" t="s">
        <v>607</v>
      </c>
      <c r="M952" s="15" t="s">
        <v>483</v>
      </c>
      <c r="N952" s="1" t="s">
        <v>92</v>
      </c>
      <c r="O952" s="15">
        <v>9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952" s="1"/>
      <c r="T952" s="1"/>
      <c r="U952" s="32" t="s">
        <v>3862</v>
      </c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952" s="15" t="str">
        <f>_xlfn.TEXTBEFORE(_xlfn.TEXTAFTER(CantoralDB[[#This Row],[index.html]],"&gt;"),"&gt;")&amp;"&gt;"</f>
        <v>&lt;a href="canciones/kairoi/arcilla_entre_sus_manos.html"&gt;</v>
      </c>
      <c r="X952"/>
      <c r="AB952" s="1"/>
    </row>
    <row r="953" spans="1:28" x14ac:dyDescent="0.3">
      <c r="A953" s="1">
        <f>ROW(CantoralDB[[#This Row],[Título]])-1</f>
        <v>952</v>
      </c>
      <c r="B953" s="1" t="s">
        <v>1546</v>
      </c>
      <c r="C953" s="1"/>
      <c r="H953" s="1" t="s">
        <v>1027</v>
      </c>
      <c r="J953" s="1" t="s">
        <v>607</v>
      </c>
      <c r="M953" s="15" t="s">
        <v>483</v>
      </c>
      <c r="N953" s="1" t="s">
        <v>92</v>
      </c>
      <c r="O953" s="15">
        <v>10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953" s="1"/>
      <c r="T953" s="1"/>
      <c r="U953" s="32" t="s">
        <v>3863</v>
      </c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953" s="15" t="str">
        <f>_xlfn.TEXTBEFORE(_xlfn.TEXTAFTER(CantoralDB[[#This Row],[index.html]],"&gt;"),"&gt;")&amp;"&gt;"</f>
        <v>&lt;a href="canciones/kairoi/tu_eres_del_señor.html"&gt;</v>
      </c>
      <c r="X953"/>
      <c r="AB953" s="1"/>
    </row>
    <row r="954" spans="1:28" x14ac:dyDescent="0.3">
      <c r="A954" s="1">
        <f>ROW(CantoralDB[[#This Row],[Título]])-1</f>
        <v>953</v>
      </c>
      <c r="B954" s="1" t="s">
        <v>2147</v>
      </c>
      <c r="C954" s="1" t="s">
        <v>199</v>
      </c>
      <c r="D954" s="1" t="s">
        <v>1432</v>
      </c>
      <c r="G954" s="1" t="s">
        <v>215</v>
      </c>
      <c r="H954" s="1" t="s">
        <v>1026</v>
      </c>
      <c r="J954" s="1" t="s">
        <v>607</v>
      </c>
      <c r="M954" s="15" t="s">
        <v>483</v>
      </c>
      <c r="N954" s="1" t="s">
        <v>92</v>
      </c>
      <c r="O954" s="15">
        <v>11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954" s="1"/>
      <c r="T954" s="1"/>
      <c r="U954" s="32" t="s">
        <v>3864</v>
      </c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954" s="15" t="str">
        <f>_xlfn.TEXTBEFORE(_xlfn.TEXTAFTER(CantoralDB[[#This Row],[index.html]],"&gt;"),"&gt;")&amp;"&gt;"</f>
        <v>&lt;a href="canciones/kairoi/junto_a_ti_maria.html"&gt;</v>
      </c>
      <c r="X954"/>
      <c r="AB954" s="1"/>
    </row>
    <row r="955" spans="1:28" x14ac:dyDescent="0.3">
      <c r="A955" s="1">
        <f>ROW(CantoralDB[[#This Row],[Título]])-1</f>
        <v>954</v>
      </c>
      <c r="B955" s="1" t="s">
        <v>1547</v>
      </c>
      <c r="C955" s="1"/>
      <c r="H955" s="1" t="s">
        <v>472</v>
      </c>
      <c r="J955" s="1" t="s">
        <v>607</v>
      </c>
      <c r="M955" s="15" t="s">
        <v>483</v>
      </c>
      <c r="N955" s="1" t="s">
        <v>92</v>
      </c>
      <c r="O955" s="15">
        <v>12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955" s="1"/>
      <c r="T955" s="1"/>
      <c r="U955" s="32" t="s">
        <v>3865</v>
      </c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955" s="15" t="str">
        <f>_xlfn.TEXTBEFORE(_xlfn.TEXTAFTER(CantoralDB[[#This Row],[index.html]],"&gt;"),"&gt;")&amp;"&gt;"</f>
        <v>&lt;a href="canciones/kairoi/tu_eres_maria.html"&gt;</v>
      </c>
      <c r="X955"/>
      <c r="AB955" s="1"/>
    </row>
    <row r="956" spans="1:28" x14ac:dyDescent="0.3">
      <c r="A956" s="1">
        <f>ROW(CantoralDB[[#This Row],[Título]])-1</f>
        <v>955</v>
      </c>
      <c r="B956" s="1" t="s">
        <v>1911</v>
      </c>
      <c r="C956" s="1"/>
      <c r="H956" s="1" t="s">
        <v>1026</v>
      </c>
      <c r="J956" s="1" t="s">
        <v>607</v>
      </c>
      <c r="M956" s="15" t="s">
        <v>483</v>
      </c>
      <c r="N956" s="1" t="s">
        <v>1535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956" s="1"/>
      <c r="T956" s="1"/>
      <c r="U956" s="32" t="s">
        <v>3866</v>
      </c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956" s="15" t="str">
        <f>_xlfn.TEXTBEFORE(_xlfn.TEXTAFTER(CantoralDB[[#This Row],[index.html]],"&gt;"),"&gt;")&amp;"&gt;"</f>
        <v>&lt;a href="canciones/kairoi/pregon_pascual_(aleluya).html"&gt;</v>
      </c>
      <c r="X956"/>
      <c r="AB956" s="1"/>
    </row>
    <row r="957" spans="1:28" x14ac:dyDescent="0.3">
      <c r="A957" s="1">
        <f>ROW(CantoralDB[[#This Row],[Título]])-1</f>
        <v>956</v>
      </c>
      <c r="B957" s="1" t="s">
        <v>1651</v>
      </c>
      <c r="C957" s="1"/>
      <c r="J957" s="1"/>
      <c r="M957" s="15" t="s">
        <v>483</v>
      </c>
      <c r="N957" s="1" t="s">
        <v>1535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957" s="1"/>
      <c r="T957" s="1"/>
      <c r="U957" s="32" t="s">
        <v>3867</v>
      </c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957" s="15" t="str">
        <f>_xlfn.TEXTBEFORE(_xlfn.TEXTAFTER(CantoralDB[[#This Row],[index.html]],"&gt;"),"&gt;")&amp;"&gt;"</f>
        <v>&lt;a href="canciones/kairoi/latinoamerica.html"&gt;</v>
      </c>
      <c r="X957"/>
      <c r="AB957" s="1"/>
    </row>
    <row r="958" spans="1:28" x14ac:dyDescent="0.3">
      <c r="A958" s="1">
        <f>ROW(CantoralDB[[#This Row],[Título]])-1</f>
        <v>957</v>
      </c>
      <c r="B958" s="1" t="s">
        <v>1652</v>
      </c>
      <c r="C958" s="1"/>
      <c r="J958" s="1"/>
      <c r="M958" s="15" t="s">
        <v>483</v>
      </c>
      <c r="N958" s="1" t="s">
        <v>1535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958" s="1"/>
      <c r="T958" s="1"/>
      <c r="U958" s="32" t="s">
        <v>3868</v>
      </c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958" s="15" t="str">
        <f>_xlfn.TEXTBEFORE(_xlfn.TEXTAFTER(CantoralDB[[#This Row],[index.html]],"&gt;"),"&gt;")&amp;"&gt;"</f>
        <v>&lt;a href="canciones/kairoi/indigena.html"&gt;</v>
      </c>
      <c r="X958"/>
      <c r="AB958" s="1"/>
    </row>
    <row r="959" spans="1:28" x14ac:dyDescent="0.3">
      <c r="A959" s="1">
        <f>ROW(CantoralDB[[#This Row],[Título]])-1</f>
        <v>958</v>
      </c>
      <c r="B959" s="1" t="s">
        <v>1653</v>
      </c>
      <c r="C959" s="1"/>
      <c r="J959" s="1"/>
      <c r="M959" s="15" t="s">
        <v>483</v>
      </c>
      <c r="N959" s="1" t="s">
        <v>1535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959" s="1"/>
      <c r="T959" s="1"/>
      <c r="U959" s="32" t="s">
        <v>3869</v>
      </c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959" s="15" t="str">
        <f>_xlfn.TEXTBEFORE(_xlfn.TEXTAFTER(CantoralDB[[#This Row],[index.html]],"&gt;"),"&gt;")&amp;"&gt;"</f>
        <v>&lt;a href="canciones/kairoi/nos_precederan.html"&gt;</v>
      </c>
      <c r="X959"/>
      <c r="AB959" s="1"/>
    </row>
    <row r="960" spans="1:28" x14ac:dyDescent="0.3">
      <c r="A960" s="1">
        <f>ROW(CantoralDB[[#This Row],[Título]])-1</f>
        <v>959</v>
      </c>
      <c r="B960" s="1" t="s">
        <v>1654</v>
      </c>
      <c r="C960" s="1"/>
      <c r="J960" s="1"/>
      <c r="M960" s="15" t="s">
        <v>483</v>
      </c>
      <c r="N960" s="1" t="s">
        <v>1535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960" s="1"/>
      <c r="T960" s="1"/>
      <c r="U960" s="32" t="s">
        <v>3870</v>
      </c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960" s="15" t="str">
        <f>_xlfn.TEXTBEFORE(_xlfn.TEXTAFTER(CantoralDB[[#This Row],[index.html]],"&gt;"),"&gt;")&amp;"&gt;"</f>
        <v>&lt;a href="canciones/kairoi/un_kirie_mas.html"&gt;</v>
      </c>
      <c r="X960"/>
      <c r="AB960" s="1"/>
    </row>
    <row r="961" spans="1:28" x14ac:dyDescent="0.3">
      <c r="A961" s="1">
        <f>ROW(CantoralDB[[#This Row],[Título]])-1</f>
        <v>960</v>
      </c>
      <c r="B961" s="1" t="s">
        <v>1655</v>
      </c>
      <c r="C961" s="1"/>
      <c r="J961" s="1"/>
      <c r="M961" s="15" t="s">
        <v>483</v>
      </c>
      <c r="N961" s="1" t="s">
        <v>1535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961" s="1"/>
      <c r="T961" s="1"/>
      <c r="U961" s="32" t="s">
        <v>3871</v>
      </c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961" s="15" t="str">
        <f>_xlfn.TEXTBEFORE(_xlfn.TEXTAFTER(CantoralDB[[#This Row],[index.html]],"&gt;"),"&gt;")&amp;"&gt;"</f>
        <v>&lt;a href="canciones/kairoi/la_mula.html"&gt;</v>
      </c>
      <c r="X961"/>
      <c r="AB961" s="1"/>
    </row>
    <row r="962" spans="1:28" x14ac:dyDescent="0.3">
      <c r="A962" s="1">
        <f>ROW(CantoralDB[[#This Row],[Título]])-1</f>
        <v>961</v>
      </c>
      <c r="B962" s="1" t="s">
        <v>1535</v>
      </c>
      <c r="C962" s="1"/>
      <c r="J962" s="1"/>
      <c r="M962" s="15" t="s">
        <v>483</v>
      </c>
      <c r="N962" s="1" t="s">
        <v>1535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962" s="1"/>
      <c r="T962" s="1"/>
      <c r="U962" s="32" t="s">
        <v>3872</v>
      </c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962" s="15" t="str">
        <f>_xlfn.TEXTBEFORE(_xlfn.TEXTAFTER(CantoralDB[[#This Row],[index.html]],"&gt;"),"&gt;")&amp;"&gt;"</f>
        <v>&lt;a href="canciones/kairoi/mas_cerca_del_sol.html"&gt;</v>
      </c>
      <c r="X962"/>
      <c r="AB962" s="1"/>
    </row>
    <row r="963" spans="1:28" x14ac:dyDescent="0.3">
      <c r="A963" s="1">
        <f>ROW(CantoralDB[[#This Row],[Título]])-1</f>
        <v>962</v>
      </c>
      <c r="B963" s="1" t="s">
        <v>1656</v>
      </c>
      <c r="C963" s="1"/>
      <c r="J963" s="1"/>
      <c r="M963" s="15" t="s">
        <v>483</v>
      </c>
      <c r="N963" s="1" t="s">
        <v>1535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963" s="1"/>
      <c r="T963" s="1"/>
      <c r="U963" s="32" t="s">
        <v>3873</v>
      </c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963" s="15" t="str">
        <f>_xlfn.TEXTBEFORE(_xlfn.TEXTAFTER(CantoralDB[[#This Row],[index.html]],"&gt;"),"&gt;")&amp;"&gt;"</f>
        <v>&lt;a href="canciones/kairoi/el_brujo_mugandino.html"&gt;</v>
      </c>
      <c r="X963"/>
      <c r="AB963" s="1"/>
    </row>
    <row r="964" spans="1:28" x14ac:dyDescent="0.3">
      <c r="A964" s="1">
        <f>ROW(CantoralDB[[#This Row],[Título]])-1</f>
        <v>963</v>
      </c>
      <c r="B964" s="1" t="s">
        <v>1657</v>
      </c>
      <c r="C964" s="1"/>
      <c r="J964" s="1"/>
      <c r="M964" s="15" t="s">
        <v>483</v>
      </c>
      <c r="N964" s="1" t="s">
        <v>1535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964" s="1"/>
      <c r="T964" s="1"/>
      <c r="U964" s="32" t="s">
        <v>3874</v>
      </c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964" s="15" t="str">
        <f>_xlfn.TEXTBEFORE(_xlfn.TEXTAFTER(CantoralDB[[#This Row],[index.html]],"&gt;"),"&gt;")&amp;"&gt;"</f>
        <v>&lt;a href="canciones/kairoi/que_no_nos_den_el_pan_bañado_en_sangre.html"&gt;</v>
      </c>
      <c r="X964"/>
      <c r="AB964" s="1"/>
    </row>
    <row r="965" spans="1:28" x14ac:dyDescent="0.3">
      <c r="A965" s="1">
        <f>ROW(CantoralDB[[#This Row],[Título]])-1</f>
        <v>964</v>
      </c>
      <c r="B965" s="1" t="s">
        <v>1658</v>
      </c>
      <c r="C965" s="1"/>
      <c r="J965" s="1"/>
      <c r="M965" s="15" t="s">
        <v>483</v>
      </c>
      <c r="N965" s="1" t="s">
        <v>1535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965" s="1"/>
      <c r="T965" s="1"/>
      <c r="U965" s="32" t="s">
        <v>3875</v>
      </c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965" s="15" t="str">
        <f>_xlfn.TEXTBEFORE(_xlfn.TEXTAFTER(CantoralDB[[#This Row],[index.html]],"&gt;"),"&gt;")&amp;"&gt;"</f>
        <v>&lt;a href="canciones/kairoi/salve_compañera_nuestra.html"&gt;</v>
      </c>
      <c r="X965"/>
      <c r="AB965" s="1"/>
    </row>
    <row r="966" spans="1:28" x14ac:dyDescent="0.3">
      <c r="A966" s="1">
        <f>ROW(CantoralDB[[#This Row],[Título]])-1</f>
        <v>965</v>
      </c>
      <c r="B966" s="1" t="s">
        <v>1659</v>
      </c>
      <c r="C966" s="1"/>
      <c r="J966" s="1"/>
      <c r="M966" s="15" t="s">
        <v>483</v>
      </c>
      <c r="N966" s="1" t="s">
        <v>1535</v>
      </c>
      <c r="O966" s="15">
        <v>11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966" s="1"/>
      <c r="T966" s="1"/>
      <c r="U966" s="32" t="s">
        <v>3876</v>
      </c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966" s="15" t="str">
        <f>_xlfn.TEXTBEFORE(_xlfn.TEXTAFTER(CantoralDB[[#This Row],[index.html]],"&gt;"),"&gt;")&amp;"&gt;"</f>
        <v>&lt;a href="canciones/kairoi/el_bar_del_bosnio.html"&gt;</v>
      </c>
      <c r="X966"/>
      <c r="AB966" s="1"/>
    </row>
    <row r="967" spans="1:28" x14ac:dyDescent="0.3">
      <c r="A967" s="1">
        <f>ROW(CantoralDB[[#This Row],[Título]])-1</f>
        <v>966</v>
      </c>
      <c r="B967" s="1" t="s">
        <v>1660</v>
      </c>
      <c r="C967" s="1"/>
      <c r="J967" s="1"/>
      <c r="M967" s="15" t="s">
        <v>483</v>
      </c>
      <c r="N967" s="1" t="s">
        <v>1535</v>
      </c>
      <c r="O967" s="15">
        <v>12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967" s="1"/>
      <c r="T967" s="1"/>
      <c r="U967" s="32" t="s">
        <v>3877</v>
      </c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967" s="15" t="str">
        <f>_xlfn.TEXTBEFORE(_xlfn.TEXTAFTER(CantoralDB[[#This Row],[index.html]],"&gt;"),"&gt;")&amp;"&gt;"</f>
        <v>&lt;a href="canciones/kairoi/mi_mamita_buena.html"&gt;</v>
      </c>
      <c r="X967"/>
      <c r="AB967" s="1"/>
    </row>
    <row r="968" spans="1:28" x14ac:dyDescent="0.3">
      <c r="A968" s="1">
        <f>ROW(CantoralDB[[#This Row],[Título]])-1</f>
        <v>967</v>
      </c>
      <c r="B968" s="1" t="s">
        <v>1661</v>
      </c>
      <c r="C968" s="1"/>
      <c r="J968" s="1"/>
      <c r="M968" s="15" t="s">
        <v>483</v>
      </c>
      <c r="N968" s="1" t="s">
        <v>1535</v>
      </c>
      <c r="O968" s="15">
        <v>13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968" s="1"/>
      <c r="T968" s="1"/>
      <c r="U968" s="32" t="s">
        <v>3878</v>
      </c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968" s="15" t="str">
        <f>_xlfn.TEXTBEFORE(_xlfn.TEXTAFTER(CantoralDB[[#This Row],[index.html]],"&gt;"),"&gt;")&amp;"&gt;"</f>
        <v>&lt;a href="canciones/kairoi/de_pura_raza.html"&gt;</v>
      </c>
      <c r="X968"/>
      <c r="AB968" s="1"/>
    </row>
    <row r="969" spans="1:28" x14ac:dyDescent="0.3">
      <c r="A969" s="1">
        <f>ROW(CantoralDB[[#This Row],[Título]])-1</f>
        <v>968</v>
      </c>
      <c r="B969" s="1" t="s">
        <v>1499</v>
      </c>
      <c r="C969" s="1"/>
      <c r="H969" s="1" t="s">
        <v>1028</v>
      </c>
      <c r="J969" s="1" t="s">
        <v>607</v>
      </c>
      <c r="M969" s="15" t="s">
        <v>483</v>
      </c>
      <c r="N969" s="1" t="s">
        <v>1499</v>
      </c>
      <c r="O969" s="15">
        <v>1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969" s="1"/>
      <c r="T969" s="1"/>
      <c r="U969" s="32" t="s">
        <v>3879</v>
      </c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969" s="15" t="str">
        <f>_xlfn.TEXTBEFORE(_xlfn.TEXTAFTER(CantoralDB[[#This Row],[index.html]],"&gt;"),"&gt;")&amp;"&gt;"</f>
        <v>&lt;a href="canciones/kairoi/nacidos_de_mujer.html"&gt;</v>
      </c>
      <c r="X969"/>
      <c r="AB969" s="1"/>
    </row>
    <row r="970" spans="1:28" x14ac:dyDescent="0.3">
      <c r="A970" s="1">
        <f>ROW(CantoralDB[[#This Row],[Título]])-1</f>
        <v>969</v>
      </c>
      <c r="B970" s="1" t="s">
        <v>1696</v>
      </c>
      <c r="C970" s="1"/>
      <c r="H970" s="1" t="s">
        <v>1027</v>
      </c>
      <c r="J970" s="1" t="s">
        <v>607</v>
      </c>
      <c r="M970" s="15" t="s">
        <v>483</v>
      </c>
      <c r="N970" s="1" t="s">
        <v>1499</v>
      </c>
      <c r="O970" s="15">
        <v>2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970" s="1"/>
      <c r="T970" s="1"/>
      <c r="U970" s="32" t="s">
        <v>3880</v>
      </c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970" s="15" t="str">
        <f>_xlfn.TEXTBEFORE(_xlfn.TEXTAFTER(CantoralDB[[#This Row],[index.html]],"&gt;"),"&gt;")&amp;"&gt;"</f>
        <v>&lt;a href="canciones/kairoi/haced_lo_que_el_os_diga.html"&gt;</v>
      </c>
      <c r="X970"/>
      <c r="AB970" s="1"/>
    </row>
    <row r="971" spans="1:28" x14ac:dyDescent="0.3">
      <c r="A971" s="1">
        <f>ROW(CantoralDB[[#This Row],[Título]])-1</f>
        <v>970</v>
      </c>
      <c r="B971" s="1" t="s">
        <v>1697</v>
      </c>
      <c r="C971" s="1"/>
      <c r="H971" s="1" t="s">
        <v>472</v>
      </c>
      <c r="J971" s="1" t="s">
        <v>607</v>
      </c>
      <c r="M971" s="15" t="s">
        <v>483</v>
      </c>
      <c r="N971" s="1" t="s">
        <v>1499</v>
      </c>
      <c r="O971" s="15">
        <v>3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971" s="1"/>
      <c r="T971" s="1"/>
      <c r="U971" s="32" t="s">
        <v>3881</v>
      </c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971" s="15" t="str">
        <f>_xlfn.TEXTBEFORE(_xlfn.TEXTAFTER(CantoralDB[[#This Row],[index.html]],"&gt;"),"&gt;")&amp;"&gt;"</f>
        <v>&lt;a href="canciones/kairoi/en_comunidad.html"&gt;</v>
      </c>
      <c r="X971"/>
      <c r="AB971" s="1"/>
    </row>
    <row r="972" spans="1:28" x14ac:dyDescent="0.3">
      <c r="A972" s="1">
        <f>ROW(CantoralDB[[#This Row],[Título]])-1</f>
        <v>971</v>
      </c>
      <c r="B972" s="1" t="s">
        <v>1698</v>
      </c>
      <c r="C972" s="1"/>
      <c r="H972" s="1" t="s">
        <v>1029</v>
      </c>
      <c r="J972" s="1" t="s">
        <v>607</v>
      </c>
      <c r="M972" s="15" t="s">
        <v>483</v>
      </c>
      <c r="N972" s="1" t="s">
        <v>1499</v>
      </c>
      <c r="O972" s="15">
        <v>4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972" s="1"/>
      <c r="T972" s="1"/>
      <c r="U972" s="32" t="s">
        <v>3882</v>
      </c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972" s="15" t="str">
        <f>_xlfn.TEXTBEFORE(_xlfn.TEXTAFTER(CantoralDB[[#This Row],[index.html]],"&gt;"),"&gt;")&amp;"&gt;"</f>
        <v>&lt;a href="canciones/kairoi/danos_tu_espiritu.html"&gt;</v>
      </c>
      <c r="X972"/>
      <c r="AB972" s="1"/>
    </row>
    <row r="973" spans="1:28" x14ac:dyDescent="0.3">
      <c r="A973" s="1">
        <f>ROW(CantoralDB[[#This Row],[Título]])-1</f>
        <v>972</v>
      </c>
      <c r="B973" s="1" t="s">
        <v>1699</v>
      </c>
      <c r="C973" s="1"/>
      <c r="J973" s="1"/>
      <c r="M973" s="15" t="s">
        <v>483</v>
      </c>
      <c r="N973" s="1" t="s">
        <v>1499</v>
      </c>
      <c r="O973" s="15">
        <v>5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973" s="1"/>
      <c r="T973" s="1"/>
      <c r="U973" s="32" t="s">
        <v>3883</v>
      </c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973" s="15" t="str">
        <f>_xlfn.TEXTBEFORE(_xlfn.TEXTAFTER(CantoralDB[[#This Row],[index.html]],"&gt;"),"&gt;")&amp;"&gt;"</f>
        <v>&lt;a href="canciones/kairoi/adela.html"&gt;</v>
      </c>
      <c r="X973"/>
      <c r="AB973" s="1"/>
    </row>
    <row r="974" spans="1:28" x14ac:dyDescent="0.3">
      <c r="A974" s="1">
        <f>ROW(CantoralDB[[#This Row],[Título]])-1</f>
        <v>973</v>
      </c>
      <c r="B974" s="1" t="s">
        <v>2023</v>
      </c>
      <c r="C974" s="1"/>
      <c r="H974" s="1" t="s">
        <v>1028</v>
      </c>
      <c r="J974" s="1" t="s">
        <v>607</v>
      </c>
      <c r="M974" s="15" t="s">
        <v>483</v>
      </c>
      <c r="N974" s="1" t="s">
        <v>1499</v>
      </c>
      <c r="O974" s="15">
        <v>6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974" s="1"/>
      <c r="T974" s="1"/>
      <c r="U974" s="32" t="s">
        <v>3884</v>
      </c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974" s="15" t="str">
        <f>_xlfn.TEXTBEFORE(_xlfn.TEXTAFTER(CantoralDB[[#This Row],[index.html]],"&gt;"),"&gt;")&amp;"&gt;"</f>
        <v>&lt;a href="canciones/kairoi/gloria_(por_maria).html"&gt;</v>
      </c>
      <c r="X974"/>
      <c r="AB974" s="1"/>
    </row>
    <row r="975" spans="1:28" x14ac:dyDescent="0.3">
      <c r="A975" s="1">
        <f>ROW(CantoralDB[[#This Row],[Título]])-1</f>
        <v>974</v>
      </c>
      <c r="B975" s="1" t="s">
        <v>1700</v>
      </c>
      <c r="C975" s="1"/>
      <c r="H975" s="1" t="s">
        <v>1026</v>
      </c>
      <c r="J975" s="1" t="s">
        <v>607</v>
      </c>
      <c r="M975" s="15" t="s">
        <v>483</v>
      </c>
      <c r="N975" s="1" t="s">
        <v>1499</v>
      </c>
      <c r="O975" s="15">
        <v>7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975" s="1"/>
      <c r="T975" s="1"/>
      <c r="U975" s="32" t="s">
        <v>3885</v>
      </c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975" s="15" t="str">
        <f>_xlfn.TEXTBEFORE(_xlfn.TEXTAFTER(CantoralDB[[#This Row],[index.html]],"&gt;"),"&gt;")&amp;"&gt;"</f>
        <v>&lt;a href="canciones/kairoi/pequeño_corazon.html"&gt;</v>
      </c>
      <c r="X975"/>
      <c r="AB975" s="1"/>
    </row>
    <row r="976" spans="1:28" x14ac:dyDescent="0.3">
      <c r="A976" s="1">
        <f>ROW(CantoralDB[[#This Row],[Título]])-1</f>
        <v>975</v>
      </c>
      <c r="B976" s="1" t="s">
        <v>1701</v>
      </c>
      <c r="C976" s="1"/>
      <c r="J976" s="1"/>
      <c r="M976" s="15" t="s">
        <v>483</v>
      </c>
      <c r="N976" s="1" t="s">
        <v>1499</v>
      </c>
      <c r="O976" s="15">
        <v>8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976" s="1"/>
      <c r="T976" s="1"/>
      <c r="U976" s="32" t="s">
        <v>3886</v>
      </c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976" s="15" t="str">
        <f>_xlfn.TEXTBEFORE(_xlfn.TEXTAFTER(CantoralDB[[#This Row],[index.html]],"&gt;"),"&gt;")&amp;"&gt;"</f>
        <v>&lt;a href="canciones/kairoi/chaminade.html"&gt;</v>
      </c>
      <c r="X976"/>
      <c r="AB976" s="1"/>
    </row>
    <row r="977" spans="1:28" x14ac:dyDescent="0.3">
      <c r="A977" s="1">
        <f>ROW(CantoralDB[[#This Row],[Título]])-1</f>
        <v>976</v>
      </c>
      <c r="B977" s="1" t="s">
        <v>1663</v>
      </c>
      <c r="C977" s="1"/>
      <c r="H977" s="1" t="s">
        <v>1029</v>
      </c>
      <c r="J977" s="1" t="s">
        <v>607</v>
      </c>
      <c r="M977" s="15" t="s">
        <v>483</v>
      </c>
      <c r="N977" s="1" t="s">
        <v>1499</v>
      </c>
      <c r="O977" s="15">
        <v>9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977" s="1"/>
      <c r="T977" s="1"/>
      <c r="U977" s="32" t="s">
        <v>3887</v>
      </c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977" s="15" t="str">
        <f>_xlfn.TEXTBEFORE(_xlfn.TEXTAFTER(CantoralDB[[#This Row],[index.html]],"&gt;"),"&gt;")&amp;"&gt;"</f>
        <v>&lt;a href="canciones/kairoi/credo.html"&gt;</v>
      </c>
      <c r="X977"/>
      <c r="AB977" s="1"/>
    </row>
    <row r="978" spans="1:28" x14ac:dyDescent="0.3">
      <c r="A978" s="1">
        <f>ROW(CantoralDB[[#This Row],[Título]])-1</f>
        <v>977</v>
      </c>
      <c r="B978" s="1" t="s">
        <v>1702</v>
      </c>
      <c r="C978" s="1"/>
      <c r="H978" s="1" t="s">
        <v>530</v>
      </c>
      <c r="J978" s="1" t="s">
        <v>607</v>
      </c>
      <c r="M978" s="15" t="s">
        <v>483</v>
      </c>
      <c r="N978" s="1" t="s">
        <v>1499</v>
      </c>
      <c r="O978" s="15">
        <v>10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978" s="1"/>
      <c r="T978" s="1"/>
      <c r="U978" s="32" t="s">
        <v>3888</v>
      </c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978" s="15" t="str">
        <f>_xlfn.TEXTBEFORE(_xlfn.TEXTAFTER(CantoralDB[[#This Row],[index.html]],"&gt;"),"&gt;")&amp;"&gt;"</f>
        <v>&lt;a href="canciones/kairoi/creo_en_ti.html"&gt;</v>
      </c>
      <c r="X978"/>
      <c r="AB978" s="1"/>
    </row>
    <row r="979" spans="1:28" x14ac:dyDescent="0.3">
      <c r="A979" s="1">
        <f>ROW(CantoralDB[[#This Row],[Título]])-1</f>
        <v>978</v>
      </c>
      <c r="B979" s="1" t="s">
        <v>1703</v>
      </c>
      <c r="C979" s="1"/>
      <c r="H979" s="1" t="s">
        <v>1028</v>
      </c>
      <c r="J979" s="1" t="s">
        <v>607</v>
      </c>
      <c r="M979" s="15" t="s">
        <v>483</v>
      </c>
      <c r="N979" s="1" t="s">
        <v>1499</v>
      </c>
      <c r="O979" s="15">
        <v>11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979" s="1"/>
      <c r="T979" s="1"/>
      <c r="U979" s="32" t="s">
        <v>3889</v>
      </c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979" s="15" t="str">
        <f>_xlfn.TEXTBEFORE(_xlfn.TEXTAFTER(CantoralDB[[#This Row],[index.html]],"&gt;"),"&gt;")&amp;"&gt;"</f>
        <v>&lt;a href="canciones/kairoi/a_las_tres_de_la_tarde.html"&gt;</v>
      </c>
      <c r="X979"/>
      <c r="AB979" s="1"/>
    </row>
    <row r="980" spans="1:28" x14ac:dyDescent="0.3">
      <c r="A980" s="1">
        <f>ROW(CantoralDB[[#This Row],[Título]])-1</f>
        <v>979</v>
      </c>
      <c r="B980" s="1" t="s">
        <v>1704</v>
      </c>
      <c r="C980" s="1"/>
      <c r="H980" s="1" t="s">
        <v>1026</v>
      </c>
      <c r="J980" s="1" t="s">
        <v>607</v>
      </c>
      <c r="M980" s="15" t="s">
        <v>483</v>
      </c>
      <c r="N980" s="1" t="s">
        <v>1499</v>
      </c>
      <c r="O980" s="15">
        <v>12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980" s="1"/>
      <c r="T980" s="1"/>
      <c r="U980" s="32" t="s">
        <v>3890</v>
      </c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980" s="15" t="str">
        <f>_xlfn.TEXTBEFORE(_xlfn.TEXTAFTER(CantoralDB[[#This Row],[index.html]],"&gt;"),"&gt;")&amp;"&gt;"</f>
        <v>&lt;a href="canciones/kairoi/vino_nuevo.html"&gt;</v>
      </c>
      <c r="X980"/>
      <c r="AB980" s="1"/>
    </row>
    <row r="981" spans="1:28" x14ac:dyDescent="0.3">
      <c r="A981" s="1">
        <f>ROW(CantoralDB[[#This Row],[Título]])-1</f>
        <v>980</v>
      </c>
      <c r="B981" s="1" t="s">
        <v>1705</v>
      </c>
      <c r="C981" s="1"/>
      <c r="H981" s="1" t="s">
        <v>530</v>
      </c>
      <c r="J981" s="1" t="s">
        <v>607</v>
      </c>
      <c r="M981" s="15" t="s">
        <v>483</v>
      </c>
      <c r="N981" s="1" t="s">
        <v>1499</v>
      </c>
      <c r="O981" s="15">
        <v>13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981" s="1"/>
      <c r="T981" s="1"/>
      <c r="U981" s="32" t="s">
        <v>3891</v>
      </c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981" s="15" t="str">
        <f>_xlfn.TEXTBEFORE(_xlfn.TEXTAFTER(CantoralDB[[#This Row],[index.html]],"&gt;"),"&gt;")&amp;"&gt;"</f>
        <v>&lt;a href="canciones/kairoi/te_seguire.html"&gt;</v>
      </c>
      <c r="X981"/>
      <c r="AB981" s="1"/>
    </row>
    <row r="982" spans="1:28" x14ac:dyDescent="0.3">
      <c r="A982" s="1">
        <f>ROW(CantoralDB[[#This Row],[Título]])-1</f>
        <v>981</v>
      </c>
      <c r="B982" s="1" t="s">
        <v>1706</v>
      </c>
      <c r="C982" s="1"/>
      <c r="H982" s="1" t="s">
        <v>1028</v>
      </c>
      <c r="J982" s="1" t="s">
        <v>607</v>
      </c>
      <c r="M982" s="15" t="s">
        <v>483</v>
      </c>
      <c r="N982" s="1" t="s">
        <v>1499</v>
      </c>
      <c r="O982" s="15">
        <v>14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982" s="1"/>
      <c r="T982" s="1"/>
      <c r="U982" s="32" t="s">
        <v>3892</v>
      </c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982" s="15" t="str">
        <f>_xlfn.TEXTBEFORE(_xlfn.TEXTAFTER(CantoralDB[[#This Row],[index.html]],"&gt;"),"&gt;")&amp;"&gt;"</f>
        <v>&lt;a href="canciones/kairoi/un_solo_corazon.html"&gt;</v>
      </c>
      <c r="X982"/>
      <c r="AB982" s="1"/>
    </row>
    <row r="983" spans="1:28" x14ac:dyDescent="0.3">
      <c r="A983" s="1">
        <f>ROW(CantoralDB[[#This Row],[Título]])-1</f>
        <v>982</v>
      </c>
      <c r="B983" s="1" t="s">
        <v>1687</v>
      </c>
      <c r="C983" s="1"/>
      <c r="J983" s="1"/>
      <c r="M983" s="15" t="s">
        <v>483</v>
      </c>
      <c r="N983" s="1" t="s">
        <v>1498</v>
      </c>
      <c r="O983" s="15">
        <v>1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983" s="1"/>
      <c r="T983" s="1"/>
      <c r="U983" s="32" t="s">
        <v>3893</v>
      </c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983" s="15" t="str">
        <f>_xlfn.TEXTBEFORE(_xlfn.TEXTAFTER(CantoralDB[[#This Row],[index.html]],"&gt;"),"&gt;")&amp;"&gt;"</f>
        <v>&lt;a href="canciones/kairoi/y_fuiste_hogar.html"&gt;</v>
      </c>
      <c r="X983"/>
      <c r="AB983" s="1"/>
    </row>
    <row r="984" spans="1:28" x14ac:dyDescent="0.3">
      <c r="A984" s="1">
        <f>ROW(CantoralDB[[#This Row],[Título]])-1</f>
        <v>983</v>
      </c>
      <c r="B984" s="1" t="s">
        <v>1498</v>
      </c>
      <c r="C984" s="1"/>
      <c r="J984" s="1"/>
      <c r="M984" s="15" t="s">
        <v>483</v>
      </c>
      <c r="N984" s="1" t="s">
        <v>1498</v>
      </c>
      <c r="O984" s="15">
        <v>2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984" s="1"/>
      <c r="T984" s="1"/>
      <c r="U984" s="32" t="s">
        <v>3894</v>
      </c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984" s="15" t="str">
        <f>_xlfn.TEXTBEFORE(_xlfn.TEXTAFTER(CantoralDB[[#This Row],[index.html]],"&gt;"),"&gt;")&amp;"&gt;"</f>
        <v>&lt;a href="canciones/kairoi/profeta_de_la_familia.html"&gt;</v>
      </c>
      <c r="X984"/>
      <c r="AB984" s="1"/>
    </row>
    <row r="985" spans="1:28" x14ac:dyDescent="0.3">
      <c r="A985" s="1">
        <f>ROW(CantoralDB[[#This Row],[Título]])-1</f>
        <v>984</v>
      </c>
      <c r="B985" s="1" t="s">
        <v>1688</v>
      </c>
      <c r="C985" s="1"/>
      <c r="J985" s="1"/>
      <c r="M985" s="15" t="s">
        <v>483</v>
      </c>
      <c r="N985" s="1" t="s">
        <v>1498</v>
      </c>
      <c r="O985" s="15">
        <v>3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985" s="1"/>
      <c r="T985" s="1"/>
      <c r="U985" s="32" t="s">
        <v>3895</v>
      </c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985" s="15" t="str">
        <f>_xlfn.TEXTBEFORE(_xlfn.TEXTAFTER(CantoralDB[[#This Row],[index.html]],"&gt;"),"&gt;")&amp;"&gt;"</f>
        <v>&lt;a href="canciones/kairoi/como_tu.html"&gt;</v>
      </c>
      <c r="X985"/>
      <c r="AB985" s="1"/>
    </row>
    <row r="986" spans="1:28" x14ac:dyDescent="0.3">
      <c r="A986" s="1">
        <f>ROW(CantoralDB[[#This Row],[Título]])-1</f>
        <v>985</v>
      </c>
      <c r="B986" s="1" t="s">
        <v>1689</v>
      </c>
      <c r="C986" s="1"/>
      <c r="J986" s="1"/>
      <c r="M986" s="15" t="s">
        <v>483</v>
      </c>
      <c r="N986" s="1" t="s">
        <v>1498</v>
      </c>
      <c r="O986" s="15">
        <v>4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986" s="1"/>
      <c r="T986" s="1"/>
      <c r="U986" s="32" t="s">
        <v>3896</v>
      </c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986" s="15" t="str">
        <f>_xlfn.TEXTBEFORE(_xlfn.TEXTAFTER(CantoralDB[[#This Row],[index.html]],"&gt;"),"&gt;")&amp;"&gt;"</f>
        <v>&lt;a href="canciones/kairoi/siempre_si_celebrare.html"&gt;</v>
      </c>
      <c r="X986"/>
      <c r="AB986" s="1"/>
    </row>
    <row r="987" spans="1:28" x14ac:dyDescent="0.3">
      <c r="A987" s="1">
        <f>ROW(CantoralDB[[#This Row],[Título]])-1</f>
        <v>986</v>
      </c>
      <c r="B987" s="1" t="s">
        <v>1690</v>
      </c>
      <c r="C987" s="1"/>
      <c r="J987" s="1"/>
      <c r="M987" s="15" t="s">
        <v>483</v>
      </c>
      <c r="N987" s="1" t="s">
        <v>1498</v>
      </c>
      <c r="O987" s="15">
        <v>5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987" s="1"/>
      <c r="T987" s="1"/>
      <c r="U987" s="32" t="s">
        <v>3897</v>
      </c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987" s="15" t="str">
        <f>_xlfn.TEXTBEFORE(_xlfn.TEXTAFTER(CantoralDB[[#This Row],[index.html]],"&gt;"),"&gt;")&amp;"&gt;"</f>
        <v>&lt;a href="canciones/kairoi/su_palabra.html"&gt;</v>
      </c>
      <c r="X987"/>
      <c r="AB987" s="1"/>
    </row>
    <row r="988" spans="1:28" x14ac:dyDescent="0.3">
      <c r="A988" s="1">
        <f>ROW(CantoralDB[[#This Row],[Título]])-1</f>
        <v>987</v>
      </c>
      <c r="B988" s="1" t="s">
        <v>1691</v>
      </c>
      <c r="C988" s="1"/>
      <c r="J988" s="1"/>
      <c r="M988" s="15" t="s">
        <v>483</v>
      </c>
      <c r="N988" s="1" t="s">
        <v>1498</v>
      </c>
      <c r="O988" s="15">
        <v>6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988" s="1"/>
      <c r="T988" s="1"/>
      <c r="U988" s="32" t="s">
        <v>3898</v>
      </c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988" s="15" t="str">
        <f>_xlfn.TEXTBEFORE(_xlfn.TEXTAFTER(CantoralDB[[#This Row],[index.html]],"&gt;"),"&gt;")&amp;"&gt;"</f>
        <v>&lt;a href="canciones/kairoi/santa_familia.html"&gt;</v>
      </c>
      <c r="X988"/>
      <c r="AB988" s="1"/>
    </row>
    <row r="989" spans="1:28" x14ac:dyDescent="0.3">
      <c r="A989" s="1">
        <f>ROW(CantoralDB[[#This Row],[Título]])-1</f>
        <v>988</v>
      </c>
      <c r="B989" s="1" t="s">
        <v>1692</v>
      </c>
      <c r="C989" s="1"/>
      <c r="J989" s="1"/>
      <c r="M989" s="15" t="s">
        <v>483</v>
      </c>
      <c r="N989" s="1" t="s">
        <v>1498</v>
      </c>
      <c r="O989" s="15">
        <v>7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989" s="1"/>
      <c r="T989" s="1"/>
      <c r="U989" s="32" t="s">
        <v>3899</v>
      </c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989" s="15" t="str">
        <f>_xlfn.TEXTBEFORE(_xlfn.TEXTAFTER(CantoralDB[[#This Row],[index.html]],"&gt;"),"&gt;")&amp;"&gt;"</f>
        <v>&lt;a href="canciones/kairoi/jesus_maria_y_jose.html"&gt;</v>
      </c>
      <c r="X989"/>
      <c r="AB989" s="1"/>
    </row>
    <row r="990" spans="1:28" x14ac:dyDescent="0.3">
      <c r="A990" s="1">
        <f>ROW(CantoralDB[[#This Row],[Título]])-1</f>
        <v>989</v>
      </c>
      <c r="B990" s="1" t="s">
        <v>1693</v>
      </c>
      <c r="C990" s="1"/>
      <c r="J990" s="1"/>
      <c r="M990" s="15" t="s">
        <v>483</v>
      </c>
      <c r="N990" s="1" t="s">
        <v>1498</v>
      </c>
      <c r="O990" s="15">
        <v>8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990" s="1"/>
      <c r="T990" s="1"/>
      <c r="U990" s="32" t="s">
        <v>3900</v>
      </c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990" s="15" t="str">
        <f>_xlfn.TEXTBEFORE(_xlfn.TEXTAFTER(CantoralDB[[#This Row],[index.html]],"&gt;"),"&gt;")&amp;"&gt;"</f>
        <v>&lt;a href="canciones/kairoi/tu_mirada.html"&gt;</v>
      </c>
      <c r="X990"/>
      <c r="AB990" s="1"/>
    </row>
    <row r="991" spans="1:28" x14ac:dyDescent="0.3">
      <c r="A991" s="1">
        <f>ROW(CantoralDB[[#This Row],[Título]])-1</f>
        <v>990</v>
      </c>
      <c r="B991" s="1" t="s">
        <v>1694</v>
      </c>
      <c r="C991" s="1"/>
      <c r="J991" s="1"/>
      <c r="M991" s="15" t="s">
        <v>483</v>
      </c>
      <c r="N991" s="1" t="s">
        <v>1498</v>
      </c>
      <c r="O991" s="15">
        <v>9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991" s="1"/>
      <c r="T991" s="1"/>
      <c r="U991" s="32" t="s">
        <v>3901</v>
      </c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991" s="15" t="str">
        <f>_xlfn.TEXTBEFORE(_xlfn.TEXTAFTER(CantoralDB[[#This Row],[index.html]],"&gt;"),"&gt;")&amp;"&gt;"</f>
        <v>&lt;a href="canciones/kairoi/familias.html"&gt;</v>
      </c>
      <c r="X991"/>
      <c r="AB991" s="1"/>
    </row>
    <row r="992" spans="1:28" x14ac:dyDescent="0.3">
      <c r="A992" s="1">
        <f>ROW(CantoralDB[[#This Row],[Título]])-1</f>
        <v>991</v>
      </c>
      <c r="B992" s="1" t="s">
        <v>1695</v>
      </c>
      <c r="C992" s="1"/>
      <c r="J992" s="1"/>
      <c r="M992" s="15" t="s">
        <v>483</v>
      </c>
      <c r="N992" s="1" t="s">
        <v>1498</v>
      </c>
      <c r="O992" s="15">
        <v>10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992" s="1"/>
      <c r="T992" s="1"/>
      <c r="U992" s="32" t="s">
        <v>3902</v>
      </c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992" s="15" t="str">
        <f>_xlfn.TEXTBEFORE(_xlfn.TEXTAFTER(CantoralDB[[#This Row],[index.html]],"&gt;"),"&gt;")&amp;"&gt;"</f>
        <v>&lt;a href="canciones/kairoi/el_poema_de_la_piedra.html"&gt;</v>
      </c>
      <c r="X992"/>
      <c r="AB992" s="1"/>
    </row>
    <row r="993" spans="1:28" x14ac:dyDescent="0.3">
      <c r="A993" s="1">
        <f>ROW(CantoralDB[[#This Row],[Título]])-1</f>
        <v>992</v>
      </c>
      <c r="B993" s="1" t="s">
        <v>2881</v>
      </c>
      <c r="C993" s="1"/>
      <c r="H993" s="1" t="s">
        <v>1029</v>
      </c>
      <c r="J993" s="1" t="s">
        <v>607</v>
      </c>
      <c r="M993" s="15" t="s">
        <v>483</v>
      </c>
      <c r="N993" s="1" t="s">
        <v>1490</v>
      </c>
      <c r="O993" s="15">
        <v>1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993" s="1"/>
      <c r="T993" s="1"/>
      <c r="U993" s="32" t="s">
        <v>3903</v>
      </c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993" s="15" t="str">
        <f>_xlfn.TEXTBEFORE(_xlfn.TEXTAFTER(CantoralDB[[#This Row],[index.html]],"&gt;"),"&gt;")&amp;"&gt;"</f>
        <v>&lt;a href="canciones/kairoi/cristo_señor.html"&gt;</v>
      </c>
      <c r="X993"/>
      <c r="AB993" s="1"/>
    </row>
    <row r="994" spans="1:28" x14ac:dyDescent="0.3">
      <c r="A994" s="1">
        <f>ROW(CantoralDB[[#This Row],[Título]])-1</f>
        <v>993</v>
      </c>
      <c r="B994" s="1" t="s">
        <v>1626</v>
      </c>
      <c r="C994" s="1"/>
      <c r="H994" s="1" t="s">
        <v>1029</v>
      </c>
      <c r="J994" s="1" t="s">
        <v>607</v>
      </c>
      <c r="M994" s="15" t="s">
        <v>483</v>
      </c>
      <c r="N994" s="1" t="s">
        <v>1490</v>
      </c>
      <c r="O994" s="15">
        <v>2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994" s="1"/>
      <c r="T994" s="1"/>
      <c r="U994" s="32" t="s">
        <v>3904</v>
      </c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994" s="15" t="str">
        <f>_xlfn.TEXTBEFORE(_xlfn.TEXTAFTER(CantoralDB[[#This Row],[index.html]],"&gt;"),"&gt;")&amp;"&gt;"</f>
        <v>&lt;a href="canciones/kairoi/tu_seras_mi_hermano.html"&gt;</v>
      </c>
      <c r="X994"/>
      <c r="AB994" s="1"/>
    </row>
    <row r="995" spans="1:28" x14ac:dyDescent="0.3">
      <c r="A995" s="1">
        <f>ROW(CantoralDB[[#This Row],[Título]])-1</f>
        <v>994</v>
      </c>
      <c r="B995" s="1" t="s">
        <v>1627</v>
      </c>
      <c r="C995" s="1"/>
      <c r="H995" s="1" t="s">
        <v>1029</v>
      </c>
      <c r="J995" s="1" t="s">
        <v>607</v>
      </c>
      <c r="M995" s="15" t="s">
        <v>483</v>
      </c>
      <c r="N995" s="1" t="s">
        <v>1490</v>
      </c>
      <c r="O995" s="15">
        <v>3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995" s="1"/>
      <c r="T995" s="1"/>
      <c r="U995" s="32" t="s">
        <v>3905</v>
      </c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995" s="15" t="str">
        <f>_xlfn.TEXTBEFORE(_xlfn.TEXTAFTER(CantoralDB[[#This Row],[index.html]],"&gt;"),"&gt;")&amp;"&gt;"</f>
        <v>&lt;a href="canciones/kairoi/cristo.html"&gt;</v>
      </c>
      <c r="X995"/>
      <c r="AB995" s="1"/>
    </row>
    <row r="996" spans="1:28" x14ac:dyDescent="0.3">
      <c r="A996" s="1">
        <f>ROW(CantoralDB[[#This Row],[Título]])-1</f>
        <v>995</v>
      </c>
      <c r="B996" s="1" t="s">
        <v>1628</v>
      </c>
      <c r="C996" s="1"/>
      <c r="H996" s="1" t="s">
        <v>1028</v>
      </c>
      <c r="J996" s="1" t="s">
        <v>607</v>
      </c>
      <c r="M996" s="15" t="s">
        <v>483</v>
      </c>
      <c r="N996" s="1" t="s">
        <v>1490</v>
      </c>
      <c r="O996" s="15">
        <v>4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996" s="1"/>
      <c r="T996" s="1"/>
      <c r="U996" s="32" t="s">
        <v>3906</v>
      </c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996" s="15" t="str">
        <f>_xlfn.TEXTBEFORE(_xlfn.TEXTAFTER(CantoralDB[[#This Row],[index.html]],"&gt;"),"&gt;")&amp;"&gt;"</f>
        <v>&lt;a href="canciones/kairoi/alli_estas_tu.html"&gt;</v>
      </c>
      <c r="X996"/>
      <c r="AB996" s="1"/>
    </row>
    <row r="997" spans="1:28" x14ac:dyDescent="0.3">
      <c r="A997" s="1">
        <f>ROW(CantoralDB[[#This Row],[Título]])-1</f>
        <v>996</v>
      </c>
      <c r="B997" s="1" t="s">
        <v>1629</v>
      </c>
      <c r="C997" s="1"/>
      <c r="J997" s="1"/>
      <c r="M997" s="15" t="s">
        <v>483</v>
      </c>
      <c r="N997" s="1" t="s">
        <v>1490</v>
      </c>
      <c r="O997" s="15">
        <v>5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997" s="1"/>
      <c r="T997" s="1"/>
      <c r="U997" s="32" t="s">
        <v>3907</v>
      </c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997" s="15" t="str">
        <f>_xlfn.TEXTBEFORE(_xlfn.TEXTAFTER(CantoralDB[[#This Row],[index.html]],"&gt;"),"&gt;")&amp;"&gt;"</f>
        <v>&lt;a href="canciones/kairoi/no_hay_lloros_por_un_niño_muerto.html"&gt;</v>
      </c>
      <c r="X997"/>
      <c r="AB997" s="1"/>
    </row>
    <row r="998" spans="1:28" x14ac:dyDescent="0.3">
      <c r="A998" s="1">
        <f>ROW(CantoralDB[[#This Row],[Título]])-1</f>
        <v>997</v>
      </c>
      <c r="B998" s="1" t="s">
        <v>1630</v>
      </c>
      <c r="C998" s="1"/>
      <c r="H998" s="1" t="s">
        <v>1029</v>
      </c>
      <c r="J998" s="1" t="s">
        <v>607</v>
      </c>
      <c r="M998" s="15" t="s">
        <v>483</v>
      </c>
      <c r="N998" s="1" t="s">
        <v>1490</v>
      </c>
      <c r="O998" s="15">
        <v>6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998" s="1"/>
      <c r="T998" s="1"/>
      <c r="U998" s="32" t="s">
        <v>3908</v>
      </c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998" s="15" t="str">
        <f>_xlfn.TEXTBEFORE(_xlfn.TEXTAFTER(CantoralDB[[#This Row],[index.html]],"&gt;"),"&gt;")&amp;"&gt;"</f>
        <v>&lt;a href="canciones/kairoi/deja_que_en_tu_vida_cante_el.html"&gt;</v>
      </c>
      <c r="X998"/>
      <c r="AB998" s="1"/>
    </row>
    <row r="999" spans="1:28" x14ac:dyDescent="0.3">
      <c r="A999" s="1">
        <f>ROW(CantoralDB[[#This Row],[Título]])-1</f>
        <v>998</v>
      </c>
      <c r="B999" s="1" t="s">
        <v>1631</v>
      </c>
      <c r="C999" s="1"/>
      <c r="J999" s="1"/>
      <c r="M999" s="15" t="s">
        <v>483</v>
      </c>
      <c r="N999" s="1" t="s">
        <v>1490</v>
      </c>
      <c r="O999" s="15">
        <v>7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999" s="1"/>
      <c r="T999" s="1"/>
      <c r="U999" s="32" t="s">
        <v>3909</v>
      </c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999" s="15" t="str">
        <f>_xlfn.TEXTBEFORE(_xlfn.TEXTAFTER(CantoralDB[[#This Row],[index.html]],"&gt;"),"&gt;")&amp;"&gt;"</f>
        <v>&lt;a href="canciones/kairoi/tiene_el_sida.html"&gt;</v>
      </c>
      <c r="X999"/>
      <c r="AB999" s="1"/>
    </row>
    <row r="1000" spans="1:28" x14ac:dyDescent="0.3">
      <c r="A1000" s="1">
        <f>ROW(CantoralDB[[#This Row],[Título]])-1</f>
        <v>999</v>
      </c>
      <c r="B1000" s="1" t="s">
        <v>1632</v>
      </c>
      <c r="C1000" s="1"/>
      <c r="H1000" s="1" t="s">
        <v>1028</v>
      </c>
      <c r="J1000" s="1" t="s">
        <v>607</v>
      </c>
      <c r="M1000" s="15" t="s">
        <v>483</v>
      </c>
      <c r="N1000" s="1" t="s">
        <v>1490</v>
      </c>
      <c r="O1000" s="15">
        <v>8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000" s="1"/>
      <c r="T1000" s="1"/>
      <c r="U1000" s="32" t="s">
        <v>3910</v>
      </c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000" s="15" t="str">
        <f>_xlfn.TEXTBEFORE(_xlfn.TEXTAFTER(CantoralDB[[#This Row],[index.html]],"&gt;"),"&gt;")&amp;"&gt;"</f>
        <v>&lt;a href="canciones/kairoi/grito_libertad.html"&gt;</v>
      </c>
      <c r="X1000"/>
      <c r="AB1000" s="1"/>
    </row>
    <row r="1001" spans="1:28" x14ac:dyDescent="0.3">
      <c r="A1001" s="1">
        <f>ROW(CantoralDB[[#This Row],[Título]])-1</f>
        <v>1000</v>
      </c>
      <c r="B1001" s="1" t="s">
        <v>1633</v>
      </c>
      <c r="C1001" s="1"/>
      <c r="J1001" s="1"/>
      <c r="M1001" s="15" t="s">
        <v>483</v>
      </c>
      <c r="N1001" s="1" t="s">
        <v>1490</v>
      </c>
      <c r="O1001" s="15">
        <v>9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001" s="1"/>
      <c r="T1001" s="1"/>
      <c r="U1001" s="32" t="s">
        <v>3911</v>
      </c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001" s="15" t="str">
        <f>_xlfn.TEXTBEFORE(_xlfn.TEXTAFTER(CantoralDB[[#This Row],[index.html]],"&gt;"),"&gt;")&amp;"&gt;"</f>
        <v>&lt;a href="canciones/kairoi/tu_sonrisa_no_la_vi.html"&gt;</v>
      </c>
      <c r="X1001"/>
      <c r="AB1001" s="1"/>
    </row>
    <row r="1002" spans="1:28" x14ac:dyDescent="0.3">
      <c r="A1002" s="1">
        <f>ROW(CantoralDB[[#This Row],[Título]])-1</f>
        <v>1001</v>
      </c>
      <c r="B1002" s="1" t="s">
        <v>1490</v>
      </c>
      <c r="C1002" s="1"/>
      <c r="J1002" s="1"/>
      <c r="M1002" s="15" t="s">
        <v>483</v>
      </c>
      <c r="N1002" s="1" t="s">
        <v>1490</v>
      </c>
      <c r="O1002" s="15">
        <v>10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002" s="1"/>
      <c r="T1002" s="1"/>
      <c r="U1002" s="32" t="s">
        <v>3912</v>
      </c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002" s="15" t="str">
        <f>_xlfn.TEXTBEFORE(_xlfn.TEXTAFTER(CantoralDB[[#This Row],[index.html]],"&gt;"),"&gt;")&amp;"&gt;"</f>
        <v>&lt;a href="canciones/kairoi/señor_de_la_historia.html"&gt;</v>
      </c>
      <c r="X1002"/>
      <c r="AB1002" s="1"/>
    </row>
    <row r="1003" spans="1:28" x14ac:dyDescent="0.3">
      <c r="A1003" s="1">
        <f>ROW(CantoralDB[[#This Row],[Título]])-1</f>
        <v>1002</v>
      </c>
      <c r="B1003" s="1" t="s">
        <v>1634</v>
      </c>
      <c r="C1003" s="1"/>
      <c r="J1003" s="1"/>
      <c r="M1003" s="15" t="s">
        <v>483</v>
      </c>
      <c r="N1003" s="1" t="s">
        <v>1490</v>
      </c>
      <c r="O1003" s="15">
        <v>11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003" s="1"/>
      <c r="T1003" s="1"/>
      <c r="U1003" s="32" t="s">
        <v>3913</v>
      </c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003" s="15" t="str">
        <f>_xlfn.TEXTBEFORE(_xlfn.TEXTAFTER(CantoralDB[[#This Row],[index.html]],"&gt;"),"&gt;")&amp;"&gt;"</f>
        <v>&lt;a href="canciones/kairoi/me_muero_de_hambre.html"&gt;</v>
      </c>
      <c r="X1003"/>
      <c r="AB1003" s="1"/>
    </row>
    <row r="1004" spans="1:28" x14ac:dyDescent="0.3">
      <c r="A1004" s="1">
        <f>ROW(CantoralDB[[#This Row],[Título]])-1</f>
        <v>1003</v>
      </c>
      <c r="B1004" s="1" t="s">
        <v>1635</v>
      </c>
      <c r="C1004" s="1"/>
      <c r="J1004" s="1"/>
      <c r="M1004" s="15" t="s">
        <v>483</v>
      </c>
      <c r="N1004" s="1" t="s">
        <v>1490</v>
      </c>
      <c r="O1004" s="15">
        <v>12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004" s="1"/>
      <c r="T1004" s="1"/>
      <c r="U1004" s="32" t="s">
        <v>3914</v>
      </c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004" s="15" t="str">
        <f>_xlfn.TEXTBEFORE(_xlfn.TEXTAFTER(CantoralDB[[#This Row],[index.html]],"&gt;"),"&gt;")&amp;"&gt;"</f>
        <v>&lt;a href="canciones/kairoi/yo_no_he_podido_ser_bueno.html"&gt;</v>
      </c>
      <c r="X1004"/>
      <c r="AB1004" s="1"/>
    </row>
    <row r="1005" spans="1:28" x14ac:dyDescent="0.3">
      <c r="A1005" s="1">
        <f>ROW(CantoralDB[[#This Row],[Título]])-1</f>
        <v>1004</v>
      </c>
      <c r="B1005" s="1" t="s">
        <v>1576</v>
      </c>
      <c r="C1005" s="1"/>
      <c r="H1005" s="1" t="s">
        <v>1028</v>
      </c>
      <c r="J1005" s="1" t="s">
        <v>607</v>
      </c>
      <c r="M1005" s="15" t="s">
        <v>483</v>
      </c>
      <c r="N1005" s="1" t="s">
        <v>1493</v>
      </c>
      <c r="O1005" s="15">
        <v>1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005" s="1"/>
      <c r="T1005" s="1"/>
      <c r="U1005" s="32" t="s">
        <v>3915</v>
      </c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005" s="15" t="str">
        <f>_xlfn.TEXTBEFORE(_xlfn.TEXTAFTER(CantoralDB[[#This Row],[index.html]],"&gt;"),"&gt;")&amp;"&gt;"</f>
        <v>&lt;a href="canciones/kairoi/si_jesus.html"&gt;</v>
      </c>
      <c r="X1005"/>
      <c r="AB1005" s="1"/>
    </row>
    <row r="1006" spans="1:28" x14ac:dyDescent="0.3">
      <c r="A1006" s="1">
        <f>ROW(CantoralDB[[#This Row],[Título]])-1</f>
        <v>1005</v>
      </c>
      <c r="B1006" s="1" t="s">
        <v>1649</v>
      </c>
      <c r="C1006" s="1"/>
      <c r="J1006" s="1"/>
      <c r="M1006" s="15" t="s">
        <v>483</v>
      </c>
      <c r="N1006" s="1" t="s">
        <v>1493</v>
      </c>
      <c r="O1006" s="15">
        <v>2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006" s="1"/>
      <c r="T1006" s="1"/>
      <c r="U1006" s="32" t="s">
        <v>3916</v>
      </c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006" s="15" t="str">
        <f>_xlfn.TEXTBEFORE(_xlfn.TEXTAFTER(CantoralDB[[#This Row],[index.html]],"&gt;"),"&gt;")&amp;"&gt;"</f>
        <v>&lt;a href="canciones/kairoi/cuando_la_muerte.html"&gt;</v>
      </c>
      <c r="X1006"/>
      <c r="AB1006" s="1"/>
    </row>
    <row r="1007" spans="1:28" x14ac:dyDescent="0.3">
      <c r="A1007" s="1">
        <f>ROW(CantoralDB[[#This Row],[Título]])-1</f>
        <v>1006</v>
      </c>
      <c r="B1007" s="1" t="s">
        <v>1577</v>
      </c>
      <c r="C1007" s="1"/>
      <c r="H1007" s="1" t="s">
        <v>530</v>
      </c>
      <c r="J1007" s="1" t="s">
        <v>607</v>
      </c>
      <c r="M1007" s="15" t="s">
        <v>483</v>
      </c>
      <c r="N1007" s="1" t="s">
        <v>1493</v>
      </c>
      <c r="O1007" s="15">
        <v>3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007" s="1"/>
      <c r="T1007" s="1"/>
      <c r="U1007" s="32" t="s">
        <v>3917</v>
      </c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007" s="15" t="str">
        <f>_xlfn.TEXTBEFORE(_xlfn.TEXTAFTER(CantoralDB[[#This Row],[index.html]],"&gt;"),"&gt;")&amp;"&gt;"</f>
        <v>&lt;a href="canciones/kairoi/no_temais.html"&gt;</v>
      </c>
      <c r="X1007"/>
      <c r="AB1007" s="1"/>
    </row>
    <row r="1008" spans="1:28" x14ac:dyDescent="0.3">
      <c r="A1008" s="1">
        <f>ROW(CantoralDB[[#This Row],[Título]])-1</f>
        <v>1007</v>
      </c>
      <c r="B1008" s="1" t="s">
        <v>1904</v>
      </c>
      <c r="C1008" s="1"/>
      <c r="H1008" s="1" t="s">
        <v>1029</v>
      </c>
      <c r="J1008" s="1" t="s">
        <v>607</v>
      </c>
      <c r="M1008" s="15" t="s">
        <v>483</v>
      </c>
      <c r="N1008" s="1" t="s">
        <v>1493</v>
      </c>
      <c r="O1008" s="15">
        <v>4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008" s="1"/>
      <c r="T1008" s="1"/>
      <c r="U1008" s="32" t="s">
        <v>3918</v>
      </c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008" s="15" t="str">
        <f>_xlfn.TEXTBEFORE(_xlfn.TEXTAFTER(CantoralDB[[#This Row],[index.html]],"&gt;"),"&gt;")&amp;"&gt;"</f>
        <v>&lt;a href="canciones/kairoi/la_libertad_del_espiritu.html"&gt;</v>
      </c>
      <c r="X1008"/>
      <c r="AB1008" s="1"/>
    </row>
    <row r="1009" spans="1:28" x14ac:dyDescent="0.3">
      <c r="A1009" s="1">
        <f>ROW(CantoralDB[[#This Row],[Título]])-1</f>
        <v>1008</v>
      </c>
      <c r="B1009" s="1" t="s">
        <v>1650</v>
      </c>
      <c r="C1009" s="1"/>
      <c r="J1009" s="1"/>
      <c r="M1009" s="15" t="s">
        <v>483</v>
      </c>
      <c r="N1009" s="1" t="s">
        <v>1493</v>
      </c>
      <c r="O1009" s="15">
        <v>5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009" s="1"/>
      <c r="T1009" s="1"/>
      <c r="U1009" s="32" t="s">
        <v>3919</v>
      </c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009" s="15" t="str">
        <f>_xlfn.TEXTBEFORE(_xlfn.TEXTAFTER(CantoralDB[[#This Row],[index.html]],"&gt;"),"&gt;")&amp;"&gt;"</f>
        <v>&lt;a href="canciones/kairoi/que_sepamos_estar.html"&gt;</v>
      </c>
      <c r="X1009"/>
      <c r="AB1009" s="1"/>
    </row>
    <row r="1010" spans="1:28" x14ac:dyDescent="0.3">
      <c r="A1010" s="1">
        <f>ROW(CantoralDB[[#This Row],[Título]])-1</f>
        <v>1009</v>
      </c>
      <c r="B1010" s="1" t="s">
        <v>1578</v>
      </c>
      <c r="C1010" s="1"/>
      <c r="H1010" s="1" t="s">
        <v>1028</v>
      </c>
      <c r="J1010" s="1" t="s">
        <v>607</v>
      </c>
      <c r="M1010" s="15" t="s">
        <v>483</v>
      </c>
      <c r="N1010" s="1" t="s">
        <v>1493</v>
      </c>
      <c r="O1010" s="15">
        <v>6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010" s="1"/>
      <c r="T1010" s="1"/>
      <c r="U1010" s="32" t="s">
        <v>3920</v>
      </c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010" s="15" t="str">
        <f>_xlfn.TEXTBEFORE(_xlfn.TEXTAFTER(CantoralDB[[#This Row],[index.html]],"&gt;"),"&gt;")&amp;"&gt;"</f>
        <v>&lt;a href="canciones/kairoi/quejate_si_puedes.html"&gt;</v>
      </c>
      <c r="X1010"/>
      <c r="AB1010" s="1"/>
    </row>
    <row r="1011" spans="1:28" x14ac:dyDescent="0.3">
      <c r="A1011" s="1">
        <f>ROW(CantoralDB[[#This Row],[Título]])-1</f>
        <v>1010</v>
      </c>
      <c r="B1011" s="1" t="s">
        <v>1903</v>
      </c>
      <c r="C1011" s="1"/>
      <c r="H1011" s="1" t="s">
        <v>472</v>
      </c>
      <c r="J1011" s="1" t="s">
        <v>607</v>
      </c>
      <c r="M1011" s="15" t="s">
        <v>483</v>
      </c>
      <c r="N1011" s="1" t="s">
        <v>1493</v>
      </c>
      <c r="O1011" s="15">
        <v>7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011" s="1"/>
      <c r="T1011" s="1"/>
      <c r="U1011" s="32" t="s">
        <v>3921</v>
      </c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011" s="15" t="str">
        <f>_xlfn.TEXTBEFORE(_xlfn.TEXTAFTER(CantoralDB[[#This Row],[index.html]],"&gt;"),"&gt;")&amp;"&gt;"</f>
        <v>&lt;a href="canciones/kairoi/lo_entregaron_todo.html"&gt;</v>
      </c>
      <c r="X1011"/>
      <c r="AB1011" s="1"/>
    </row>
    <row r="1012" spans="1:28" x14ac:dyDescent="0.3">
      <c r="A1012" s="1">
        <f>ROW(CantoralDB[[#This Row],[Título]])-1</f>
        <v>1011</v>
      </c>
      <c r="B1012" s="1" t="s">
        <v>2024</v>
      </c>
      <c r="C1012" s="1"/>
      <c r="H1012" s="1" t="s">
        <v>530</v>
      </c>
      <c r="J1012" s="1" t="s">
        <v>607</v>
      </c>
      <c r="M1012" s="15" t="s">
        <v>483</v>
      </c>
      <c r="N1012" s="1" t="s">
        <v>1493</v>
      </c>
      <c r="O1012" s="15">
        <v>8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012" s="1"/>
      <c r="T1012" s="1"/>
      <c r="U1012" s="32" t="s">
        <v>3922</v>
      </c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012" s="15" t="str">
        <f>_xlfn.TEXTBEFORE(_xlfn.TEXTAFTER(CantoralDB[[#This Row],[index.html]],"&gt;"),"&gt;")&amp;"&gt;"</f>
        <v>&lt;a href="canciones/kairoi/vale_mas_hablar_con_dios.html"&gt;</v>
      </c>
      <c r="X1012"/>
      <c r="AB1012" s="1"/>
    </row>
    <row r="1013" spans="1:28" x14ac:dyDescent="0.3">
      <c r="A1013" s="1">
        <f>ROW(CantoralDB[[#This Row],[Título]])-1</f>
        <v>1012</v>
      </c>
      <c r="B1013" s="1" t="s">
        <v>1579</v>
      </c>
      <c r="C1013" s="1"/>
      <c r="H1013" s="1" t="s">
        <v>472</v>
      </c>
      <c r="J1013" s="1" t="s">
        <v>607</v>
      </c>
      <c r="M1013" s="15" t="s">
        <v>483</v>
      </c>
      <c r="N1013" s="1" t="s">
        <v>1493</v>
      </c>
      <c r="O1013" s="15">
        <v>9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013" s="1"/>
      <c r="T1013" s="1"/>
      <c r="U1013" s="32" t="s">
        <v>3923</v>
      </c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013" s="15" t="str">
        <f>_xlfn.TEXTBEFORE(_xlfn.TEXTAFTER(CantoralDB[[#This Row],[index.html]],"&gt;"),"&gt;")&amp;"&gt;"</f>
        <v>&lt;a href="canciones/kairoi/de_lo_debil_saca_fuerzas_dios.html"&gt;</v>
      </c>
      <c r="X1013"/>
      <c r="AB1013" s="1"/>
    </row>
    <row r="1014" spans="1:28" x14ac:dyDescent="0.3">
      <c r="A1014" s="1">
        <f>ROW(CantoralDB[[#This Row],[Título]])-1</f>
        <v>1013</v>
      </c>
      <c r="B1014" s="1" t="s">
        <v>2183</v>
      </c>
      <c r="C1014" s="1"/>
      <c r="H1014" s="1" t="s">
        <v>1028</v>
      </c>
      <c r="J1014" s="1" t="s">
        <v>607</v>
      </c>
      <c r="M1014" s="15" t="s">
        <v>483</v>
      </c>
      <c r="N1014" s="1" t="s">
        <v>1493</v>
      </c>
      <c r="O1014" s="15">
        <v>10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014" s="1"/>
      <c r="T1014" s="1"/>
      <c r="U1014" s="32" t="s">
        <v>3924</v>
      </c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014" s="15" t="str">
        <f>_xlfn.TEXTBEFORE(_xlfn.TEXTAFTER(CantoralDB[[#This Row],[index.html]],"&gt;"),"&gt;")&amp;"&gt;"</f>
        <v>&lt;a href="canciones/kairoi/fueron_valientes.html"&gt;</v>
      </c>
      <c r="X1014"/>
      <c r="AB1014" s="1"/>
    </row>
    <row r="1015" spans="1:28" x14ac:dyDescent="0.3">
      <c r="A1015" s="1">
        <f>ROW(CantoralDB[[#This Row],[Título]])-1</f>
        <v>1014</v>
      </c>
      <c r="B1015" s="1" t="s">
        <v>1905</v>
      </c>
      <c r="C1015" s="1"/>
      <c r="H1015" s="1" t="s">
        <v>1029</v>
      </c>
      <c r="J1015" s="1" t="s">
        <v>607</v>
      </c>
      <c r="M1015" s="15" t="s">
        <v>483</v>
      </c>
      <c r="N1015" s="1" t="s">
        <v>1493</v>
      </c>
      <c r="O1015" s="15">
        <v>11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015" s="1"/>
      <c r="T1015" s="1"/>
      <c r="U1015" s="32" t="s">
        <v>3925</v>
      </c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015" s="15" t="str">
        <f>_xlfn.TEXTBEFORE(_xlfn.TEXTAFTER(CantoralDB[[#This Row],[index.html]],"&gt;"),"&gt;")&amp;"&gt;"</f>
        <v>&lt;a href="canciones/kairoi/te_reclamaran_la_vida.html"&gt;</v>
      </c>
      <c r="X1015"/>
      <c r="AB1015" s="1"/>
    </row>
    <row r="1016" spans="1:28" x14ac:dyDescent="0.3">
      <c r="A1016" s="1">
        <f>ROW(CantoralDB[[#This Row],[Título]])-1</f>
        <v>1015</v>
      </c>
      <c r="B1016" s="1" t="s">
        <v>1580</v>
      </c>
      <c r="C1016" s="1"/>
      <c r="H1016" s="1" t="s">
        <v>1027</v>
      </c>
      <c r="J1016" s="1" t="s">
        <v>607</v>
      </c>
      <c r="M1016" s="15" t="s">
        <v>483</v>
      </c>
      <c r="N1016" s="1" t="s">
        <v>1493</v>
      </c>
      <c r="O1016" s="15">
        <v>12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016" s="1"/>
      <c r="T1016" s="1"/>
      <c r="U1016" s="32" t="s">
        <v>3926</v>
      </c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016" s="15" t="str">
        <f>_xlfn.TEXTBEFORE(_xlfn.TEXTAFTER(CantoralDB[[#This Row],[index.html]],"&gt;"),"&gt;")&amp;"&gt;"</f>
        <v>&lt;a href="canciones/kairoi/esperad_al_señor.html"&gt;</v>
      </c>
      <c r="X1016"/>
      <c r="AB1016" s="1"/>
    </row>
    <row r="1017" spans="1:28" x14ac:dyDescent="0.3">
      <c r="A1017" s="1">
        <f>ROW(CantoralDB[[#This Row],[Título]])-1</f>
        <v>1016</v>
      </c>
      <c r="B1017" s="1" t="s">
        <v>1496</v>
      </c>
      <c r="C1017" s="1"/>
      <c r="J1017" s="1"/>
      <c r="M1017" s="15" t="s">
        <v>483</v>
      </c>
      <c r="N1017" s="1" t="s">
        <v>1496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017" s="1"/>
      <c r="T1017" s="1"/>
      <c r="U1017" s="32" t="s">
        <v>3927</v>
      </c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017" s="15" t="str">
        <f>_xlfn.TEXTBEFORE(_xlfn.TEXTAFTER(CantoralDB[[#This Row],[index.html]],"&gt;"),"&gt;")&amp;"&gt;"</f>
        <v>&lt;a href="canciones/kairoi/un_corazon_sin_fronteras.html"&gt;</v>
      </c>
      <c r="X1017"/>
      <c r="AB1017" s="1"/>
    </row>
    <row r="1018" spans="1:28" x14ac:dyDescent="0.3">
      <c r="A1018" s="1">
        <f>ROW(CantoralDB[[#This Row],[Título]])-1</f>
        <v>1017</v>
      </c>
      <c r="B1018" s="1" t="s">
        <v>1610</v>
      </c>
      <c r="C1018" s="1"/>
      <c r="H1018" s="1" t="s">
        <v>1026</v>
      </c>
      <c r="J1018" s="1" t="s">
        <v>607</v>
      </c>
      <c r="M1018" s="15" t="s">
        <v>483</v>
      </c>
      <c r="N1018" s="1" t="s">
        <v>1496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018" s="1"/>
      <c r="T1018" s="1"/>
      <c r="U1018" s="32" t="s">
        <v>3928</v>
      </c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018" s="15" t="str">
        <f>_xlfn.TEXTBEFORE(_xlfn.TEXTAFTER(CantoralDB[[#This Row],[index.html]],"&gt;"),"&gt;")&amp;"&gt;"</f>
        <v>&lt;a href="canciones/kairoi/buena_madre.html"&gt;</v>
      </c>
      <c r="X1018"/>
      <c r="AB1018" s="1"/>
    </row>
    <row r="1019" spans="1:28" x14ac:dyDescent="0.3">
      <c r="A1019" s="1">
        <f>ROW(CantoralDB[[#This Row],[Título]])-1</f>
        <v>1018</v>
      </c>
      <c r="B1019" s="1" t="s">
        <v>1548</v>
      </c>
      <c r="C1019" s="1"/>
      <c r="H1019" s="1" t="s">
        <v>1029</v>
      </c>
      <c r="J1019" s="1" t="s">
        <v>607</v>
      </c>
      <c r="M1019" s="15" t="s">
        <v>483</v>
      </c>
      <c r="N1019" s="1" t="s">
        <v>1496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019" s="1"/>
      <c r="T1019" s="1"/>
      <c r="U1019" s="32" t="s">
        <v>3929</v>
      </c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019" s="15" t="str">
        <f>_xlfn.TEXTBEFORE(_xlfn.TEXTAFTER(CantoralDB[[#This Row],[index.html]],"&gt;"),"&gt;")&amp;"&gt;"</f>
        <v>&lt;a href="canciones/kairoi/construyenos_la_casa.html"&gt;</v>
      </c>
      <c r="X1019"/>
      <c r="AB1019" s="1"/>
    </row>
    <row r="1020" spans="1:28" x14ac:dyDescent="0.3">
      <c r="A1020" s="1">
        <f>ROW(CantoralDB[[#This Row],[Título]])-1</f>
        <v>1019</v>
      </c>
      <c r="B1020" s="1" t="s">
        <v>1608</v>
      </c>
      <c r="C1020" s="1"/>
      <c r="H1020" s="1" t="s">
        <v>1026</v>
      </c>
      <c r="J1020" s="1" t="s">
        <v>607</v>
      </c>
      <c r="M1020" s="15" t="s">
        <v>483</v>
      </c>
      <c r="N1020" s="1" t="s">
        <v>1496</v>
      </c>
      <c r="O1020" s="15">
        <v>6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020" s="1"/>
      <c r="T1020" s="1"/>
      <c r="U1020" s="32" t="s">
        <v>3930</v>
      </c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020" s="15" t="str">
        <f>_xlfn.TEXTBEFORE(_xlfn.TEXTAFTER(CantoralDB[[#This Row],[index.html]],"&gt;"),"&gt;")&amp;"&gt;"</f>
        <v>&lt;a href="canciones/kairoi/hermano_entre_los_hombres.html"&gt;</v>
      </c>
      <c r="X1020"/>
      <c r="AB1020" s="1"/>
    </row>
    <row r="1021" spans="1:28" x14ac:dyDescent="0.3">
      <c r="A1021" s="1">
        <f>ROW(CantoralDB[[#This Row],[Título]])-1</f>
        <v>1020</v>
      </c>
      <c r="B1021" s="1" t="s">
        <v>1607</v>
      </c>
      <c r="C1021" s="1"/>
      <c r="H1021" s="1" t="s">
        <v>530</v>
      </c>
      <c r="J1021" s="1" t="s">
        <v>607</v>
      </c>
      <c r="M1021" s="15" t="s">
        <v>483</v>
      </c>
      <c r="N1021" s="1" t="s">
        <v>1496</v>
      </c>
      <c r="O1021" s="15">
        <v>7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021" s="1"/>
      <c r="T1021" s="1"/>
      <c r="U1021" s="32" t="s">
        <v>3931</v>
      </c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021" s="15" t="str">
        <f>_xlfn.TEXTBEFORE(_xlfn.TEXTAFTER(CantoralDB[[#This Row],[index.html]],"&gt;"),"&gt;")&amp;"&gt;"</f>
        <v>&lt;a href="canciones/kairoi/en_torno_al_pan.html"&gt;</v>
      </c>
      <c r="X1021"/>
      <c r="AB1021" s="1"/>
    </row>
    <row r="1022" spans="1:28" x14ac:dyDescent="0.3">
      <c r="A1022" s="1">
        <f>ROW(CantoralDB[[#This Row],[Título]])-1</f>
        <v>1021</v>
      </c>
      <c r="B1022" s="1" t="s">
        <v>1676</v>
      </c>
      <c r="C1022" s="1"/>
      <c r="J1022" s="1"/>
      <c r="M1022" s="15" t="s">
        <v>483</v>
      </c>
      <c r="N1022" s="1" t="s">
        <v>1496</v>
      </c>
      <c r="O1022" s="15">
        <v>8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022" s="1"/>
      <c r="T1022" s="1"/>
      <c r="U1022" s="32" t="s">
        <v>3932</v>
      </c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022" s="15" t="str">
        <f>_xlfn.TEXTBEFORE(_xlfn.TEXTAFTER(CantoralDB[[#This Row],[index.html]],"&gt;"),"&gt;")&amp;"&gt;"</f>
        <v>&lt;a href="canciones/kairoi/frases_marcelino.html"&gt;</v>
      </c>
      <c r="X1022"/>
      <c r="AB1022" s="1"/>
    </row>
    <row r="1023" spans="1:28" x14ac:dyDescent="0.3">
      <c r="A1023" s="1">
        <f>ROW(CantoralDB[[#This Row],[Título]])-1</f>
        <v>1022</v>
      </c>
      <c r="B1023" s="1" t="s">
        <v>1605</v>
      </c>
      <c r="C1023" s="1"/>
      <c r="J1023" s="1"/>
      <c r="M1023" s="15" t="s">
        <v>483</v>
      </c>
      <c r="N1023" s="1" t="s">
        <v>1496</v>
      </c>
      <c r="O1023" s="15">
        <v>9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023" s="1"/>
      <c r="T1023" s="1"/>
      <c r="U1023" s="32" t="s">
        <v>3933</v>
      </c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023" s="15" t="str">
        <f>_xlfn.TEXTBEFORE(_xlfn.TEXTAFTER(CantoralDB[[#This Row],[index.html]],"&gt;"),"&gt;")&amp;"&gt;"</f>
        <v>&lt;a href="canciones/kairoi/hermano_confia_en_dios.html"&gt;</v>
      </c>
      <c r="X1023"/>
      <c r="AB1023" s="1"/>
    </row>
    <row r="1024" spans="1:28" x14ac:dyDescent="0.3">
      <c r="A1024" s="1">
        <f>ROW(CantoralDB[[#This Row],[Título]])-1</f>
        <v>1023</v>
      </c>
      <c r="B1024" s="1" t="s">
        <v>1596</v>
      </c>
      <c r="C1024" s="1"/>
      <c r="J1024" s="1"/>
      <c r="M1024" s="15" t="s">
        <v>483</v>
      </c>
      <c r="N1024" s="1" t="s">
        <v>1496</v>
      </c>
      <c r="O1024" s="15">
        <v>10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024" s="1"/>
      <c r="T1024" s="1"/>
      <c r="U1024" s="32" t="s">
        <v>3934</v>
      </c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024" s="15" t="str">
        <f>_xlfn.TEXTBEFORE(_xlfn.TEXTAFTER(CantoralDB[[#This Row],[index.html]],"&gt;"),"&gt;")&amp;"&gt;"</f>
        <v>&lt;a href="canciones/kairoi/familia_marista.html"&gt;</v>
      </c>
      <c r="X1024"/>
      <c r="AB1024" s="1"/>
    </row>
    <row r="1025" spans="1:28" x14ac:dyDescent="0.3">
      <c r="A1025" s="1">
        <f>ROW(CantoralDB[[#This Row],[Título]])-1</f>
        <v>1024</v>
      </c>
      <c r="B1025" s="1" t="s">
        <v>1677</v>
      </c>
      <c r="C1025" s="1"/>
      <c r="H1025" s="1" t="s">
        <v>1026</v>
      </c>
      <c r="J1025" s="1" t="s">
        <v>607</v>
      </c>
      <c r="M1025" s="15" t="s">
        <v>483</v>
      </c>
      <c r="N1025" s="1" t="s">
        <v>1496</v>
      </c>
      <c r="O1025" s="15">
        <v>12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025" s="1"/>
      <c r="T1025" s="1"/>
      <c r="U1025" s="32" t="s">
        <v>3935</v>
      </c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025" s="15" t="str">
        <f>_xlfn.TEXTBEFORE(_xlfn.TEXTAFTER(CantoralDB[[#This Row],[index.html]],"&gt;"),"&gt;")&amp;"&gt;"</f>
        <v>&lt;a href="canciones/kairoi/acuerdate_maria.html"&gt;</v>
      </c>
      <c r="X1025"/>
      <c r="AB1025" s="1"/>
    </row>
    <row r="1026" spans="1:28" x14ac:dyDescent="0.3">
      <c r="A1026" s="1">
        <f>ROW(CantoralDB[[#This Row],[Título]])-1</f>
        <v>1025</v>
      </c>
      <c r="B1026" s="1" t="s">
        <v>1612</v>
      </c>
      <c r="C1026" s="1"/>
      <c r="H1026" s="1" t="s">
        <v>530</v>
      </c>
      <c r="J1026" s="1" t="s">
        <v>607</v>
      </c>
      <c r="M1026" s="15" t="s">
        <v>483</v>
      </c>
      <c r="N1026" s="1" t="s">
        <v>1496</v>
      </c>
      <c r="O1026" s="15">
        <v>13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026" s="1"/>
      <c r="T1026" s="1"/>
      <c r="U1026" s="32" t="s">
        <v>3936</v>
      </c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026" s="15" t="str">
        <f>_xlfn.TEXTBEFORE(_xlfn.TEXTAFTER(CantoralDB[[#This Row],[index.html]],"&gt;"),"&gt;")&amp;"&gt;"</f>
        <v>&lt;a href="canciones/kairoi/hermano_adios.html"&gt;</v>
      </c>
      <c r="X1026"/>
      <c r="AB1026" s="1"/>
    </row>
    <row r="1027" spans="1:28" x14ac:dyDescent="0.3">
      <c r="A1027" s="1">
        <f>ROW(CantoralDB[[#This Row],[Título]])-1</f>
        <v>1026</v>
      </c>
      <c r="B1027" s="1" t="s">
        <v>1678</v>
      </c>
      <c r="C1027" s="1"/>
      <c r="J1027" s="1"/>
      <c r="M1027" s="15" t="s">
        <v>483</v>
      </c>
      <c r="N1027" s="1" t="s">
        <v>1496</v>
      </c>
      <c r="O1027" s="15">
        <v>14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027" s="1"/>
      <c r="T1027" s="1"/>
      <c r="U1027" s="32" t="s">
        <v>3937</v>
      </c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027" s="15" t="str">
        <f>_xlfn.TEXTBEFORE(_xlfn.TEXTAFTER(CantoralDB[[#This Row],[index.html]],"&gt;"),"&gt;")&amp;"&gt;"</f>
        <v>&lt;a href="canciones/kairoi/tu_seras_hoy_champagnat.html"&gt;</v>
      </c>
      <c r="X1027"/>
      <c r="AB1027" s="1"/>
    </row>
    <row r="1028" spans="1:28" x14ac:dyDescent="0.3">
      <c r="A1028" s="1">
        <f>ROW(CantoralDB[[#This Row],[Título]])-1</f>
        <v>1027</v>
      </c>
      <c r="B1028" s="1" t="s">
        <v>1582</v>
      </c>
      <c r="C1028" s="1"/>
      <c r="J1028" s="1"/>
      <c r="M1028" s="15" t="s">
        <v>483</v>
      </c>
      <c r="N1028" s="1" t="s">
        <v>1483</v>
      </c>
      <c r="O1028" s="15">
        <v>1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028" s="1"/>
      <c r="T1028" s="1"/>
      <c r="U1028" s="32" t="s">
        <v>3938</v>
      </c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028" s="15" t="str">
        <f>_xlfn.TEXTBEFORE(_xlfn.TEXTAFTER(CantoralDB[[#This Row],[index.html]],"&gt;"),"&gt;")&amp;"&gt;"</f>
        <v>&lt;a href="canciones/kairoi/sintonia.html"&gt;</v>
      </c>
      <c r="X1028"/>
      <c r="AB1028" s="1"/>
    </row>
    <row r="1029" spans="1:28" x14ac:dyDescent="0.3">
      <c r="A1029" s="1">
        <f>ROW(CantoralDB[[#This Row],[Título]])-1</f>
        <v>1028</v>
      </c>
      <c r="B1029" s="1" t="s">
        <v>1583</v>
      </c>
      <c r="C1029" s="1"/>
      <c r="J1029" s="1"/>
      <c r="M1029" s="15" t="s">
        <v>483</v>
      </c>
      <c r="N1029" s="1" t="s">
        <v>1483</v>
      </c>
      <c r="O1029" s="15">
        <v>2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029" s="1"/>
      <c r="T1029" s="1"/>
      <c r="U1029" s="32" t="s">
        <v>3939</v>
      </c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029" s="15" t="str">
        <f>_xlfn.TEXTBEFORE(_xlfn.TEXTAFTER(CantoralDB[[#This Row],[index.html]],"&gt;"),"&gt;")&amp;"&gt;"</f>
        <v>&lt;a href="canciones/kairoi/mi_ciudad.html"&gt;</v>
      </c>
      <c r="X1029"/>
      <c r="AB1029" s="1"/>
    </row>
    <row r="1030" spans="1:28" x14ac:dyDescent="0.3">
      <c r="A1030" s="1">
        <f>ROW(CantoralDB[[#This Row],[Título]])-1</f>
        <v>1029</v>
      </c>
      <c r="B1030" s="1" t="s">
        <v>1584</v>
      </c>
      <c r="C1030" s="1"/>
      <c r="J1030" s="1"/>
      <c r="M1030" s="15" t="s">
        <v>483</v>
      </c>
      <c r="N1030" s="1" t="s">
        <v>1483</v>
      </c>
      <c r="O1030" s="15">
        <v>3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030" s="1"/>
      <c r="T1030" s="1"/>
      <c r="U1030" s="32" t="s">
        <v>3940</v>
      </c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030" s="15" t="str">
        <f>_xlfn.TEXTBEFORE(_xlfn.TEXTAFTER(CantoralDB[[#This Row],[index.html]],"&gt;"),"&gt;")&amp;"&gt;"</f>
        <v>&lt;a href="canciones/kairoi/mañana_quien_sabra.html"&gt;</v>
      </c>
      <c r="X1030"/>
      <c r="AB1030" s="1"/>
    </row>
    <row r="1031" spans="1:28" x14ac:dyDescent="0.3">
      <c r="A1031" s="1">
        <f>ROW(CantoralDB[[#This Row],[Título]])-1</f>
        <v>1030</v>
      </c>
      <c r="B1031" s="1" t="s">
        <v>1585</v>
      </c>
      <c r="C1031" s="1"/>
      <c r="J1031" s="1"/>
      <c r="M1031" s="15" t="s">
        <v>483</v>
      </c>
      <c r="N1031" s="1" t="s">
        <v>1483</v>
      </c>
      <c r="O1031" s="15">
        <v>4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031" s="1"/>
      <c r="T1031" s="1"/>
      <c r="U1031" s="32" t="s">
        <v>3941</v>
      </c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031" s="15" t="str">
        <f>_xlfn.TEXTBEFORE(_xlfn.TEXTAFTER(CantoralDB[[#This Row],[index.html]],"&gt;"),"&gt;")&amp;"&gt;"</f>
        <v>&lt;a href="canciones/kairoi/quisiera_haber_nacido.html"&gt;</v>
      </c>
      <c r="X1031"/>
      <c r="AB1031" s="1"/>
    </row>
    <row r="1032" spans="1:28" x14ac:dyDescent="0.3">
      <c r="A1032" s="1">
        <f>ROW(CantoralDB[[#This Row],[Título]])-1</f>
        <v>1031</v>
      </c>
      <c r="B1032" s="1" t="s">
        <v>1586</v>
      </c>
      <c r="C1032" s="1"/>
      <c r="J1032" s="1"/>
      <c r="M1032" s="15" t="s">
        <v>483</v>
      </c>
      <c r="N1032" s="1" t="s">
        <v>1483</v>
      </c>
      <c r="O1032" s="15">
        <v>5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032" s="1"/>
      <c r="T1032" s="1"/>
      <c r="U1032" s="32" t="s">
        <v>3942</v>
      </c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032" s="15" t="str">
        <f>_xlfn.TEXTBEFORE(_xlfn.TEXTAFTER(CantoralDB[[#This Row],[index.html]],"&gt;"),"&gt;")&amp;"&gt;"</f>
        <v>&lt;a href="canciones/kairoi/no_puedo_jugar.html"&gt;</v>
      </c>
      <c r="X1032"/>
      <c r="AB1032" s="1"/>
    </row>
    <row r="1033" spans="1:28" x14ac:dyDescent="0.3">
      <c r="A1033" s="1">
        <f>ROW(CantoralDB[[#This Row],[Título]])-1</f>
        <v>1032</v>
      </c>
      <c r="B1033" s="1" t="s">
        <v>1937</v>
      </c>
      <c r="C1033" s="1"/>
      <c r="J1033" s="1"/>
      <c r="M1033" s="15" t="s">
        <v>483</v>
      </c>
      <c r="N1033" s="1" t="s">
        <v>1483</v>
      </c>
      <c r="O1033" s="15">
        <v>6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033" s="1"/>
      <c r="T1033" s="1"/>
      <c r="U1033" s="32" t="s">
        <v>3943</v>
      </c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033" s="15" t="str">
        <f>_xlfn.TEXTBEFORE(_xlfn.TEXTAFTER(CantoralDB[[#This Row],[index.html]],"&gt;"),"&gt;")&amp;"&gt;"</f>
        <v>&lt;a href="canciones/kairoi/quien_me_ayuda.html"&gt;</v>
      </c>
      <c r="X1033"/>
      <c r="AB1033" s="1"/>
    </row>
    <row r="1034" spans="1:28" x14ac:dyDescent="0.3">
      <c r="A1034" s="1">
        <f>ROW(CantoralDB[[#This Row],[Título]])-1</f>
        <v>1033</v>
      </c>
      <c r="B1034" s="1" t="s">
        <v>1587</v>
      </c>
      <c r="C1034" s="1"/>
      <c r="J1034" s="1"/>
      <c r="M1034" s="15" t="s">
        <v>483</v>
      </c>
      <c r="N1034" s="1" t="s">
        <v>1483</v>
      </c>
      <c r="O1034" s="15">
        <v>7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034" s="1"/>
      <c r="T1034" s="1"/>
      <c r="U1034" s="32" t="s">
        <v>3944</v>
      </c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034" s="15" t="str">
        <f>_xlfn.TEXTBEFORE(_xlfn.TEXTAFTER(CantoralDB[[#This Row],[index.html]],"&gt;"),"&gt;")&amp;"&gt;"</f>
        <v>&lt;a href="canciones/kairoi/siempre_me_gusto_decirte_hola.html"&gt;</v>
      </c>
      <c r="X1034"/>
      <c r="AB1034" s="1"/>
    </row>
    <row r="1035" spans="1:28" x14ac:dyDescent="0.3">
      <c r="A1035" s="1">
        <f>ROW(CantoralDB[[#This Row],[Título]])-1</f>
        <v>1034</v>
      </c>
      <c r="B1035" s="1" t="s">
        <v>1588</v>
      </c>
      <c r="C1035" s="1"/>
      <c r="J1035" s="1"/>
      <c r="M1035" s="15" t="s">
        <v>483</v>
      </c>
      <c r="N1035" s="1" t="s">
        <v>1483</v>
      </c>
      <c r="O1035" s="15">
        <v>8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035" s="1"/>
      <c r="T1035" s="1"/>
      <c r="U1035" s="32" t="s">
        <v>3945</v>
      </c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035" s="15" t="str">
        <f>_xlfn.TEXTBEFORE(_xlfn.TEXTAFTER(CantoralDB[[#This Row],[index.html]],"&gt;"),"&gt;")&amp;"&gt;"</f>
        <v>&lt;a href="canciones/kairoi/solo_trabajar.html"&gt;</v>
      </c>
      <c r="X1035"/>
      <c r="AB1035" s="1"/>
    </row>
    <row r="1036" spans="1:28" x14ac:dyDescent="0.3">
      <c r="A1036" s="1">
        <f>ROW(CantoralDB[[#This Row],[Título]])-1</f>
        <v>1035</v>
      </c>
      <c r="B1036" s="1" t="s">
        <v>1589</v>
      </c>
      <c r="C1036" s="1"/>
      <c r="J1036" s="1"/>
      <c r="M1036" s="15" t="s">
        <v>483</v>
      </c>
      <c r="N1036" s="1" t="s">
        <v>1483</v>
      </c>
      <c r="O1036" s="15">
        <v>9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036" s="1"/>
      <c r="T1036" s="1"/>
      <c r="U1036" s="32" t="s">
        <v>3946</v>
      </c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036" s="15" t="str">
        <f>_xlfn.TEXTBEFORE(_xlfn.TEXTAFTER(CantoralDB[[#This Row],[index.html]],"&gt;"),"&gt;")&amp;"&gt;"</f>
        <v>&lt;a href="canciones/kairoi/no_tengo_a_nadie.html"&gt;</v>
      </c>
      <c r="X1036"/>
      <c r="AB1036" s="1"/>
    </row>
    <row r="1037" spans="1:28" x14ac:dyDescent="0.3">
      <c r="A1037" s="1">
        <f>ROW(CantoralDB[[#This Row],[Título]])-1</f>
        <v>1036</v>
      </c>
      <c r="B1037" s="1" t="s">
        <v>1590</v>
      </c>
      <c r="C1037" s="1"/>
      <c r="J1037" s="1"/>
      <c r="M1037" s="15" t="s">
        <v>483</v>
      </c>
      <c r="N1037" s="1" t="s">
        <v>1483</v>
      </c>
      <c r="O1037" s="15">
        <v>10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037" s="1"/>
      <c r="T1037" s="1"/>
      <c r="U1037" s="32" t="s">
        <v>3947</v>
      </c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037" s="15" t="str">
        <f>_xlfn.TEXTBEFORE(_xlfn.TEXTAFTER(CantoralDB[[#This Row],[index.html]],"&gt;"),"&gt;")&amp;"&gt;"</f>
        <v>&lt;a href="canciones/kairoi/me_hicieron_asi.html"&gt;</v>
      </c>
      <c r="X1037"/>
      <c r="AB1037" s="1"/>
    </row>
    <row r="1038" spans="1:28" x14ac:dyDescent="0.3">
      <c r="A1038" s="1">
        <f>ROW(CantoralDB[[#This Row],[Título]])-1</f>
        <v>1037</v>
      </c>
      <c r="B1038" s="1" t="s">
        <v>1591</v>
      </c>
      <c r="C1038" s="1"/>
      <c r="J1038" s="1"/>
      <c r="M1038" s="15" t="s">
        <v>483</v>
      </c>
      <c r="N1038" s="1" t="s">
        <v>1483</v>
      </c>
      <c r="O1038" s="15">
        <v>11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038" s="1"/>
      <c r="T1038" s="1"/>
      <c r="U1038" s="32" t="s">
        <v>3948</v>
      </c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038" s="15" t="str">
        <f>_xlfn.TEXTBEFORE(_xlfn.TEXTAFTER(CantoralDB[[#This Row],[index.html]],"&gt;"),"&gt;")&amp;"&gt;"</f>
        <v>&lt;a href="canciones/kairoi/tu_y_yo_este_aquel.html"&gt;</v>
      </c>
      <c r="X1038"/>
      <c r="AB1038" s="1"/>
    </row>
    <row r="1039" spans="1:28" x14ac:dyDescent="0.3">
      <c r="A1039" s="1">
        <f>ROW(CantoralDB[[#This Row],[Título]])-1</f>
        <v>1038</v>
      </c>
      <c r="B1039" s="1" t="s">
        <v>1602</v>
      </c>
      <c r="C1039" s="1"/>
      <c r="J1039" s="1"/>
      <c r="M1039" s="15" t="s">
        <v>483</v>
      </c>
      <c r="N1039" s="1" t="s">
        <v>1486</v>
      </c>
      <c r="O1039" s="15">
        <v>1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039" s="1"/>
      <c r="T1039" s="1"/>
      <c r="U1039" s="32" t="s">
        <v>3949</v>
      </c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039" s="15" t="str">
        <f>_xlfn.TEXTBEFORE(_xlfn.TEXTAFTER(CantoralDB[[#This Row],[index.html]],"&gt;"),"&gt;")&amp;"&gt;"</f>
        <v>&lt;a href="canciones/kairoi/gloria_hosana.html"&gt;</v>
      </c>
      <c r="X1039"/>
      <c r="AB1039" s="1"/>
    </row>
    <row r="1040" spans="1:28" x14ac:dyDescent="0.3">
      <c r="A1040" s="1">
        <f>ROW(CantoralDB[[#This Row],[Título]])-1</f>
        <v>1039</v>
      </c>
      <c r="B1040" s="1" t="s">
        <v>1556</v>
      </c>
      <c r="C1040" s="1"/>
      <c r="H1040" s="1" t="s">
        <v>1029</v>
      </c>
      <c r="J1040" s="1" t="s">
        <v>607</v>
      </c>
      <c r="M1040" s="15" t="s">
        <v>483</v>
      </c>
      <c r="N1040" s="1" t="s">
        <v>1486</v>
      </c>
      <c r="O1040" s="15">
        <v>2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040" s="1"/>
      <c r="T1040" s="1"/>
      <c r="U1040" s="32" t="s">
        <v>3950</v>
      </c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040" s="15" t="str">
        <f>_xlfn.TEXTBEFORE(_xlfn.TEXTAFTER(CantoralDB[[#This Row],[index.html]],"&gt;"),"&gt;")&amp;"&gt;"</f>
        <v>&lt;a href="canciones/kairoi/en_tu_cruz_sigues_hoy.html"&gt;</v>
      </c>
      <c r="X1040"/>
      <c r="AB1040" s="1"/>
    </row>
    <row r="1041" spans="1:28" x14ac:dyDescent="0.3">
      <c r="A1041" s="1">
        <f>ROW(CantoralDB[[#This Row],[Título]])-1</f>
        <v>1040</v>
      </c>
      <c r="B1041" s="1" t="s">
        <v>1557</v>
      </c>
      <c r="C1041" s="1"/>
      <c r="H1041" s="1" t="s">
        <v>1027</v>
      </c>
      <c r="J1041" s="1" t="s">
        <v>607</v>
      </c>
      <c r="M1041" s="15" t="s">
        <v>483</v>
      </c>
      <c r="N1041" s="1" t="s">
        <v>1486</v>
      </c>
      <c r="O1041" s="15">
        <v>3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041" s="1"/>
      <c r="T1041" s="1"/>
      <c r="U1041" s="32" t="s">
        <v>3951</v>
      </c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041" s="15" t="str">
        <f>_xlfn.TEXTBEFORE(_xlfn.TEXTAFTER(CantoralDB[[#This Row],[index.html]],"&gt;"),"&gt;")&amp;"&gt;"</f>
        <v>&lt;a href="canciones/kairoi/en_la_cruz_nos_das_la_vida.html"&gt;</v>
      </c>
      <c r="X1041"/>
      <c r="AB1041" s="1"/>
    </row>
    <row r="1042" spans="1:28" x14ac:dyDescent="0.3">
      <c r="A1042" s="1">
        <f>ROW(CantoralDB[[#This Row],[Título]])-1</f>
        <v>1041</v>
      </c>
      <c r="B1042" s="1" t="s">
        <v>1558</v>
      </c>
      <c r="C1042" s="1"/>
      <c r="H1042" s="1" t="s">
        <v>1026</v>
      </c>
      <c r="J1042" s="1" t="s">
        <v>607</v>
      </c>
      <c r="M1042" s="15" t="s">
        <v>483</v>
      </c>
      <c r="N1042" s="1" t="s">
        <v>1486</v>
      </c>
      <c r="O1042" s="15">
        <v>4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042" s="1"/>
      <c r="T1042" s="1"/>
      <c r="U1042" s="32" t="s">
        <v>3952</v>
      </c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042" s="15" t="str">
        <f>_xlfn.TEXTBEFORE(_xlfn.TEXTAFTER(CantoralDB[[#This Row],[index.html]],"&gt;"),"&gt;")&amp;"&gt;"</f>
        <v>&lt;a href="canciones/kairoi/siento_tu_llamada.html"&gt;</v>
      </c>
      <c r="X1042"/>
      <c r="AB1042" s="1"/>
    </row>
    <row r="1043" spans="1:28" x14ac:dyDescent="0.3">
      <c r="A1043" s="1">
        <f>ROW(CantoralDB[[#This Row],[Título]])-1</f>
        <v>1042</v>
      </c>
      <c r="B1043" s="1" t="s">
        <v>1559</v>
      </c>
      <c r="C1043" s="1"/>
      <c r="H1043" s="1" t="s">
        <v>530</v>
      </c>
      <c r="J1043" s="1" t="s">
        <v>607</v>
      </c>
      <c r="M1043" s="15" t="s">
        <v>483</v>
      </c>
      <c r="N1043" s="1" t="s">
        <v>1486</v>
      </c>
      <c r="O1043" s="15">
        <v>5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043" s="1"/>
      <c r="T1043" s="1"/>
      <c r="U1043" s="32" t="s">
        <v>3952</v>
      </c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043" s="15" t="str">
        <f>_xlfn.TEXTBEFORE(_xlfn.TEXTAFTER(CantoralDB[[#This Row],[index.html]],"&gt;"),"&gt;")&amp;"&gt;"</f>
        <v>&lt;a href="canciones/kairoi/el_señor_es_la_esperanza.html"&gt;</v>
      </c>
      <c r="X1043"/>
      <c r="AB1043" s="1"/>
    </row>
    <row r="1044" spans="1:28" x14ac:dyDescent="0.3">
      <c r="A1044" s="1">
        <f>ROW(CantoralDB[[#This Row],[Título]])-1</f>
        <v>1043</v>
      </c>
      <c r="B1044" s="1" t="s">
        <v>1560</v>
      </c>
      <c r="C1044" s="1"/>
      <c r="H1044" s="1" t="s">
        <v>530</v>
      </c>
      <c r="J1044" s="1" t="s">
        <v>607</v>
      </c>
      <c r="M1044" s="15" t="s">
        <v>483</v>
      </c>
      <c r="N1044" s="1" t="s">
        <v>1486</v>
      </c>
      <c r="O1044" s="15">
        <v>6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044" s="1"/>
      <c r="T1044" s="1"/>
      <c r="U1044" s="32" t="s">
        <v>3952</v>
      </c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044" s="15" t="str">
        <f>_xlfn.TEXTBEFORE(_xlfn.TEXTAFTER(CantoralDB[[#This Row],[index.html]],"&gt;"),"&gt;")&amp;"&gt;"</f>
        <v>&lt;a href="canciones/kairoi/el_señor_esta_aqui.html"&gt;</v>
      </c>
      <c r="X1044"/>
      <c r="AB1044" s="1"/>
    </row>
    <row r="1045" spans="1:28" x14ac:dyDescent="0.3">
      <c r="A1045" s="1">
        <f>ROW(CantoralDB[[#This Row],[Título]])-1</f>
        <v>1044</v>
      </c>
      <c r="B1045" s="1" t="s">
        <v>1561</v>
      </c>
      <c r="C1045" s="1"/>
      <c r="H1045" s="1" t="s">
        <v>1027</v>
      </c>
      <c r="J1045" s="1" t="s">
        <v>607</v>
      </c>
      <c r="M1045" s="15" t="s">
        <v>483</v>
      </c>
      <c r="N1045" s="1" t="s">
        <v>1486</v>
      </c>
      <c r="O1045" s="15">
        <v>7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045" s="1"/>
      <c r="T1045" s="1"/>
      <c r="U1045" s="32" t="s">
        <v>3952</v>
      </c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045" s="15" t="str">
        <f>_xlfn.TEXTBEFORE(_xlfn.TEXTAFTER(CantoralDB[[#This Row],[index.html]],"&gt;"),"&gt;")&amp;"&gt;"</f>
        <v>&lt;a href="canciones/kairoi/caminad.html"&gt;</v>
      </c>
      <c r="X1045"/>
      <c r="AB1045" s="1"/>
    </row>
    <row r="1046" spans="1:28" x14ac:dyDescent="0.3">
      <c r="A1046" s="1">
        <f>ROW(CantoralDB[[#This Row],[Título]])-1</f>
        <v>1045</v>
      </c>
      <c r="B1046" s="1" t="s">
        <v>1562</v>
      </c>
      <c r="C1046" s="1"/>
      <c r="H1046" s="1" t="s">
        <v>1027</v>
      </c>
      <c r="J1046" s="1" t="s">
        <v>607</v>
      </c>
      <c r="M1046" s="15" t="s">
        <v>483</v>
      </c>
      <c r="N1046" s="1" t="s">
        <v>1486</v>
      </c>
      <c r="O1046" s="15">
        <v>8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046" s="1"/>
      <c r="T1046" s="1"/>
      <c r="U1046" s="32" t="s">
        <v>3952</v>
      </c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046" s="15" t="str">
        <f>_xlfn.TEXTBEFORE(_xlfn.TEXTAFTER(CantoralDB[[#This Row],[index.html]],"&gt;"),"&gt;")&amp;"&gt;"</f>
        <v>&lt;a href="canciones/kairoi/acogeme_dios.html"&gt;</v>
      </c>
      <c r="X1046"/>
      <c r="AB1046" s="1"/>
    </row>
    <row r="1047" spans="1:28" x14ac:dyDescent="0.3">
      <c r="A1047" s="1">
        <f>ROW(CantoralDB[[#This Row],[Título]])-1</f>
        <v>1046</v>
      </c>
      <c r="B1047" s="1" t="s">
        <v>1563</v>
      </c>
      <c r="C1047" s="1"/>
      <c r="H1047" s="1" t="s">
        <v>1029</v>
      </c>
      <c r="J1047" s="1" t="s">
        <v>607</v>
      </c>
      <c r="M1047" s="15" t="s">
        <v>483</v>
      </c>
      <c r="N1047" s="1" t="s">
        <v>1486</v>
      </c>
      <c r="O1047" s="15">
        <v>9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047" s="1"/>
      <c r="T1047" s="1"/>
      <c r="U1047" s="32" t="s">
        <v>3953</v>
      </c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047" s="15" t="str">
        <f>_xlfn.TEXTBEFORE(_xlfn.TEXTAFTER(CantoralDB[[#This Row],[index.html]],"&gt;"),"&gt;")&amp;"&gt;"</f>
        <v>&lt;a href="canciones/kairoi/maria_madre_del_dolor.html"&gt;</v>
      </c>
      <c r="X1047"/>
      <c r="AB1047" s="1"/>
    </row>
    <row r="1048" spans="1:28" x14ac:dyDescent="0.3">
      <c r="A1048" s="1">
        <f>ROW(CantoralDB[[#This Row],[Título]])-1</f>
        <v>1047</v>
      </c>
      <c r="B1048" s="1" t="s">
        <v>222</v>
      </c>
      <c r="C1048" s="1" t="s">
        <v>190</v>
      </c>
      <c r="D1048" s="1" t="s">
        <v>734</v>
      </c>
      <c r="G1048" s="1" t="s">
        <v>215</v>
      </c>
      <c r="H1048" s="1" t="s">
        <v>530</v>
      </c>
      <c r="J1048" s="1" t="s">
        <v>607</v>
      </c>
      <c r="M1048" s="15" t="s">
        <v>483</v>
      </c>
      <c r="N1048" s="1" t="s">
        <v>1486</v>
      </c>
      <c r="O1048" s="15">
        <v>10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048" s="1"/>
      <c r="T1048" s="1"/>
      <c r="U1048" s="32" t="s">
        <v>3954</v>
      </c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048" s="15" t="str">
        <f>_xlfn.TEXTBEFORE(_xlfn.TEXTAFTER(CantoralDB[[#This Row],[index.html]],"&gt;"),"&gt;")&amp;"&gt;"</f>
        <v>&lt;a href="canciones/kairoi/el_señor_nos_ha_reunido.html"&gt;</v>
      </c>
      <c r="X1048"/>
      <c r="AB1048" s="1"/>
    </row>
    <row r="1049" spans="1:28" x14ac:dyDescent="0.3">
      <c r="A1049" s="1">
        <f>ROW(CantoralDB[[#This Row],[Título]])-1</f>
        <v>1048</v>
      </c>
      <c r="B1049" s="1" t="s">
        <v>1564</v>
      </c>
      <c r="C1049" s="1"/>
      <c r="H1049" s="1" t="s">
        <v>530</v>
      </c>
      <c r="J1049" s="1" t="s">
        <v>607</v>
      </c>
      <c r="M1049" s="15" t="s">
        <v>483</v>
      </c>
      <c r="N1049" s="1" t="s">
        <v>1486</v>
      </c>
      <c r="O1049" s="15">
        <v>11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049" s="1"/>
      <c r="T1049" s="1"/>
      <c r="U1049" s="32" t="s">
        <v>3955</v>
      </c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049" s="15" t="str">
        <f>_xlfn.TEXTBEFORE(_xlfn.TEXTAFTER(CantoralDB[[#This Row],[index.html]],"&gt;"),"&gt;")&amp;"&gt;"</f>
        <v>&lt;a href="canciones/kairoi/llama_de_vida.html"&gt;</v>
      </c>
      <c r="X1049"/>
      <c r="AB1049" s="1"/>
    </row>
    <row r="1050" spans="1:28" x14ac:dyDescent="0.3">
      <c r="A1050" s="1">
        <f>ROW(CantoralDB[[#This Row],[Título]])-1</f>
        <v>1049</v>
      </c>
      <c r="B1050" s="1" t="s">
        <v>1565</v>
      </c>
      <c r="C1050" s="1"/>
      <c r="H1050" s="1" t="s">
        <v>530</v>
      </c>
      <c r="J1050" s="1" t="s">
        <v>607</v>
      </c>
      <c r="M1050" s="15" t="s">
        <v>483</v>
      </c>
      <c r="N1050" s="1" t="s">
        <v>1486</v>
      </c>
      <c r="O1050" s="15">
        <v>12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050" s="1"/>
      <c r="T1050" s="1"/>
      <c r="U1050" s="32" t="s">
        <v>3956</v>
      </c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050" s="15" t="str">
        <f>_xlfn.TEXTBEFORE(_xlfn.TEXTAFTER(CantoralDB[[#This Row],[index.html]],"&gt;"),"&gt;")&amp;"&gt;"</f>
        <v>&lt;a href="canciones/kairoi/venga_tu_reino.html"&gt;</v>
      </c>
      <c r="X1050"/>
      <c r="AB1050" s="1"/>
    </row>
    <row r="1051" spans="1:28" x14ac:dyDescent="0.3">
      <c r="A1051" s="1">
        <f>ROW(CantoralDB[[#This Row],[Título]])-1</f>
        <v>1050</v>
      </c>
      <c r="B1051" s="1" t="s">
        <v>1912</v>
      </c>
      <c r="C1051" s="1" t="s">
        <v>210</v>
      </c>
      <c r="D1051" s="1" t="s">
        <v>1455</v>
      </c>
      <c r="G1051" s="1" t="s">
        <v>208</v>
      </c>
      <c r="H1051" s="1" t="s">
        <v>472</v>
      </c>
      <c r="I1051" s="1" t="s">
        <v>2950</v>
      </c>
      <c r="J1051" s="1" t="s">
        <v>607</v>
      </c>
      <c r="M1051" s="15" t="s">
        <v>483</v>
      </c>
      <c r="N1051" s="1" t="s">
        <v>1486</v>
      </c>
      <c r="O1051" s="15">
        <v>13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051" s="1"/>
      <c r="T1051" s="1"/>
      <c r="U1051" s="32" t="s">
        <v>3957</v>
      </c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051" s="15" t="str">
        <f>_xlfn.TEXTBEFORE(_xlfn.TEXTAFTER(CantoralDB[[#This Row],[index.html]],"&gt;"),"&gt;")&amp;"&gt;"</f>
        <v>&lt;a href="canciones/kairoi/pregon_pascual_(gloria).html"&gt;</v>
      </c>
      <c r="X1051"/>
      <c r="AB1051" s="1"/>
    </row>
    <row r="1052" spans="1:28" x14ac:dyDescent="0.3">
      <c r="A1052" s="1">
        <f>ROW(CantoralDB[[#This Row],[Título]])-1</f>
        <v>1051</v>
      </c>
      <c r="B1052" s="1" t="s">
        <v>558</v>
      </c>
      <c r="C1052" s="1" t="s">
        <v>190</v>
      </c>
      <c r="D1052" s="1" t="s">
        <v>743</v>
      </c>
      <c r="G1052" s="1" t="s">
        <v>552</v>
      </c>
      <c r="H1052" s="1" t="s">
        <v>1026</v>
      </c>
      <c r="J1052" s="1" t="s">
        <v>607</v>
      </c>
      <c r="M1052" s="15" t="s">
        <v>483</v>
      </c>
      <c r="N1052" s="1" t="s">
        <v>1486</v>
      </c>
      <c r="O1052" s="15">
        <v>14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052" s="1"/>
      <c r="T1052" s="1"/>
      <c r="U1052" s="32" t="s">
        <v>3958</v>
      </c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052" s="15" t="str">
        <f>_xlfn.TEXTBEFORE(_xlfn.TEXTAFTER(CantoralDB[[#This Row],[index.html]],"&gt;"),"&gt;")&amp;"&gt;"</f>
        <v>&lt;a href="canciones/kairoi/mirad_jesus_resucita_hoy.html"&gt;</v>
      </c>
      <c r="X1052"/>
      <c r="AB1052" s="1"/>
    </row>
    <row r="1053" spans="1:28" x14ac:dyDescent="0.3">
      <c r="A1053" s="1">
        <f>ROW(CantoralDB[[#This Row],[Título]])-1</f>
        <v>1052</v>
      </c>
      <c r="B1053" s="1" t="s">
        <v>1566</v>
      </c>
      <c r="C1053" s="1"/>
      <c r="H1053" s="1" t="s">
        <v>472</v>
      </c>
      <c r="J1053" s="1" t="s">
        <v>607</v>
      </c>
      <c r="M1053" s="15" t="s">
        <v>483</v>
      </c>
      <c r="N1053" s="1" t="s">
        <v>1486</v>
      </c>
      <c r="O1053" s="15">
        <v>15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053" s="1"/>
      <c r="T1053" s="1"/>
      <c r="U1053" s="32" t="s">
        <v>3959</v>
      </c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053" s="15" t="str">
        <f>_xlfn.TEXTBEFORE(_xlfn.TEXTAFTER(CantoralDB[[#This Row],[index.html]],"&gt;"),"&gt;")&amp;"&gt;"</f>
        <v>&lt;a href="canciones/kairoi/somos_testigos.html"&gt;</v>
      </c>
      <c r="X1053"/>
      <c r="AB1053" s="1"/>
    </row>
    <row r="1054" spans="1:28" x14ac:dyDescent="0.3">
      <c r="A1054" s="1">
        <f>ROW(CantoralDB[[#This Row],[Título]])-1</f>
        <v>1053</v>
      </c>
      <c r="B1054" s="1" t="s">
        <v>1567</v>
      </c>
      <c r="C1054" s="1"/>
      <c r="H1054" s="1" t="s">
        <v>1026</v>
      </c>
      <c r="J1054" s="1" t="s">
        <v>607</v>
      </c>
      <c r="M1054" s="15" t="s">
        <v>483</v>
      </c>
      <c r="N1054" s="1" t="s">
        <v>1486</v>
      </c>
      <c r="O1054" s="15">
        <v>16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054" s="1"/>
      <c r="T1054" s="1"/>
      <c r="U1054" s="32" t="s">
        <v>3960</v>
      </c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054" s="15" t="str">
        <f>_xlfn.TEXTBEFORE(_xlfn.TEXTAFTER(CantoralDB[[#This Row],[index.html]],"&gt;"),"&gt;")&amp;"&gt;"</f>
        <v>&lt;a href="canciones/kairoi/tu_camino_y_tu_verdad.html"&gt;</v>
      </c>
      <c r="X1054"/>
      <c r="AB1054" s="1"/>
    </row>
    <row r="1055" spans="1:28" x14ac:dyDescent="0.3">
      <c r="A1055" s="1">
        <f>ROW(CantoralDB[[#This Row],[Título]])-1</f>
        <v>1054</v>
      </c>
      <c r="B1055" s="1" t="s">
        <v>1679</v>
      </c>
      <c r="C1055" s="1"/>
      <c r="H1055" s="1" t="s">
        <v>1026</v>
      </c>
      <c r="J1055" s="1" t="s">
        <v>607</v>
      </c>
      <c r="M1055" s="15" t="s">
        <v>483</v>
      </c>
      <c r="N1055" s="1" t="s">
        <v>1497</v>
      </c>
      <c r="O1055" s="15">
        <v>1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055" s="1"/>
      <c r="T1055" s="1"/>
      <c r="U1055" s="32" t="s">
        <v>3961</v>
      </c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055" s="15" t="str">
        <f>_xlfn.TEXTBEFORE(_xlfn.TEXTAFTER(CantoralDB[[#This Row],[index.html]],"&gt;"),"&gt;")&amp;"&gt;"</f>
        <v>&lt;a href="canciones/kairoi/seguir_amando.html"&gt;</v>
      </c>
      <c r="X1055"/>
      <c r="AB1055" s="1"/>
    </row>
    <row r="1056" spans="1:28" x14ac:dyDescent="0.3">
      <c r="A1056" s="1">
        <f>ROW(CantoralDB[[#This Row],[Título]])-1</f>
        <v>1055</v>
      </c>
      <c r="B1056" s="1" t="s">
        <v>1497</v>
      </c>
      <c r="C1056" s="1"/>
      <c r="H1056" s="1" t="s">
        <v>472</v>
      </c>
      <c r="J1056" s="1" t="s">
        <v>607</v>
      </c>
      <c r="M1056" s="15" t="s">
        <v>483</v>
      </c>
      <c r="N1056" s="1" t="s">
        <v>1497</v>
      </c>
      <c r="O1056" s="15">
        <v>2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056" s="1"/>
      <c r="T1056" s="1"/>
      <c r="U1056" s="32" t="s">
        <v>3962</v>
      </c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056" s="15" t="str">
        <f>_xlfn.TEXTBEFORE(_xlfn.TEXTAFTER(CantoralDB[[#This Row],[index.html]],"&gt;"),"&gt;")&amp;"&gt;"</f>
        <v>&lt;a href="canciones/kairoi/y_se_vive_la_vida.html"&gt;</v>
      </c>
      <c r="X1056"/>
      <c r="AB1056" s="1"/>
    </row>
    <row r="1057" spans="1:28" x14ac:dyDescent="0.3">
      <c r="A1057" s="1">
        <f>ROW(CantoralDB[[#This Row],[Título]])-1</f>
        <v>1056</v>
      </c>
      <c r="B1057" s="1" t="s">
        <v>1680</v>
      </c>
      <c r="C1057" s="1"/>
      <c r="H1057" s="1" t="s">
        <v>1026</v>
      </c>
      <c r="J1057" s="1" t="s">
        <v>607</v>
      </c>
      <c r="M1057" s="15" t="s">
        <v>483</v>
      </c>
      <c r="N1057" s="1" t="s">
        <v>1497</v>
      </c>
      <c r="O1057" s="15">
        <v>3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057" s="1"/>
      <c r="T1057" s="1"/>
      <c r="U1057" s="32" t="s">
        <v>3963</v>
      </c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057" s="15" t="str">
        <f>_xlfn.TEXTBEFORE(_xlfn.TEXTAFTER(CantoralDB[[#This Row],[index.html]],"&gt;"),"&gt;")&amp;"&gt;"</f>
        <v>&lt;a href="canciones/kairoi/jesus_cambianos.html"&gt;</v>
      </c>
      <c r="X1057"/>
      <c r="AB1057" s="1"/>
    </row>
    <row r="1058" spans="1:28" x14ac:dyDescent="0.3">
      <c r="A1058" s="1">
        <f>ROW(CantoralDB[[#This Row],[Título]])-1</f>
        <v>1057</v>
      </c>
      <c r="B1058" s="1" t="s">
        <v>1681</v>
      </c>
      <c r="C1058" s="1"/>
      <c r="H1058" s="1" t="s">
        <v>530</v>
      </c>
      <c r="J1058" s="1" t="s">
        <v>607</v>
      </c>
      <c r="M1058" s="15" t="s">
        <v>483</v>
      </c>
      <c r="N1058" s="1" t="s">
        <v>1497</v>
      </c>
      <c r="O1058" s="15">
        <v>4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058" s="1"/>
      <c r="T1058" s="1"/>
      <c r="U1058" s="32" t="s">
        <v>3964</v>
      </c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058" s="15" t="str">
        <f>_xlfn.TEXTBEFORE(_xlfn.TEXTAFTER(CantoralDB[[#This Row],[index.html]],"&gt;"),"&gt;")&amp;"&gt;"</f>
        <v>&lt;a href="canciones/kairoi/como_maria.html"&gt;</v>
      </c>
      <c r="X1058"/>
      <c r="AB1058" s="1"/>
    </row>
    <row r="1059" spans="1:28" x14ac:dyDescent="0.3">
      <c r="A1059" s="1">
        <f>ROW(CantoralDB[[#This Row],[Título]])-1</f>
        <v>1058</v>
      </c>
      <c r="B1059" s="1" t="s">
        <v>1682</v>
      </c>
      <c r="C1059" s="1"/>
      <c r="H1059" s="1" t="s">
        <v>1027</v>
      </c>
      <c r="J1059" s="1" t="s">
        <v>607</v>
      </c>
      <c r="M1059" s="15" t="s">
        <v>483</v>
      </c>
      <c r="N1059" s="1" t="s">
        <v>1497</v>
      </c>
      <c r="O1059" s="15">
        <v>5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059" s="1"/>
      <c r="T1059" s="1"/>
      <c r="U1059" s="32" t="s">
        <v>3965</v>
      </c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059" s="15" t="str">
        <f>_xlfn.TEXTBEFORE(_xlfn.TEXTAFTER(CantoralDB[[#This Row],[index.html]],"&gt;"),"&gt;")&amp;"&gt;"</f>
        <v>&lt;a href="canciones/kairoi/nos_marca_el_caminar.html"&gt;</v>
      </c>
      <c r="X1059"/>
      <c r="AB1059" s="1"/>
    </row>
    <row r="1060" spans="1:28" x14ac:dyDescent="0.3">
      <c r="A1060" s="1">
        <f>ROW(CantoralDB[[#This Row],[Título]])-1</f>
        <v>1059</v>
      </c>
      <c r="B1060" s="1" t="s">
        <v>1683</v>
      </c>
      <c r="C1060" s="1"/>
      <c r="J1060" s="1"/>
      <c r="M1060" s="15" t="s">
        <v>483</v>
      </c>
      <c r="N1060" s="1" t="s">
        <v>1497</v>
      </c>
      <c r="O1060" s="15">
        <v>6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060" s="1"/>
      <c r="T1060" s="1"/>
      <c r="U1060" s="32" t="s">
        <v>3966</v>
      </c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060" s="15" t="str">
        <f>_xlfn.TEXTBEFORE(_xlfn.TEXTAFTER(CantoralDB[[#This Row],[index.html]],"&gt;"),"&gt;")&amp;"&gt;"</f>
        <v>&lt;a href="canciones/kairoi/alfonsa_hermana_y_amiga.html"&gt;</v>
      </c>
      <c r="X1060"/>
      <c r="AB1060" s="1"/>
    </row>
    <row r="1061" spans="1:28" x14ac:dyDescent="0.3">
      <c r="A1061" s="1">
        <f>ROW(CantoralDB[[#This Row],[Título]])-1</f>
        <v>1060</v>
      </c>
      <c r="B1061" s="1" t="s">
        <v>1684</v>
      </c>
      <c r="C1061" s="1"/>
      <c r="H1061" s="1" t="s">
        <v>1029</v>
      </c>
      <c r="J1061" s="1" t="s">
        <v>607</v>
      </c>
      <c r="M1061" s="15" t="s">
        <v>483</v>
      </c>
      <c r="N1061" s="1" t="s">
        <v>1497</v>
      </c>
      <c r="O1061" s="15">
        <v>7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061" s="1"/>
      <c r="T1061" s="1"/>
      <c r="U1061" s="32" t="s">
        <v>3967</v>
      </c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061" s="15" t="str">
        <f>_xlfn.TEXTBEFORE(_xlfn.TEXTAFTER(CantoralDB[[#This Row],[index.html]],"&gt;"),"&gt;")&amp;"&gt;"</f>
        <v>&lt;a href="canciones/kairoi/soy_mujer.html"&gt;</v>
      </c>
      <c r="X1061"/>
      <c r="AB1061" s="1"/>
    </row>
    <row r="1062" spans="1:28" x14ac:dyDescent="0.3">
      <c r="A1062" s="1">
        <f>ROW(CantoralDB[[#This Row],[Título]])-1</f>
        <v>1061</v>
      </c>
      <c r="B1062" s="1" t="s">
        <v>1685</v>
      </c>
      <c r="C1062" s="1"/>
      <c r="H1062" s="1" t="s">
        <v>530</v>
      </c>
      <c r="J1062" s="1" t="s">
        <v>607</v>
      </c>
      <c r="M1062" s="15" t="s">
        <v>483</v>
      </c>
      <c r="N1062" s="1" t="s">
        <v>1497</v>
      </c>
      <c r="O1062" s="15">
        <v>8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062" s="1"/>
      <c r="T1062" s="1"/>
      <c r="U1062" s="32" t="s">
        <v>3968</v>
      </c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062" s="15" t="str">
        <f>_xlfn.TEXTBEFORE(_xlfn.TEXTAFTER(CantoralDB[[#This Row],[index.html]],"&gt;"),"&gt;")&amp;"&gt;"</f>
        <v>&lt;a href="canciones/kairoi/en_ti_solo_descanso.html"&gt;</v>
      </c>
      <c r="X1062"/>
      <c r="AB1062" s="1"/>
    </row>
    <row r="1063" spans="1:28" x14ac:dyDescent="0.3">
      <c r="A1063" s="1">
        <f>ROW(CantoralDB[[#This Row],[Título]])-1</f>
        <v>1062</v>
      </c>
      <c r="B1063" s="1" t="s">
        <v>892</v>
      </c>
      <c r="C1063" s="1"/>
      <c r="H1063" s="1" t="s">
        <v>1029</v>
      </c>
      <c r="J1063" s="1" t="s">
        <v>607</v>
      </c>
      <c r="M1063" s="15" t="s">
        <v>483</v>
      </c>
      <c r="N1063" s="1" t="s">
        <v>1497</v>
      </c>
      <c r="O1063" s="15">
        <v>9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063" s="1"/>
      <c r="T1063" s="1"/>
      <c r="U1063" s="32" t="s">
        <v>3969</v>
      </c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063" s="15" t="str">
        <f>_xlfn.TEXTBEFORE(_xlfn.TEXTAFTER(CantoralDB[[#This Row],[index.html]],"&gt;"),"&gt;")&amp;"&gt;"</f>
        <v>&lt;a href="canciones/kairoi/dios_de_la_vida.html"&gt;</v>
      </c>
      <c r="X1063"/>
      <c r="AB1063" s="1"/>
    </row>
    <row r="1064" spans="1:28" x14ac:dyDescent="0.3">
      <c r="A1064" s="1">
        <f>ROW(CantoralDB[[#This Row],[Título]])-1</f>
        <v>1063</v>
      </c>
      <c r="B1064" s="1" t="s">
        <v>1686</v>
      </c>
      <c r="C1064" s="1"/>
      <c r="H1064" s="1" t="s">
        <v>472</v>
      </c>
      <c r="J1064" s="1" t="s">
        <v>607</v>
      </c>
      <c r="M1064" s="15" t="s">
        <v>483</v>
      </c>
      <c r="N1064" s="1" t="s">
        <v>1497</v>
      </c>
      <c r="O1064" s="15">
        <v>10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064" s="1"/>
      <c r="T1064" s="1"/>
      <c r="U1064" s="32" t="s">
        <v>3970</v>
      </c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064" s="15" t="str">
        <f>_xlfn.TEXTBEFORE(_xlfn.TEXTAFTER(CantoralDB[[#This Row],[index.html]],"&gt;"),"&gt;")&amp;"&gt;"</f>
        <v>&lt;a href="canciones/kairoi/sueña.html"&gt;</v>
      </c>
      <c r="X1064"/>
      <c r="AB1064" s="1"/>
    </row>
    <row r="1065" spans="1:28" x14ac:dyDescent="0.3">
      <c r="A1065" s="1">
        <f>ROW(CantoralDB[[#This Row],[Título]])-1</f>
        <v>1064</v>
      </c>
      <c r="B1065" s="1" t="s">
        <v>109</v>
      </c>
      <c r="C1065" s="1" t="s">
        <v>197</v>
      </c>
      <c r="D1065" s="1" t="s">
        <v>1450</v>
      </c>
      <c r="E1065" s="1">
        <v>201</v>
      </c>
      <c r="G1065" s="1" t="s">
        <v>208</v>
      </c>
      <c r="H1065" s="1" t="s">
        <v>530</v>
      </c>
      <c r="I1065" s="1" t="s">
        <v>2953</v>
      </c>
      <c r="J1065" s="1" t="s">
        <v>607</v>
      </c>
      <c r="M1065" s="15" t="s">
        <v>483</v>
      </c>
      <c r="N1065" s="1" t="s">
        <v>1485</v>
      </c>
      <c r="O1065" s="15">
        <v>1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065" s="1"/>
      <c r="T1065" s="1"/>
      <c r="U1065" s="32" t="s">
        <v>3971</v>
      </c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065" s="15" t="str">
        <f>_xlfn.TEXTBEFORE(_xlfn.TEXTAFTER(CantoralDB[[#This Row],[index.html]],"&gt;"),"&gt;")&amp;"&gt;"</f>
        <v>&lt;a href="canciones/kairoi/paz_en_la_tierra.html"&gt;</v>
      </c>
      <c r="X1065"/>
      <c r="AB1065" s="1"/>
    </row>
    <row r="1066" spans="1:28" x14ac:dyDescent="0.3">
      <c r="A1066" s="1">
        <f>ROW(CantoralDB[[#This Row],[Título]])-1</f>
        <v>1065</v>
      </c>
      <c r="B1066" s="1" t="s">
        <v>1550</v>
      </c>
      <c r="C1066" s="1"/>
      <c r="H1066" s="1" t="s">
        <v>530</v>
      </c>
      <c r="J1066" s="1" t="s">
        <v>607</v>
      </c>
      <c r="M1066" s="15" t="s">
        <v>483</v>
      </c>
      <c r="N1066" s="1" t="s">
        <v>1485</v>
      </c>
      <c r="O1066" s="15">
        <v>2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066" s="1"/>
      <c r="T1066" s="1"/>
      <c r="U1066" s="32" t="s">
        <v>3972</v>
      </c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066" s="15" t="str">
        <f>_xlfn.TEXTBEFORE(_xlfn.TEXTAFTER(CantoralDB[[#This Row],[index.html]],"&gt;"),"&gt;")&amp;"&gt;"</f>
        <v>&lt;a href="canciones/kairoi/me_estas_llamando.html"&gt;</v>
      </c>
      <c r="X1066"/>
      <c r="AB1066" s="1"/>
    </row>
    <row r="1067" spans="1:28" x14ac:dyDescent="0.3">
      <c r="A1067" s="1">
        <f>ROW(CantoralDB[[#This Row],[Título]])-1</f>
        <v>1066</v>
      </c>
      <c r="B1067" s="1" t="s">
        <v>503</v>
      </c>
      <c r="C1067" s="1" t="s">
        <v>192</v>
      </c>
      <c r="D1067" s="1" t="s">
        <v>1471</v>
      </c>
      <c r="G1067" s="1" t="s">
        <v>215</v>
      </c>
      <c r="H1067" s="1" t="s">
        <v>530</v>
      </c>
      <c r="J1067" s="1" t="s">
        <v>607</v>
      </c>
      <c r="M1067" s="15" t="s">
        <v>483</v>
      </c>
      <c r="N1067" s="1" t="s">
        <v>1485</v>
      </c>
      <c r="O1067" s="15">
        <v>3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067" s="1"/>
      <c r="T1067" s="1"/>
      <c r="U1067" s="32" t="s">
        <v>3973</v>
      </c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067" s="15" t="str">
        <f>_xlfn.TEXTBEFORE(_xlfn.TEXTAFTER(CantoralDB[[#This Row],[index.html]],"&gt;"),"&gt;")&amp;"&gt;"</f>
        <v>&lt;a href="canciones/kairoi/todo_mi_ser_(alabo_tu_bondad).html"&gt;</v>
      </c>
      <c r="X1067"/>
      <c r="AB1067" s="1"/>
    </row>
    <row r="1068" spans="1:28" x14ac:dyDescent="0.3">
      <c r="A1068" s="1">
        <f>ROW(CantoralDB[[#This Row],[Título]])-1</f>
        <v>1067</v>
      </c>
      <c r="B1068" s="1" t="s">
        <v>1551</v>
      </c>
      <c r="C1068" s="1"/>
      <c r="H1068" s="1" t="s">
        <v>1026</v>
      </c>
      <c r="J1068" s="1" t="s">
        <v>607</v>
      </c>
      <c r="M1068" s="15" t="s">
        <v>483</v>
      </c>
      <c r="N1068" s="1" t="s">
        <v>1485</v>
      </c>
      <c r="O1068" s="15">
        <v>4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068" s="1"/>
      <c r="T1068" s="1"/>
      <c r="U1068" s="32" t="s">
        <v>3974</v>
      </c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068" s="15" t="str">
        <f>_xlfn.TEXTBEFORE(_xlfn.TEXTAFTER(CantoralDB[[#This Row],[index.html]],"&gt;"),"&gt;")&amp;"&gt;"</f>
        <v>&lt;a href="canciones/kairoi/tocare_para_ti.html"&gt;</v>
      </c>
      <c r="X1068"/>
      <c r="AB1068" s="1"/>
    </row>
    <row r="1069" spans="1:28" x14ac:dyDescent="0.3">
      <c r="A1069" s="1">
        <f>ROW(CantoralDB[[#This Row],[Título]])-1</f>
        <v>1068</v>
      </c>
      <c r="B1069" s="1" t="s">
        <v>48</v>
      </c>
      <c r="C1069" s="1" t="s">
        <v>992</v>
      </c>
      <c r="D1069" s="1" t="s">
        <v>696</v>
      </c>
      <c r="E1069" s="1">
        <v>418</v>
      </c>
      <c r="G1069" s="1" t="s">
        <v>208</v>
      </c>
      <c r="H1069" s="1" t="s">
        <v>1026</v>
      </c>
      <c r="J1069" s="1" t="s">
        <v>607</v>
      </c>
      <c r="M1069" s="15" t="s">
        <v>483</v>
      </c>
      <c r="N1069" s="1" t="s">
        <v>1485</v>
      </c>
      <c r="O1069" s="15">
        <v>5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069" s="1"/>
      <c r="T1069" s="1"/>
      <c r="U1069" s="32" t="s">
        <v>3975</v>
      </c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069" s="15" t="str">
        <f>_xlfn.TEXTBEFORE(_xlfn.TEXTAFTER(CantoralDB[[#This Row],[index.html]],"&gt;"),"&gt;")&amp;"&gt;"</f>
        <v>&lt;a href="canciones/kairoi/el_amor_es_nuestro_canto.html"&gt;</v>
      </c>
      <c r="X1069"/>
      <c r="AB1069" s="1"/>
    </row>
    <row r="1070" spans="1:28" x14ac:dyDescent="0.3">
      <c r="A1070" s="1">
        <f>ROW(CantoralDB[[#This Row],[Título]])-1</f>
        <v>1069</v>
      </c>
      <c r="B1070" s="1" t="s">
        <v>1552</v>
      </c>
      <c r="C1070" s="1"/>
      <c r="H1070" s="1" t="s">
        <v>530</v>
      </c>
      <c r="J1070" s="1" t="s">
        <v>607</v>
      </c>
      <c r="M1070" s="15" t="s">
        <v>483</v>
      </c>
      <c r="N1070" s="1" t="s">
        <v>1485</v>
      </c>
      <c r="O1070" s="15">
        <v>6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070" s="1"/>
      <c r="T1070" s="1"/>
      <c r="U1070" s="32" t="s">
        <v>3976</v>
      </c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070" s="15" t="str">
        <f>_xlfn.TEXTBEFORE(_xlfn.TEXTAFTER(CantoralDB[[#This Row],[index.html]],"&gt;"),"&gt;")&amp;"&gt;"</f>
        <v>&lt;a href="canciones/kairoi/enseñanos_a_orar.html"&gt;</v>
      </c>
      <c r="X1070"/>
      <c r="AB1070" s="1"/>
    </row>
    <row r="1071" spans="1:28" x14ac:dyDescent="0.3">
      <c r="A1071" s="1">
        <f>ROW(CantoralDB[[#This Row],[Título]])-1</f>
        <v>1070</v>
      </c>
      <c r="B1071" s="1" t="s">
        <v>1553</v>
      </c>
      <c r="C1071" s="1"/>
      <c r="H1071" s="1" t="s">
        <v>1028</v>
      </c>
      <c r="J1071" s="1" t="s">
        <v>607</v>
      </c>
      <c r="M1071" s="15" t="s">
        <v>483</v>
      </c>
      <c r="N1071" s="1" t="s">
        <v>1485</v>
      </c>
      <c r="O1071" s="15">
        <v>7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071" s="1"/>
      <c r="T1071" s="1"/>
      <c r="U1071" s="32" t="s">
        <v>3977</v>
      </c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071" s="15" t="str">
        <f>_xlfn.TEXTBEFORE(_xlfn.TEXTAFTER(CantoralDB[[#This Row],[index.html]],"&gt;"),"&gt;")&amp;"&gt;"</f>
        <v>&lt;a href="canciones/kairoi/tu_señor.html"&gt;</v>
      </c>
      <c r="X1071"/>
      <c r="AB1071" s="1"/>
    </row>
    <row r="1072" spans="1:28" x14ac:dyDescent="0.3">
      <c r="A1072" s="1">
        <f>ROW(CantoralDB[[#This Row],[Título]])-1</f>
        <v>1071</v>
      </c>
      <c r="B1072" s="1" t="s">
        <v>1554</v>
      </c>
      <c r="C1072" s="1"/>
      <c r="H1072" s="1" t="s">
        <v>530</v>
      </c>
      <c r="J1072" s="1" t="s">
        <v>607</v>
      </c>
      <c r="M1072" s="15" t="s">
        <v>483</v>
      </c>
      <c r="N1072" s="1" t="s">
        <v>1485</v>
      </c>
      <c r="O1072" s="15">
        <v>8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072" s="1"/>
      <c r="T1072" s="1"/>
      <c r="U1072" s="32" t="s">
        <v>3978</v>
      </c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072" s="15" t="str">
        <f>_xlfn.TEXTBEFORE(_xlfn.TEXTAFTER(CantoralDB[[#This Row],[index.html]],"&gt;"),"&gt;")&amp;"&gt;"</f>
        <v>&lt;a href="canciones/kairoi/esperando_con_maria.html"&gt;</v>
      </c>
      <c r="X1072"/>
      <c r="AB1072" s="1"/>
    </row>
    <row r="1073" spans="1:28" x14ac:dyDescent="0.3">
      <c r="A1073" s="1">
        <f>ROW(CantoralDB[[#This Row],[Título]])-1</f>
        <v>1072</v>
      </c>
      <c r="B1073" s="1" t="s">
        <v>188</v>
      </c>
      <c r="C1073" s="1" t="s">
        <v>218</v>
      </c>
      <c r="D1073" s="1" t="s">
        <v>1475</v>
      </c>
      <c r="F1073" s="1">
        <v>135</v>
      </c>
      <c r="G1073" s="1" t="s">
        <v>208</v>
      </c>
      <c r="H1073" s="1" t="s">
        <v>530</v>
      </c>
      <c r="J1073" s="1" t="s">
        <v>607</v>
      </c>
      <c r="M1073" s="15" t="s">
        <v>483</v>
      </c>
      <c r="N1073" s="1" t="s">
        <v>1485</v>
      </c>
      <c r="O1073" s="15">
        <v>9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073" s="1"/>
      <c r="T1073" s="1"/>
      <c r="U1073" s="32" t="s">
        <v>3979</v>
      </c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073" s="15" t="str">
        <f>_xlfn.TEXTBEFORE(_xlfn.TEXTAFTER(CantoralDB[[#This Row],[index.html]],"&gt;"),"&gt;")&amp;"&gt;"</f>
        <v>&lt;a href="canciones/kairoi/ven_espiritu_de_dios_(kairoi).html"&gt;</v>
      </c>
      <c r="X1073"/>
      <c r="AB1073" s="1"/>
    </row>
    <row r="1074" spans="1:28" x14ac:dyDescent="0.3">
      <c r="A1074" s="1">
        <f>ROW(CantoralDB[[#This Row],[Título]])-1</f>
        <v>1073</v>
      </c>
      <c r="B1074" s="1" t="s">
        <v>2143</v>
      </c>
      <c r="C1074" s="1"/>
      <c r="F1074" s="1">
        <v>306</v>
      </c>
      <c r="H1074" s="1" t="s">
        <v>472</v>
      </c>
      <c r="J1074" s="1" t="s">
        <v>607</v>
      </c>
      <c r="M1074" s="15" t="s">
        <v>483</v>
      </c>
      <c r="N1074" s="1" t="s">
        <v>1485</v>
      </c>
      <c r="O1074" s="15">
        <v>10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1074" s="1"/>
      <c r="T1074" s="1"/>
      <c r="U1074" s="32" t="s">
        <v>3980</v>
      </c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1074" s="15" t="str">
        <f>_xlfn.TEXTBEFORE(_xlfn.TEXTAFTER(CantoralDB[[#This Row],[index.html]],"&gt;"),"&gt;")&amp;"&gt;"</f>
        <v>&lt;a href="canciones/kairoi/padre_nuestro_i.html"&gt;</v>
      </c>
      <c r="X1074"/>
      <c r="AB1074" s="1"/>
    </row>
    <row r="1075" spans="1:28" x14ac:dyDescent="0.3">
      <c r="A1075" s="1">
        <f>ROW(CantoralDB[[#This Row],[Título]])-1</f>
        <v>1074</v>
      </c>
      <c r="B1075" s="1" t="s">
        <v>23</v>
      </c>
      <c r="C1075" s="1" t="s">
        <v>992</v>
      </c>
      <c r="D1075" s="1" t="s">
        <v>682</v>
      </c>
      <c r="E1075" s="1">
        <v>409</v>
      </c>
      <c r="F1075" s="1">
        <v>239</v>
      </c>
      <c r="G1075" s="1" t="s">
        <v>208</v>
      </c>
      <c r="H1075" s="1" t="s">
        <v>530</v>
      </c>
      <c r="J1075" s="1" t="s">
        <v>607</v>
      </c>
      <c r="M1075" s="15" t="s">
        <v>483</v>
      </c>
      <c r="N1075" s="1" t="s">
        <v>1485</v>
      </c>
      <c r="O1075" s="15">
        <v>11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1075" s="1" t="s">
        <v>802</v>
      </c>
      <c r="T1075" s="1"/>
      <c r="U1075" s="32" t="s">
        <v>3981</v>
      </c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1075" s="15" t="str">
        <f>_xlfn.TEXTBEFORE(_xlfn.TEXTAFTER(CantoralDB[[#This Row],[index.html]],"&gt;"),"&gt;")&amp;"&gt;"</f>
        <v>&lt;a href="canciones/kairoi/amaos_(como_el_padre_me_amo).html"&gt;</v>
      </c>
      <c r="X1075"/>
      <c r="AB1075" s="1"/>
    </row>
    <row r="1076" spans="1:28" x14ac:dyDescent="0.3">
      <c r="A1076" s="1">
        <f>ROW(CantoralDB[[#This Row],[Título]])-1</f>
        <v>1075</v>
      </c>
      <c r="B1076" s="1" t="s">
        <v>1601</v>
      </c>
      <c r="C1076" s="1"/>
      <c r="J1076" s="1"/>
      <c r="M1076" s="15" t="s">
        <v>483</v>
      </c>
      <c r="N1076" s="1" t="s">
        <v>1485</v>
      </c>
      <c r="O1076" s="15">
        <v>12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076" s="1"/>
      <c r="T1076" s="1"/>
      <c r="U1076" s="32" t="s">
        <v>3982</v>
      </c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076" s="15" t="str">
        <f>_xlfn.TEXTBEFORE(_xlfn.TEXTAFTER(CantoralDB[[#This Row],[index.html]],"&gt;"),"&gt;")&amp;"&gt;"</f>
        <v>&lt;a href="canciones/kairoi/padre_perdon.html"&gt;</v>
      </c>
      <c r="X1076"/>
      <c r="AB1076" s="1"/>
    </row>
    <row r="1077" spans="1:28" x14ac:dyDescent="0.3">
      <c r="A1077" s="1">
        <f>ROW(CantoralDB[[#This Row],[Título]])-1</f>
        <v>1076</v>
      </c>
      <c r="B1077" s="1" t="s">
        <v>2413</v>
      </c>
      <c r="C1077" s="1"/>
      <c r="F1077" s="1">
        <v>35</v>
      </c>
      <c r="J1077" s="1"/>
      <c r="M1077" s="15" t="s">
        <v>2398</v>
      </c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1077" s="15" t="str">
        <f>_xlfn.TEXTBEFORE(_xlfn.TEXTAFTER(CantoralDB[[#This Row],[index.html]],"&gt;"),"&gt;")&amp;"&gt;"</f>
        <v>&lt;a href="canciones/lazaro_iparraguirre/aleluya_mirad_la_muerte.html"&gt;</v>
      </c>
      <c r="X1077"/>
      <c r="AB1077" s="1"/>
    </row>
    <row r="1078" spans="1:28" x14ac:dyDescent="0.3">
      <c r="A1078" s="1">
        <f>ROW(CantoralDB[[#This Row],[Título]])-1</f>
        <v>1077</v>
      </c>
      <c r="B1078" s="1" t="s">
        <v>884</v>
      </c>
      <c r="C1078" s="1"/>
      <c r="F1078" s="1">
        <v>133</v>
      </c>
      <c r="J1078" s="1"/>
      <c r="M1078" s="15" t="s">
        <v>2398</v>
      </c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078" s="1"/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078" s="15" t="str">
        <f>_xlfn.TEXTBEFORE(_xlfn.TEXTAFTER(CantoralDB[[#This Row],[index.html]],"&gt;"),"&gt;")&amp;"&gt;"</f>
        <v>&lt;a href="canciones/lazaro_iparraguirre/bendecid_al_señor.html"&gt;</v>
      </c>
      <c r="X1078"/>
      <c r="AB1078" s="1"/>
    </row>
    <row r="1079" spans="1:28" x14ac:dyDescent="0.3">
      <c r="A1079" s="1">
        <f>ROW(CantoralDB[[#This Row],[Título]])-1</f>
        <v>1078</v>
      </c>
      <c r="B1079" s="1" t="s">
        <v>2529</v>
      </c>
      <c r="C1079" s="1"/>
      <c r="F1079" s="1">
        <v>142</v>
      </c>
      <c r="H1079" s="1" t="s">
        <v>1026</v>
      </c>
      <c r="J1079" s="1" t="s">
        <v>607</v>
      </c>
      <c r="M1079" s="15" t="s">
        <v>2398</v>
      </c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079" s="1"/>
      <c r="T1079" s="1"/>
      <c r="U1079" s="32" t="s">
        <v>2982</v>
      </c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079" s="15" t="str">
        <f>_xlfn.TEXTBEFORE(_xlfn.TEXTAFTER(CantoralDB[[#This Row],[index.html]],"&gt;"),"&gt;")&amp;"&gt;"</f>
        <v>&lt;a href="canciones/lazaro_iparraguirre/caminaremos.html"&gt;</v>
      </c>
      <c r="X1079"/>
      <c r="AB1079" s="1"/>
    </row>
    <row r="1080" spans="1:28" x14ac:dyDescent="0.3">
      <c r="A1080" s="1">
        <f>ROW(CantoralDB[[#This Row],[Título]])-1</f>
        <v>1079</v>
      </c>
      <c r="B1080" s="1" t="s">
        <v>2611</v>
      </c>
      <c r="C1080" s="1"/>
      <c r="F1080" s="1">
        <v>229</v>
      </c>
      <c r="J1080" s="1"/>
      <c r="M1080" s="15" t="s">
        <v>2398</v>
      </c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1080" s="15" t="str">
        <f>_xlfn.TEXTBEFORE(_xlfn.TEXTAFTER(CantoralDB[[#This Row],[index.html]],"&gt;"),"&gt;")&amp;"&gt;"</f>
        <v>&lt;a href="canciones/lazaro_iparraguirre/maestro.html"&gt;</v>
      </c>
      <c r="X1080"/>
      <c r="AB1080" s="1"/>
    </row>
    <row r="1081" spans="1:28" x14ac:dyDescent="0.3">
      <c r="A1081" s="1">
        <f>ROW(CantoralDB[[#This Row],[Título]])-1</f>
        <v>1080</v>
      </c>
      <c r="B1081" s="1" t="s">
        <v>2748</v>
      </c>
      <c r="C1081" s="1"/>
      <c r="F1081" s="1">
        <v>372</v>
      </c>
      <c r="J1081" s="1"/>
      <c r="M1081" s="15" t="s">
        <v>2398</v>
      </c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1081" s="15" t="str">
        <f>_xlfn.TEXTBEFORE(_xlfn.TEXTAFTER(CantoralDB[[#This Row],[index.html]],"&gt;"),"&gt;")&amp;"&gt;"</f>
        <v>&lt;a href="canciones/lazaro_iparraguirre/mirad_levantad.html"&gt;</v>
      </c>
      <c r="X1081"/>
      <c r="AB1081" s="1"/>
    </row>
    <row r="1082" spans="1:28" x14ac:dyDescent="0.3">
      <c r="A1082" s="1">
        <f>ROW(CantoralDB[[#This Row],[Título]])-1</f>
        <v>1081</v>
      </c>
      <c r="B1082" s="1" t="s">
        <v>2763</v>
      </c>
      <c r="C1082" s="1"/>
      <c r="F1082" s="1">
        <v>384</v>
      </c>
      <c r="J1082" s="1"/>
      <c r="M1082" s="15" t="s">
        <v>2398</v>
      </c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1082" s="15" t="str">
        <f>_xlfn.TEXTBEFORE(_xlfn.TEXTAFTER(CantoralDB[[#This Row],[index.html]],"&gt;"),"&gt;")&amp;"&gt;"</f>
        <v>&lt;a href="canciones/lazaro_iparraguirre/nos_dejaste_señor.html"&gt;</v>
      </c>
      <c r="X1082"/>
      <c r="AB1082" s="1"/>
    </row>
    <row r="1083" spans="1:28" x14ac:dyDescent="0.3">
      <c r="A1083" s="1">
        <f>ROW(CantoralDB[[#This Row],[Título]])-1</f>
        <v>1082</v>
      </c>
      <c r="B1083" s="1" t="s">
        <v>2527</v>
      </c>
      <c r="C1083" s="1"/>
      <c r="F1083" s="1">
        <v>140</v>
      </c>
      <c r="J1083" s="1"/>
      <c r="M1083" s="15" t="s">
        <v>2398</v>
      </c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083" s="15" t="str">
        <f>_xlfn.TEXTBEFORE(_xlfn.TEXTAFTER(CantoralDB[[#This Row],[index.html]],"&gt;"),"&gt;")&amp;"&gt;"</f>
        <v>&lt;a href="canciones/lazaro_iparraguirre/que_deseables.html"&gt;</v>
      </c>
      <c r="X1083"/>
      <c r="AB1083" s="1"/>
    </row>
    <row r="1084" spans="1:28" x14ac:dyDescent="0.3">
      <c r="A1084" s="1">
        <f>ROW(CantoralDB[[#This Row],[Título]])-1</f>
        <v>1083</v>
      </c>
      <c r="B1084" s="1" t="s">
        <v>2683</v>
      </c>
      <c r="C1084" s="1"/>
      <c r="F1084" s="1">
        <v>308</v>
      </c>
      <c r="J1084" s="1"/>
      <c r="M1084" s="15" t="s">
        <v>2398</v>
      </c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1084" s="1"/>
      <c r="T1084" s="1"/>
      <c r="U1084" s="15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1084" s="15" t="str">
        <f>_xlfn.TEXTBEFORE(_xlfn.TEXTAFTER(CantoralDB[[#This Row],[index.html]],"&gt;"),"&gt;")&amp;"&gt;"</f>
        <v>&lt;a href="canciones/lazaro_iparraguirre/resucito.html"&gt;</v>
      </c>
      <c r="X1084"/>
      <c r="AB1084" s="1"/>
    </row>
    <row r="1085" spans="1:28" x14ac:dyDescent="0.3">
      <c r="A1085" s="1">
        <f>ROW(CantoralDB[[#This Row],[Título]])-1</f>
        <v>1084</v>
      </c>
      <c r="B1085" s="1" t="s">
        <v>2479</v>
      </c>
      <c r="C1085" s="1"/>
      <c r="F1085" s="1">
        <v>96</v>
      </c>
      <c r="J1085" s="1"/>
      <c r="M1085" s="15" t="s">
        <v>2398</v>
      </c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1085" s="1"/>
      <c r="T1085" s="1"/>
      <c r="U1085" s="15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1085" s="15" t="str">
        <f>_xlfn.TEXTBEFORE(_xlfn.TEXTAFTER(CantoralDB[[#This Row],[index.html]],"&gt;"),"&gt;")&amp;"&gt;"</f>
        <v>&lt;a href="canciones/lazaro_iparraguirre/si_estas_buscando.html"&gt;</v>
      </c>
      <c r="X1085"/>
      <c r="AB1085" s="1"/>
    </row>
    <row r="1086" spans="1:28" x14ac:dyDescent="0.3">
      <c r="A1086" s="1">
        <f>ROW(CantoralDB[[#This Row],[Título]])-1</f>
        <v>1085</v>
      </c>
      <c r="B1086" s="1" t="s">
        <v>2399</v>
      </c>
      <c r="C1086" s="1"/>
      <c r="F1086" s="1">
        <v>19</v>
      </c>
      <c r="H1086" s="1" t="s">
        <v>1029</v>
      </c>
      <c r="J1086" s="1" t="s">
        <v>607</v>
      </c>
      <c r="M1086" s="15" t="s">
        <v>2398</v>
      </c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1086" s="1"/>
      <c r="T1086" s="1"/>
      <c r="U1086" s="32" t="s">
        <v>3054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1086" s="15" t="str">
        <f>_xlfn.TEXTBEFORE(_xlfn.TEXTAFTER(CantoralDB[[#This Row],[index.html]],"&gt;"),"&gt;")&amp;"&gt;"</f>
        <v>&lt;a href="canciones/lazaro_iparraguirre/si_lo_que_buscas.html"&gt;</v>
      </c>
      <c r="X1086"/>
      <c r="AB1086" s="1"/>
    </row>
    <row r="1087" spans="1:28" x14ac:dyDescent="0.3">
      <c r="A1087" s="1">
        <f>ROW(CantoralDB[[#This Row],[Título]])-1</f>
        <v>1086</v>
      </c>
      <c r="B1087" s="1" t="s">
        <v>2424</v>
      </c>
      <c r="C1087" s="1"/>
      <c r="F1087" s="1">
        <v>47</v>
      </c>
      <c r="J1087" s="1"/>
      <c r="M1087" s="15" t="s">
        <v>2398</v>
      </c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1087" s="1"/>
      <c r="T1087" s="1"/>
      <c r="U1087" s="15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1087" s="15" t="str">
        <f>_xlfn.TEXTBEFORE(_xlfn.TEXTAFTER(CantoralDB[[#This Row],[index.html]],"&gt;"),"&gt;")&amp;"&gt;"</f>
        <v>&lt;a href="canciones/lazaro_iparraguirre/tomad_y_comed.html"&gt;</v>
      </c>
      <c r="X1087"/>
      <c r="AB1087" s="1"/>
    </row>
    <row r="1088" spans="1:28" x14ac:dyDescent="0.3">
      <c r="A1088" s="1">
        <f>ROW(CantoralDB[[#This Row],[Título]])-1</f>
        <v>1087</v>
      </c>
      <c r="B1088" s="1" t="s">
        <v>2681</v>
      </c>
      <c r="C1088" s="1"/>
      <c r="F1088" s="1">
        <v>305</v>
      </c>
      <c r="J1088" s="1"/>
      <c r="M1088" s="15" t="s">
        <v>2398</v>
      </c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1088" s="1"/>
      <c r="T1088" s="1"/>
      <c r="U1088" s="15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1088" s="15" t="str">
        <f>_xlfn.TEXTBEFORE(_xlfn.TEXTAFTER(CantoralDB[[#This Row],[index.html]],"&gt;"),"&gt;")&amp;"&gt;"</f>
        <v>&lt;a href="canciones/lazaro_iparraguirre/venid_alabemos.html"&gt;</v>
      </c>
      <c r="X1088"/>
      <c r="AB1088" s="1"/>
    </row>
    <row r="1089" spans="1:28" x14ac:dyDescent="0.3">
      <c r="A1089" s="1">
        <f>ROW(CantoralDB[[#This Row],[Título]])-1</f>
        <v>1088</v>
      </c>
      <c r="B1089" s="1" t="s">
        <v>2500</v>
      </c>
      <c r="C1089" s="1"/>
      <c r="F1089" s="1">
        <v>119</v>
      </c>
      <c r="J1089" s="1"/>
      <c r="M1089" s="15" t="s">
        <v>2398</v>
      </c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089" s="15" t="str">
        <f>_xlfn.TEXTBEFORE(_xlfn.TEXTAFTER(CantoralDB[[#This Row],[index.html]],"&gt;"),"&gt;")&amp;"&gt;"</f>
        <v>&lt;a href="canciones/lazaro_iparraguirre/vino_un_hombre_a_nuestro_mundo.html"&gt;</v>
      </c>
      <c r="X1089"/>
      <c r="AB1089" s="1"/>
    </row>
    <row r="1090" spans="1:28" x14ac:dyDescent="0.3">
      <c r="A1090" s="1">
        <f>ROW(CantoralDB[[#This Row],[Título]])-1</f>
        <v>1089</v>
      </c>
      <c r="B1090" s="1" t="s">
        <v>2462</v>
      </c>
      <c r="C1090" s="1"/>
      <c r="F1090" s="1">
        <v>80</v>
      </c>
      <c r="J1090" s="1"/>
      <c r="M1090" s="15" t="s">
        <v>2398</v>
      </c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1090" s="15" t="str">
        <f>_xlfn.TEXTBEFORE(_xlfn.TEXTAFTER(CantoralDB[[#This Row],[index.html]],"&gt;"),"&gt;")&amp;"&gt;"</f>
        <v>&lt;a href="canciones/lazaro_iparraguirre/yo_te_ensalzo.html"&gt;</v>
      </c>
      <c r="X1090"/>
      <c r="AB1090" s="1"/>
    </row>
    <row r="1091" spans="1:28" x14ac:dyDescent="0.3">
      <c r="A1091" s="1">
        <f>ROW(CantoralDB[[#This Row],[Título]])-1</f>
        <v>1090</v>
      </c>
      <c r="B1091" s="1" t="s">
        <v>2571</v>
      </c>
      <c r="C1091" s="1"/>
      <c r="F1091" s="1">
        <v>181</v>
      </c>
      <c r="J1091" s="1"/>
      <c r="M1091" s="15" t="s">
        <v>2394</v>
      </c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091" s="15" t="str">
        <f>_xlfn.TEXTBEFORE(_xlfn.TEXTAFTER(CantoralDB[[#This Row],[index.html]],"&gt;"),"&gt;")&amp;"&gt;"</f>
        <v>&lt;a href="canciones/luis_alfredo_diaz/ahora_no_tengo.html"&gt;</v>
      </c>
      <c r="X1091"/>
      <c r="AB1091" s="1"/>
    </row>
    <row r="1092" spans="1:28" x14ac:dyDescent="0.3">
      <c r="A1092" s="1">
        <f>ROW(CantoralDB[[#This Row],[Título]])-1</f>
        <v>1091</v>
      </c>
      <c r="B1092" s="1" t="s">
        <v>2563</v>
      </c>
      <c r="C1092" s="1"/>
      <c r="F1092" s="1">
        <v>173</v>
      </c>
      <c r="J1092" s="1"/>
      <c r="M1092" s="15" t="s">
        <v>2394</v>
      </c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092" s="15" t="str">
        <f>_xlfn.TEXTBEFORE(_xlfn.TEXTAFTER(CantoralDB[[#This Row],[index.html]],"&gt;"),"&gt;")&amp;"&gt;"</f>
        <v>&lt;a href="canciones/luis_alfredo_diaz/amar.html"&gt;</v>
      </c>
      <c r="X1092"/>
      <c r="AB1092" s="1"/>
    </row>
    <row r="1093" spans="1:28" x14ac:dyDescent="0.3">
      <c r="A1093" s="1">
        <f>ROW(CantoralDB[[#This Row],[Título]])-1</f>
        <v>1092</v>
      </c>
      <c r="B1093" s="1" t="s">
        <v>2540</v>
      </c>
      <c r="C1093" s="1"/>
      <c r="F1093" s="1">
        <v>153</v>
      </c>
      <c r="J1093" s="1"/>
      <c r="M1093" s="15" t="s">
        <v>2394</v>
      </c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093" s="15" t="str">
        <f>_xlfn.TEXTBEFORE(_xlfn.TEXTAFTER(CantoralDB[[#This Row],[index.html]],"&gt;"),"&gt;")&amp;"&gt;"</f>
        <v>&lt;a href="canciones/luis_alfredo_diaz/aqui_el_esta.html"&gt;</v>
      </c>
      <c r="X1093"/>
      <c r="AB1093" s="1"/>
    </row>
    <row r="1094" spans="1:28" x14ac:dyDescent="0.3">
      <c r="A1094" s="1">
        <f>ROW(CantoralDB[[#This Row],[Título]])-1</f>
        <v>1093</v>
      </c>
      <c r="B1094" s="1" t="s">
        <v>2877</v>
      </c>
      <c r="C1094" s="1"/>
      <c r="E1094" s="1">
        <v>47</v>
      </c>
      <c r="H1094" s="1" t="s">
        <v>530</v>
      </c>
      <c r="J1094" s="1" t="s">
        <v>607</v>
      </c>
      <c r="M1094" s="15" t="s">
        <v>2394</v>
      </c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094" s="15" t="str">
        <f>_xlfn.TEXTBEFORE(_xlfn.TEXTAFTER(CantoralDB[[#This Row],[index.html]],"&gt;"),"&gt;")&amp;"&gt;"</f>
        <v>&lt;a href="canciones/luis_alfredo_diaz/compartir.html"&gt;</v>
      </c>
      <c r="X1094"/>
      <c r="AB1094" s="1"/>
    </row>
    <row r="1095" spans="1:28" x14ac:dyDescent="0.3">
      <c r="A1095" s="1">
        <f>ROW(CantoralDB[[#This Row],[Título]])-1</f>
        <v>1094</v>
      </c>
      <c r="B1095" s="1" t="s">
        <v>2475</v>
      </c>
      <c r="C1095" s="1"/>
      <c r="F1095" s="1">
        <v>92</v>
      </c>
      <c r="J1095" s="1"/>
      <c r="M1095" s="15" t="s">
        <v>2394</v>
      </c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1095" s="15" t="str">
        <f>_xlfn.TEXTBEFORE(_xlfn.TEXTAFTER(CantoralDB[[#This Row],[index.html]],"&gt;"),"&gt;")&amp;"&gt;"</f>
        <v>&lt;a href="canciones/luis_alfredo_diaz/cuando_escuches.html"&gt;</v>
      </c>
      <c r="X1095"/>
      <c r="AB1095" s="1"/>
    </row>
    <row r="1096" spans="1:28" x14ac:dyDescent="0.3">
      <c r="A1096" s="1">
        <f>ROW(CantoralDB[[#This Row],[Título]])-1</f>
        <v>1095</v>
      </c>
      <c r="B1096" s="1" t="s">
        <v>2574</v>
      </c>
      <c r="C1096" s="1"/>
      <c r="F1096" s="1">
        <v>184</v>
      </c>
      <c r="J1096" s="1"/>
      <c r="M1096" s="15" t="s">
        <v>2394</v>
      </c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096" s="1"/>
      <c r="T1096" s="1"/>
      <c r="U1096" s="15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096" s="15" t="str">
        <f>_xlfn.TEXTBEFORE(_xlfn.TEXTAFTER(CantoralDB[[#This Row],[index.html]],"&gt;"),"&gt;")&amp;"&gt;"</f>
        <v>&lt;a href="canciones/luis_alfredo_diaz/deseo_ser_santa.html"&gt;</v>
      </c>
      <c r="X1096"/>
      <c r="AB1096" s="1"/>
    </row>
    <row r="1097" spans="1:28" x14ac:dyDescent="0.3">
      <c r="A1097" s="1">
        <f>ROW(CantoralDB[[#This Row],[Título]])-1</f>
        <v>1096</v>
      </c>
      <c r="B1097" s="1" t="s">
        <v>2414</v>
      </c>
      <c r="C1097" s="1"/>
      <c r="F1097" s="1">
        <v>37</v>
      </c>
      <c r="J1097" s="1"/>
      <c r="M1097" s="15" t="s">
        <v>2394</v>
      </c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1097" s="15" t="str">
        <f>_xlfn.TEXTBEFORE(_xlfn.TEXTAFTER(CantoralDB[[#This Row],[index.html]],"&gt;"),"&gt;")&amp;"&gt;"</f>
        <v>&lt;a href="canciones/luis_alfredo_diaz/gloria_yo_soy_libre.html"&gt;</v>
      </c>
      <c r="X1097"/>
      <c r="AB1097" s="1"/>
    </row>
    <row r="1098" spans="1:28" x14ac:dyDescent="0.3">
      <c r="A1098" s="1">
        <f>ROW(CantoralDB[[#This Row],[Título]])-1</f>
        <v>1097</v>
      </c>
      <c r="B1098" s="1" t="s">
        <v>2579</v>
      </c>
      <c r="C1098" s="1"/>
      <c r="F1098" s="1">
        <v>187</v>
      </c>
      <c r="J1098" s="1"/>
      <c r="M1098" s="15" t="s">
        <v>2394</v>
      </c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098" s="15" t="str">
        <f>_xlfn.TEXTBEFORE(_xlfn.TEXTAFTER(CantoralDB[[#This Row],[index.html]],"&gt;"),"&gt;")&amp;"&gt;"</f>
        <v>&lt;a href="canciones/luis_alfredo_diaz/lo_que_agrada_a_dios.html"&gt;</v>
      </c>
      <c r="X1098"/>
      <c r="AB1098" s="1"/>
    </row>
    <row r="1099" spans="1:28" x14ac:dyDescent="0.3">
      <c r="A1099" s="1">
        <f>ROW(CantoralDB[[#This Row],[Título]])-1</f>
        <v>1098</v>
      </c>
      <c r="B1099" s="1" t="s">
        <v>97</v>
      </c>
      <c r="C1099" s="1" t="s">
        <v>200</v>
      </c>
      <c r="D1099" s="1" t="s">
        <v>664</v>
      </c>
      <c r="E1099" s="1">
        <v>440</v>
      </c>
      <c r="F1099" s="1">
        <v>91</v>
      </c>
      <c r="G1099" s="1" t="s">
        <v>208</v>
      </c>
      <c r="H1099" s="1" t="s">
        <v>1026</v>
      </c>
      <c r="J1099" s="1" t="s">
        <v>607</v>
      </c>
      <c r="M1099" s="15" t="s">
        <v>2394</v>
      </c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1099" s="1" t="s">
        <v>846</v>
      </c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1099" s="15" t="str">
        <f>_xlfn.TEXTBEFORE(_xlfn.TEXTAFTER(CantoralDB[[#This Row],[index.html]],"&gt;"),"&gt;")&amp;"&gt;"</f>
        <v>&lt;a href="canciones/luis_alfredo_diaz/no_adoreis_a_nadie.html"&gt;</v>
      </c>
      <c r="X1099"/>
      <c r="AB1099" s="1"/>
    </row>
    <row r="1100" spans="1:28" x14ac:dyDescent="0.3">
      <c r="A1100" s="1">
        <f>ROW(CantoralDB[[#This Row],[Título]])-1</f>
        <v>1099</v>
      </c>
      <c r="B1100" s="1" t="s">
        <v>2565</v>
      </c>
      <c r="C1100" s="1"/>
      <c r="F1100" s="1">
        <v>176</v>
      </c>
      <c r="J1100" s="1"/>
      <c r="M1100" s="15" t="s">
        <v>2394</v>
      </c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100" s="15" t="str">
        <f>_xlfn.TEXTBEFORE(_xlfn.TEXTAFTER(CantoralDB[[#This Row],[index.html]],"&gt;"),"&gt;")&amp;"&gt;"</f>
        <v>&lt;a href="canciones/luis_alfredo_diaz/no_quiero_ser_santa_a_medias.html"&gt;</v>
      </c>
      <c r="X1100"/>
      <c r="AB1100" s="1"/>
    </row>
    <row r="1101" spans="1:28" x14ac:dyDescent="0.3">
      <c r="A1101" s="1">
        <f>ROW(CantoralDB[[#This Row],[Título]])-1</f>
        <v>1100</v>
      </c>
      <c r="B1101" s="1" t="s">
        <v>2580</v>
      </c>
      <c r="C1101" s="1"/>
      <c r="F1101" s="1">
        <v>189</v>
      </c>
      <c r="J1101" s="1"/>
      <c r="M1101" s="15" t="s">
        <v>2394</v>
      </c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101" s="15" t="str">
        <f>_xlfn.TEXTBEFORE(_xlfn.TEXTAFTER(CantoralDB[[#This Row],[index.html]],"&gt;"),"&gt;")&amp;"&gt;"</f>
        <v>&lt;a href="canciones/luis_alfredo_diaz/que_bueno_es_alabarte.html"&gt;</v>
      </c>
      <c r="X1101"/>
      <c r="AB1101" s="1"/>
    </row>
    <row r="1102" spans="1:28" x14ac:dyDescent="0.3">
      <c r="A1102" s="1">
        <f>ROW(CantoralDB[[#This Row],[Título]])-1</f>
        <v>1101</v>
      </c>
      <c r="B1102" s="1" t="s">
        <v>120</v>
      </c>
      <c r="C1102" s="1" t="s">
        <v>194</v>
      </c>
      <c r="D1102" s="1" t="s">
        <v>767</v>
      </c>
      <c r="E1102" s="1">
        <v>450</v>
      </c>
      <c r="F1102" s="1">
        <v>401</v>
      </c>
      <c r="G1102" s="1" t="s">
        <v>208</v>
      </c>
      <c r="H1102" s="1" t="s">
        <v>1029</v>
      </c>
      <c r="J1102" s="1" t="s">
        <v>607</v>
      </c>
      <c r="M1102" s="15" t="s">
        <v>2394</v>
      </c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1102" s="15" t="str">
        <f>_xlfn.TEXTBEFORE(_xlfn.TEXTAFTER(CantoralDB[[#This Row],[index.html]],"&gt;"),"&gt;")&amp;"&gt;"</f>
        <v>&lt;a href="canciones/luis_alfredo_diaz/que_te_puedo_dar.html"&gt;</v>
      </c>
      <c r="X1102"/>
      <c r="AB1102" s="1"/>
    </row>
    <row r="1103" spans="1:28" x14ac:dyDescent="0.3">
      <c r="A1103" s="1">
        <f>ROW(CantoralDB[[#This Row],[Título]])-1</f>
        <v>1102</v>
      </c>
      <c r="B1103" s="1" t="s">
        <v>2393</v>
      </c>
      <c r="C1103" s="1"/>
      <c r="F1103" s="1">
        <v>14</v>
      </c>
      <c r="H1103" s="1" t="s">
        <v>472</v>
      </c>
      <c r="I1103" s="1" t="s">
        <v>2952</v>
      </c>
      <c r="J1103" s="1" t="s">
        <v>607</v>
      </c>
      <c r="M1103" s="15" t="s">
        <v>2394</v>
      </c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103" s="1"/>
      <c r="T1103" s="1"/>
      <c r="U1103" s="32" t="s">
        <v>3017</v>
      </c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103" s="15" t="str">
        <f>_xlfn.TEXTBEFORE(_xlfn.TEXTAFTER(CantoralDB[[#This Row],[index.html]],"&gt;"),"&gt;")&amp;"&gt;"</f>
        <v>&lt;a href="canciones/luis_alfredo_diaz/quiero_decir_que_si.html"&gt;</v>
      </c>
      <c r="X1103"/>
      <c r="AB1103" s="1"/>
    </row>
    <row r="1104" spans="1:28" x14ac:dyDescent="0.3">
      <c r="A1104" s="1">
        <f>ROW(CantoralDB[[#This Row],[Título]])-1</f>
        <v>1103</v>
      </c>
      <c r="B1104" s="1" t="s">
        <v>2737</v>
      </c>
      <c r="C1104" s="1"/>
      <c r="F1104" s="1">
        <v>361</v>
      </c>
      <c r="J1104" s="1"/>
      <c r="M1104" s="15" t="s">
        <v>2394</v>
      </c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1104" s="15" t="str">
        <f>_xlfn.TEXTBEFORE(_xlfn.TEXTAFTER(CantoralDB[[#This Row],[index.html]],"&gt;"),"&gt;")&amp;"&gt;"</f>
        <v>&lt;a href="canciones/luis_alfredo_diaz/se_siente_una_paz_tan_grande.html"&gt;</v>
      </c>
      <c r="X1104"/>
      <c r="AB1104" s="1"/>
    </row>
    <row r="1105" spans="1:28" x14ac:dyDescent="0.3">
      <c r="A1105" s="1">
        <f>ROW(CantoralDB[[#This Row],[Título]])-1</f>
        <v>1104</v>
      </c>
      <c r="B1105" s="1" t="s">
        <v>1317</v>
      </c>
      <c r="C1105" s="1"/>
      <c r="E1105" s="1">
        <v>238</v>
      </c>
      <c r="J1105" s="1"/>
      <c r="M1105" s="15" t="s">
        <v>2394</v>
      </c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105" s="15" t="str">
        <f>_xlfn.TEXTBEFORE(_xlfn.TEXTAFTER(CantoralDB[[#This Row],[index.html]],"&gt;"),"&gt;")&amp;"&gt;"</f>
        <v>&lt;a href="canciones/luis_alfredo_diaz/solidaridad.html"&gt;</v>
      </c>
      <c r="X1105"/>
      <c r="AB1105" s="1"/>
    </row>
    <row r="1106" spans="1:28" x14ac:dyDescent="0.3">
      <c r="A1106" s="1">
        <f>ROW(CantoralDB[[#This Row],[Título]])-1</f>
        <v>1105</v>
      </c>
      <c r="B1106" s="1" t="s">
        <v>139</v>
      </c>
      <c r="C1106" s="1" t="s">
        <v>992</v>
      </c>
      <c r="D1106" s="1" t="s">
        <v>1006</v>
      </c>
      <c r="E1106" s="1">
        <v>463</v>
      </c>
      <c r="F1106" s="1">
        <v>26</v>
      </c>
      <c r="G1106" s="1" t="s">
        <v>208</v>
      </c>
      <c r="H1106" s="1" t="s">
        <v>530</v>
      </c>
      <c r="J1106" s="1" t="s">
        <v>607</v>
      </c>
      <c r="M1106" s="15" t="s">
        <v>2394</v>
      </c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1106" s="15" t="str">
        <f>_xlfn.TEXTBEFORE(_xlfn.TEXTAFTER(CantoralDB[[#This Row],[index.html]],"&gt;"),"&gt;")&amp;"&gt;"</f>
        <v>&lt;a href="canciones/luis_alfredo_diaz/tan_cerca_de_mi.html"&gt;</v>
      </c>
      <c r="X1106"/>
      <c r="AB1106" s="1"/>
    </row>
    <row r="1107" spans="1:28" x14ac:dyDescent="0.3">
      <c r="A1107" s="1">
        <f>ROW(CantoralDB[[#This Row],[Título]])-1</f>
        <v>1106</v>
      </c>
      <c r="B1107" s="1" t="s">
        <v>1338</v>
      </c>
      <c r="C1107" s="1"/>
      <c r="E1107" s="1">
        <v>273</v>
      </c>
      <c r="J1107" s="1"/>
      <c r="M1107" s="15" t="s">
        <v>2394</v>
      </c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107" s="15" t="str">
        <f>_xlfn.TEXTBEFORE(_xlfn.TEXTAFTER(CantoralDB[[#This Row],[index.html]],"&gt;"),"&gt;")&amp;"&gt;"</f>
        <v>&lt;a href="canciones/luis_alfredo_diaz/un_nuevo_reino_esta_amaneciendo.html"&gt;</v>
      </c>
      <c r="X1107"/>
      <c r="AB1107" s="1"/>
    </row>
    <row r="1108" spans="1:28" x14ac:dyDescent="0.3">
      <c r="A1108" s="1">
        <f>ROW(CantoralDB[[#This Row],[Título]])-1</f>
        <v>1107</v>
      </c>
      <c r="B1108" s="1" t="s">
        <v>543</v>
      </c>
      <c r="C1108" s="1" t="s">
        <v>992</v>
      </c>
      <c r="D1108" s="1" t="s">
        <v>1015</v>
      </c>
      <c r="G1108" s="1" t="s">
        <v>208</v>
      </c>
      <c r="H1108" s="1" t="s">
        <v>1026</v>
      </c>
      <c r="I1108" s="1" t="s">
        <v>2953</v>
      </c>
      <c r="J1108" s="1" t="s">
        <v>607</v>
      </c>
      <c r="M1108" s="15" t="s">
        <v>2394</v>
      </c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108" s="1" t="s">
        <v>816</v>
      </c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108" s="15" t="str">
        <f>_xlfn.TEXTBEFORE(_xlfn.TEXTAFTER(CantoralDB[[#This Row],[index.html]],"&gt;"),"&gt;")&amp;"&gt;"</f>
        <v>&lt;a href="canciones/luis_alfredo_diaz/una_tarde_en_la_playa.html"&gt;</v>
      </c>
      <c r="X1108"/>
      <c r="AB1108" s="1"/>
    </row>
    <row r="1109" spans="1:28" x14ac:dyDescent="0.3">
      <c r="A1109" s="1">
        <f>ROW(CantoralDB[[#This Row],[Título]])-1</f>
        <v>1108</v>
      </c>
      <c r="B1109" s="1" t="s">
        <v>2650</v>
      </c>
      <c r="C1109" s="1"/>
      <c r="F1109" s="1">
        <v>272</v>
      </c>
      <c r="J1109" s="1"/>
      <c r="M1109" s="15" t="s">
        <v>2394</v>
      </c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1109" s="15" t="str">
        <f>_xlfn.TEXTBEFORE(_xlfn.TEXTAFTER(CantoralDB[[#This Row],[index.html]],"&gt;"),"&gt;")&amp;"&gt;"</f>
        <v>&lt;a href="canciones/luis_alfredo_diaz/vine_a_alabar_a_dios.html"&gt;</v>
      </c>
      <c r="X1109"/>
      <c r="AB1109" s="1"/>
    </row>
    <row r="1110" spans="1:28" x14ac:dyDescent="0.3">
      <c r="A1110" s="1">
        <f>ROW(CantoralDB[[#This Row],[Título]])-1</f>
        <v>1109</v>
      </c>
      <c r="B1110" s="1" t="s">
        <v>2532</v>
      </c>
      <c r="C1110" s="1"/>
      <c r="F1110" s="1">
        <v>145</v>
      </c>
      <c r="J1110" s="1"/>
      <c r="M1110" s="15" t="s">
        <v>2394</v>
      </c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110" s="15" t="str">
        <f>_xlfn.TEXTBEFORE(_xlfn.TEXTAFTER(CantoralDB[[#This Row],[index.html]],"&gt;"),"&gt;")&amp;"&gt;"</f>
        <v>&lt;a href="canciones/luis_alfredo_diaz/yo_no_soy_nada.html"&gt;</v>
      </c>
      <c r="X1110"/>
      <c r="AB1110" s="1"/>
    </row>
    <row r="1111" spans="1:28" x14ac:dyDescent="0.3">
      <c r="A1111" s="1">
        <f>ROW(CantoralDB[[#This Row],[Título]])-1</f>
        <v>1110</v>
      </c>
      <c r="B1111" s="1" t="s">
        <v>1783</v>
      </c>
      <c r="C1111" s="1"/>
      <c r="F1111" s="1">
        <v>7</v>
      </c>
      <c r="H1111" s="1" t="s">
        <v>1026</v>
      </c>
      <c r="I1111" s="1" t="s">
        <v>2952</v>
      </c>
      <c r="J1111" s="1" t="s">
        <v>607</v>
      </c>
      <c r="M1111" s="15" t="s">
        <v>2387</v>
      </c>
      <c r="N1111" s="1" t="s">
        <v>3012</v>
      </c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1111" s="15" t="str">
        <f>_xlfn.TEXTBEFORE(_xlfn.TEXTAFTER(CantoralDB[[#This Row],[index.html]],"&gt;"),"&gt;")&amp;"&gt;"</f>
        <v>&lt;a href="canciones/marcos_witt/heme_aqui.html"&gt;</v>
      </c>
      <c r="X1111"/>
      <c r="AB1111" s="1"/>
    </row>
    <row r="1112" spans="1:28" x14ac:dyDescent="0.3">
      <c r="A1112" s="1">
        <f>ROW(CantoralDB[[#This Row],[Título]])-1</f>
        <v>1111</v>
      </c>
      <c r="B1112" s="1" t="s">
        <v>2662</v>
      </c>
      <c r="C1112" s="1"/>
      <c r="F1112" s="1">
        <v>286</v>
      </c>
      <c r="J1112" s="1"/>
      <c r="M1112" s="15" t="s">
        <v>2387</v>
      </c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1112" s="15" t="str">
        <f>_xlfn.TEXTBEFORE(_xlfn.TEXTAFTER(CantoralDB[[#This Row],[index.html]],"&gt;"),"&gt;")&amp;"&gt;"</f>
        <v>&lt;a href="canciones/marcos_witt/cuan_bello_es_el_señor.html"&gt;</v>
      </c>
      <c r="X1112"/>
      <c r="AB1112" s="1"/>
    </row>
    <row r="1113" spans="1:28" x14ac:dyDescent="0.3">
      <c r="A1113" s="1">
        <f>ROW(CantoralDB[[#This Row],[Título]])-1</f>
        <v>1112</v>
      </c>
      <c r="B1113" s="1" t="s">
        <v>2829</v>
      </c>
      <c r="C1113" s="1"/>
      <c r="F1113" s="1">
        <v>436</v>
      </c>
      <c r="J1113" s="1"/>
      <c r="M1113" s="15" t="s">
        <v>2387</v>
      </c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1113" s="15" t="str">
        <f>_xlfn.TEXTBEFORE(_xlfn.TEXTAFTER(CantoralDB[[#This Row],[index.html]],"&gt;"),"&gt;")&amp;"&gt;"</f>
        <v>&lt;a href="canciones/marcos_witt/enciende_una_luz.html"&gt;</v>
      </c>
      <c r="X1113"/>
      <c r="AB1113" s="1"/>
    </row>
    <row r="1114" spans="1:28" x14ac:dyDescent="0.3">
      <c r="A1114" s="1">
        <f>ROW(CantoralDB[[#This Row],[Título]])-1</f>
        <v>1113</v>
      </c>
      <c r="B1114" s="1" t="s">
        <v>2735</v>
      </c>
      <c r="C1114" s="1"/>
      <c r="F1114" s="1">
        <v>359</v>
      </c>
      <c r="J1114" s="1"/>
      <c r="M1114" s="15" t="s">
        <v>2387</v>
      </c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1114" s="15" t="str">
        <f>_xlfn.TEXTBEFORE(_xlfn.TEXTAFTER(CantoralDB[[#This Row],[index.html]],"&gt;"),"&gt;")&amp;"&gt;"</f>
        <v>&lt;a href="canciones/marcos_witt/has_cambiado_mi_lamento_en_baile.html"&gt;</v>
      </c>
      <c r="X1114"/>
      <c r="AB1114" s="1"/>
    </row>
    <row r="1115" spans="1:28" x14ac:dyDescent="0.3">
      <c r="A1115" s="1">
        <f>ROW(CantoralDB[[#This Row],[Título]])-1</f>
        <v>1114</v>
      </c>
      <c r="B1115" s="1" t="s">
        <v>2690</v>
      </c>
      <c r="C1115" s="1"/>
      <c r="F1115" s="1">
        <v>316</v>
      </c>
      <c r="J1115" s="1"/>
      <c r="M1115" s="15" t="s">
        <v>2387</v>
      </c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1115" s="15" t="str">
        <f>_xlfn.TEXTBEFORE(_xlfn.TEXTAFTER(CantoralDB[[#This Row],[index.html]],"&gt;"),"&gt;")&amp;"&gt;"</f>
        <v>&lt;a href="canciones/marcos_witt/mas_el_dios_de_toda_gracia.html"&gt;</v>
      </c>
      <c r="X1115"/>
      <c r="AB1115" s="1"/>
    </row>
    <row r="1116" spans="1:28" x14ac:dyDescent="0.3">
      <c r="A1116" s="1">
        <f>ROW(CantoralDB[[#This Row],[Título]])-1</f>
        <v>1115</v>
      </c>
      <c r="B1116" s="1" t="s">
        <v>2522</v>
      </c>
      <c r="C1116" s="1"/>
      <c r="F1116" s="1">
        <v>134</v>
      </c>
      <c r="J1116" s="1"/>
      <c r="M1116" s="15" t="s">
        <v>2387</v>
      </c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116" s="15" t="str">
        <f>_xlfn.TEXTBEFORE(_xlfn.TEXTAFTER(CantoralDB[[#This Row],[index.html]],"&gt;"),"&gt;")&amp;"&gt;"</f>
        <v>&lt;a href="canciones/marcos_witt/renuevame.html"&gt;</v>
      </c>
      <c r="X1116"/>
      <c r="AB1116" s="1"/>
    </row>
    <row r="1117" spans="1:28" x14ac:dyDescent="0.3">
      <c r="A1117" s="1">
        <f>ROW(CantoralDB[[#This Row],[Título]])-1</f>
        <v>1116</v>
      </c>
      <c r="B1117" s="1" t="s">
        <v>2472</v>
      </c>
      <c r="C1117" s="1"/>
      <c r="F1117" s="1">
        <v>89</v>
      </c>
      <c r="J1117" s="1"/>
      <c r="M1117" s="15" t="s">
        <v>2387</v>
      </c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1117" s="1"/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1117" s="15" t="str">
        <f>_xlfn.TEXTBEFORE(_xlfn.TEXTAFTER(CantoralDB[[#This Row],[index.html]],"&gt;"),"&gt;")&amp;"&gt;"</f>
        <v>&lt;a href="canciones/marcos_witt/temprano_yo_te_buscare.html"&gt;</v>
      </c>
      <c r="X1117"/>
      <c r="AB1117" s="1"/>
    </row>
    <row r="1118" spans="1:28" x14ac:dyDescent="0.3">
      <c r="A1118" s="1">
        <f>ROW(CantoralDB[[#This Row],[Título]])-1</f>
        <v>1117</v>
      </c>
      <c r="B1118" s="1" t="s">
        <v>2745</v>
      </c>
      <c r="C1118" s="1"/>
      <c r="F1118" s="1">
        <v>370</v>
      </c>
      <c r="J1118" s="1"/>
      <c r="M1118" s="15" t="s">
        <v>2387</v>
      </c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1118" s="15" t="str">
        <f>_xlfn.TEXTBEFORE(_xlfn.TEXTAFTER(CantoralDB[[#This Row],[index.html]],"&gt;"),"&gt;")&amp;"&gt;"</f>
        <v>&lt;a href="canciones/marcos_witt/tu_amor_por_mi.html"&gt;</v>
      </c>
      <c r="X1118"/>
      <c r="AB1118" s="1"/>
    </row>
    <row r="1119" spans="1:28" x14ac:dyDescent="0.3">
      <c r="A1119" s="1">
        <f>ROW(CantoralDB[[#This Row],[Título]])-1</f>
        <v>1118</v>
      </c>
      <c r="B1119" s="1" t="s">
        <v>2396</v>
      </c>
      <c r="C1119" s="1"/>
      <c r="F1119" s="1">
        <v>16</v>
      </c>
      <c r="H1119" s="1" t="s">
        <v>530</v>
      </c>
      <c r="J1119" s="1" t="s">
        <v>607</v>
      </c>
      <c r="M1119" s="15" t="s">
        <v>2387</v>
      </c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119" s="1"/>
      <c r="T1119" s="1"/>
      <c r="U1119" s="32" t="s">
        <v>3044</v>
      </c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119" s="15" t="str">
        <f>_xlfn.TEXTBEFORE(_xlfn.TEXTAFTER(CantoralDB[[#This Row],[index.html]],"&gt;"),"&gt;")&amp;"&gt;"</f>
        <v>&lt;a href="canciones/marcos_witt/yeshua.html"&gt;</v>
      </c>
      <c r="X1119"/>
      <c r="AB1119" s="1"/>
    </row>
    <row r="1120" spans="1:28" x14ac:dyDescent="0.3">
      <c r="A1120" s="1">
        <f>ROW(CantoralDB[[#This Row],[Título]])-1</f>
        <v>1119</v>
      </c>
      <c r="B1120" s="1" t="s">
        <v>2682</v>
      </c>
      <c r="C1120" s="1"/>
      <c r="F1120" s="1">
        <v>307</v>
      </c>
      <c r="J1120" s="1"/>
      <c r="M1120" s="15" t="s">
        <v>2502</v>
      </c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1120" s="15" t="str">
        <f>_xlfn.TEXTBEFORE(_xlfn.TEXTAFTER(CantoralDB[[#This Row],[index.html]],"&gt;"),"&gt;")&amp;"&gt;"</f>
        <v>&lt;a href="canciones/marta_gil-delgado/cree_y_veras_la_gloria_de_dios.html"&gt;</v>
      </c>
      <c r="X1120"/>
      <c r="AB1120" s="1"/>
    </row>
    <row r="1121" spans="1:28" x14ac:dyDescent="0.3">
      <c r="A1121" s="1">
        <f>ROW(CantoralDB[[#This Row],[Título]])-1</f>
        <v>1120</v>
      </c>
      <c r="B1121" s="1" t="s">
        <v>1627</v>
      </c>
      <c r="C1121" s="1"/>
      <c r="F1121" s="1">
        <v>193</v>
      </c>
      <c r="J1121" s="1"/>
      <c r="M1121" s="15" t="s">
        <v>2502</v>
      </c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121" s="15" t="str">
        <f>_xlfn.TEXTBEFORE(_xlfn.TEXTAFTER(CantoralDB[[#This Row],[index.html]],"&gt;"),"&gt;")&amp;"&gt;"</f>
        <v>&lt;a href="canciones/marta_gil-delgado/cristo.html"&gt;</v>
      </c>
      <c r="X1121"/>
      <c r="AB1121" s="1"/>
    </row>
    <row r="1122" spans="1:28" x14ac:dyDescent="0.3">
      <c r="A1122" s="1">
        <f>ROW(CantoralDB[[#This Row],[Título]])-1</f>
        <v>1121</v>
      </c>
      <c r="B1122" s="1" t="s">
        <v>2764</v>
      </c>
      <c r="C1122" s="1"/>
      <c r="F1122" s="1">
        <v>385</v>
      </c>
      <c r="J1122" s="1"/>
      <c r="M1122" s="15" t="s">
        <v>2502</v>
      </c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1122" s="15" t="str">
        <f>_xlfn.TEXTBEFORE(_xlfn.TEXTAFTER(CantoralDB[[#This Row],[index.html]],"&gt;"),"&gt;")&amp;"&gt;"</f>
        <v>&lt;a href="canciones/marta_gil-delgado/gloria_al_cordero.html"&gt;</v>
      </c>
      <c r="X1122"/>
      <c r="AB1122" s="1"/>
    </row>
    <row r="1123" spans="1:28" x14ac:dyDescent="0.3">
      <c r="A1123" s="1">
        <f>ROW(CantoralDB[[#This Row],[Título]])-1</f>
        <v>1122</v>
      </c>
      <c r="B1123" s="1" t="s">
        <v>2501</v>
      </c>
      <c r="C1123" s="1"/>
      <c r="F1123" s="1">
        <v>120</v>
      </c>
      <c r="J1123" s="1"/>
      <c r="M1123" s="15" t="s">
        <v>2502</v>
      </c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123" s="15" t="str">
        <f>_xlfn.TEXTBEFORE(_xlfn.TEXTAFTER(CantoralDB[[#This Row],[index.html]],"&gt;"),"&gt;")&amp;"&gt;"</f>
        <v>&lt;a href="canciones/marta_gil-delgado/hagase_en_nosotros.html"&gt;</v>
      </c>
      <c r="X1123"/>
      <c r="AB1123" s="1"/>
    </row>
    <row r="1124" spans="1:28" x14ac:dyDescent="0.3">
      <c r="A1124" s="1">
        <f>ROW(CantoralDB[[#This Row],[Título]])-1</f>
        <v>1123</v>
      </c>
      <c r="B1124" s="1" t="s">
        <v>2705</v>
      </c>
      <c r="C1124" s="1"/>
      <c r="F1124" s="1">
        <v>334</v>
      </c>
      <c r="J1124" s="1"/>
      <c r="M1124" s="15" t="s">
        <v>2502</v>
      </c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1124" s="15" t="str">
        <f>_xlfn.TEXTBEFORE(_xlfn.TEXTAFTER(CantoralDB[[#This Row],[index.html]],"&gt;"),"&gt;")&amp;"&gt;"</f>
        <v>&lt;a href="canciones/marta_gil-delgado/hasta_los_confines_de_la_tierra.html"&gt;</v>
      </c>
      <c r="X1124"/>
      <c r="AB1124" s="1"/>
    </row>
    <row r="1125" spans="1:28" x14ac:dyDescent="0.3">
      <c r="A1125" s="1">
        <f>ROW(CantoralDB[[#This Row],[Título]])-1</f>
        <v>1124</v>
      </c>
      <c r="B1125" s="1" t="s">
        <v>2551</v>
      </c>
      <c r="C1125" s="1"/>
      <c r="F1125" s="1">
        <v>163</v>
      </c>
      <c r="J1125" s="1"/>
      <c r="M1125" s="15" t="s">
        <v>2502</v>
      </c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125" s="15" t="str">
        <f>_xlfn.TEXTBEFORE(_xlfn.TEXTAFTER(CantoralDB[[#This Row],[index.html]],"&gt;"),"&gt;")&amp;"&gt;"</f>
        <v>&lt;a href="canciones/marta_gil-delgado/jesus_quedate_aqui.html"&gt;</v>
      </c>
      <c r="X1125"/>
      <c r="AB1125" s="1"/>
    </row>
    <row r="1126" spans="1:28" x14ac:dyDescent="0.3">
      <c r="A1126" s="1">
        <f>ROW(CantoralDB[[#This Row],[Título]])-1</f>
        <v>1125</v>
      </c>
      <c r="B1126" s="1" t="s">
        <v>2840</v>
      </c>
      <c r="C1126" s="1"/>
      <c r="F1126" s="1">
        <v>448</v>
      </c>
      <c r="J1126" s="1"/>
      <c r="M1126" s="15" t="s">
        <v>2502</v>
      </c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1126" s="15" t="str">
        <f>_xlfn.TEXTBEFORE(_xlfn.TEXTAFTER(CantoralDB[[#This Row],[index.html]],"&gt;"),"&gt;")&amp;"&gt;"</f>
        <v>&lt;a href="canciones/marta_gil-delgado/no_me_callare.html"&gt;</v>
      </c>
      <c r="X1126"/>
      <c r="AB1126" s="1"/>
    </row>
    <row r="1127" spans="1:28" x14ac:dyDescent="0.3">
      <c r="A1127" s="1">
        <f>ROW(CantoralDB[[#This Row],[Título]])-1</f>
        <v>1126</v>
      </c>
      <c r="B1127" s="1" t="s">
        <v>1577</v>
      </c>
      <c r="C1127" s="1"/>
      <c r="F1127" s="1">
        <v>228</v>
      </c>
      <c r="J1127" s="1"/>
      <c r="M1127" s="15" t="s">
        <v>2502</v>
      </c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1127" s="15" t="str">
        <f>_xlfn.TEXTBEFORE(_xlfn.TEXTAFTER(CantoralDB[[#This Row],[index.html]],"&gt;"),"&gt;")&amp;"&gt;"</f>
        <v>&lt;a href="canciones/marta_gil-delgado/no_temais.html"&gt;</v>
      </c>
      <c r="X1127"/>
      <c r="AB1127" s="1"/>
    </row>
    <row r="1128" spans="1:28" x14ac:dyDescent="0.3">
      <c r="A1128" s="1">
        <f>ROW(CantoralDB[[#This Row],[Título]])-1</f>
        <v>1127</v>
      </c>
      <c r="B1128" s="1" t="s">
        <v>2834</v>
      </c>
      <c r="C1128" s="1"/>
      <c r="F1128" s="1">
        <v>441</v>
      </c>
      <c r="J1128" s="1"/>
      <c r="M1128" s="15" t="s">
        <v>2502</v>
      </c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1128" s="15" t="str">
        <f>_xlfn.TEXTBEFORE(_xlfn.TEXTAFTER(CantoralDB[[#This Row],[index.html]],"&gt;"),"&gt;")&amp;"&gt;"</f>
        <v>&lt;a href="canciones/marta_gil-delgado/quien_es_este.html"&gt;</v>
      </c>
      <c r="X1128"/>
      <c r="AB1128" s="1"/>
    </row>
    <row r="1129" spans="1:28" x14ac:dyDescent="0.3">
      <c r="A1129" s="1">
        <f>ROW(CantoralDB[[#This Row],[Título]])-1</f>
        <v>1128</v>
      </c>
      <c r="B1129" s="1" t="s">
        <v>2531</v>
      </c>
      <c r="C1129" s="1"/>
      <c r="F1129" s="1">
        <v>144</v>
      </c>
      <c r="J1129" s="1"/>
      <c r="M1129" s="15" t="s">
        <v>2502</v>
      </c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129" s="15" t="str">
        <f>_xlfn.TEXTBEFORE(_xlfn.TEXTAFTER(CantoralDB[[#This Row],[index.html]],"&gt;"),"&gt;")&amp;"&gt;"</f>
        <v>&lt;a href="canciones/marta_gil-delgado/ven_espiritu_de_amor.html"&gt;</v>
      </c>
      <c r="X1129"/>
      <c r="AB1129" s="1"/>
    </row>
    <row r="1130" spans="1:28" x14ac:dyDescent="0.3">
      <c r="A1130" s="1">
        <f>ROW(CantoralDB[[#This Row],[Título]])-1</f>
        <v>1129</v>
      </c>
      <c r="B1130" s="1" t="s">
        <v>1</v>
      </c>
      <c r="C1130" s="1" t="s">
        <v>475</v>
      </c>
      <c r="D1130" s="1" t="s">
        <v>1357</v>
      </c>
      <c r="E1130" s="1">
        <v>1</v>
      </c>
      <c r="G1130" s="1" t="s">
        <v>208</v>
      </c>
      <c r="H1130" s="1" t="s">
        <v>1027</v>
      </c>
      <c r="J1130" s="1" t="s">
        <v>607</v>
      </c>
      <c r="M1130" s="15" t="s">
        <v>486</v>
      </c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130" s="1"/>
      <c r="T1130" s="1"/>
      <c r="U1130" s="32" t="s">
        <v>3040</v>
      </c>
      <c r="V1130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130" s="15" t="str">
        <f>_xlfn.TEXTBEFORE(_xlfn.TEXTAFTER(CantoralDB[[#This Row],[index.html]],"&gt;"),"&gt;")&amp;"&gt;"</f>
        <v>&lt;a href="canciones/miguel_manzano/a_belen_se_va_y_se_viene.html"&gt;</v>
      </c>
      <c r="X1130"/>
      <c r="AB1130" s="1"/>
    </row>
    <row r="1131" spans="1:28" x14ac:dyDescent="0.3">
      <c r="A1131" s="1">
        <f>ROW(CantoralDB[[#This Row],[Título]])-1</f>
        <v>1130</v>
      </c>
      <c r="B1131" s="1" t="s">
        <v>1165</v>
      </c>
      <c r="C1131" s="1"/>
      <c r="E1131" s="1">
        <v>25</v>
      </c>
      <c r="H1131" s="1" t="s">
        <v>1027</v>
      </c>
      <c r="J1131" s="1" t="s">
        <v>607</v>
      </c>
      <c r="M1131" s="15" t="s">
        <v>486</v>
      </c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131" s="15" t="str">
        <f>_xlfn.TEXTBEFORE(_xlfn.TEXTAFTER(CantoralDB[[#This Row],[index.html]],"&gt;"),"&gt;")&amp;"&gt;"</f>
        <v>&lt;a href="canciones/miguel_manzano/a_ti_levanto_mis_ojos.html"&gt;</v>
      </c>
      <c r="X1131"/>
      <c r="AB1131" s="1"/>
    </row>
    <row r="1132" spans="1:28" x14ac:dyDescent="0.3">
      <c r="A1132" s="1">
        <f>ROW(CantoralDB[[#This Row],[Título]])-1</f>
        <v>1131</v>
      </c>
      <c r="B1132" s="1" t="s">
        <v>1158</v>
      </c>
      <c r="C1132" s="1"/>
      <c r="E1132" s="1">
        <v>11</v>
      </c>
      <c r="H1132" s="1" t="s">
        <v>1027</v>
      </c>
      <c r="J1132" s="1" t="s">
        <v>607</v>
      </c>
      <c r="M1132" s="15" t="s">
        <v>486</v>
      </c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132" s="15" t="str">
        <f>_xlfn.TEXTBEFORE(_xlfn.TEXTAFTER(CantoralDB[[#This Row],[index.html]],"&gt;"),"&gt;")&amp;"&gt;"</f>
        <v>&lt;a href="canciones/miguel_manzano/aclama_al_señor_tierra_entera.html"&gt;</v>
      </c>
      <c r="X1132"/>
      <c r="AB1132" s="1"/>
    </row>
    <row r="1133" spans="1:28" x14ac:dyDescent="0.3">
      <c r="A1133" s="1">
        <f>ROW(CantoralDB[[#This Row],[Título]])-1</f>
        <v>1132</v>
      </c>
      <c r="B1133" s="1" t="s">
        <v>18</v>
      </c>
      <c r="C1133" s="1" t="s">
        <v>193</v>
      </c>
      <c r="D1133" s="1" t="s">
        <v>1377</v>
      </c>
      <c r="E1133" s="1">
        <v>14</v>
      </c>
      <c r="G1133" s="1" t="s">
        <v>208</v>
      </c>
      <c r="H1133" s="1" t="s">
        <v>1027</v>
      </c>
      <c r="J1133" s="1" t="s">
        <v>607</v>
      </c>
      <c r="M1133" s="15" t="s">
        <v>486</v>
      </c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133" s="1" t="s">
        <v>800</v>
      </c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133" s="15" t="str">
        <f>_xlfn.TEXTBEFORE(_xlfn.TEXTAFTER(CantoralDB[[#This Row],[index.html]],"&gt;"),"&gt;")&amp;"&gt;"</f>
        <v>&lt;a href="canciones/miguel_manzano/aleluya_el_señor_es_nuestro_rey.html"&gt;</v>
      </c>
      <c r="X1133"/>
      <c r="AB1133" s="1"/>
    </row>
    <row r="1134" spans="1:28" x14ac:dyDescent="0.3">
      <c r="A1134" s="1">
        <f>ROW(CantoralDB[[#This Row],[Título]])-1</f>
        <v>1133</v>
      </c>
      <c r="B1134" s="1" t="s">
        <v>1169</v>
      </c>
      <c r="C1134" s="1"/>
      <c r="E1134" s="1">
        <v>33</v>
      </c>
      <c r="H1134" s="1" t="s">
        <v>530</v>
      </c>
      <c r="J1134" s="1" t="s">
        <v>607</v>
      </c>
      <c r="M1134" s="15" t="s">
        <v>486</v>
      </c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134" s="15" t="str">
        <f>_xlfn.TEXTBEFORE(_xlfn.TEXTAFTER(CantoralDB[[#This Row],[index.html]],"&gt;"),"&gt;")&amp;"&gt;"</f>
        <v>&lt;a href="canciones/miguel_manzano/alma_mia_recobra_tu_calma.html"&gt;</v>
      </c>
      <c r="X1134"/>
      <c r="AB1134" s="1"/>
    </row>
    <row r="1135" spans="1:28" x14ac:dyDescent="0.3">
      <c r="A1135" s="1">
        <f>ROW(CantoralDB[[#This Row],[Título]])-1</f>
        <v>1134</v>
      </c>
      <c r="B1135" s="1" t="s">
        <v>36</v>
      </c>
      <c r="C1135" s="1" t="s">
        <v>992</v>
      </c>
      <c r="D1135" s="1" t="s">
        <v>688</v>
      </c>
      <c r="E1135" s="1">
        <v>60</v>
      </c>
      <c r="G1135" s="1" t="s">
        <v>208</v>
      </c>
      <c r="H1135" s="1" t="s">
        <v>1029</v>
      </c>
      <c r="I1135" s="1" t="s">
        <v>2950</v>
      </c>
      <c r="J1135" s="1" t="s">
        <v>607</v>
      </c>
      <c r="M1135" s="15" t="s">
        <v>486</v>
      </c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135" s="1" t="s">
        <v>815</v>
      </c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135" s="15" t="str">
        <f>_xlfn.TEXTBEFORE(_xlfn.TEXTAFTER(CantoralDB[[#This Row],[index.html]],"&gt;"),"&gt;")&amp;"&gt;"</f>
        <v>&lt;a href="canciones/miguel_manzano/con_vosotros_esta.html"&gt;</v>
      </c>
      <c r="X1135"/>
      <c r="AB1135" s="1"/>
    </row>
    <row r="1136" spans="1:28" x14ac:dyDescent="0.3">
      <c r="A1136" s="1">
        <f>ROW(CantoralDB[[#This Row],[Título]])-1</f>
        <v>1135</v>
      </c>
      <c r="B1136" s="1" t="s">
        <v>249</v>
      </c>
      <c r="C1136" s="1" t="s">
        <v>201</v>
      </c>
      <c r="D1136" s="1" t="s">
        <v>1403</v>
      </c>
      <c r="G1136" s="1" t="s">
        <v>247</v>
      </c>
      <c r="H1136" s="1" t="s">
        <v>1026</v>
      </c>
      <c r="J1136" s="1" t="s">
        <v>607</v>
      </c>
      <c r="M1136" s="15" t="s">
        <v>486</v>
      </c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136" s="15" t="str">
        <f>_xlfn.TEXTBEFORE(_xlfn.TEXTAFTER(CantoralDB[[#This Row],[index.html]],"&gt;"),"&gt;")&amp;"&gt;"</f>
        <v>&lt;a href="canciones/miguel_manzano/cordero_de_dios_(manzano).html"&gt;</v>
      </c>
      <c r="X1136"/>
      <c r="AB1136" s="1"/>
    </row>
    <row r="1137" spans="1:28" x14ac:dyDescent="0.3">
      <c r="A1137" s="1">
        <f>ROW(CantoralDB[[#This Row],[Título]])-1</f>
        <v>1136</v>
      </c>
      <c r="B1137" s="1" t="s">
        <v>42</v>
      </c>
      <c r="C1137" s="1" t="s">
        <v>194</v>
      </c>
      <c r="D1137" s="1" t="s">
        <v>1406</v>
      </c>
      <c r="E1137" s="1">
        <v>67</v>
      </c>
      <c r="G1137" s="1" t="s">
        <v>208</v>
      </c>
      <c r="H1137" s="1" t="s">
        <v>530</v>
      </c>
      <c r="I1137" s="1" t="s">
        <v>2953</v>
      </c>
      <c r="J1137" s="1" t="s">
        <v>607</v>
      </c>
      <c r="M1137" s="15" t="s">
        <v>486</v>
      </c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137" s="15" t="str">
        <f>_xlfn.TEXTBEFORE(_xlfn.TEXTAFTER(CantoralDB[[#This Row],[index.html]],"&gt;"),"&gt;")&amp;"&gt;"</f>
        <v>&lt;a href="canciones/miguel_manzano/cuando_el_pobre_nada_tiene.html"&gt;</v>
      </c>
      <c r="X1137"/>
      <c r="AB1137" s="1"/>
    </row>
    <row r="1138" spans="1:28" x14ac:dyDescent="0.3">
      <c r="A1138" s="1">
        <f>ROW(CantoralDB[[#This Row],[Título]])-1</f>
        <v>1137</v>
      </c>
      <c r="B1138" s="1" t="s">
        <v>1192</v>
      </c>
      <c r="C1138" s="1"/>
      <c r="E1138" s="1">
        <v>66</v>
      </c>
      <c r="H1138" s="1" t="s">
        <v>1027</v>
      </c>
      <c r="J1138" s="1" t="s">
        <v>607</v>
      </c>
      <c r="M1138" s="15" t="s">
        <v>486</v>
      </c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138" s="15" t="str">
        <f>_xlfn.TEXTBEFORE(_xlfn.TEXTAFTER(CantoralDB[[#This Row],[index.html]],"&gt;"),"&gt;")&amp;"&gt;"</f>
        <v>&lt;a href="canciones/miguel_manzano/cuando_vendras_señor.html"&gt;</v>
      </c>
      <c r="X1138"/>
      <c r="AB1138" s="1"/>
    </row>
    <row r="1139" spans="1:28" x14ac:dyDescent="0.3">
      <c r="A1139" s="1">
        <f>ROW(CantoralDB[[#This Row],[Título]])-1</f>
        <v>1138</v>
      </c>
      <c r="B1139" s="1" t="s">
        <v>2114</v>
      </c>
      <c r="C1139" s="1"/>
      <c r="E1139" s="1">
        <v>79</v>
      </c>
      <c r="H1139" s="1" t="s">
        <v>1027</v>
      </c>
      <c r="J1139" s="1" t="s">
        <v>607</v>
      </c>
      <c r="M1139" s="15" t="s">
        <v>486</v>
      </c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139" s="15" t="str">
        <f>_xlfn.TEXTBEFORE(_xlfn.TEXTAFTER(CantoralDB[[#This Row],[index.html]],"&gt;"),"&gt;")&amp;"&gt;"</f>
        <v>&lt;a href="canciones/miguel_manzano/desde_lo_hondo.html"&gt;</v>
      </c>
      <c r="X1139"/>
      <c r="AB1139" s="1"/>
    </row>
    <row r="1140" spans="1:28" x14ac:dyDescent="0.3">
      <c r="A1140" s="1">
        <f>ROW(CantoralDB[[#This Row],[Título]])-1</f>
        <v>1139</v>
      </c>
      <c r="B1140" s="1" t="s">
        <v>1211</v>
      </c>
      <c r="C1140" s="1"/>
      <c r="E1140" s="1">
        <v>90</v>
      </c>
      <c r="H1140" s="1" t="s">
        <v>1029</v>
      </c>
      <c r="J1140" s="1" t="s">
        <v>607</v>
      </c>
      <c r="M1140" s="15" t="s">
        <v>486</v>
      </c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140" s="15" t="str">
        <f>_xlfn.TEXTBEFORE(_xlfn.TEXTAFTER(CantoralDB[[#This Row],[index.html]],"&gt;"),"&gt;")&amp;"&gt;"</f>
        <v>&lt;a href="canciones/miguel_manzano/el_pueblo_gime_en_el_dolor.html"&gt;</v>
      </c>
      <c r="X1140"/>
      <c r="AB1140" s="1"/>
    </row>
    <row r="1141" spans="1:28" x14ac:dyDescent="0.3">
      <c r="A1141" s="1">
        <f>ROW(CantoralDB[[#This Row],[Título]])-1</f>
        <v>1140</v>
      </c>
      <c r="B1141" s="1" t="s">
        <v>66</v>
      </c>
      <c r="C1141" s="1" t="s">
        <v>200</v>
      </c>
      <c r="D1141" s="1" t="s">
        <v>655</v>
      </c>
      <c r="E1141" s="1">
        <v>113</v>
      </c>
      <c r="G1141" s="1" t="s">
        <v>208</v>
      </c>
      <c r="H1141" s="1" t="s">
        <v>530</v>
      </c>
      <c r="I1141" s="1" t="s">
        <v>2953</v>
      </c>
      <c r="J1141" s="1" t="s">
        <v>607</v>
      </c>
      <c r="M1141" s="15" t="s">
        <v>486</v>
      </c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141" s="1" t="s">
        <v>833</v>
      </c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141" s="15" t="str">
        <f>_xlfn.TEXTBEFORE(_xlfn.TEXTAFTER(CantoralDB[[#This Row],[index.html]],"&gt;"),"&gt;")&amp;"&gt;"</f>
        <v>&lt;a href="canciones/miguel_manzano/este_es_el_dia_en_que_actuo_el_señor.html"&gt;</v>
      </c>
      <c r="X1141"/>
      <c r="AB1141" s="1"/>
    </row>
    <row r="1142" spans="1:28" x14ac:dyDescent="0.3">
      <c r="A1142" s="1">
        <f>ROW(CantoralDB[[#This Row],[Título]])-1</f>
        <v>1141</v>
      </c>
      <c r="B1142" s="1" t="s">
        <v>1273</v>
      </c>
      <c r="C1142" s="1"/>
      <c r="E1142" s="1">
        <v>155</v>
      </c>
      <c r="J1142" s="1"/>
      <c r="M1142" s="15" t="s">
        <v>486</v>
      </c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142" s="15" t="str">
        <f>_xlfn.TEXTBEFORE(_xlfn.TEXTAFTER(CantoralDB[[#This Row],[index.html]],"&gt;"),"&gt;")&amp;"&gt;"</f>
        <v>&lt;a href="canciones/miguel_manzano/la_tierra_que_hoy_pisamos.html"&gt;</v>
      </c>
      <c r="X1142"/>
      <c r="AB1142" s="1"/>
    </row>
    <row r="1143" spans="1:28" x14ac:dyDescent="0.3">
      <c r="A1143" s="1">
        <f>ROW(CantoralDB[[#This Row],[Título]])-1</f>
        <v>1142</v>
      </c>
      <c r="B1143" s="1" t="s">
        <v>1270</v>
      </c>
      <c r="C1143" s="1"/>
      <c r="E1143" s="1">
        <v>151</v>
      </c>
      <c r="J1143" s="1"/>
      <c r="M1143" s="15" t="s">
        <v>486</v>
      </c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143" s="15" t="str">
        <f>_xlfn.TEXTBEFORE(_xlfn.TEXTAFTER(CantoralDB[[#This Row],[index.html]],"&gt;"),"&gt;")&amp;"&gt;"</f>
        <v>&lt;a href="canciones/miguel_manzano/levanto_mis_ojos_a_los_montes.html"&gt;</v>
      </c>
      <c r="X1143"/>
      <c r="AB1143" s="1"/>
    </row>
    <row r="1144" spans="1:28" x14ac:dyDescent="0.3">
      <c r="A1144" s="1">
        <f>ROW(CantoralDB[[#This Row],[Título]])-1</f>
        <v>1143</v>
      </c>
      <c r="B1144" s="1" t="s">
        <v>94</v>
      </c>
      <c r="C1144" s="1" t="s">
        <v>992</v>
      </c>
      <c r="D1144" s="1" t="s">
        <v>718</v>
      </c>
      <c r="E1144" s="1">
        <v>166</v>
      </c>
      <c r="G1144" s="1" t="s">
        <v>208</v>
      </c>
      <c r="H1144" s="1" t="s">
        <v>1026</v>
      </c>
      <c r="J1144" s="1" t="s">
        <v>607</v>
      </c>
      <c r="M1144" s="15" t="s">
        <v>486</v>
      </c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144" s="1" t="s">
        <v>843</v>
      </c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144" s="15" t="str">
        <f>_xlfn.TEXTBEFORE(_xlfn.TEXTAFTER(CantoralDB[[#This Row],[index.html]],"&gt;"),"&gt;")&amp;"&gt;"</f>
        <v>&lt;a href="canciones/miguel_manzano/mirad_al_suelo.html"&gt;</v>
      </c>
      <c r="X1144"/>
      <c r="AB1144" s="1"/>
    </row>
    <row r="1145" spans="1:28" x14ac:dyDescent="0.3">
      <c r="A1145" s="1">
        <f>ROW(CantoralDB[[#This Row],[Título]])-1</f>
        <v>1144</v>
      </c>
      <c r="B1145" s="1" t="s">
        <v>1301</v>
      </c>
      <c r="C1145" s="1"/>
      <c r="E1145" s="1">
        <v>206</v>
      </c>
      <c r="J1145" s="1"/>
      <c r="M1145" s="15" t="s">
        <v>486</v>
      </c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145" s="15" t="str">
        <f>_xlfn.TEXTBEFORE(_xlfn.TEXTAFTER(CantoralDB[[#This Row],[index.html]],"&gt;"),"&gt;")&amp;"&gt;"</f>
        <v>&lt;a href="canciones/miguel_manzano/porque_el_mundo_esta_lleno_de_misterios.html"&gt;</v>
      </c>
      <c r="X1145"/>
      <c r="AB1145" s="1"/>
    </row>
    <row r="1146" spans="1:28" x14ac:dyDescent="0.3">
      <c r="A1146" s="1">
        <f>ROW(CantoralDB[[#This Row],[Título]])-1</f>
        <v>1145</v>
      </c>
      <c r="B1146" s="1" t="s">
        <v>119</v>
      </c>
      <c r="C1146" s="1" t="s">
        <v>190</v>
      </c>
      <c r="D1146" s="1" t="s">
        <v>747</v>
      </c>
      <c r="E1146" s="1">
        <v>221</v>
      </c>
      <c r="G1146" s="1" t="s">
        <v>208</v>
      </c>
      <c r="H1146" s="1" t="s">
        <v>1028</v>
      </c>
      <c r="J1146" s="1" t="s">
        <v>607</v>
      </c>
      <c r="M1146" s="15" t="s">
        <v>486</v>
      </c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146" s="1" t="s">
        <v>856</v>
      </c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146" s="15" t="str">
        <f>_xlfn.TEXTBEFORE(_xlfn.TEXTAFTER(CantoralDB[[#This Row],[index.html]],"&gt;"),"&gt;")&amp;"&gt;"</f>
        <v>&lt;a href="canciones/miguel_manzano/que_alegria_cuando_me_dijeron.html"&gt;</v>
      </c>
      <c r="X1146"/>
      <c r="AB1146" s="1"/>
    </row>
    <row r="1147" spans="1:28" x14ac:dyDescent="0.3">
      <c r="A1147" s="1">
        <f>ROW(CantoralDB[[#This Row],[Título]])-1</f>
        <v>1146</v>
      </c>
      <c r="B1147" s="1" t="s">
        <v>1316</v>
      </c>
      <c r="C1147" s="1"/>
      <c r="E1147" s="1">
        <v>236</v>
      </c>
      <c r="J1147" s="1"/>
      <c r="M1147" s="15" t="s">
        <v>486</v>
      </c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147" s="15" t="str">
        <f>_xlfn.TEXTBEFORE(_xlfn.TEXTAFTER(CantoralDB[[#This Row],[index.html]],"&gt;"),"&gt;")&amp;"&gt;"</f>
        <v>&lt;a href="canciones/miguel_manzano/sacareis_aguas_con_gozo.html"&gt;</v>
      </c>
      <c r="X1147"/>
      <c r="AB1147" s="1"/>
    </row>
    <row r="1148" spans="1:28" x14ac:dyDescent="0.3">
      <c r="A1148" s="1">
        <f>ROW(CantoralDB[[#This Row],[Título]])-1</f>
        <v>1147</v>
      </c>
      <c r="B1148" s="1" t="s">
        <v>149</v>
      </c>
      <c r="C1148" s="1" t="s">
        <v>200</v>
      </c>
      <c r="D1148" s="1" t="s">
        <v>675</v>
      </c>
      <c r="E1148" s="1">
        <v>264</v>
      </c>
      <c r="G1148" s="1" t="s">
        <v>208</v>
      </c>
      <c r="H1148" s="1" t="s">
        <v>1027</v>
      </c>
      <c r="I1148" s="1" t="s">
        <v>2953</v>
      </c>
      <c r="J1148" s="1" t="s">
        <v>607</v>
      </c>
      <c r="M1148" s="15" t="s">
        <v>486</v>
      </c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148" s="15" t="str">
        <f>_xlfn.TEXTBEFORE(_xlfn.TEXTAFTER(CantoralDB[[#This Row],[index.html]],"&gt;"),"&gt;")&amp;"&gt;"</f>
        <v>&lt;a href="canciones/miguel_manzano/tu_reino_es_vida.html"&gt;</v>
      </c>
      <c r="X1148"/>
      <c r="AB1148" s="1"/>
    </row>
    <row r="1149" spans="1:28" x14ac:dyDescent="0.3">
      <c r="A1149" s="1">
        <f>ROW(CantoralDB[[#This Row],[Título]])-1</f>
        <v>1148</v>
      </c>
      <c r="B1149" s="1" t="s">
        <v>988</v>
      </c>
      <c r="C1149" s="1" t="s">
        <v>193</v>
      </c>
      <c r="D1149" s="1" t="s">
        <v>1374</v>
      </c>
      <c r="G1149" s="1" t="s">
        <v>990</v>
      </c>
      <c r="H1149" s="1" t="s">
        <v>1028</v>
      </c>
      <c r="J1149" s="1" t="s">
        <v>607</v>
      </c>
      <c r="M1149" s="15" t="s">
        <v>794</v>
      </c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149" s="15" t="str">
        <f>_xlfn.TEXTBEFORE(_xlfn.TEXTAFTER(CantoralDB[[#This Row],[index.html]],"&gt;"),"&gt;")&amp;"&gt;"</f>
        <v>&lt;a href="canciones/nsb/aleluya_de_adviento.html"&gt;</v>
      </c>
      <c r="X1149"/>
      <c r="AB1149" s="1"/>
    </row>
    <row r="1150" spans="1:28" x14ac:dyDescent="0.3">
      <c r="A1150" s="1">
        <f>ROW(CantoralDB[[#This Row],[Título]])-1</f>
        <v>1149</v>
      </c>
      <c r="B1150" s="1" t="s">
        <v>781</v>
      </c>
      <c r="C1150" s="1" t="s">
        <v>201</v>
      </c>
      <c r="D1150" s="1" t="s">
        <v>1400</v>
      </c>
      <c r="G1150" s="1" t="s">
        <v>532</v>
      </c>
      <c r="H1150" s="1" t="s">
        <v>472</v>
      </c>
      <c r="J1150" s="1" t="s">
        <v>607</v>
      </c>
      <c r="M1150" s="15" t="s">
        <v>794</v>
      </c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150" s="15" t="str">
        <f>_xlfn.TEXTBEFORE(_xlfn.TEXTAFTER(CantoralDB[[#This Row],[index.html]],"&gt;"),"&gt;")&amp;"&gt;"</f>
        <v>&lt;a href="canciones/nsb/cordero_de_dios_(algete).html"&gt;</v>
      </c>
      <c r="X1150"/>
      <c r="AB1150" s="1"/>
    </row>
    <row r="1151" spans="1:28" x14ac:dyDescent="0.3">
      <c r="A1151" s="1">
        <f>ROW(CantoralDB[[#This Row],[Título]])-1</f>
        <v>1150</v>
      </c>
      <c r="B1151" s="1" t="s">
        <v>38</v>
      </c>
      <c r="C1151" s="1" t="s">
        <v>201</v>
      </c>
      <c r="D1151" s="1" t="s">
        <v>1402</v>
      </c>
      <c r="E1151" s="1">
        <v>415</v>
      </c>
      <c r="G1151" s="1" t="s">
        <v>208</v>
      </c>
      <c r="H1151" s="1" t="s">
        <v>1029</v>
      </c>
      <c r="J1151" s="1" t="s">
        <v>607</v>
      </c>
      <c r="M1151" s="15" t="s">
        <v>794</v>
      </c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1151" s="15" t="str">
        <f>_xlfn.TEXTBEFORE(_xlfn.TEXTAFTER(CantoralDB[[#This Row],[index.html]],"&gt;"),"&gt;")&amp;"&gt;"</f>
        <v>&lt;a href="canciones/nsb/cordero_de_dios_(boliviano).html"&gt;</v>
      </c>
      <c r="X1151"/>
      <c r="AB1151" s="1"/>
    </row>
    <row r="1152" spans="1:28" x14ac:dyDescent="0.3">
      <c r="A1152" s="1">
        <f>ROW(CantoralDB[[#This Row],[Título]])-1</f>
        <v>1151</v>
      </c>
      <c r="B1152" s="1" t="s">
        <v>595</v>
      </c>
      <c r="C1152" s="1" t="s">
        <v>199</v>
      </c>
      <c r="D1152" s="1" t="s">
        <v>1410</v>
      </c>
      <c r="G1152" s="1" t="s">
        <v>594</v>
      </c>
      <c r="H1152" s="1" t="s">
        <v>530</v>
      </c>
      <c r="I1152" s="1" t="s">
        <v>2953</v>
      </c>
      <c r="J1152" s="1" t="s">
        <v>607</v>
      </c>
      <c r="M1152" s="15" t="s">
        <v>794</v>
      </c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152" s="15" t="str">
        <f>_xlfn.TEXTBEFORE(_xlfn.TEXTAFTER(CantoralDB[[#This Row],[index.html]],"&gt;"),"&gt;")&amp;"&gt;"</f>
        <v>&lt;a href="canciones/nsb/dulce_muchacha_humilde_de_palestina.html"&gt;</v>
      </c>
      <c r="X1152"/>
      <c r="AB1152" s="1"/>
    </row>
    <row r="1153" spans="1:28" x14ac:dyDescent="0.3">
      <c r="A1153" s="1">
        <f>ROW(CantoralDB[[#This Row],[Título]])-1</f>
        <v>1152</v>
      </c>
      <c r="B1153" s="1" t="s">
        <v>51</v>
      </c>
      <c r="C1153" s="1" t="s">
        <v>992</v>
      </c>
      <c r="D1153" s="1" t="s">
        <v>699</v>
      </c>
      <c r="E1153" s="1">
        <v>95</v>
      </c>
      <c r="G1153" s="1" t="s">
        <v>208</v>
      </c>
      <c r="H1153" s="1" t="s">
        <v>1026</v>
      </c>
      <c r="J1153" s="1" t="s">
        <v>607</v>
      </c>
      <c r="M1153" s="15" t="s">
        <v>794</v>
      </c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1153" s="1" t="s">
        <v>824</v>
      </c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1153" s="15" t="str">
        <f>_xlfn.TEXTBEFORE(_xlfn.TEXTAFTER(CantoralDB[[#This Row],[index.html]],"&gt;"),"&gt;")&amp;"&gt;"</f>
        <v>&lt;a href="canciones/nsb/el_señor_dios_nos_amo.html"&gt;</v>
      </c>
      <c r="X1153"/>
      <c r="AB1153" s="1"/>
    </row>
    <row r="1154" spans="1:28" x14ac:dyDescent="0.3">
      <c r="A1154" s="1">
        <f>ROW(CantoralDB[[#This Row],[Título]])-1</f>
        <v>1153</v>
      </c>
      <c r="B1154" s="1" t="s">
        <v>1481</v>
      </c>
      <c r="C1154" s="1"/>
      <c r="E1154" s="1">
        <v>314</v>
      </c>
      <c r="H1154" s="1" t="s">
        <v>530</v>
      </c>
      <c r="J1154" s="1" t="s">
        <v>607</v>
      </c>
      <c r="M1154" s="15" t="s">
        <v>794</v>
      </c>
      <c r="N1154" s="14"/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1154" s="1"/>
      <c r="T1154" s="1"/>
      <c r="U1154" s="32" t="s">
        <v>1480</v>
      </c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1154" s="15" t="str">
        <f>_xlfn.TEXTBEFORE(_xlfn.TEXTAFTER(CantoralDB[[#This Row],[index.html]],"&gt;"),"&gt;")&amp;"&gt;"</f>
        <v>&lt;a href="canciones/nsb/el_tren_del_evangelio.html"&gt;</v>
      </c>
      <c r="X1154"/>
      <c r="AB1154" s="1"/>
    </row>
    <row r="1155" spans="1:28" x14ac:dyDescent="0.3">
      <c r="A1155" s="1">
        <f>ROW(CantoralDB[[#This Row],[Título]])-1</f>
        <v>1154</v>
      </c>
      <c r="B1155" s="1" t="s">
        <v>56</v>
      </c>
      <c r="C1155" s="1" t="s">
        <v>196</v>
      </c>
      <c r="D1155" s="1" t="s">
        <v>1416</v>
      </c>
      <c r="E1155" s="1">
        <v>107</v>
      </c>
      <c r="G1155" s="1" t="s">
        <v>208</v>
      </c>
      <c r="H1155" s="1" t="s">
        <v>1029</v>
      </c>
      <c r="J1155" s="1" t="s">
        <v>607</v>
      </c>
      <c r="M1155" s="15" t="s">
        <v>794</v>
      </c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1155" s="15" t="str">
        <f>_xlfn.TEXTBEFORE(_xlfn.TEXTAFTER(CantoralDB[[#This Row],[index.html]],"&gt;"),"&gt;")&amp;"&gt;"</f>
        <v>&lt;a href="canciones/nsb/en_el_mar_he_oido_hoy.html"&gt;</v>
      </c>
      <c r="X1155"/>
      <c r="AB1155" s="1"/>
    </row>
    <row r="1156" spans="1:28" x14ac:dyDescent="0.3">
      <c r="A1156" s="1">
        <f>ROW(CantoralDB[[#This Row],[Título]])-1</f>
        <v>1155</v>
      </c>
      <c r="B1156" s="1" t="s">
        <v>57</v>
      </c>
      <c r="C1156" s="1" t="s">
        <v>190</v>
      </c>
      <c r="D1156" s="1" t="s">
        <v>736</v>
      </c>
      <c r="E1156" s="1">
        <v>101</v>
      </c>
      <c r="G1156" s="1" t="s">
        <v>208</v>
      </c>
      <c r="H1156" s="1" t="s">
        <v>1026</v>
      </c>
      <c r="I1156" s="1" t="s">
        <v>2953</v>
      </c>
      <c r="J1156" s="1" t="s">
        <v>607</v>
      </c>
      <c r="M1156" s="15" t="s">
        <v>794</v>
      </c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1156" s="15" t="str">
        <f>_xlfn.TEXTBEFORE(_xlfn.TEXTAFTER(CantoralDB[[#This Row],[index.html]],"&gt;"),"&gt;")&amp;"&gt;"</f>
        <v>&lt;a href="canciones/nsb/en_el_señor_estamos_congregados.html"&gt;</v>
      </c>
      <c r="X1156"/>
      <c r="AB1156" s="1"/>
    </row>
    <row r="1157" spans="1:28" x14ac:dyDescent="0.3">
      <c r="A1157" s="1">
        <f>ROW(CantoralDB[[#This Row],[Título]])-1</f>
        <v>1156</v>
      </c>
      <c r="B1157" s="1" t="s">
        <v>1245</v>
      </c>
      <c r="C1157" s="1"/>
      <c r="E1157" s="1">
        <v>109</v>
      </c>
      <c r="H1157" s="1" t="s">
        <v>1029</v>
      </c>
      <c r="J1157" s="1" t="s">
        <v>607</v>
      </c>
      <c r="M1157" s="15" t="s">
        <v>794</v>
      </c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1157" s="15" t="str">
        <f>_xlfn.TEXTBEFORE(_xlfn.TEXTAFTER(CantoralDB[[#This Row],[index.html]],"&gt;"),"&gt;")&amp;"&gt;"</f>
        <v>&lt;a href="canciones/nsb/envia_tu_espiritu_señor.html"&gt;</v>
      </c>
      <c r="X1157"/>
      <c r="AB1157" s="1"/>
    </row>
    <row r="1158" spans="1:28" x14ac:dyDescent="0.3">
      <c r="A1158" s="1">
        <f>ROW(CantoralDB[[#This Row],[Título]])-1</f>
        <v>1157</v>
      </c>
      <c r="B1158" s="1" t="s">
        <v>1251</v>
      </c>
      <c r="C1158" s="1"/>
      <c r="E1158" s="1">
        <v>118</v>
      </c>
      <c r="H1158" s="1" t="s">
        <v>530</v>
      </c>
      <c r="J1158" s="1" t="s">
        <v>607</v>
      </c>
      <c r="M1158" s="15" t="s">
        <v>794</v>
      </c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1158" s="15" t="str">
        <f>_xlfn.TEXTBEFORE(_xlfn.TEXTAFTER(CantoralDB[[#This Row],[index.html]],"&gt;"),"&gt;")&amp;"&gt;"</f>
        <v>&lt;a href="canciones/nsb/esta_es_la_noche_de_la_luz.html"&gt;</v>
      </c>
      <c r="X1158"/>
      <c r="AB1158" s="1"/>
    </row>
    <row r="1159" spans="1:28" x14ac:dyDescent="0.3">
      <c r="A1159" s="1">
        <f>ROW(CantoralDB[[#This Row],[Título]])-1</f>
        <v>1158</v>
      </c>
      <c r="B1159" s="1" t="s">
        <v>69</v>
      </c>
      <c r="C1159" s="1" t="s">
        <v>192</v>
      </c>
      <c r="D1159" s="1" t="s">
        <v>1423</v>
      </c>
      <c r="E1159" s="1">
        <v>303</v>
      </c>
      <c r="G1159" s="1" t="s">
        <v>208</v>
      </c>
      <c r="H1159" s="1" t="s">
        <v>530</v>
      </c>
      <c r="J1159" s="1" t="s">
        <v>607</v>
      </c>
      <c r="M1159" s="15" t="s">
        <v>794</v>
      </c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1159" s="15" t="str">
        <f>_xlfn.TEXTBEFORE(_xlfn.TEXTAFTER(CantoralDB[[#This Row],[index.html]],"&gt;"),"&gt;")&amp;"&gt;"</f>
        <v>&lt;a href="canciones/nsb/gloria_y_alabanza.html"&gt;</v>
      </c>
      <c r="X1159"/>
      <c r="AB1159" s="1"/>
    </row>
    <row r="1160" spans="1:28" x14ac:dyDescent="0.3">
      <c r="A1160" s="1">
        <f>ROW(CantoralDB[[#This Row],[Título]])-1</f>
        <v>1159</v>
      </c>
      <c r="B1160" s="1" t="s">
        <v>1263</v>
      </c>
      <c r="C1160" s="1"/>
      <c r="E1160" s="1">
        <v>135</v>
      </c>
      <c r="H1160" s="1" t="s">
        <v>530</v>
      </c>
      <c r="J1160" s="1" t="s">
        <v>607</v>
      </c>
      <c r="M1160" s="15" t="s">
        <v>794</v>
      </c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1160" s="1"/>
      <c r="T1160" s="1"/>
      <c r="U1160" s="32" t="s">
        <v>2985</v>
      </c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1160" s="15" t="str">
        <f>_xlfn.TEXTBEFORE(_xlfn.TEXTAFTER(CantoralDB[[#This Row],[index.html]],"&gt;"),"&gt;")&amp;"&gt;"</f>
        <v>&lt;a href="canciones/nsb/hoy_empieza_una_nueva_era.html"&gt;</v>
      </c>
      <c r="X1160"/>
      <c r="AB1160" s="1"/>
    </row>
    <row r="1161" spans="1:28" x14ac:dyDescent="0.3">
      <c r="A1161" s="1">
        <f>ROW(CantoralDB[[#This Row],[Título]])-1</f>
        <v>1160</v>
      </c>
      <c r="B1161" s="1" t="s">
        <v>1351</v>
      </c>
      <c r="C1161" s="1"/>
      <c r="E1161" s="1">
        <v>304</v>
      </c>
      <c r="J1161" s="1"/>
      <c r="M1161" s="15" t="s">
        <v>794</v>
      </c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1161" s="15" t="str">
        <f>_xlfn.TEXTBEFORE(_xlfn.TEXTAFTER(CantoralDB[[#This Row],[index.html]],"&gt;"),"&gt;")&amp;"&gt;"</f>
        <v>&lt;a href="canciones/nsb/jesus_es_la_verdad.html"&gt;</v>
      </c>
      <c r="X1161"/>
      <c r="AB1161" s="1"/>
    </row>
    <row r="1162" spans="1:28" x14ac:dyDescent="0.3">
      <c r="A1162" s="1">
        <f>ROW(CantoralDB[[#This Row],[Título]])-1</f>
        <v>1161</v>
      </c>
      <c r="B1162" s="1" t="s">
        <v>1352</v>
      </c>
      <c r="C1162" s="1"/>
      <c r="E1162" s="1">
        <v>305</v>
      </c>
      <c r="J1162" s="1"/>
      <c r="M1162" s="15" t="s">
        <v>794</v>
      </c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1162" s="15" t="str">
        <f>_xlfn.TEXTBEFORE(_xlfn.TEXTAFTER(CantoralDB[[#This Row],[index.html]],"&gt;"),"&gt;")&amp;"&gt;"</f>
        <v>&lt;a href="canciones/nsb/juntos_cantaremos_con_la_voz_de_la_cancion.html"&gt;</v>
      </c>
      <c r="X1162"/>
      <c r="AB1162" s="1"/>
    </row>
    <row r="1163" spans="1:28" x14ac:dyDescent="0.3">
      <c r="A1163" s="1">
        <f>ROW(CantoralDB[[#This Row],[Título]])-1</f>
        <v>1162</v>
      </c>
      <c r="B1163" s="1" t="s">
        <v>232</v>
      </c>
      <c r="C1163" s="1" t="s">
        <v>197</v>
      </c>
      <c r="D1163" s="1" t="s">
        <v>1434</v>
      </c>
      <c r="G1163" s="1" t="s">
        <v>212</v>
      </c>
      <c r="H1163" s="1" t="s">
        <v>472</v>
      </c>
      <c r="I1163" s="1" t="s">
        <v>2953</v>
      </c>
      <c r="J1163" s="1" t="s">
        <v>607</v>
      </c>
      <c r="M1163" s="15" t="s">
        <v>794</v>
      </c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163" s="15" t="str">
        <f>_xlfn.TEXTBEFORE(_xlfn.TEXTAFTER(CantoralDB[[#This Row],[index.html]],"&gt;"),"&gt;")&amp;"&gt;"</f>
        <v>&lt;a href="canciones/nsb/la_paz_te_doy.html"&gt;</v>
      </c>
      <c r="X1163"/>
      <c r="AB1163" s="1"/>
    </row>
    <row r="1164" spans="1:28" x14ac:dyDescent="0.3">
      <c r="A1164" s="1">
        <f>ROW(CantoralDB[[#This Row],[Título]])-1</f>
        <v>1163</v>
      </c>
      <c r="B1164" s="1" t="s">
        <v>85</v>
      </c>
      <c r="C1164" s="1" t="s">
        <v>199</v>
      </c>
      <c r="D1164" s="1" t="s">
        <v>1435</v>
      </c>
      <c r="E1164" s="1">
        <v>432</v>
      </c>
      <c r="G1164" s="1" t="s">
        <v>208</v>
      </c>
      <c r="H1164" s="1" t="s">
        <v>1028</v>
      </c>
      <c r="J1164" s="1" t="s">
        <v>607</v>
      </c>
      <c r="M1164" s="15" t="s">
        <v>794</v>
      </c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1164" s="15" t="str">
        <f>_xlfn.TEXTBEFORE(_xlfn.TEXTAFTER(CantoralDB[[#This Row],[index.html]],"&gt;"),"&gt;")&amp;"&gt;"</f>
        <v>&lt;a href="canciones/nsb/la_virgen_sueña_caminos.html"&gt;</v>
      </c>
      <c r="X1164"/>
      <c r="AB1164" s="1"/>
    </row>
    <row r="1165" spans="1:28" x14ac:dyDescent="0.3">
      <c r="A1165" s="1">
        <f>ROW(CantoralDB[[#This Row],[Título]])-1</f>
        <v>1164</v>
      </c>
      <c r="B1165" s="1" t="s">
        <v>590</v>
      </c>
      <c r="C1165" s="1" t="s">
        <v>210</v>
      </c>
      <c r="D1165" s="1" t="s">
        <v>1436</v>
      </c>
      <c r="G1165" s="1" t="s">
        <v>594</v>
      </c>
      <c r="H1165" s="1" t="s">
        <v>530</v>
      </c>
      <c r="I1165" s="1" t="s">
        <v>2950</v>
      </c>
      <c r="J1165" s="1" t="s">
        <v>607</v>
      </c>
      <c r="M1165" s="15" t="s">
        <v>794</v>
      </c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165" s="15" t="str">
        <f>_xlfn.TEXTBEFORE(_xlfn.TEXTAFTER(CantoralDB[[#This Row],[index.html]],"&gt;"),"&gt;")&amp;"&gt;"</f>
        <v>&lt;a href="canciones/nsb/letanias.html"&gt;</v>
      </c>
      <c r="X1165"/>
      <c r="AB1165" s="1"/>
    </row>
    <row r="1166" spans="1:28" x14ac:dyDescent="0.3">
      <c r="A1166" s="1">
        <f>ROW(CantoralDB[[#This Row],[Título]])-1</f>
        <v>1165</v>
      </c>
      <c r="B1166" s="1" t="s">
        <v>233</v>
      </c>
      <c r="C1166" s="1" t="s">
        <v>197</v>
      </c>
      <c r="D1166" s="1" t="s">
        <v>1437</v>
      </c>
      <c r="G1166" s="1" t="s">
        <v>212</v>
      </c>
      <c r="H1166" s="1" t="s">
        <v>472</v>
      </c>
      <c r="I1166" s="1" t="s">
        <v>2953</v>
      </c>
      <c r="J1166" s="1" t="s">
        <v>607</v>
      </c>
      <c r="M1166" s="15" t="s">
        <v>794</v>
      </c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166" s="15" t="str">
        <f>_xlfn.TEXTBEFORE(_xlfn.TEXTAFTER(CantoralDB[[#This Row],[index.html]],"&gt;"),"&gt;")&amp;"&gt;"</f>
        <v>&lt;a href="canciones/nsb/llevad_la_buena_noticia.html"&gt;</v>
      </c>
      <c r="X1166"/>
      <c r="AB1166" s="1"/>
    </row>
    <row r="1167" spans="1:28" x14ac:dyDescent="0.3">
      <c r="A1167" s="1">
        <f>ROW(CantoralDB[[#This Row],[Título]])-1</f>
        <v>1166</v>
      </c>
      <c r="B1167" s="1" t="s">
        <v>90</v>
      </c>
      <c r="C1167" s="1" t="s">
        <v>199</v>
      </c>
      <c r="D1167" s="1" t="s">
        <v>1045</v>
      </c>
      <c r="E1167" s="1">
        <v>434</v>
      </c>
      <c r="G1167" s="1" t="s">
        <v>208</v>
      </c>
      <c r="H1167" s="1" t="s">
        <v>530</v>
      </c>
      <c r="J1167" s="1" t="s">
        <v>607</v>
      </c>
      <c r="M1167" s="15" t="s">
        <v>794</v>
      </c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1167" s="15" t="str">
        <f>_xlfn.TEXTBEFORE(_xlfn.TEXTAFTER(CantoralDB[[#This Row],[index.html]],"&gt;"),"&gt;")&amp;"&gt;"</f>
        <v>&lt;a href="canciones/nsb/maria_madre_nuestra.html"&gt;</v>
      </c>
      <c r="X1167"/>
      <c r="AB1167" s="1"/>
    </row>
    <row r="1168" spans="1:28" x14ac:dyDescent="0.3">
      <c r="A1168" s="1">
        <f>ROW(CantoralDB[[#This Row],[Título]])-1</f>
        <v>1167</v>
      </c>
      <c r="B1168" s="1" t="s">
        <v>98</v>
      </c>
      <c r="C1168" s="1" t="s">
        <v>992</v>
      </c>
      <c r="D1168" s="1" t="s">
        <v>721</v>
      </c>
      <c r="E1168" s="1">
        <v>441</v>
      </c>
      <c r="G1168" s="1" t="s">
        <v>208</v>
      </c>
      <c r="H1168" s="1" t="s">
        <v>530</v>
      </c>
      <c r="J1168" s="1" t="s">
        <v>607</v>
      </c>
      <c r="M1168" s="15" t="s">
        <v>794</v>
      </c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1168" s="15" t="str">
        <f>_xlfn.TEXTBEFORE(_xlfn.TEXTAFTER(CantoralDB[[#This Row],[index.html]],"&gt;"),"&gt;")&amp;"&gt;"</f>
        <v>&lt;a href="canciones/nsb/no_me_mueve.html"&gt;</v>
      </c>
      <c r="X1168"/>
      <c r="AB1168" s="1"/>
    </row>
    <row r="1169" spans="1:28" x14ac:dyDescent="0.3">
      <c r="A1169" s="1">
        <f>ROW(CantoralDB[[#This Row],[Título]])-1</f>
        <v>1168</v>
      </c>
      <c r="B1169" s="1" t="s">
        <v>554</v>
      </c>
      <c r="C1169" s="1" t="s">
        <v>200</v>
      </c>
      <c r="D1169" s="1" t="s">
        <v>665</v>
      </c>
      <c r="G1169" s="1" t="s">
        <v>552</v>
      </c>
      <c r="H1169" s="1" t="s">
        <v>1029</v>
      </c>
      <c r="J1169" s="1" t="s">
        <v>607</v>
      </c>
      <c r="M1169" s="15" t="s">
        <v>794</v>
      </c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169" s="1" t="s">
        <v>847</v>
      </c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169" s="15" t="str">
        <f>_xlfn.TEXTBEFORE(_xlfn.TEXTAFTER(CantoralDB[[#This Row],[index.html]],"&gt;"),"&gt;")&amp;"&gt;"</f>
        <v>&lt;a href="canciones/nsb/no_quiero_alejarme_de_ti.html"&gt;</v>
      </c>
      <c r="X1169"/>
      <c r="AB1169" s="1"/>
    </row>
    <row r="1170" spans="1:28" x14ac:dyDescent="0.3">
      <c r="A1170" s="1">
        <f>ROW(CantoralDB[[#This Row],[Título]])-1</f>
        <v>1169</v>
      </c>
      <c r="B1170" s="1" t="s">
        <v>1289</v>
      </c>
      <c r="C1170" s="1"/>
      <c r="E1170" s="1">
        <v>180</v>
      </c>
      <c r="H1170" s="1" t="s">
        <v>530</v>
      </c>
      <c r="J1170" s="1" t="s">
        <v>607</v>
      </c>
      <c r="M1170" s="15" t="s">
        <v>794</v>
      </c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1170" s="15" t="str">
        <f>_xlfn.TEXTBEFORE(_xlfn.TEXTAFTER(CantoralDB[[#This Row],[index.html]],"&gt;"),"&gt;")&amp;"&gt;"</f>
        <v>&lt;a href="canciones/nsb/no_vayais_a_la_fiesta.html"&gt;</v>
      </c>
      <c r="X1170"/>
      <c r="AB1170" s="1"/>
    </row>
    <row r="1171" spans="1:28" x14ac:dyDescent="0.3">
      <c r="A1171" s="1">
        <f>ROW(CantoralDB[[#This Row],[Título]])-1</f>
        <v>1170</v>
      </c>
      <c r="B1171" s="1" t="s">
        <v>101</v>
      </c>
      <c r="C1171" s="1" t="s">
        <v>191</v>
      </c>
      <c r="D1171" s="1" t="s">
        <v>1442</v>
      </c>
      <c r="E1171" s="1">
        <v>191</v>
      </c>
      <c r="G1171" s="1" t="s">
        <v>208</v>
      </c>
      <c r="H1171" s="1" t="s">
        <v>530</v>
      </c>
      <c r="J1171" s="1" t="s">
        <v>607</v>
      </c>
      <c r="M1171" s="15" t="s">
        <v>794</v>
      </c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1171" s="15" t="str">
        <f>_xlfn.TEXTBEFORE(_xlfn.TEXTAFTER(CantoralDB[[#This Row],[index.html]],"&gt;"),"&gt;")&amp;"&gt;"</f>
        <v>&lt;a href="canciones/nsb/oh_señor_mueve_mi_espiritu.html"&gt;</v>
      </c>
      <c r="X1171"/>
      <c r="AB1171" s="1"/>
    </row>
    <row r="1172" spans="1:28" x14ac:dyDescent="0.3">
      <c r="A1172" s="1">
        <f>ROW(CantoralDB[[#This Row],[Título]])-1</f>
        <v>1171</v>
      </c>
      <c r="B1172" s="1" t="s">
        <v>105</v>
      </c>
      <c r="C1172" s="1" t="s">
        <v>196</v>
      </c>
      <c r="D1172" s="1" t="s">
        <v>1444</v>
      </c>
      <c r="E1172" s="1">
        <v>444</v>
      </c>
      <c r="G1172" s="1" t="s">
        <v>208</v>
      </c>
      <c r="H1172" s="1" t="s">
        <v>1029</v>
      </c>
      <c r="I1172" s="1" t="s">
        <v>2953</v>
      </c>
      <c r="J1172" s="1" t="s">
        <v>607</v>
      </c>
      <c r="M1172" s="15" t="s">
        <v>794</v>
      </c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1172" s="15" t="str">
        <f>_xlfn.TEXTBEFORE(_xlfn.TEXTAFTER(CantoralDB[[#This Row],[index.html]],"&gt;"),"&gt;")&amp;"&gt;"</f>
        <v>&lt;a href="canciones/nsb/padre_nuestro_(mexicano).html"&gt;</v>
      </c>
      <c r="X1172"/>
      <c r="AB1172" s="1"/>
    </row>
    <row r="1173" spans="1:28" x14ac:dyDescent="0.3">
      <c r="A1173" s="1">
        <f>ROW(CantoralDB[[#This Row],[Título]])-1</f>
        <v>1172</v>
      </c>
      <c r="B1173" s="1" t="s">
        <v>108</v>
      </c>
      <c r="C1173" s="1" t="s">
        <v>992</v>
      </c>
      <c r="D1173" s="1" t="s">
        <v>725</v>
      </c>
      <c r="E1173" s="1">
        <v>445</v>
      </c>
      <c r="G1173" s="1" t="s">
        <v>208</v>
      </c>
      <c r="H1173" s="1" t="s">
        <v>472</v>
      </c>
      <c r="J1173" s="1" t="s">
        <v>607</v>
      </c>
      <c r="M1173" s="15" t="s">
        <v>794</v>
      </c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1173" s="15" t="str">
        <f>_xlfn.TEXTBEFORE(_xlfn.TEXTAFTER(CantoralDB[[#This Row],[index.html]],"&gt;"),"&gt;")&amp;"&gt;"</f>
        <v>&lt;a href="canciones/nsb/para_el_que_sabe.html"&gt;</v>
      </c>
      <c r="X1173"/>
      <c r="AB1173" s="1"/>
    </row>
    <row r="1174" spans="1:28" x14ac:dyDescent="0.3">
      <c r="A1174" s="1">
        <f>ROW(CantoralDB[[#This Row],[Título]])-1</f>
        <v>1173</v>
      </c>
      <c r="B1174" s="1" t="s">
        <v>110</v>
      </c>
      <c r="C1174" s="1" t="s">
        <v>197</v>
      </c>
      <c r="D1174" s="1" t="s">
        <v>1451</v>
      </c>
      <c r="E1174" s="1">
        <v>200</v>
      </c>
      <c r="G1174" s="1" t="s">
        <v>208</v>
      </c>
      <c r="H1174" s="1" t="s">
        <v>1026</v>
      </c>
      <c r="I1174" s="1" t="s">
        <v>2953</v>
      </c>
      <c r="J1174" s="1" t="s">
        <v>607</v>
      </c>
      <c r="M1174" s="15" t="s">
        <v>794</v>
      </c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1174" s="15" t="str">
        <f>_xlfn.TEXTBEFORE(_xlfn.TEXTAFTER(CantoralDB[[#This Row],[index.html]],"&gt;"),"&gt;")&amp;"&gt;"</f>
        <v>&lt;a href="canciones/nsb/paz_señor_en_el_cielo_y_la_tierra.html"&gt;</v>
      </c>
      <c r="X1174"/>
      <c r="AB1174" s="1"/>
    </row>
    <row r="1175" spans="1:28" x14ac:dyDescent="0.3">
      <c r="A1175" s="1">
        <f>ROW(CantoralDB[[#This Row],[Título]])-1</f>
        <v>1174</v>
      </c>
      <c r="B1175" s="1" t="s">
        <v>112</v>
      </c>
      <c r="C1175" s="1" t="s">
        <v>197</v>
      </c>
      <c r="D1175" s="1" t="s">
        <v>1452</v>
      </c>
      <c r="E1175" s="1">
        <v>448</v>
      </c>
      <c r="F1175" s="1">
        <v>191</v>
      </c>
      <c r="G1175" s="1" t="s">
        <v>208</v>
      </c>
      <c r="H1175" s="1" t="s">
        <v>530</v>
      </c>
      <c r="J1175" s="1" t="s">
        <v>607</v>
      </c>
      <c r="M1175" s="15" t="s">
        <v>794</v>
      </c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175" s="15" t="str">
        <f>_xlfn.TEXTBEFORE(_xlfn.TEXTAFTER(CantoralDB[[#This Row],[index.html]],"&gt;"),"&gt;")&amp;"&gt;"</f>
        <v>&lt;a href="canciones/nsb/pon_tu_mano.html"&gt;</v>
      </c>
      <c r="X1175"/>
      <c r="AB1175" s="1"/>
    </row>
    <row r="1176" spans="1:28" x14ac:dyDescent="0.3">
      <c r="A1176" s="1">
        <f>ROW(CantoralDB[[#This Row],[Título]])-1</f>
        <v>1175</v>
      </c>
      <c r="B1176" s="1" t="s">
        <v>113</v>
      </c>
      <c r="C1176" s="1" t="s">
        <v>194</v>
      </c>
      <c r="D1176" s="1" t="s">
        <v>766</v>
      </c>
      <c r="E1176" s="1">
        <v>214</v>
      </c>
      <c r="G1176" s="1" t="s">
        <v>208</v>
      </c>
      <c r="H1176" s="1" t="s">
        <v>530</v>
      </c>
      <c r="J1176" s="1" t="s">
        <v>607</v>
      </c>
      <c r="M1176" s="15" t="s">
        <v>794</v>
      </c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1176" s="15" t="str">
        <f>_xlfn.TEXTBEFORE(_xlfn.TEXTAFTER(CantoralDB[[#This Row],[index.html]],"&gt;"),"&gt;")&amp;"&gt;"</f>
        <v>&lt;a href="canciones/nsb/por_los_hombres.html"&gt;</v>
      </c>
      <c r="X1176"/>
      <c r="AB1176" s="1"/>
    </row>
    <row r="1177" spans="1:28" x14ac:dyDescent="0.3">
      <c r="A1177" s="1">
        <f>ROW(CantoralDB[[#This Row],[Título]])-1</f>
        <v>1176</v>
      </c>
      <c r="B1177" s="1" t="s">
        <v>597</v>
      </c>
      <c r="C1177" s="1" t="s">
        <v>199</v>
      </c>
      <c r="D1177" s="1" t="s">
        <v>1052</v>
      </c>
      <c r="G1177" s="1" t="s">
        <v>598</v>
      </c>
      <c r="H1177" s="1" t="s">
        <v>530</v>
      </c>
      <c r="I1177" s="1" t="s">
        <v>2953</v>
      </c>
      <c r="J1177" s="1" t="s">
        <v>607</v>
      </c>
      <c r="M1177" s="15" t="s">
        <v>794</v>
      </c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177" s="15" t="str">
        <f>_xlfn.TEXTBEFORE(_xlfn.TEXTAFTER(CantoralDB[[#This Row],[index.html]],"&gt;"),"&gt;")&amp;"&gt;"</f>
        <v>&lt;a href="canciones/nsb/salve_madre.html"&gt;</v>
      </c>
      <c r="X1177"/>
      <c r="AB1177" s="1"/>
    </row>
    <row r="1178" spans="1:28" x14ac:dyDescent="0.3">
      <c r="A1178" s="1">
        <f>ROW(CantoralDB[[#This Row],[Título]])-1</f>
        <v>1177</v>
      </c>
      <c r="B1178" s="1" t="s">
        <v>578</v>
      </c>
      <c r="C1178" s="1" t="s">
        <v>195</v>
      </c>
      <c r="D1178" s="1" t="s">
        <v>1464</v>
      </c>
      <c r="G1178" s="1" t="s">
        <v>208</v>
      </c>
      <c r="H1178" s="1" t="s">
        <v>530</v>
      </c>
      <c r="I1178" s="1" t="s">
        <v>2953</v>
      </c>
      <c r="J1178" s="1" t="s">
        <v>607</v>
      </c>
      <c r="M1178" s="15" t="s">
        <v>794</v>
      </c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178" s="15" t="str">
        <f>_xlfn.TEXTBEFORE(_xlfn.TEXTAFTER(CantoralDB[[#This Row],[index.html]],"&gt;"),"&gt;")&amp;"&gt;"</f>
        <v>&lt;a href="canciones/nsb/santo_(santo_domingo_de_silos).html"&gt;</v>
      </c>
      <c r="X1178"/>
      <c r="AB1178" s="1"/>
    </row>
    <row r="1179" spans="1:28" x14ac:dyDescent="0.3">
      <c r="A1179" s="1">
        <f>ROW(CantoralDB[[#This Row],[Título]])-1</f>
        <v>1178</v>
      </c>
      <c r="B1179" s="1" t="s">
        <v>566</v>
      </c>
      <c r="C1179" s="1" t="s">
        <v>195</v>
      </c>
      <c r="D1179" s="1" t="s">
        <v>777</v>
      </c>
      <c r="G1179" s="1" t="s">
        <v>208</v>
      </c>
      <c r="H1179" s="1" t="s">
        <v>530</v>
      </c>
      <c r="I1179" s="1" t="s">
        <v>2953</v>
      </c>
      <c r="J1179" s="1" t="s">
        <v>607</v>
      </c>
      <c r="M1179" s="15" t="s">
        <v>794</v>
      </c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179" s="15" t="str">
        <f>_xlfn.TEXTBEFORE(_xlfn.TEXTAFTER(CantoralDB[[#This Row],[index.html]],"&gt;"),"&gt;")&amp;"&gt;"</f>
        <v>&lt;a href="canciones/nsb/santo_eres_señor_dios_nuestro.html"&gt;</v>
      </c>
      <c r="X1179"/>
      <c r="AB1179" s="1"/>
    </row>
    <row r="1180" spans="1:28" x14ac:dyDescent="0.3">
      <c r="A1180" s="1">
        <f>ROW(CantoralDB[[#This Row],[Título]])-1</f>
        <v>1179</v>
      </c>
      <c r="B1180" s="1" t="s">
        <v>559</v>
      </c>
      <c r="C1180" s="1" t="s">
        <v>195</v>
      </c>
      <c r="D1180" s="1" t="s">
        <v>778</v>
      </c>
      <c r="G1180" s="1" t="s">
        <v>552</v>
      </c>
      <c r="H1180" s="1" t="s">
        <v>1026</v>
      </c>
      <c r="J1180" s="1" t="s">
        <v>607</v>
      </c>
      <c r="M1180" s="15" t="s">
        <v>794</v>
      </c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180" s="15" t="str">
        <f>_xlfn.TEXTBEFORE(_xlfn.TEXTAFTER(CantoralDB[[#This Row],[index.html]],"&gt;"),"&gt;")&amp;"&gt;"</f>
        <v>&lt;a href="canciones/nsb/santo_es_el_señor.html"&gt;</v>
      </c>
      <c r="X1180"/>
      <c r="AB1180" s="1"/>
    </row>
    <row r="1181" spans="1:28" x14ac:dyDescent="0.3">
      <c r="A1181" s="1">
        <f>ROW(CantoralDB[[#This Row],[Título]])-1</f>
        <v>1180</v>
      </c>
      <c r="B1181" s="1" t="s">
        <v>131</v>
      </c>
      <c r="C1181" s="1" t="s">
        <v>195</v>
      </c>
      <c r="D1181" s="1" t="s">
        <v>779</v>
      </c>
      <c r="E1181" s="1">
        <v>459</v>
      </c>
      <c r="F1181" s="1">
        <v>379</v>
      </c>
      <c r="G1181" s="1" t="s">
        <v>208</v>
      </c>
      <c r="H1181" s="1" t="s">
        <v>1026</v>
      </c>
      <c r="I1181" s="1" t="s">
        <v>2953</v>
      </c>
      <c r="J1181" s="1" t="s">
        <v>607</v>
      </c>
      <c r="M1181" s="15" t="s">
        <v>794</v>
      </c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1181" s="15" t="str">
        <f>_xlfn.TEXTBEFORE(_xlfn.TEXTAFTER(CantoralDB[[#This Row],[index.html]],"&gt;"),"&gt;")&amp;"&gt;"</f>
        <v>&lt;a href="canciones/nsb/santo_zaireño.html"&gt;</v>
      </c>
      <c r="X1181"/>
      <c r="AB1181" s="1"/>
    </row>
    <row r="1182" spans="1:28" x14ac:dyDescent="0.3">
      <c r="A1182" s="1">
        <f>ROW(CantoralDB[[#This Row],[Título]])-1</f>
        <v>1181</v>
      </c>
      <c r="B1182" s="1" t="s">
        <v>132</v>
      </c>
      <c r="C1182" s="1" t="s">
        <v>992</v>
      </c>
      <c r="D1182" s="1" t="s">
        <v>1001</v>
      </c>
      <c r="E1182" s="1">
        <v>233</v>
      </c>
      <c r="G1182" s="1" t="s">
        <v>208</v>
      </c>
      <c r="H1182" s="1" t="s">
        <v>530</v>
      </c>
      <c r="J1182" s="1" t="s">
        <v>607</v>
      </c>
      <c r="M1182" s="15" t="s">
        <v>794</v>
      </c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1182" s="15" t="str">
        <f>_xlfn.TEXTBEFORE(_xlfn.TEXTAFTER(CantoralDB[[#This Row],[index.html]],"&gt;"),"&gt;")&amp;"&gt;"</f>
        <v>&lt;a href="canciones/nsb/se_acerca_tu_navidad.html"&gt;</v>
      </c>
      <c r="X1182"/>
      <c r="AB1182" s="1"/>
    </row>
    <row r="1183" spans="1:28" x14ac:dyDescent="0.3">
      <c r="A1183" s="1">
        <f>ROW(CantoralDB[[#This Row],[Título]])-1</f>
        <v>1182</v>
      </c>
      <c r="B1183" s="1" t="s">
        <v>560</v>
      </c>
      <c r="C1183" s="1" t="s">
        <v>191</v>
      </c>
      <c r="D1183" s="1" t="s">
        <v>1468</v>
      </c>
      <c r="G1183" s="1" t="s">
        <v>552</v>
      </c>
      <c r="H1183" s="1" t="s">
        <v>1026</v>
      </c>
      <c r="J1183" s="1" t="s">
        <v>607</v>
      </c>
      <c r="M1183" s="15" t="s">
        <v>794</v>
      </c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183" s="15" t="str">
        <f>_xlfn.TEXTBEFORE(_xlfn.TEXTAFTER(CantoralDB[[#This Row],[index.html]],"&gt;"),"&gt;")&amp;"&gt;"</f>
        <v>&lt;a href="canciones/nsb/señor_ten_piedad_de_nosotros.html"&gt;</v>
      </c>
      <c r="X1183"/>
      <c r="AB1183" s="1"/>
    </row>
    <row r="1184" spans="1:28" x14ac:dyDescent="0.3">
      <c r="A1184" s="1">
        <f>ROW(CantoralDB[[#This Row],[Título]])-1</f>
        <v>1183</v>
      </c>
      <c r="B1184" s="1" t="s">
        <v>134</v>
      </c>
      <c r="C1184" s="1" t="s">
        <v>197</v>
      </c>
      <c r="D1184" s="1" t="s">
        <v>775</v>
      </c>
      <c r="E1184" s="1">
        <v>234</v>
      </c>
      <c r="G1184" s="1" t="s">
        <v>208</v>
      </c>
      <c r="H1184" s="1" t="s">
        <v>530</v>
      </c>
      <c r="I1184" s="1" t="s">
        <v>2953</v>
      </c>
      <c r="J1184" s="1" t="s">
        <v>607</v>
      </c>
      <c r="M1184" s="15" t="s">
        <v>794</v>
      </c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1184" s="15" t="str">
        <f>_xlfn.TEXTBEFORE(_xlfn.TEXTAFTER(CantoralDB[[#This Row],[index.html]],"&gt;"),"&gt;")&amp;"&gt;"</f>
        <v>&lt;a href="canciones/nsb/shalom_haberim.html"&gt;</v>
      </c>
      <c r="X1184"/>
      <c r="AB1184" s="1"/>
    </row>
    <row r="1185" spans="1:28" x14ac:dyDescent="0.3">
      <c r="A1185" s="1">
        <f>ROW(CantoralDB[[#This Row],[Título]])-1</f>
        <v>1184</v>
      </c>
      <c r="B1185" s="1" t="s">
        <v>135</v>
      </c>
      <c r="C1185" s="1" t="s">
        <v>992</v>
      </c>
      <c r="D1185" s="1" t="s">
        <v>1002</v>
      </c>
      <c r="E1185" s="1">
        <v>235</v>
      </c>
      <c r="G1185" s="1" t="s">
        <v>208</v>
      </c>
      <c r="H1185" s="1" t="s">
        <v>530</v>
      </c>
      <c r="I1185" s="1" t="s">
        <v>2953</v>
      </c>
      <c r="J1185" s="1" t="s">
        <v>607</v>
      </c>
      <c r="M1185" s="15" t="s">
        <v>794</v>
      </c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1185" s="15" t="str">
        <f>_xlfn.TEXTBEFORE(_xlfn.TEXTAFTER(CantoralDB[[#This Row],[index.html]],"&gt;"),"&gt;")&amp;"&gt;"</f>
        <v>&lt;a href="canciones/nsb/si_dios_a_su_mesa_nos_quiere_sentar.html"&gt;</v>
      </c>
      <c r="X1185"/>
      <c r="AB1185" s="1"/>
    </row>
    <row r="1186" spans="1:28" x14ac:dyDescent="0.3">
      <c r="A1186" s="1">
        <f>ROW(CantoralDB[[#This Row],[Título]])-1</f>
        <v>1185</v>
      </c>
      <c r="B1186" s="1" t="s">
        <v>1040</v>
      </c>
      <c r="C1186" s="1" t="s">
        <v>992</v>
      </c>
      <c r="D1186" s="1" t="s">
        <v>1041</v>
      </c>
      <c r="H1186" s="1" t="s">
        <v>1028</v>
      </c>
      <c r="J1186" s="1" t="s">
        <v>607</v>
      </c>
      <c r="M1186" s="15" t="s">
        <v>794</v>
      </c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186" s="15" t="str">
        <f>_xlfn.TEXTBEFORE(_xlfn.TEXTAFTER(CantoralDB[[#This Row],[index.html]],"&gt;"),"&gt;")&amp;"&gt;"</f>
        <v>&lt;a href="canciones/nsb/siempre_en_ti.html"&gt;</v>
      </c>
      <c r="X1186"/>
      <c r="AB1186" s="1"/>
    </row>
    <row r="1187" spans="1:28" x14ac:dyDescent="0.3">
      <c r="A1187" s="1">
        <f>ROW(CantoralDB[[#This Row],[Título]])-1</f>
        <v>1186</v>
      </c>
      <c r="B1187" s="1" t="s">
        <v>1354</v>
      </c>
      <c r="C1187" s="1"/>
      <c r="E1187" s="1">
        <v>309</v>
      </c>
      <c r="J1187" s="1"/>
      <c r="M1187" s="15" t="s">
        <v>794</v>
      </c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1187" s="15" t="str">
        <f>_xlfn.TEXTBEFORE(_xlfn.TEXTAFTER(CantoralDB[[#This Row],[index.html]],"&gt;"),"&gt;")&amp;"&gt;"</f>
        <v>&lt;a href="canciones/nsb/somos_los_que_hacemos_puentes.html"&gt;</v>
      </c>
      <c r="X1187"/>
      <c r="AB1187" s="1"/>
    </row>
    <row r="1188" spans="1:28" x14ac:dyDescent="0.3">
      <c r="A1188" s="1">
        <f>ROW(CantoralDB[[#This Row],[Título]])-1</f>
        <v>1187</v>
      </c>
      <c r="B1188" s="1" t="s">
        <v>2099</v>
      </c>
      <c r="C1188" s="1"/>
      <c r="E1188" s="1">
        <v>248</v>
      </c>
      <c r="J1188" s="1"/>
      <c r="M1188" s="15" t="s">
        <v>794</v>
      </c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1188" s="15" t="str">
        <f>_xlfn.TEXTBEFORE(_xlfn.TEXTAFTER(CantoralDB[[#This Row],[index.html]],"&gt;"),"&gt;")&amp;"&gt;"</f>
        <v>&lt;a href="canciones/nsb/soy_un_pobre_pastorcillo.html"&gt;</v>
      </c>
      <c r="X1188"/>
      <c r="AB1188" s="1"/>
    </row>
    <row r="1189" spans="1:28" x14ac:dyDescent="0.3">
      <c r="A1189" s="1">
        <f>ROW(CantoralDB[[#This Row],[Título]])-1</f>
        <v>1188</v>
      </c>
      <c r="B1189" s="1" t="s">
        <v>186</v>
      </c>
      <c r="C1189" s="1" t="s">
        <v>191</v>
      </c>
      <c r="D1189" s="1" t="s">
        <v>1470</v>
      </c>
      <c r="G1189" s="1" t="s">
        <v>208</v>
      </c>
      <c r="H1189" s="1" t="s">
        <v>530</v>
      </c>
      <c r="J1189" s="1" t="s">
        <v>607</v>
      </c>
      <c r="M1189" s="15" t="s">
        <v>794</v>
      </c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189" s="15" t="str">
        <f>_xlfn.TEXTBEFORE(_xlfn.TEXTAFTER(CantoralDB[[#This Row],[index.html]],"&gt;"),"&gt;")&amp;"&gt;"</f>
        <v>&lt;a href="canciones/nsb/ten_piedad_de_mi_señor.html"&gt;</v>
      </c>
      <c r="X1189"/>
      <c r="AB1189" s="1"/>
    </row>
    <row r="1190" spans="1:28" x14ac:dyDescent="0.3">
      <c r="A1190" s="1">
        <f>ROW(CantoralDB[[#This Row],[Título]])-1</f>
        <v>1189</v>
      </c>
      <c r="B1190" s="1" t="s">
        <v>142</v>
      </c>
      <c r="C1190" s="1" t="s">
        <v>992</v>
      </c>
      <c r="D1190" s="1" t="s">
        <v>1009</v>
      </c>
      <c r="E1190" s="1">
        <v>255</v>
      </c>
      <c r="G1190" s="1" t="s">
        <v>208</v>
      </c>
      <c r="H1190" s="1" t="s">
        <v>530</v>
      </c>
      <c r="I1190" s="1" t="s">
        <v>2951</v>
      </c>
      <c r="J1190" s="1" t="s">
        <v>607</v>
      </c>
      <c r="M1190" s="15" t="s">
        <v>794</v>
      </c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190" s="1" t="s">
        <v>862</v>
      </c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1190" s="15" t="str">
        <f>_xlfn.TEXTBEFORE(_xlfn.TEXTAFTER(CantoralDB[[#This Row],[index.html]],"&gt;"),"&gt;")&amp;"&gt;"</f>
        <v>&lt;a href="canciones/nsb/tengo_que_gritar.html"&gt;</v>
      </c>
      <c r="X1190"/>
      <c r="AB1190" s="1"/>
    </row>
    <row r="1191" spans="1:28" x14ac:dyDescent="0.3">
      <c r="A1191" s="1">
        <f>ROW(CantoralDB[[#This Row],[Título]])-1</f>
        <v>1190</v>
      </c>
      <c r="B1191" s="1" t="s">
        <v>145</v>
      </c>
      <c r="C1191" s="1" t="s">
        <v>194</v>
      </c>
      <c r="D1191" s="1" t="s">
        <v>770</v>
      </c>
      <c r="E1191" s="1">
        <v>265</v>
      </c>
      <c r="G1191" s="1" t="s">
        <v>208</v>
      </c>
      <c r="H1191" s="1" t="s">
        <v>1026</v>
      </c>
      <c r="J1191" s="1" t="s">
        <v>607</v>
      </c>
      <c r="M1191" s="15" t="s">
        <v>794</v>
      </c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1191" s="15" t="str">
        <f>_xlfn.TEXTBEFORE(_xlfn.TEXTAFTER(CantoralDB[[#This Row],[index.html]],"&gt;"),"&gt;")&amp;"&gt;"</f>
        <v>&lt;a href="canciones/nsb/traemos_a_tu_altar.html"&gt;</v>
      </c>
      <c r="X1191"/>
      <c r="AB1191" s="1"/>
    </row>
    <row r="1192" spans="1:28" x14ac:dyDescent="0.3">
      <c r="A1192" s="1">
        <f>ROW(CantoralDB[[#This Row],[Título]])-1</f>
        <v>1191</v>
      </c>
      <c r="B1192" s="1" t="s">
        <v>152</v>
      </c>
      <c r="C1192" s="1" t="s">
        <v>190</v>
      </c>
      <c r="D1192" s="1" t="s">
        <v>751</v>
      </c>
      <c r="E1192" s="1">
        <v>270</v>
      </c>
      <c r="G1192" s="1" t="s">
        <v>208</v>
      </c>
      <c r="H1192" s="1" t="s">
        <v>1026</v>
      </c>
      <c r="I1192" s="1" t="s">
        <v>2953</v>
      </c>
      <c r="J1192" s="1" t="s">
        <v>607</v>
      </c>
      <c r="M1192" s="15" t="s">
        <v>794</v>
      </c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1192" s="15" t="str">
        <f>_xlfn.TEXTBEFORE(_xlfn.TEXTAFTER(CantoralDB[[#This Row],[index.html]],"&gt;"),"&gt;")&amp;"&gt;"</f>
        <v>&lt;a href="canciones/nsb/un_nuevo_sitio_disponed.html"&gt;</v>
      </c>
      <c r="X1192"/>
      <c r="AB1192" s="1"/>
    </row>
    <row r="1193" spans="1:28" x14ac:dyDescent="0.3">
      <c r="A1193" s="1">
        <f>ROW(CantoralDB[[#This Row],[Título]])-1</f>
        <v>1192</v>
      </c>
      <c r="B1193" s="1" t="s">
        <v>216</v>
      </c>
      <c r="C1193" s="1" t="s">
        <v>218</v>
      </c>
      <c r="D1193" s="1" t="s">
        <v>1474</v>
      </c>
      <c r="G1193" s="1" t="s">
        <v>208</v>
      </c>
      <c r="H1193" s="1" t="s">
        <v>1027</v>
      </c>
      <c r="J1193" s="1" t="s">
        <v>607</v>
      </c>
      <c r="M1193" s="15" t="s">
        <v>794</v>
      </c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193" s="1"/>
      <c r="T1193" s="1" t="s">
        <v>2121</v>
      </c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193" s="15" t="str">
        <f>_xlfn.TEXTBEFORE(_xlfn.TEXTAFTER(CantoralDB[[#This Row],[index.html]],"&gt;"),"&gt;")&amp;"&gt;"</f>
        <v>&lt;a href="canciones/nsb/ven_espiritu_de_dios_(esprit_createur).html"&gt;</v>
      </c>
      <c r="X1193"/>
      <c r="AB1193" s="1"/>
    </row>
    <row r="1194" spans="1:28" x14ac:dyDescent="0.3">
      <c r="A1194" s="1">
        <f>ROW(CantoralDB[[#This Row],[Título]])-1</f>
        <v>1193</v>
      </c>
      <c r="B1194" s="1" t="s">
        <v>164</v>
      </c>
      <c r="C1194" s="1" t="s">
        <v>198</v>
      </c>
      <c r="D1194" s="1" t="s">
        <v>1477</v>
      </c>
      <c r="E1194" s="1">
        <v>472</v>
      </c>
      <c r="G1194" s="1" t="s">
        <v>208</v>
      </c>
      <c r="H1194" s="1" t="s">
        <v>1026</v>
      </c>
      <c r="J1194" s="1" t="s">
        <v>607</v>
      </c>
      <c r="M1194" s="15" t="s">
        <v>794</v>
      </c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1194" s="15" t="str">
        <f>_xlfn.TEXTBEFORE(_xlfn.TEXTAFTER(CantoralDB[[#This Row],[index.html]],"&gt;"),"&gt;")&amp;"&gt;"</f>
        <v>&lt;a href="canciones/nsb/vive_tu_amor_en_mi.html"&gt;</v>
      </c>
      <c r="X1194"/>
      <c r="AB1194" s="1"/>
    </row>
    <row r="1195" spans="1:28" x14ac:dyDescent="0.3">
      <c r="A1195" s="1">
        <f>ROW(CantoralDB[[#This Row],[Título]])-1</f>
        <v>1194</v>
      </c>
      <c r="B1195" s="1" t="s">
        <v>165</v>
      </c>
      <c r="C1195" s="1" t="s">
        <v>992</v>
      </c>
      <c r="D1195" s="1" t="s">
        <v>1017</v>
      </c>
      <c r="E1195" s="1">
        <v>473</v>
      </c>
      <c r="G1195" s="1" t="s">
        <v>208</v>
      </c>
      <c r="H1195" s="1" t="s">
        <v>530</v>
      </c>
      <c r="I1195" s="1" t="s">
        <v>2953</v>
      </c>
      <c r="J1195" s="1" t="s">
        <v>607</v>
      </c>
      <c r="M1195" s="15" t="s">
        <v>794</v>
      </c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1195" s="15" t="str">
        <f>_xlfn.TEXTBEFORE(_xlfn.TEXTAFTER(CantoralDB[[#This Row],[index.html]],"&gt;"),"&gt;")&amp;"&gt;"</f>
        <v>&lt;a href="canciones/nsb/volar.html"&gt;</v>
      </c>
      <c r="X1195"/>
      <c r="AB1195" s="1"/>
    </row>
    <row r="1196" spans="1:28" x14ac:dyDescent="0.3">
      <c r="A1196" s="1">
        <f>ROW(CantoralDB[[#This Row],[Título]])-1</f>
        <v>1195</v>
      </c>
      <c r="B1196" s="1" t="s">
        <v>606</v>
      </c>
      <c r="C1196" s="1" t="s">
        <v>210</v>
      </c>
      <c r="D1196" s="1" t="s">
        <v>1466</v>
      </c>
      <c r="G1196" s="1" t="s">
        <v>601</v>
      </c>
      <c r="H1196" s="1" t="s">
        <v>1026</v>
      </c>
      <c r="J1196" s="1" t="s">
        <v>607</v>
      </c>
      <c r="M1196" s="15" t="s">
        <v>634</v>
      </c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196" s="15" t="str">
        <f>_xlfn.TEXTBEFORE(_xlfn.TEXTAFTER(CantoralDB[[#This Row],[index.html]],"&gt;"),"&gt;")&amp;"&gt;"</f>
        <v>&lt;a href="canciones/nsb/secuencia_de_pascua.html"&gt;</v>
      </c>
      <c r="X1196"/>
      <c r="AB1196" s="1"/>
    </row>
    <row r="1197" spans="1:28" x14ac:dyDescent="0.3">
      <c r="A1197" s="1">
        <f>ROW(CantoralDB[[#This Row],[Título]])-1</f>
        <v>1196</v>
      </c>
      <c r="B1197" s="1" t="s">
        <v>1291</v>
      </c>
      <c r="C1197" s="1"/>
      <c r="E1197" s="1">
        <v>182</v>
      </c>
      <c r="H1197" s="1" t="s">
        <v>1029</v>
      </c>
      <c r="J1197" s="1" t="s">
        <v>607</v>
      </c>
      <c r="M1197" s="15" t="s">
        <v>2094</v>
      </c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1197" s="15" t="str">
        <f>_xlfn.TEXTBEFORE(_xlfn.TEXTAFTER(CantoralDB[[#This Row],[index.html]],"&gt;"),"&gt;")&amp;"&gt;"</f>
        <v>&lt;a href="canciones/nsb/nueva_aurora_en_nuestra_noche.html"&gt;</v>
      </c>
      <c r="X1197"/>
      <c r="AB1197" s="1"/>
    </row>
    <row r="1198" spans="1:28" x14ac:dyDescent="0.3">
      <c r="A1198" s="1">
        <f>ROW(CantoralDB[[#This Row],[Título]])-1</f>
        <v>1197</v>
      </c>
      <c r="B1198" s="1" t="s">
        <v>1320</v>
      </c>
      <c r="C1198" s="1"/>
      <c r="E1198" s="1">
        <v>242</v>
      </c>
      <c r="H1198" s="1" t="s">
        <v>472</v>
      </c>
      <c r="J1198" s="1" t="s">
        <v>607</v>
      </c>
      <c r="M1198" s="15" t="s">
        <v>2094</v>
      </c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198" s="1"/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1198" s="15" t="str">
        <f>_xlfn.TEXTBEFORE(_xlfn.TEXTAFTER(CantoralDB[[#This Row],[index.html]],"&gt;"),"&gt;")&amp;"&gt;"</f>
        <v>&lt;a href="canciones/nsb/si_despierta_el_corazon.html"&gt;</v>
      </c>
      <c r="X1198"/>
      <c r="AB1198" s="1"/>
    </row>
    <row r="1199" spans="1:28" x14ac:dyDescent="0.3">
      <c r="A1199" s="1">
        <f>ROW(CantoralDB[[#This Row],[Título]])-1</f>
        <v>1198</v>
      </c>
      <c r="B1199" s="1" t="s">
        <v>1156</v>
      </c>
      <c r="C1199" s="1"/>
      <c r="E1199" s="1">
        <v>6</v>
      </c>
      <c r="H1199" s="1" t="s">
        <v>1026</v>
      </c>
      <c r="J1199" s="1" t="s">
        <v>607</v>
      </c>
      <c r="M1199" s="15" t="s">
        <v>2362</v>
      </c>
      <c r="N1199" s="1" t="s">
        <v>2220</v>
      </c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1199" s="1"/>
      <c r="T1199" s="1"/>
      <c r="U1199" s="32" t="s">
        <v>3043</v>
      </c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1199" s="15" t="str">
        <f>_xlfn.TEXTBEFORE(_xlfn.TEXTAFTER(CantoralDB[[#This Row],[index.html]],"&gt;"),"&gt;")&amp;"&gt;"</f>
        <v>&lt;a href="canciones/nsb/acompañame_señor_en_la_tribulacion.html"&gt;</v>
      </c>
      <c r="X1199"/>
      <c r="AB1199" s="1"/>
    </row>
    <row r="1200" spans="1:28" x14ac:dyDescent="0.3">
      <c r="A1200" s="1">
        <f>ROW(CantoralDB[[#This Row],[Título]])-1</f>
        <v>1199</v>
      </c>
      <c r="B1200" s="1" t="s">
        <v>493</v>
      </c>
      <c r="C1200" s="1" t="s">
        <v>191</v>
      </c>
      <c r="D1200" s="1" t="s">
        <v>1399</v>
      </c>
      <c r="G1200" s="1" t="s">
        <v>494</v>
      </c>
      <c r="H1200" s="1" t="s">
        <v>1029</v>
      </c>
      <c r="J1200" s="1" t="s">
        <v>607</v>
      </c>
      <c r="M1200" s="15" t="s">
        <v>499</v>
      </c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1200" s="15" t="str">
        <f>_xlfn.TEXTBEFORE(_xlfn.TEXTAFTER(CantoralDB[[#This Row],[index.html]],"&gt;"),"&gt;")&amp;"&gt;"</f>
        <v>&lt;a href="canciones/nsb/confieso.html"&gt;</v>
      </c>
      <c r="X1200"/>
      <c r="AB1200" s="1"/>
    </row>
    <row r="1201" spans="1:28" x14ac:dyDescent="0.3">
      <c r="A1201" s="1">
        <f>ROW(CantoralDB[[#This Row],[Título]])-1</f>
        <v>1200</v>
      </c>
      <c r="B1201" s="1" t="s">
        <v>1167</v>
      </c>
      <c r="C1201" s="1"/>
      <c r="E1201" s="1">
        <v>29</v>
      </c>
      <c r="H1201" s="1" t="s">
        <v>530</v>
      </c>
      <c r="J1201" s="1" t="s">
        <v>607</v>
      </c>
      <c r="M1201" s="15" t="s">
        <v>573</v>
      </c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1201" s="15" t="str">
        <f>_xlfn.TEXTBEFORE(_xlfn.TEXTAFTER(CantoralDB[[#This Row],[index.html]],"&gt;"),"&gt;")&amp;"&gt;"</f>
        <v>&lt;a href="canciones/nsb/antes_de_ser_llevado_a_la_muerte.html"&gt;</v>
      </c>
      <c r="X1201"/>
      <c r="AB1201" s="1"/>
    </row>
    <row r="1202" spans="1:28" x14ac:dyDescent="0.3">
      <c r="A1202" s="1">
        <f>ROW(CantoralDB[[#This Row],[Título]])-1</f>
        <v>1201</v>
      </c>
      <c r="B1202" s="1" t="s">
        <v>44</v>
      </c>
      <c r="C1202" s="1" t="s">
        <v>992</v>
      </c>
      <c r="D1202" s="1" t="s">
        <v>694</v>
      </c>
      <c r="E1202" s="1">
        <v>83</v>
      </c>
      <c r="G1202" s="1" t="s">
        <v>208</v>
      </c>
      <c r="H1202" s="1" t="s">
        <v>1026</v>
      </c>
      <c r="J1202" s="1" t="s">
        <v>607</v>
      </c>
      <c r="M1202" s="15" t="s">
        <v>573</v>
      </c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1202" s="15" t="str">
        <f>_xlfn.TEXTBEFORE(_xlfn.TEXTAFTER(CantoralDB[[#This Row],[index.html]],"&gt;"),"&gt;")&amp;"&gt;"</f>
        <v>&lt;a href="canciones/nsb/dios_es_fiel.html"&gt;</v>
      </c>
      <c r="X1202"/>
      <c r="AB1202" s="1"/>
    </row>
    <row r="1203" spans="1:28" x14ac:dyDescent="0.3">
      <c r="A1203" s="1">
        <f>ROW(CantoralDB[[#This Row],[Título]])-1</f>
        <v>1202</v>
      </c>
      <c r="B1203" s="1" t="s">
        <v>52</v>
      </c>
      <c r="C1203" s="1" t="s">
        <v>200</v>
      </c>
      <c r="D1203" s="1" t="s">
        <v>650</v>
      </c>
      <c r="E1203" s="1">
        <v>96</v>
      </c>
      <c r="G1203" s="1" t="s">
        <v>208</v>
      </c>
      <c r="H1203" s="1" t="s">
        <v>1026</v>
      </c>
      <c r="I1203" s="1" t="s">
        <v>2953</v>
      </c>
      <c r="J1203" s="1" t="s">
        <v>607</v>
      </c>
      <c r="M1203" s="15" t="s">
        <v>573</v>
      </c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1203" s="1" t="s">
        <v>825</v>
      </c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1203" s="15" t="str">
        <f>_xlfn.TEXTBEFORE(_xlfn.TEXTAFTER(CantoralDB[[#This Row],[index.html]],"&gt;"),"&gt;")&amp;"&gt;"</f>
        <v>&lt;a href="canciones/nsb/el_señor_es_mi_luz.html"&gt;</v>
      </c>
      <c r="X1203"/>
      <c r="AB1203" s="1"/>
    </row>
    <row r="1204" spans="1:28" x14ac:dyDescent="0.3">
      <c r="A1204" s="1">
        <f>ROW(CantoralDB[[#This Row],[Título]])-1</f>
        <v>1203</v>
      </c>
      <c r="B1204" s="1" t="s">
        <v>63</v>
      </c>
      <c r="C1204" s="1" t="s">
        <v>992</v>
      </c>
      <c r="D1204" s="1" t="s">
        <v>705</v>
      </c>
      <c r="E1204" s="1">
        <v>425</v>
      </c>
      <c r="G1204" s="1" t="s">
        <v>208</v>
      </c>
      <c r="H1204" s="1" t="s">
        <v>530</v>
      </c>
      <c r="J1204" s="1" t="s">
        <v>607</v>
      </c>
      <c r="M1204" s="15" t="s">
        <v>630</v>
      </c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1204" s="15" t="str">
        <f>_xlfn.TEXTBEFORE(_xlfn.TEXTAFTER(CantoralDB[[#This Row],[index.html]],"&gt;"),"&gt;")&amp;"&gt;"</f>
        <v>&lt;a href="canciones/nsb/es_de_locos.html"&gt;</v>
      </c>
      <c r="X1204"/>
      <c r="AB1204" s="1"/>
    </row>
    <row r="1205" spans="1:28" x14ac:dyDescent="0.3">
      <c r="A1205" s="1">
        <f>ROW(CantoralDB[[#This Row],[Título]])-1</f>
        <v>1204</v>
      </c>
      <c r="B1205" s="1" t="s">
        <v>225</v>
      </c>
      <c r="C1205" s="1" t="s">
        <v>190</v>
      </c>
      <c r="D1205" s="1" t="s">
        <v>758</v>
      </c>
      <c r="G1205" s="1" t="s">
        <v>215</v>
      </c>
      <c r="H1205" s="1" t="s">
        <v>1029</v>
      </c>
      <c r="J1205" s="1" t="s">
        <v>607</v>
      </c>
      <c r="M1205" s="15" t="s">
        <v>492</v>
      </c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1205" s="15" t="str">
        <f>_xlfn.TEXTBEFORE(_xlfn.TEXTAFTER(CantoralDB[[#This Row],[index.html]],"&gt;"),"&gt;")&amp;"&gt;"</f>
        <v>&lt;a href="canciones/nsb/ven_a_celebrar.html"&gt;</v>
      </c>
      <c r="X1205"/>
      <c r="AB1205" s="1"/>
    </row>
    <row r="1206" spans="1:28" x14ac:dyDescent="0.3">
      <c r="A1206" s="1">
        <f>ROW(CantoralDB[[#This Row],[Título]])-1</f>
        <v>1205</v>
      </c>
      <c r="B1206" s="1" t="s">
        <v>170</v>
      </c>
      <c r="C1206" s="1" t="s">
        <v>194</v>
      </c>
      <c r="D1206" s="1" t="s">
        <v>774</v>
      </c>
      <c r="E1206" s="1">
        <v>476</v>
      </c>
      <c r="G1206" s="1" t="s">
        <v>208</v>
      </c>
      <c r="H1206" s="1" t="s">
        <v>472</v>
      </c>
      <c r="I1206" s="1" t="s">
        <v>2953</v>
      </c>
      <c r="J1206" s="1" t="s">
        <v>607</v>
      </c>
      <c r="M1206" s="15" t="s">
        <v>492</v>
      </c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206" s="1" t="s">
        <v>870</v>
      </c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1206" s="15" t="str">
        <f>_xlfn.TEXTBEFORE(_xlfn.TEXTAFTER(CantoralDB[[#This Row],[index.html]],"&gt;"),"&gt;")&amp;"&gt;"</f>
        <v>&lt;a href="canciones/nsb/yo_soy_la_vida_y_la_verdad.html"&gt;</v>
      </c>
      <c r="X1206"/>
      <c r="AB1206" s="1"/>
    </row>
    <row r="1207" spans="1:28" x14ac:dyDescent="0.3">
      <c r="A1207" s="1">
        <f>ROW(CantoralDB[[#This Row],[Título]])-1</f>
        <v>1206</v>
      </c>
      <c r="B1207" s="1" t="s">
        <v>620</v>
      </c>
      <c r="C1207" s="1" t="s">
        <v>201</v>
      </c>
      <c r="D1207" s="1" t="s">
        <v>1404</v>
      </c>
      <c r="G1207" s="1" t="s">
        <v>208</v>
      </c>
      <c r="H1207" s="1" t="s">
        <v>1029</v>
      </c>
      <c r="J1207" s="1" t="s">
        <v>607</v>
      </c>
      <c r="M1207" s="15" t="s">
        <v>619</v>
      </c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1207" s="15" t="str">
        <f>_xlfn.TEXTBEFORE(_xlfn.TEXTAFTER(CantoralDB[[#This Row],[index.html]],"&gt;"),"&gt;")&amp;"&gt;"</f>
        <v>&lt;a href="canciones/nsb/cordero_de_dios_(maristas).html"&gt;</v>
      </c>
      <c r="X1207"/>
      <c r="AB1207" s="1"/>
    </row>
    <row r="1208" spans="1:28" x14ac:dyDescent="0.3">
      <c r="A1208" s="1">
        <f>ROW(CantoralDB[[#This Row],[Título]])-1</f>
        <v>1207</v>
      </c>
      <c r="B1208" s="1" t="s">
        <v>2359</v>
      </c>
      <c r="C1208" s="1"/>
      <c r="E1208" s="1" t="s">
        <v>2360</v>
      </c>
      <c r="H1208" s="1" t="s">
        <v>1026</v>
      </c>
      <c r="J1208" s="1" t="s">
        <v>607</v>
      </c>
      <c r="M1208" s="15" t="s">
        <v>2361</v>
      </c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208" s="1"/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1208" s="15" t="str">
        <f>_xlfn.TEXTBEFORE(_xlfn.TEXTAFTER(CantoralDB[[#This Row],[index.html]],"&gt;"),"&gt;")&amp;"&gt;"</f>
        <v>&lt;a href="canciones/nsb/hoy_señor_me_has_vuelto_a_perdonar.html"&gt;</v>
      </c>
      <c r="X1208"/>
      <c r="AB1208" s="1"/>
    </row>
    <row r="1209" spans="1:28" x14ac:dyDescent="0.3">
      <c r="A1209" s="1">
        <f>ROW(CantoralDB[[#This Row],[Título]])-1</f>
        <v>1208</v>
      </c>
      <c r="B1209" s="1" t="s">
        <v>624</v>
      </c>
      <c r="C1209" s="1" t="s">
        <v>992</v>
      </c>
      <c r="D1209" s="1" t="s">
        <v>1007</v>
      </c>
      <c r="G1209" s="1" t="s">
        <v>208</v>
      </c>
      <c r="H1209" s="1" t="s">
        <v>1028</v>
      </c>
      <c r="J1209" s="1" t="s">
        <v>607</v>
      </c>
      <c r="M1209" s="15" t="s">
        <v>571</v>
      </c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1209" s="15" t="str">
        <f>_xlfn.TEXTBEFORE(_xlfn.TEXTAFTER(CantoralDB[[#This Row],[index.html]],"&gt;"),"&gt;")&amp;"&gt;"</f>
        <v>&lt;a href="canciones/nsb/tanto_amo_dios_al_mundo.html"&gt;</v>
      </c>
      <c r="X1209"/>
      <c r="AB1209" s="1"/>
    </row>
    <row r="1210" spans="1:28" x14ac:dyDescent="0.3">
      <c r="A1210" s="1">
        <f>ROW(CantoralDB[[#This Row],[Título]])-1</f>
        <v>1209</v>
      </c>
      <c r="B1210" s="1" t="s">
        <v>504</v>
      </c>
      <c r="C1210" s="1" t="s">
        <v>192</v>
      </c>
      <c r="D1210" s="1" t="s">
        <v>1425</v>
      </c>
      <c r="E1210" s="1">
        <v>127</v>
      </c>
      <c r="G1210" s="1" t="s">
        <v>208</v>
      </c>
      <c r="H1210" s="1" t="s">
        <v>1029</v>
      </c>
      <c r="J1210" s="1" t="s">
        <v>607</v>
      </c>
      <c r="M1210" s="15" t="s">
        <v>2888</v>
      </c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1210" s="1"/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1210" s="15" t="str">
        <f>_xlfn.TEXTBEFORE(_xlfn.TEXTAFTER(CantoralDB[[#This Row],[index.html]],"&gt;"),"&gt;")&amp;"&gt;"</f>
        <v>&lt;a href="canciones/nsb/gloria_gloria_aleluya.html"&gt;</v>
      </c>
      <c r="X1210"/>
      <c r="AB1210" s="1"/>
    </row>
    <row r="1211" spans="1:28" x14ac:dyDescent="0.3">
      <c r="A1211" s="1">
        <f>ROW(CantoralDB[[#This Row],[Título]])-1</f>
        <v>1210</v>
      </c>
      <c r="B1211" s="1" t="s">
        <v>76</v>
      </c>
      <c r="C1211" s="1" t="s">
        <v>198</v>
      </c>
      <c r="D1211" s="1" t="s">
        <v>1430</v>
      </c>
      <c r="E1211" s="1">
        <v>139</v>
      </c>
      <c r="F1211" s="1">
        <v>354</v>
      </c>
      <c r="G1211" s="1" t="s">
        <v>208</v>
      </c>
      <c r="H1211" s="1" t="s">
        <v>530</v>
      </c>
      <c r="I1211" s="1" t="s">
        <v>2953</v>
      </c>
      <c r="J1211" s="1" t="s">
        <v>607</v>
      </c>
      <c r="M1211" s="15" t="s">
        <v>2888</v>
      </c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1211" s="15" t="str">
        <f>_xlfn.TEXTBEFORE(_xlfn.TEXTAFTER(CantoralDB[[#This Row],[index.html]],"&gt;"),"&gt;")&amp;"&gt;"</f>
        <v>&lt;a href="canciones/nsb/hoy_el_señor_resucito.html"&gt;</v>
      </c>
      <c r="X1211"/>
      <c r="AB1211" s="1"/>
    </row>
    <row r="1212" spans="1:28" x14ac:dyDescent="0.3">
      <c r="A1212" s="1">
        <f>ROW(CantoralDB[[#This Row],[Título]])-1</f>
        <v>1211</v>
      </c>
      <c r="B1212" s="1" t="s">
        <v>1292</v>
      </c>
      <c r="C1212" s="1"/>
      <c r="E1212" s="1">
        <v>183</v>
      </c>
      <c r="H1212" s="1" t="s">
        <v>530</v>
      </c>
      <c r="J1212" s="1" t="s">
        <v>607</v>
      </c>
      <c r="M1212" s="15" t="s">
        <v>2888</v>
      </c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1212" s="15" t="str">
        <f>_xlfn.TEXTBEFORE(_xlfn.TEXTAFTER(CantoralDB[[#This Row],[index.html]],"&gt;"),"&gt;")&amp;"&gt;"</f>
        <v>&lt;a href="canciones/nsb/nosotros_venceremos.html"&gt;</v>
      </c>
      <c r="X1212"/>
      <c r="AB1212" s="1"/>
    </row>
    <row r="1213" spans="1:28" x14ac:dyDescent="0.3">
      <c r="A1213" s="1">
        <f>ROW(CantoralDB[[#This Row],[Título]])-1</f>
        <v>1212</v>
      </c>
      <c r="B1213" s="1" t="s">
        <v>236</v>
      </c>
      <c r="C1213" s="1" t="s">
        <v>199</v>
      </c>
      <c r="D1213" s="1" t="s">
        <v>1050</v>
      </c>
      <c r="G1213" s="1" t="s">
        <v>208</v>
      </c>
      <c r="H1213" s="1" t="s">
        <v>1026</v>
      </c>
      <c r="J1213" s="1" t="s">
        <v>607</v>
      </c>
      <c r="M1213" s="15" t="s">
        <v>576</v>
      </c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1213" s="15" t="str">
        <f>_xlfn.TEXTBEFORE(_xlfn.TEXTAFTER(CantoralDB[[#This Row],[index.html]],"&gt;"),"&gt;")&amp;"&gt;"</f>
        <v>&lt;a href="canciones/nsb/quiero_caminar_contigo_maria.html"&gt;</v>
      </c>
      <c r="X1213"/>
      <c r="AB1213" s="1"/>
    </row>
    <row r="1214" spans="1:28" x14ac:dyDescent="0.3">
      <c r="A1214" s="1">
        <f>ROW(CantoralDB[[#This Row],[Título]])-1</f>
        <v>1213</v>
      </c>
      <c r="B1214" s="1" t="s">
        <v>180</v>
      </c>
      <c r="C1214" s="1" t="s">
        <v>992</v>
      </c>
      <c r="D1214" s="1" t="s">
        <v>701</v>
      </c>
      <c r="F1214" s="1">
        <v>303</v>
      </c>
      <c r="G1214" s="1" t="s">
        <v>208</v>
      </c>
      <c r="H1214" s="1" t="s">
        <v>530</v>
      </c>
      <c r="J1214" s="1" t="s">
        <v>607</v>
      </c>
      <c r="M1214" s="15" t="s">
        <v>588</v>
      </c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1214" s="1" t="s">
        <v>828</v>
      </c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1214" s="15" t="str">
        <f>_xlfn.TEXTBEFORE(_xlfn.TEXTAFTER(CantoralDB[[#This Row],[index.html]],"&gt;"),"&gt;")&amp;"&gt;"</f>
        <v>&lt;a href="canciones/nsb/el_vendra_y_te_salvara.html"&gt;</v>
      </c>
      <c r="X1214"/>
      <c r="AB1214" s="1"/>
    </row>
    <row r="1215" spans="1:28" x14ac:dyDescent="0.3">
      <c r="A1215" s="1">
        <f>ROW(CantoralDB[[#This Row],[Título]])-1</f>
        <v>1214</v>
      </c>
      <c r="B1215" s="1" t="s">
        <v>1168</v>
      </c>
      <c r="C1215" s="1"/>
      <c r="E1215" s="1">
        <v>30</v>
      </c>
      <c r="H1215" s="1" t="s">
        <v>1027</v>
      </c>
      <c r="J1215" s="1" t="s">
        <v>607</v>
      </c>
      <c r="M1215" s="15" t="s">
        <v>2076</v>
      </c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1215" s="15" t="str">
        <f>_xlfn.TEXTBEFORE(_xlfn.TEXTAFTER(CantoralDB[[#This Row],[index.html]],"&gt;"),"&gt;")&amp;"&gt;"</f>
        <v>&lt;a href="canciones/nsb/arriba_nubes_negras.html"&gt;</v>
      </c>
      <c r="X1215"/>
      <c r="AB1215" s="1"/>
    </row>
    <row r="1216" spans="1:28" x14ac:dyDescent="0.3">
      <c r="A1216" s="1">
        <f>ROW(CantoralDB[[#This Row],[Título]])-1</f>
        <v>1215</v>
      </c>
      <c r="B1216" s="1" t="s">
        <v>1203</v>
      </c>
      <c r="C1216" s="1"/>
      <c r="E1216" s="1">
        <v>81</v>
      </c>
      <c r="H1216" s="1" t="s">
        <v>1029</v>
      </c>
      <c r="J1216" s="1" t="s">
        <v>607</v>
      </c>
      <c r="M1216" s="15" t="s">
        <v>2076</v>
      </c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1216" s="1"/>
      <c r="T1216" s="1"/>
      <c r="U1216" s="32" t="s">
        <v>1478</v>
      </c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1216" s="15" t="str">
        <f>_xlfn.TEXTBEFORE(_xlfn.TEXTAFTER(CantoralDB[[#This Row],[index.html]],"&gt;"),"&gt;")&amp;"&gt;"</f>
        <v>&lt;a href="canciones/nsb/de_jerusalen_bajaba_a_jerico.html"&gt;</v>
      </c>
      <c r="X1216"/>
      <c r="AB1216" s="1"/>
    </row>
    <row r="1217" spans="1:28" x14ac:dyDescent="0.3">
      <c r="A1217" s="1">
        <f>ROW(CantoralDB[[#This Row],[Título]])-1</f>
        <v>1216</v>
      </c>
      <c r="B1217" s="1" t="s">
        <v>203</v>
      </c>
      <c r="C1217" s="1" t="s">
        <v>992</v>
      </c>
      <c r="D1217" s="1" t="s">
        <v>1037</v>
      </c>
      <c r="E1217" s="1">
        <v>23</v>
      </c>
      <c r="G1217" s="1" t="s">
        <v>208</v>
      </c>
      <c r="H1217" s="1" t="s">
        <v>1026</v>
      </c>
      <c r="I1217" s="1" t="s">
        <v>2953</v>
      </c>
      <c r="J1217" s="1" t="s">
        <v>607</v>
      </c>
      <c r="M1217" s="15" t="s">
        <v>540</v>
      </c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1217" s="15" t="str">
        <f>_xlfn.TEXTBEFORE(_xlfn.TEXTAFTER(CantoralDB[[#This Row],[index.html]],"&gt;"),"&gt;")&amp;"&gt;"</f>
        <v>&lt;a href="canciones/nsb/alza_tu_mano_(comunidad).html"&gt;</v>
      </c>
      <c r="X1217"/>
      <c r="AB1217" s="1"/>
    </row>
    <row r="1218" spans="1:28" x14ac:dyDescent="0.3">
      <c r="A1218" s="1">
        <f>ROW(CantoralDB[[#This Row],[Título]])-1</f>
        <v>1217</v>
      </c>
      <c r="B1218" s="1" t="s">
        <v>550</v>
      </c>
      <c r="C1218" s="1" t="s">
        <v>475</v>
      </c>
      <c r="D1218" s="1" t="s">
        <v>1067</v>
      </c>
      <c r="E1218" s="1">
        <v>171</v>
      </c>
      <c r="H1218" s="1" t="s">
        <v>1028</v>
      </c>
      <c r="J1218" s="1" t="s">
        <v>607</v>
      </c>
      <c r="M1218" s="15" t="s">
        <v>540</v>
      </c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1218" s="15" t="str">
        <f>_xlfn.TEXTBEFORE(_xlfn.TEXTAFTER(CantoralDB[[#This Row],[index.html]],"&gt;"),"&gt;")&amp;"&gt;"</f>
        <v>&lt;a href="canciones/nsb/vivid_la_navidad.html"&gt;</v>
      </c>
      <c r="X1218"/>
      <c r="AB1218" s="1"/>
    </row>
    <row r="1219" spans="1:28" x14ac:dyDescent="0.3">
      <c r="A1219" s="1">
        <f>ROW(CantoralDB[[#This Row],[Título]])-1</f>
        <v>1218</v>
      </c>
      <c r="B1219" s="1" t="s">
        <v>68</v>
      </c>
      <c r="C1219" s="1" t="s">
        <v>192</v>
      </c>
      <c r="D1219" s="1" t="s">
        <v>1422</v>
      </c>
      <c r="E1219" s="1">
        <v>426</v>
      </c>
      <c r="F1219" s="1">
        <v>284</v>
      </c>
      <c r="G1219" s="1" t="s">
        <v>208</v>
      </c>
      <c r="H1219" s="1" t="s">
        <v>530</v>
      </c>
      <c r="I1219" s="1" t="s">
        <v>2954</v>
      </c>
      <c r="J1219" s="1" t="s">
        <v>607</v>
      </c>
      <c r="M1219" s="15" t="s">
        <v>505</v>
      </c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1219" s="15" t="str">
        <f>_xlfn.TEXTBEFORE(_xlfn.TEXTAFTER(CantoralDB[[#This Row],[index.html]],"&gt;"),"&gt;")&amp;"&gt;"</f>
        <v>&lt;a href="canciones/nsb/gloria_a_dios_gloria_al_padre.html"&gt;</v>
      </c>
      <c r="X1219"/>
      <c r="AB1219" s="1"/>
    </row>
    <row r="1220" spans="1:28" x14ac:dyDescent="0.3">
      <c r="A1220" s="1">
        <f>ROW(CantoralDB[[#This Row],[Título]])-1</f>
        <v>1219</v>
      </c>
      <c r="B1220" s="1" t="s">
        <v>133</v>
      </c>
      <c r="C1220" s="1" t="s">
        <v>191</v>
      </c>
      <c r="D1220" s="1" t="s">
        <v>1467</v>
      </c>
      <c r="E1220" s="1">
        <v>460</v>
      </c>
      <c r="G1220" s="1" t="s">
        <v>208</v>
      </c>
      <c r="H1220" s="1" t="s">
        <v>530</v>
      </c>
      <c r="I1220" s="1" t="s">
        <v>2954</v>
      </c>
      <c r="J1220" s="1" t="s">
        <v>607</v>
      </c>
      <c r="M1220" s="15" t="s">
        <v>791</v>
      </c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1220" s="15" t="str">
        <f>_xlfn.TEXTBEFORE(_xlfn.TEXTAFTER(CantoralDB[[#This Row],[index.html]],"&gt;"),"&gt;")&amp;"&gt;"</f>
        <v>&lt;a href="canciones/nsb/señor_ten_piedad.html"&gt;</v>
      </c>
      <c r="X1220"/>
      <c r="AB1220" s="1"/>
    </row>
    <row r="1221" spans="1:28" x14ac:dyDescent="0.3">
      <c r="A1221" s="1">
        <f>ROW(CantoralDB[[#This Row],[Título]])-1</f>
        <v>1220</v>
      </c>
      <c r="B1221" s="1" t="s">
        <v>150</v>
      </c>
      <c r="C1221" s="1" t="s">
        <v>194</v>
      </c>
      <c r="D1221" s="1" t="s">
        <v>771</v>
      </c>
      <c r="E1221" s="1">
        <v>467</v>
      </c>
      <c r="G1221" s="1" t="s">
        <v>208</v>
      </c>
      <c r="H1221" s="1" t="s">
        <v>530</v>
      </c>
      <c r="I1221" s="1" t="s">
        <v>2953</v>
      </c>
      <c r="J1221" s="1" t="s">
        <v>607</v>
      </c>
      <c r="M1221" s="15" t="s">
        <v>792</v>
      </c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1221" s="15" t="str">
        <f>_xlfn.TEXTBEFORE(_xlfn.TEXTAFTER(CantoralDB[[#This Row],[index.html]],"&gt;"),"&gt;")&amp;"&gt;"</f>
        <v>&lt;a href="canciones/nsb/un_dia_abri_los_ojos.html"&gt;</v>
      </c>
      <c r="X1221"/>
      <c r="AB1221" s="1"/>
    </row>
    <row r="1222" spans="1:28" x14ac:dyDescent="0.3">
      <c r="A1222" s="1">
        <f>ROW(CantoralDB[[#This Row],[Título]])-1</f>
        <v>1221</v>
      </c>
      <c r="B1222" s="1" t="s">
        <v>162</v>
      </c>
      <c r="C1222" s="1" t="s">
        <v>992</v>
      </c>
      <c r="D1222" s="1" t="s">
        <v>1016</v>
      </c>
      <c r="E1222" s="1">
        <v>286</v>
      </c>
      <c r="G1222" s="1" t="s">
        <v>208</v>
      </c>
      <c r="H1222" s="1" t="s">
        <v>472</v>
      </c>
      <c r="I1222" s="1" t="s">
        <v>2952</v>
      </c>
      <c r="J1222" s="1" t="s">
        <v>607</v>
      </c>
      <c r="M1222" s="15" t="s">
        <v>2872</v>
      </c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1222" s="15" t="str">
        <f>_xlfn.TEXTBEFORE(_xlfn.TEXTAFTER(CantoralDB[[#This Row],[index.html]],"&gt;"),"&gt;")&amp;"&gt;"</f>
        <v>&lt;a href="canciones/nsb/victoria_tu_reinaras.html"&gt;</v>
      </c>
      <c r="X1222"/>
      <c r="AB1222" s="1"/>
    </row>
    <row r="1223" spans="1:28" x14ac:dyDescent="0.3">
      <c r="A1223" s="1">
        <f>ROW(CantoralDB[[#This Row],[Título]])-1</f>
        <v>1222</v>
      </c>
      <c r="B1223" s="1" t="s">
        <v>1341</v>
      </c>
      <c r="C1223" s="1"/>
      <c r="E1223" s="1">
        <v>280</v>
      </c>
      <c r="J1223" s="1"/>
      <c r="M1223" s="15" t="s">
        <v>2102</v>
      </c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223" s="1"/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1223" s="15" t="str">
        <f>_xlfn.TEXTBEFORE(_xlfn.TEXTAFTER(CantoralDB[[#This Row],[index.html]],"&gt;"),"&gt;")&amp;"&gt;"</f>
        <v>&lt;a href="canciones/nsb/ven_a_nuestro_mundo.html"&gt;</v>
      </c>
      <c r="X1223"/>
      <c r="AB1223" s="1"/>
    </row>
    <row r="1224" spans="1:28" x14ac:dyDescent="0.3">
      <c r="A1224" s="1">
        <f>ROW(CantoralDB[[#This Row],[Título]])-1</f>
        <v>1223</v>
      </c>
      <c r="B1224" s="1" t="s">
        <v>60</v>
      </c>
      <c r="C1224" s="1" t="s">
        <v>992</v>
      </c>
      <c r="D1224" s="1" t="s">
        <v>702</v>
      </c>
      <c r="E1224" s="1">
        <v>424</v>
      </c>
      <c r="G1224" s="1" t="s">
        <v>208</v>
      </c>
      <c r="H1224" s="1" t="s">
        <v>1026</v>
      </c>
      <c r="J1224" s="1" t="s">
        <v>607</v>
      </c>
      <c r="M1224" s="15" t="s">
        <v>627</v>
      </c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1224" s="1" t="s">
        <v>830</v>
      </c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1224" s="15" t="str">
        <f>_xlfn.TEXTBEFORE(_xlfn.TEXTAFTER(CantoralDB[[#This Row],[index.html]],"&gt;"),"&gt;")&amp;"&gt;"</f>
        <v>&lt;a href="canciones/nsb/en_mi_getsemani.html"&gt;</v>
      </c>
      <c r="X1224"/>
      <c r="AB1224" s="1"/>
    </row>
    <row r="1225" spans="1:28" x14ac:dyDescent="0.3">
      <c r="A1225" s="1">
        <f>ROW(CantoralDB[[#This Row],[Título]])-1</f>
        <v>1224</v>
      </c>
      <c r="B1225" s="1" t="s">
        <v>593</v>
      </c>
      <c r="C1225" s="1" t="s">
        <v>992</v>
      </c>
      <c r="D1225" s="1" t="s">
        <v>999</v>
      </c>
      <c r="G1225" s="1" t="s">
        <v>594</v>
      </c>
      <c r="H1225" s="1" t="s">
        <v>1026</v>
      </c>
      <c r="J1225" s="1" t="s">
        <v>607</v>
      </c>
      <c r="M1225" s="15" t="s">
        <v>627</v>
      </c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1225" s="15" t="str">
        <f>_xlfn.TEXTBEFORE(_xlfn.TEXTAFTER(CantoralDB[[#This Row],[index.html]],"&gt;"),"&gt;")&amp;"&gt;"</f>
        <v>&lt;a href="canciones/nsb/quiero_ser_pan.html"&gt;</v>
      </c>
      <c r="X1225"/>
      <c r="AB1225" s="1"/>
    </row>
    <row r="1226" spans="1:28" x14ac:dyDescent="0.3">
      <c r="A1226" s="1">
        <f>ROW(CantoralDB[[#This Row],[Título]])-1</f>
        <v>1225</v>
      </c>
      <c r="B1226" s="1" t="s">
        <v>531</v>
      </c>
      <c r="C1226" s="1" t="s">
        <v>194</v>
      </c>
      <c r="D1226" s="1" t="s">
        <v>1418</v>
      </c>
      <c r="G1226" s="1" t="s">
        <v>532</v>
      </c>
      <c r="H1226" s="1" t="s">
        <v>472</v>
      </c>
      <c r="I1226" s="1" t="s">
        <v>2953</v>
      </c>
      <c r="J1226" s="1" t="s">
        <v>607</v>
      </c>
      <c r="M1226" s="15" t="s">
        <v>615</v>
      </c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1226" s="1"/>
      <c r="T1226" s="1"/>
      <c r="U1226" s="32" t="s">
        <v>2983</v>
      </c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1226" s="15" t="str">
        <f>_xlfn.TEXTBEFORE(_xlfn.TEXTAFTER(CantoralDB[[#This Row],[index.html]],"&gt;"),"&gt;")&amp;"&gt;"</f>
        <v>&lt;a href="canciones/nsb/esto_que_te_doy.html"&gt;</v>
      </c>
      <c r="X1226"/>
      <c r="AB1226" s="1"/>
    </row>
    <row r="1227" spans="1:28" x14ac:dyDescent="0.3">
      <c r="A1227" s="1">
        <f>ROW(CantoralDB[[#This Row],[Título]])-1</f>
        <v>1226</v>
      </c>
      <c r="B1227" s="1" t="s">
        <v>37</v>
      </c>
      <c r="C1227" s="1" t="s">
        <v>992</v>
      </c>
      <c r="D1227" s="1" t="s">
        <v>690</v>
      </c>
      <c r="E1227" s="1">
        <v>414</v>
      </c>
      <c r="G1227" s="1" t="s">
        <v>208</v>
      </c>
      <c r="H1227" s="1" t="s">
        <v>530</v>
      </c>
      <c r="J1227" s="1" t="s">
        <v>607</v>
      </c>
      <c r="M1227" s="15" t="s">
        <v>618</v>
      </c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1227" s="1" t="s">
        <v>816</v>
      </c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1227" s="15" t="str">
        <f>_xlfn.TEXTBEFORE(_xlfn.TEXTAFTER(CantoralDB[[#This Row],[index.html]],"&gt;"),"&gt;")&amp;"&gt;"</f>
        <v>&lt;a href="canciones/nsb/corazon_inquieto.html"&gt;</v>
      </c>
      <c r="X1227"/>
      <c r="AB1227" s="1"/>
    </row>
    <row r="1228" spans="1:28" x14ac:dyDescent="0.3">
      <c r="A1228" s="1">
        <f>ROW(CantoralDB[[#This Row],[Título]])-1</f>
        <v>1227</v>
      </c>
      <c r="B1228" s="1" t="s">
        <v>20</v>
      </c>
      <c r="C1228" s="1" t="s">
        <v>992</v>
      </c>
      <c r="D1228" s="1" t="s">
        <v>1036</v>
      </c>
      <c r="E1228" s="1">
        <v>407</v>
      </c>
      <c r="G1228" s="1" t="s">
        <v>208</v>
      </c>
      <c r="H1228" s="1" t="s">
        <v>1029</v>
      </c>
      <c r="J1228" s="1" t="s">
        <v>607</v>
      </c>
      <c r="M1228" s="15" t="s">
        <v>539</v>
      </c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1228" s="15" t="str">
        <f>_xlfn.TEXTBEFORE(_xlfn.TEXTAFTER(CantoralDB[[#This Row],[index.html]],"&gt;"),"&gt;")&amp;"&gt;"</f>
        <v>&lt;a href="canciones/nsb/alma_misionera.html"&gt;</v>
      </c>
      <c r="X1228"/>
      <c r="AB1228" s="1"/>
    </row>
    <row r="1229" spans="1:28" x14ac:dyDescent="0.3">
      <c r="A1229" s="1">
        <f>ROW(CantoralDB[[#This Row],[Título]])-1</f>
        <v>1228</v>
      </c>
      <c r="B1229" s="1" t="s">
        <v>50</v>
      </c>
      <c r="C1229" s="1" t="s">
        <v>992</v>
      </c>
      <c r="D1229" s="1" t="s">
        <v>700</v>
      </c>
      <c r="E1229" s="1">
        <v>420</v>
      </c>
      <c r="G1229" s="1" t="s">
        <v>208</v>
      </c>
      <c r="H1229" s="1" t="s">
        <v>530</v>
      </c>
      <c r="I1229" s="1" t="s">
        <v>2950</v>
      </c>
      <c r="J1229" s="1" t="s">
        <v>607</v>
      </c>
      <c r="M1229" s="15" t="s">
        <v>629</v>
      </c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1229" s="1" t="s">
        <v>823</v>
      </c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1229" s="15" t="str">
        <f>_xlfn.TEXTBEFORE(_xlfn.TEXTAFTER(CantoralDB[[#This Row],[index.html]],"&gt;"),"&gt;")&amp;"&gt;"</f>
        <v>&lt;a href="canciones/nsb/el_que_muere_por_mi.html"&gt;</v>
      </c>
      <c r="X1229"/>
      <c r="AB1229" s="1"/>
    </row>
    <row r="1230" spans="1:28" x14ac:dyDescent="0.3">
      <c r="A1230" s="1">
        <f>ROW(CantoralDB[[#This Row],[Título]])-1</f>
        <v>1229</v>
      </c>
      <c r="B1230" s="1" t="s">
        <v>1308</v>
      </c>
      <c r="C1230" s="1"/>
      <c r="E1230" s="1">
        <v>219</v>
      </c>
      <c r="H1230" s="1" t="s">
        <v>472</v>
      </c>
      <c r="J1230" s="1" t="s">
        <v>607</v>
      </c>
      <c r="M1230" s="15" t="s">
        <v>2096</v>
      </c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1230" s="15" t="str">
        <f>_xlfn.TEXTBEFORE(_xlfn.TEXTAFTER(CantoralDB[[#This Row],[index.html]],"&gt;"),"&gt;")&amp;"&gt;"</f>
        <v>&lt;a href="canciones/nsb/quiero_ser_oh_señor.html"&gt;</v>
      </c>
      <c r="X1230"/>
      <c r="AB1230" s="1"/>
    </row>
    <row r="1231" spans="1:28" x14ac:dyDescent="0.3">
      <c r="A1231" s="1">
        <f>ROW(CantoralDB[[#This Row],[Título]])-1</f>
        <v>1230</v>
      </c>
      <c r="B1231" s="1" t="s">
        <v>782</v>
      </c>
      <c r="C1231" s="1" t="s">
        <v>992</v>
      </c>
      <c r="D1231" s="1" t="s">
        <v>698</v>
      </c>
      <c r="G1231" s="1" t="s">
        <v>208</v>
      </c>
      <c r="H1231" s="1" t="s">
        <v>1029</v>
      </c>
      <c r="J1231" s="1" t="s">
        <v>607</v>
      </c>
      <c r="M1231" s="15" t="s">
        <v>625</v>
      </c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231" s="15" t="str">
        <f>_xlfn.TEXTBEFORE(_xlfn.TEXTAFTER(CantoralDB[[#This Row],[index.html]],"&gt;"),"&gt;")&amp;"&gt;"</f>
        <v>&lt;a href="canciones/nsb/el_camino_no_lo_haremos_solos.html"&gt;</v>
      </c>
      <c r="X1231"/>
      <c r="AB1231" s="1"/>
    </row>
    <row r="1232" spans="1:28" x14ac:dyDescent="0.3">
      <c r="A1232" s="1">
        <f>ROW(CantoralDB[[#This Row],[Título]])-1</f>
        <v>1231</v>
      </c>
      <c r="B1232" s="1" t="s">
        <v>582</v>
      </c>
      <c r="C1232" s="1" t="s">
        <v>199</v>
      </c>
      <c r="D1232" s="1" t="s">
        <v>1053</v>
      </c>
      <c r="F1232" s="1">
        <v>97</v>
      </c>
      <c r="G1232" s="1" t="s">
        <v>583</v>
      </c>
      <c r="H1232" s="1" t="s">
        <v>1026</v>
      </c>
      <c r="I1232" s="1" t="s">
        <v>2953</v>
      </c>
      <c r="J1232" s="1" t="s">
        <v>607</v>
      </c>
      <c r="M1232" s="15" t="s">
        <v>599</v>
      </c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1232" s="15" t="str">
        <f>_xlfn.TEXTBEFORE(_xlfn.TEXTAFTER(CantoralDB[[#This Row],[index.html]],"&gt;"),"&gt;")&amp;"&gt;"</f>
        <v>&lt;a href="canciones/nsb/salve_regina.html"&gt;</v>
      </c>
      <c r="X1232"/>
      <c r="AB1232" s="1"/>
    </row>
    <row r="1233" spans="1:28" x14ac:dyDescent="0.3">
      <c r="A1233" s="1">
        <f>ROW(CantoralDB[[#This Row],[Título]])-1</f>
        <v>1232</v>
      </c>
      <c r="B1233" s="1" t="s">
        <v>525</v>
      </c>
      <c r="C1233" s="1" t="s">
        <v>195</v>
      </c>
      <c r="D1233" s="1" t="s">
        <v>1458</v>
      </c>
      <c r="F1233" s="1">
        <v>74</v>
      </c>
      <c r="G1233" s="1" t="s">
        <v>208</v>
      </c>
      <c r="H1233" s="1" t="s">
        <v>530</v>
      </c>
      <c r="J1233" s="1" t="s">
        <v>607</v>
      </c>
      <c r="M1233" s="15" t="s">
        <v>581</v>
      </c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1233" s="15" t="str">
        <f>_xlfn.TEXTBEFORE(_xlfn.TEXTAFTER(CantoralDB[[#This Row],[index.html]],"&gt;"),"&gt;")&amp;"&gt;"</f>
        <v>&lt;a href="canciones/nsb/santo_(händel).html"&gt;</v>
      </c>
      <c r="X1233"/>
      <c r="AB1233" s="1"/>
    </row>
    <row r="1234" spans="1:28" x14ac:dyDescent="0.3">
      <c r="A1234" s="1">
        <f>ROW(CantoralDB[[#This Row],[Título]])-1</f>
        <v>1233</v>
      </c>
      <c r="B1234" s="1" t="s">
        <v>1242</v>
      </c>
      <c r="C1234" s="1"/>
      <c r="E1234" s="1">
        <v>210</v>
      </c>
      <c r="H1234" s="1" t="s">
        <v>1027</v>
      </c>
      <c r="J1234" s="1" t="s">
        <v>607</v>
      </c>
      <c r="M1234" s="15" t="s">
        <v>2896</v>
      </c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1234" s="15" t="str">
        <f>_xlfn.TEXTBEFORE(_xlfn.TEXTAFTER(CantoralDB[[#This Row],[index.html]],"&gt;"),"&gt;")&amp;"&gt;"</f>
        <v>&lt;a href="canciones/nsb/yo_te_nombro_libertad.html"&gt;</v>
      </c>
      <c r="X1234"/>
      <c r="AB1234" s="1"/>
    </row>
    <row r="1235" spans="1:28" x14ac:dyDescent="0.3">
      <c r="A1235" s="1">
        <f>ROW(CantoralDB[[#This Row],[Título]])-1</f>
        <v>1234</v>
      </c>
      <c r="B1235" s="1" t="s">
        <v>146</v>
      </c>
      <c r="C1235" s="1" t="s">
        <v>992</v>
      </c>
      <c r="D1235" s="1" t="s">
        <v>1012</v>
      </c>
      <c r="E1235" s="1">
        <v>465</v>
      </c>
      <c r="G1235" s="1" t="s">
        <v>208</v>
      </c>
      <c r="H1235" s="1" t="s">
        <v>1029</v>
      </c>
      <c r="I1235" s="1" t="s">
        <v>2952</v>
      </c>
      <c r="J1235" s="1" t="s">
        <v>607</v>
      </c>
      <c r="M1235" s="15" t="s">
        <v>628</v>
      </c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1235" s="15" t="str">
        <f>_xlfn.TEXTBEFORE(_xlfn.TEXTAFTER(CantoralDB[[#This Row],[index.html]],"&gt;"),"&gt;")&amp;"&gt;"</f>
        <v>&lt;a href="canciones/nsb/tu_eres_capaz.html"&gt;</v>
      </c>
      <c r="X1235"/>
      <c r="AB1235" s="1"/>
    </row>
    <row r="1236" spans="1:28" x14ac:dyDescent="0.3">
      <c r="A1236" s="1">
        <f>ROW(CantoralDB[[#This Row],[Título]])-1</f>
        <v>1235</v>
      </c>
      <c r="B1236" s="1" t="s">
        <v>1199</v>
      </c>
      <c r="C1236" s="1"/>
      <c r="E1236" s="1">
        <v>74</v>
      </c>
      <c r="H1236" s="1" t="s">
        <v>472</v>
      </c>
      <c r="J1236" s="1" t="s">
        <v>607</v>
      </c>
      <c r="M1236" s="15" t="s">
        <v>2891</v>
      </c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1236" s="15" t="str">
        <f>_xlfn.TEXTBEFORE(_xlfn.TEXTAFTER(CantoralDB[[#This Row],[index.html]],"&gt;"),"&gt;")&amp;"&gt;"</f>
        <v>&lt;a href="canciones/nsb/dame_señor_un_corazon_feliz.html"&gt;</v>
      </c>
      <c r="X1236"/>
      <c r="AB1236" s="1"/>
    </row>
    <row r="1237" spans="1:28" x14ac:dyDescent="0.3">
      <c r="A1237" s="1">
        <f>ROW(CantoralDB[[#This Row],[Título]])-1</f>
        <v>1236</v>
      </c>
      <c r="B1237" s="1" t="s">
        <v>1176</v>
      </c>
      <c r="C1237" s="1"/>
      <c r="E1237" s="1">
        <v>46</v>
      </c>
      <c r="H1237" s="1" t="s">
        <v>1029</v>
      </c>
      <c r="J1237" s="1" t="s">
        <v>607</v>
      </c>
      <c r="M1237" s="15" t="s">
        <v>515</v>
      </c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1237" s="15" t="str">
        <f>_xlfn.TEXTBEFORE(_xlfn.TEXTAFTER(CantoralDB[[#This Row],[index.html]],"&gt;"),"&gt;")&amp;"&gt;"</f>
        <v>&lt;a href="canciones/nsb/cantan_los_angeles_en_belen.html"&gt;</v>
      </c>
      <c r="X1237"/>
      <c r="AB1237" s="1"/>
    </row>
    <row r="1238" spans="1:28" x14ac:dyDescent="0.3">
      <c r="A1238" s="1">
        <f>ROW(CantoralDB[[#This Row],[Título]])-1</f>
        <v>1237</v>
      </c>
      <c r="B1238" s="1" t="s">
        <v>1174</v>
      </c>
      <c r="C1238" s="1"/>
      <c r="E1238" s="1">
        <v>43</v>
      </c>
      <c r="H1238" s="1" t="s">
        <v>472</v>
      </c>
      <c r="J1238" s="1" t="s">
        <v>607</v>
      </c>
      <c r="M1238" s="15" t="s">
        <v>515</v>
      </c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1238" s="15" t="str">
        <f>_xlfn.TEXTBEFORE(_xlfn.TEXTAFTER(CantoralDB[[#This Row],[index.html]],"&gt;"),"&gt;")&amp;"&gt;"</f>
        <v>&lt;a href="canciones/nsb/como_habian_dicho_los_profetas.html"&gt;</v>
      </c>
      <c r="X1238"/>
      <c r="AB1238" s="1"/>
    </row>
    <row r="1239" spans="1:28" x14ac:dyDescent="0.3">
      <c r="A1239" s="1">
        <f>ROW(CantoralDB[[#This Row],[Título]])-1</f>
        <v>1238</v>
      </c>
      <c r="B1239" s="1" t="s">
        <v>2916</v>
      </c>
      <c r="C1239" s="1"/>
      <c r="E1239" s="1">
        <v>250</v>
      </c>
      <c r="H1239" s="1" t="s">
        <v>1029</v>
      </c>
      <c r="J1239" s="1" t="s">
        <v>607</v>
      </c>
      <c r="M1239" s="15" t="s">
        <v>515</v>
      </c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1239" s="15" t="str">
        <f>_xlfn.TEXTBEFORE(_xlfn.TEXTAFTER(CantoralDB[[#This Row],[index.html]],"&gt;"),"&gt;")&amp;"&gt;"</f>
        <v>&lt;a href="canciones/nsb/esto_es_navidad.html"&gt;</v>
      </c>
      <c r="X1239"/>
      <c r="AB1239" s="1"/>
    </row>
    <row r="1240" spans="1:28" x14ac:dyDescent="0.3">
      <c r="A1240" s="1">
        <f>ROW(CantoralDB[[#This Row],[Título]])-1</f>
        <v>1239</v>
      </c>
      <c r="B1240" s="1" t="s">
        <v>1262</v>
      </c>
      <c r="C1240" s="1"/>
      <c r="E1240" s="1">
        <v>134</v>
      </c>
      <c r="J1240" s="1"/>
      <c r="M1240" s="15" t="s">
        <v>515</v>
      </c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1240" s="15" t="str">
        <f>_xlfn.TEXTBEFORE(_xlfn.TEXTAFTER(CantoralDB[[#This Row],[index.html]],"&gt;"),"&gt;")&amp;"&gt;"</f>
        <v>&lt;a href="canciones/nsb/hoy_en_belen_es_la_fiesta.html"&gt;</v>
      </c>
      <c r="X1240"/>
      <c r="AB1240" s="1"/>
    </row>
    <row r="1241" spans="1:28" x14ac:dyDescent="0.3">
      <c r="A1241" s="1">
        <f>ROW(CantoralDB[[#This Row],[Título]])-1</f>
        <v>1240</v>
      </c>
      <c r="B1241" s="1" t="s">
        <v>2915</v>
      </c>
      <c r="C1241" s="1"/>
      <c r="E1241" s="1">
        <v>249</v>
      </c>
      <c r="H1241" s="1" t="s">
        <v>1029</v>
      </c>
      <c r="J1241" s="1" t="s">
        <v>607</v>
      </c>
      <c r="M1241" s="15" t="s">
        <v>515</v>
      </c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1241" s="15" t="str">
        <f>_xlfn.TEXTBEFORE(_xlfn.TEXTAFTER(CantoralDB[[#This Row],[index.html]],"&gt;"),"&gt;")&amp;"&gt;"</f>
        <v>&lt;a href="canciones/nsb/si_cada_noche_fuera_nochebuena.html"&gt;</v>
      </c>
      <c r="X1241"/>
      <c r="AB1241" s="1"/>
    </row>
    <row r="1242" spans="1:28" x14ac:dyDescent="0.3">
      <c r="A1242" s="1">
        <f>ROW(CantoralDB[[#This Row],[Título]])-1</f>
        <v>1241</v>
      </c>
      <c r="B1242" s="1" t="s">
        <v>91</v>
      </c>
      <c r="C1242" s="1" t="s">
        <v>199</v>
      </c>
      <c r="D1242" s="1" t="s">
        <v>1047</v>
      </c>
      <c r="E1242" s="1">
        <v>435</v>
      </c>
      <c r="G1242" s="1" t="s">
        <v>208</v>
      </c>
      <c r="H1242" s="1" t="s">
        <v>1029</v>
      </c>
      <c r="J1242" s="1" t="s">
        <v>607</v>
      </c>
      <c r="M1242" s="15" t="s">
        <v>2222</v>
      </c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1242" s="15" t="str">
        <f>_xlfn.TEXTBEFORE(_xlfn.TEXTAFTER(CantoralDB[[#This Row],[index.html]],"&gt;"),"&gt;")&amp;"&gt;"</f>
        <v>&lt;a href="canciones/nsb/maria_mirame.html"&gt;</v>
      </c>
      <c r="X1242"/>
      <c r="AB1242" s="1"/>
    </row>
    <row r="1243" spans="1:28" x14ac:dyDescent="0.3">
      <c r="A1243" s="1">
        <f>ROW(CantoralDB[[#This Row],[Título]])-1</f>
        <v>1242</v>
      </c>
      <c r="B1243" s="1" t="s">
        <v>172</v>
      </c>
      <c r="C1243" s="1" t="s">
        <v>194</v>
      </c>
      <c r="D1243" s="1" t="s">
        <v>1380</v>
      </c>
      <c r="G1243" s="1" t="s">
        <v>208</v>
      </c>
      <c r="H1243" s="1" t="s">
        <v>530</v>
      </c>
      <c r="J1243" s="1" t="s">
        <v>607</v>
      </c>
      <c r="M1243" s="15" t="s">
        <v>518</v>
      </c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243" s="15" t="str">
        <f>_xlfn.TEXTBEFORE(_xlfn.TEXTAFTER(CantoralDB[[#This Row],[index.html]],"&gt;"),"&gt;")&amp;"&gt;"</f>
        <v>&lt;a href="canciones/nsb/alimento_de_amor_(el_loco).html"&gt;</v>
      </c>
      <c r="X1243"/>
      <c r="AB1243" s="1"/>
    </row>
    <row r="1244" spans="1:28" x14ac:dyDescent="0.3">
      <c r="A1244" s="1">
        <f>ROW(CantoralDB[[#This Row],[Título]])-1</f>
        <v>1243</v>
      </c>
      <c r="B1244" s="1" t="s">
        <v>613</v>
      </c>
      <c r="C1244" s="1" t="s">
        <v>200</v>
      </c>
      <c r="D1244" s="1" t="s">
        <v>678</v>
      </c>
      <c r="G1244" s="1" t="s">
        <v>552</v>
      </c>
      <c r="H1244" s="1" t="s">
        <v>1029</v>
      </c>
      <c r="J1244" s="1" t="s">
        <v>607</v>
      </c>
      <c r="M1244" s="15" t="s">
        <v>614</v>
      </c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244" s="15" t="str">
        <f>_xlfn.TEXTBEFORE(_xlfn.TEXTAFTER(CantoralDB[[#This Row],[index.html]],"&gt;"),"&gt;")&amp;"&gt;"</f>
        <v>&lt;a href="canciones/nsb/ven_si_te_has_caido_levantate.html"&gt;</v>
      </c>
      <c r="X1244"/>
      <c r="AB1244" s="1"/>
    </row>
    <row r="1245" spans="1:28" x14ac:dyDescent="0.3">
      <c r="A1245" s="1">
        <f>ROW(CantoralDB[[#This Row],[Título]])-1</f>
        <v>1244</v>
      </c>
      <c r="B1245" s="1" t="s">
        <v>534</v>
      </c>
      <c r="C1245" s="1" t="s">
        <v>210</v>
      </c>
      <c r="D1245" s="1" t="s">
        <v>1476</v>
      </c>
      <c r="G1245" s="1" t="s">
        <v>208</v>
      </c>
      <c r="H1245" s="1" t="s">
        <v>530</v>
      </c>
      <c r="J1245" s="1" t="s">
        <v>607</v>
      </c>
      <c r="M1245" s="15" t="s">
        <v>509</v>
      </c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245" s="15" t="str">
        <f>_xlfn.TEXTBEFORE(_xlfn.TEXTAFTER(CantoralDB[[#This Row],[index.html]],"&gt;"),"&gt;")&amp;"&gt;"</f>
        <v>&lt;a href="canciones/nsb/ven_espiritu_divino_(secuencia_de_pentecostes).html"&gt;</v>
      </c>
      <c r="X1245"/>
      <c r="AB1245" s="1"/>
    </row>
    <row r="1246" spans="1:28" x14ac:dyDescent="0.3">
      <c r="A1246" s="1">
        <f>ROW(CantoralDB[[#This Row],[Título]])-1</f>
        <v>1245</v>
      </c>
      <c r="B1246" s="1" t="s">
        <v>209</v>
      </c>
      <c r="C1246" s="1" t="s">
        <v>210</v>
      </c>
      <c r="D1246" s="1" t="s">
        <v>1396</v>
      </c>
      <c r="F1246" s="1">
        <v>195</v>
      </c>
      <c r="G1246" s="1" t="s">
        <v>208</v>
      </c>
      <c r="H1246" s="1" t="s">
        <v>1026</v>
      </c>
      <c r="J1246" s="1" t="s">
        <v>607</v>
      </c>
      <c r="M1246" s="15" t="s">
        <v>2584</v>
      </c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246" s="15" t="str">
        <f>_xlfn.TEXTBEFORE(_xlfn.TEXTAFTER(CantoralDB[[#This Row],[index.html]],"&gt;"),"&gt;")&amp;"&gt;"</f>
        <v>&lt;a href="canciones/nsb/cantemos_al_amor_de_los_amores.html"&gt;</v>
      </c>
      <c r="X1246"/>
      <c r="AB1246" s="1"/>
    </row>
    <row r="1247" spans="1:28" x14ac:dyDescent="0.3">
      <c r="A1247" s="1">
        <f>ROW(CantoralDB[[#This Row],[Título]])-1</f>
        <v>1246</v>
      </c>
      <c r="B1247" s="1" t="s">
        <v>1335</v>
      </c>
      <c r="C1247" s="1"/>
      <c r="E1247" s="1">
        <v>267</v>
      </c>
      <c r="J1247" s="1"/>
      <c r="M1247" s="15" t="s">
        <v>2075</v>
      </c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247" s="15" t="str">
        <f>_xlfn.TEXTBEFORE(_xlfn.TEXTAFTER(CantoralDB[[#This Row],[index.html]],"&gt;"),"&gt;")&amp;"&gt;"</f>
        <v>&lt;a href="canciones/nsb/todos_esperamos.html"&gt;</v>
      </c>
      <c r="X1247"/>
      <c r="AB1247" s="1"/>
    </row>
    <row r="1248" spans="1:28" x14ac:dyDescent="0.3">
      <c r="A1248" s="1">
        <f>ROW(CantoralDB[[#This Row],[Título]])-1</f>
        <v>1247</v>
      </c>
      <c r="B1248" s="1" t="s">
        <v>16</v>
      </c>
      <c r="C1248" s="1" t="s">
        <v>193</v>
      </c>
      <c r="D1248" s="1" t="s">
        <v>1375</v>
      </c>
      <c r="E1248" s="1">
        <v>406</v>
      </c>
      <c r="G1248" s="1" t="s">
        <v>208</v>
      </c>
      <c r="H1248" s="1" t="s">
        <v>530</v>
      </c>
      <c r="J1248" s="1" t="s">
        <v>607</v>
      </c>
      <c r="M1248" s="15" t="s">
        <v>513</v>
      </c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248" s="15" t="str">
        <f>_xlfn.TEXTBEFORE(_xlfn.TEXTAFTER(CantoralDB[[#This Row],[index.html]],"&gt;"),"&gt;")&amp;"&gt;"</f>
        <v>&lt;a href="canciones/nsb/aleluya_por_esa_gente.html"&gt;</v>
      </c>
      <c r="X1248"/>
      <c r="AB1248" s="1"/>
    </row>
    <row r="1249" spans="1:28" x14ac:dyDescent="0.3">
      <c r="A1249" s="1">
        <f>ROW(CantoralDB[[#This Row],[Título]])-1</f>
        <v>1248</v>
      </c>
      <c r="B1249" s="1" t="s">
        <v>214</v>
      </c>
      <c r="C1249" s="1" t="s">
        <v>992</v>
      </c>
      <c r="D1249" s="1" t="s">
        <v>723</v>
      </c>
      <c r="G1249" s="1" t="s">
        <v>215</v>
      </c>
      <c r="H1249" s="1" t="s">
        <v>1028</v>
      </c>
      <c r="I1249" s="1" t="s">
        <v>2950</v>
      </c>
      <c r="J1249" s="1" t="s">
        <v>607</v>
      </c>
      <c r="M1249" s="15" t="s">
        <v>522</v>
      </c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249" s="1"/>
      <c r="T1249" s="1"/>
      <c r="U1249" s="32" t="s">
        <v>3094</v>
      </c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249" s="15" t="str">
        <f>_xlfn.TEXTBEFORE(_xlfn.TEXTAFTER(CantoralDB[[#This Row],[index.html]],"&gt;"),"&gt;")&amp;"&gt;"</f>
        <v>&lt;a href="canciones/nsb/no_temas.html"&gt;</v>
      </c>
      <c r="X1249"/>
      <c r="AB1249" s="1"/>
    </row>
    <row r="1250" spans="1:28" x14ac:dyDescent="0.3">
      <c r="A1250" s="1">
        <f>ROW(CantoralDB[[#This Row],[Título]])-1</f>
        <v>1249</v>
      </c>
      <c r="B1250" s="1" t="s">
        <v>529</v>
      </c>
      <c r="C1250" s="1" t="s">
        <v>195</v>
      </c>
      <c r="D1250" s="1" t="s">
        <v>1462</v>
      </c>
      <c r="G1250" s="1" t="s">
        <v>253</v>
      </c>
      <c r="H1250" s="1" t="s">
        <v>472</v>
      </c>
      <c r="J1250" s="1" t="s">
        <v>607</v>
      </c>
      <c r="M1250" s="15" t="s">
        <v>522</v>
      </c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250" s="1"/>
      <c r="T1250" s="1"/>
      <c r="U1250" s="32" t="s">
        <v>3095</v>
      </c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250" s="15" t="str">
        <f>_xlfn.TEXTBEFORE(_xlfn.TEXTAFTER(CantoralDB[[#This Row],[index.html]],"&gt;"),"&gt;")&amp;"&gt;"</f>
        <v>&lt;a href="canciones/nsb/santo_(olguin).html"&gt;</v>
      </c>
      <c r="X1250"/>
      <c r="AB1250" s="1"/>
    </row>
    <row r="1251" spans="1:28" x14ac:dyDescent="0.3">
      <c r="A1251" s="1">
        <f>ROW(CantoralDB[[#This Row],[Título]])-1</f>
        <v>1250</v>
      </c>
      <c r="B1251" s="1" t="s">
        <v>45</v>
      </c>
      <c r="C1251" s="1" t="s">
        <v>190</v>
      </c>
      <c r="D1251" s="1" t="s">
        <v>732</v>
      </c>
      <c r="E1251" s="1">
        <v>417</v>
      </c>
      <c r="F1251" s="1">
        <v>338</v>
      </c>
      <c r="G1251" s="1" t="s">
        <v>208</v>
      </c>
      <c r="H1251" s="1" t="s">
        <v>530</v>
      </c>
      <c r="J1251" s="1" t="s">
        <v>607</v>
      </c>
      <c r="M1251" s="15" t="s">
        <v>501</v>
      </c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1251" s="15" t="str">
        <f>_xlfn.TEXTBEFORE(_xlfn.TEXTAFTER(CantoralDB[[#This Row],[index.html]],"&gt;"),"&gt;")&amp;"&gt;"</f>
        <v>&lt;a href="canciones/nsb/dios_esta_aqui.html"&gt;</v>
      </c>
      <c r="X1251"/>
      <c r="AB1251" s="1"/>
    </row>
    <row r="1252" spans="1:28" x14ac:dyDescent="0.3">
      <c r="A1252" s="1">
        <f>ROW(CantoralDB[[#This Row],[Título]])-1</f>
        <v>1251</v>
      </c>
      <c r="B1252" s="1" t="s">
        <v>1194</v>
      </c>
      <c r="C1252" s="1"/>
      <c r="E1252" s="1">
        <v>69</v>
      </c>
      <c r="J1252" s="1"/>
      <c r="M1252" s="15" t="s">
        <v>2082</v>
      </c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252" s="15" t="str">
        <f>_xlfn.TEXTBEFORE(_xlfn.TEXTAFTER(CantoralDB[[#This Row],[index.html]],"&gt;"),"&gt;")&amp;"&gt;"</f>
        <v>&lt;a href="canciones/nsb/cuando_el_pan_que_esta_en_mi_vida.html"&gt;</v>
      </c>
      <c r="X1252"/>
      <c r="AB1252" s="1"/>
    </row>
    <row r="1253" spans="1:28" x14ac:dyDescent="0.3">
      <c r="A1253" s="1">
        <f>ROW(CantoralDB[[#This Row],[Título]])-1</f>
        <v>1252</v>
      </c>
      <c r="B1253" s="1" t="s">
        <v>84</v>
      </c>
      <c r="C1253" s="1" t="s">
        <v>194</v>
      </c>
      <c r="D1253" s="1" t="s">
        <v>765</v>
      </c>
      <c r="E1253" s="1">
        <v>431</v>
      </c>
      <c r="G1253" s="1" t="s">
        <v>208</v>
      </c>
      <c r="H1253" s="1" t="s">
        <v>530</v>
      </c>
      <c r="J1253" s="1" t="s">
        <v>607</v>
      </c>
      <c r="M1253" s="15" t="s">
        <v>519</v>
      </c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253" s="15" t="str">
        <f>_xlfn.TEXTBEFORE(_xlfn.TEXTAFTER(CantoralDB[[#This Row],[index.html]],"&gt;"),"&gt;")&amp;"&gt;"</f>
        <v>&lt;a href="canciones/nsb/la_cena_del_señor.html"&gt;</v>
      </c>
      <c r="X1253"/>
      <c r="AB1253" s="1"/>
    </row>
    <row r="1254" spans="1:28" x14ac:dyDescent="0.3">
      <c r="A1254" s="1">
        <f>ROW(CantoralDB[[#This Row],[Título]])-1</f>
        <v>1253</v>
      </c>
      <c r="B1254" s="1" t="s">
        <v>129</v>
      </c>
      <c r="C1254" s="1" t="s">
        <v>195</v>
      </c>
      <c r="D1254" s="1" t="s">
        <v>1457</v>
      </c>
      <c r="E1254" s="1">
        <v>455</v>
      </c>
      <c r="F1254" s="1">
        <v>45</v>
      </c>
      <c r="G1254" s="1" t="s">
        <v>208</v>
      </c>
      <c r="H1254" s="1" t="s">
        <v>1027</v>
      </c>
      <c r="J1254" s="1" t="s">
        <v>607</v>
      </c>
      <c r="M1254" s="15" t="s">
        <v>521</v>
      </c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1254" s="15" t="str">
        <f>_xlfn.TEXTBEFORE(_xlfn.TEXTAFTER(CantoralDB[[#This Row],[index.html]],"&gt;"),"&gt;")&amp;"&gt;"</f>
        <v>&lt;a href="canciones/nsb/santo_(cielo_y_tierra_pasaran).html"&gt;</v>
      </c>
      <c r="X1254"/>
      <c r="AB1254" s="1"/>
    </row>
    <row r="1255" spans="1:28" x14ac:dyDescent="0.3">
      <c r="A1255" s="1">
        <f>ROW(CantoralDB[[#This Row],[Título]])-1</f>
        <v>1254</v>
      </c>
      <c r="B1255" s="1" t="s">
        <v>2946</v>
      </c>
      <c r="C1255" s="1"/>
      <c r="E1255" s="1">
        <v>259</v>
      </c>
      <c r="H1255" s="1" t="s">
        <v>1029</v>
      </c>
      <c r="J1255" s="1" t="s">
        <v>607</v>
      </c>
      <c r="M1255" s="15" t="s">
        <v>2901</v>
      </c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255" s="15" t="str">
        <f>_xlfn.TEXTBEFORE(_xlfn.TEXTAFTER(CantoralDB[[#This Row],[index.html]],"&gt;"),"&gt;")&amp;"&gt;"</f>
        <v>&lt;a href="canciones/nsb/tus_manos_son_palomas_de_la_paz.html"&gt;</v>
      </c>
      <c r="X1255"/>
      <c r="AB1255" s="1"/>
    </row>
    <row r="1256" spans="1:28" x14ac:dyDescent="0.3">
      <c r="A1256" s="1">
        <f>ROW(CantoralDB[[#This Row],[Título]])-1</f>
        <v>1255</v>
      </c>
      <c r="B1256" s="1" t="s">
        <v>1259</v>
      </c>
      <c r="C1256" s="1"/>
      <c r="E1256" s="1">
        <v>131</v>
      </c>
      <c r="J1256" s="1"/>
      <c r="M1256" s="15" t="s">
        <v>2871</v>
      </c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256" s="1"/>
      <c r="T1256" s="1"/>
      <c r="U1256" s="32" t="s">
        <v>3096</v>
      </c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256" s="15" t="str">
        <f>_xlfn.TEXTBEFORE(_xlfn.TEXTAFTER(CantoralDB[[#This Row],[index.html]],"&gt;"),"&gt;")&amp;"&gt;"</f>
        <v>&lt;a href="canciones/nsb/habra_un_dia_en_que_todos.html"&gt;</v>
      </c>
      <c r="X1256"/>
      <c r="AB1256" s="1"/>
    </row>
    <row r="1257" spans="1:28" x14ac:dyDescent="0.3">
      <c r="A1257" s="1">
        <f>ROW(CantoralDB[[#This Row],[Título]])-1</f>
        <v>1256</v>
      </c>
      <c r="B1257" s="1" t="s">
        <v>183</v>
      </c>
      <c r="C1257" s="1" t="s">
        <v>992</v>
      </c>
      <c r="D1257" s="1" t="s">
        <v>708</v>
      </c>
      <c r="G1257" s="1" t="s">
        <v>208</v>
      </c>
      <c r="H1257" s="1" t="s">
        <v>1026</v>
      </c>
      <c r="J1257" s="1" t="s">
        <v>607</v>
      </c>
      <c r="M1257" s="15" t="s">
        <v>626</v>
      </c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57" s="15" t="str">
        <f>_xlfn.TEXTBEFORE(_xlfn.TEXTAFTER(CantoralDB[[#This Row],[index.html]],"&gt;"),"&gt;")&amp;"&gt;"</f>
        <v>&lt;a href="canciones/nsb/himno_a_san_jose.html"&gt;</v>
      </c>
      <c r="X1257"/>
      <c r="AB1257" s="1"/>
    </row>
    <row r="1258" spans="1:28" x14ac:dyDescent="0.3">
      <c r="A1258" s="1">
        <f>ROW(CantoralDB[[#This Row],[Título]])-1</f>
        <v>1257</v>
      </c>
      <c r="B1258" s="1" t="s">
        <v>548</v>
      </c>
      <c r="C1258" s="1" t="s">
        <v>475</v>
      </c>
      <c r="D1258" s="1" t="s">
        <v>1061</v>
      </c>
      <c r="H1258" s="1" t="s">
        <v>1026</v>
      </c>
      <c r="J1258" s="1" t="s">
        <v>607</v>
      </c>
      <c r="M1258" s="15" t="s">
        <v>575</v>
      </c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58" s="1"/>
      <c r="T1258" s="1"/>
      <c r="U1258" s="32" t="s">
        <v>3091</v>
      </c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58" s="15" t="str">
        <f>_xlfn.TEXTBEFORE(_xlfn.TEXTAFTER(CantoralDB[[#This Row],[index.html]],"&gt;"),"&gt;")&amp;"&gt;"</f>
        <v>&lt;a href="canciones/nsb/navidad_es_navidad.html"&gt;</v>
      </c>
      <c r="X1258"/>
      <c r="AB1258" s="1"/>
    </row>
    <row r="1259" spans="1:28" x14ac:dyDescent="0.3">
      <c r="A1259" s="1">
        <f>ROW(CantoralDB[[#This Row],[Título]])-1</f>
        <v>1258</v>
      </c>
      <c r="B1259" s="1" t="s">
        <v>549</v>
      </c>
      <c r="C1259" s="1" t="s">
        <v>475</v>
      </c>
      <c r="D1259" s="1" t="s">
        <v>1062</v>
      </c>
      <c r="H1259" s="1" t="s">
        <v>530</v>
      </c>
      <c r="J1259" s="1" t="s">
        <v>607</v>
      </c>
      <c r="M1259" s="15" t="s">
        <v>575</v>
      </c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59" s="1"/>
      <c r="T1259" s="1"/>
      <c r="U1259" s="32" t="s">
        <v>3092</v>
      </c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59" s="15" t="str">
        <f>_xlfn.TEXTBEFORE(_xlfn.TEXTAFTER(CantoralDB[[#This Row],[index.html]],"&gt;"),"&gt;")&amp;"&gt;"</f>
        <v>&lt;a href="canciones/nsb/navidad_navidad.html"&gt;</v>
      </c>
      <c r="X1259"/>
      <c r="AB1259" s="1"/>
    </row>
    <row r="1260" spans="1:28" x14ac:dyDescent="0.3">
      <c r="A1260" s="1">
        <f>ROW(CantoralDB[[#This Row],[Título]])-1</f>
        <v>1259</v>
      </c>
      <c r="B1260" s="1" t="s">
        <v>604</v>
      </c>
      <c r="C1260" s="1" t="s">
        <v>992</v>
      </c>
      <c r="D1260" s="1" t="s">
        <v>727</v>
      </c>
      <c r="G1260" s="1" t="s">
        <v>601</v>
      </c>
      <c r="H1260" s="1" t="s">
        <v>530</v>
      </c>
      <c r="J1260" s="1" t="s">
        <v>607</v>
      </c>
      <c r="M1260" s="15" t="s">
        <v>605</v>
      </c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60" s="1"/>
      <c r="T1260" s="1"/>
      <c r="U1260" s="32" t="s">
        <v>3093</v>
      </c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60" s="15" t="str">
        <f>_xlfn.TEXTBEFORE(_xlfn.TEXTAFTER(CantoralDB[[#This Row],[index.html]],"&gt;"),"&gt;")&amp;"&gt;"</f>
        <v>&lt;a href="canciones/nsb/principio_y_fundamento.html"&gt;</v>
      </c>
      <c r="X1260"/>
      <c r="AB1260" s="1"/>
    </row>
    <row r="1261" spans="1:28" x14ac:dyDescent="0.3">
      <c r="A1261" s="1">
        <f>ROW(CantoralDB[[#This Row],[Título]])-1</f>
        <v>1260</v>
      </c>
      <c r="B1261" s="1" t="s">
        <v>12</v>
      </c>
      <c r="C1261" s="1" t="s">
        <v>190</v>
      </c>
      <c r="D1261" s="1" t="s">
        <v>1368</v>
      </c>
      <c r="E1261" s="1">
        <v>10</v>
      </c>
      <c r="G1261" s="1" t="s">
        <v>208</v>
      </c>
      <c r="H1261" s="1" t="s">
        <v>530</v>
      </c>
      <c r="J1261" s="1" t="s">
        <v>607</v>
      </c>
      <c r="M1261" s="15" t="s">
        <v>2137</v>
      </c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261" s="15" t="str">
        <f>_xlfn.TEXTBEFORE(_xlfn.TEXTAFTER(CantoralDB[[#This Row],[index.html]],"&gt;"),"&gt;")&amp;"&gt;"</f>
        <v>&lt;a href="canciones/nsb/alegremonos_hermanos.html"&gt;</v>
      </c>
      <c r="X1261"/>
      <c r="AB1261" s="1"/>
    </row>
    <row r="1262" spans="1:28" x14ac:dyDescent="0.3">
      <c r="A1262" s="1">
        <f>ROW(CantoralDB[[#This Row],[Título]])-1</f>
        <v>1261</v>
      </c>
      <c r="B1262" s="1" t="s">
        <v>81</v>
      </c>
      <c r="C1262" s="1" t="s">
        <v>992</v>
      </c>
      <c r="D1262" s="1" t="s">
        <v>715</v>
      </c>
      <c r="E1262" s="1">
        <v>144</v>
      </c>
      <c r="G1262" s="1" t="s">
        <v>208</v>
      </c>
      <c r="H1262" s="1" t="s">
        <v>530</v>
      </c>
      <c r="J1262" s="1" t="s">
        <v>607</v>
      </c>
      <c r="M1262" s="15" t="s">
        <v>2137</v>
      </c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262" s="15" t="str">
        <f>_xlfn.TEXTBEFORE(_xlfn.TEXTAFTER(CantoralDB[[#This Row],[index.html]],"&gt;"),"&gt;")&amp;"&gt;"</f>
        <v>&lt;a href="canciones/nsb/jesus_nuestra_pascua.html"&gt;</v>
      </c>
      <c r="X1262"/>
      <c r="AB1262" s="1"/>
    </row>
    <row r="1263" spans="1:28" x14ac:dyDescent="0.3">
      <c r="A1263" s="1">
        <f>ROW(CantoralDB[[#This Row],[Título]])-1</f>
        <v>1262</v>
      </c>
      <c r="B1263" s="1" t="s">
        <v>82</v>
      </c>
      <c r="C1263" s="1" t="s">
        <v>992</v>
      </c>
      <c r="D1263" s="1" t="s">
        <v>717</v>
      </c>
      <c r="E1263" s="1">
        <v>143</v>
      </c>
      <c r="G1263" s="1" t="s">
        <v>208</v>
      </c>
      <c r="H1263" s="1" t="s">
        <v>530</v>
      </c>
      <c r="J1263" s="1" t="s">
        <v>607</v>
      </c>
      <c r="M1263" s="15" t="s">
        <v>2137</v>
      </c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263" s="15" t="str">
        <f>_xlfn.TEXTBEFORE(_xlfn.TEXTAFTER(CantoralDB[[#This Row],[index.html]],"&gt;"),"&gt;")&amp;"&gt;"</f>
        <v>&lt;a href="canciones/nsb/juntos_cantemos_hoy.html"&gt;</v>
      </c>
      <c r="X1263"/>
      <c r="AB1263" s="1"/>
    </row>
    <row r="1264" spans="1:28" x14ac:dyDescent="0.3">
      <c r="A1264" s="1">
        <f>ROW(CantoralDB[[#This Row],[Título]])-1</f>
        <v>1263</v>
      </c>
      <c r="B1264" s="1" t="s">
        <v>1306</v>
      </c>
      <c r="C1264" s="1"/>
      <c r="E1264" s="1">
        <v>216</v>
      </c>
      <c r="J1264" s="1"/>
      <c r="M1264" s="15" t="s">
        <v>2137</v>
      </c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264" s="15" t="str">
        <f>_xlfn.TEXTBEFORE(_xlfn.TEXTAFTER(CantoralDB[[#This Row],[index.html]],"&gt;"),"&gt;")&amp;"&gt;"</f>
        <v>&lt;a href="canciones/nsb/pueblo_que_avanzas_buscando.html"&gt;</v>
      </c>
      <c r="X1264"/>
      <c r="AB1264" s="1"/>
    </row>
    <row r="1265" spans="1:28" x14ac:dyDescent="0.3">
      <c r="A1265" s="1">
        <f>ROW(CantoralDB[[#This Row],[Título]])-1</f>
        <v>1264</v>
      </c>
      <c r="B1265" s="1" t="s">
        <v>561</v>
      </c>
      <c r="C1265" s="1" t="s">
        <v>200</v>
      </c>
      <c r="D1265" s="1" t="s">
        <v>1388</v>
      </c>
      <c r="G1265" s="1" t="s">
        <v>552</v>
      </c>
      <c r="H1265" s="1" t="s">
        <v>1026</v>
      </c>
      <c r="J1265" s="1" t="s">
        <v>607</v>
      </c>
      <c r="M1265" s="15" t="s">
        <v>609</v>
      </c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65" s="1" t="s">
        <v>806</v>
      </c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65" s="15" t="str">
        <f>_xlfn.TEXTBEFORE(_xlfn.TEXTAFTER(CantoralDB[[#This Row],[index.html]],"&gt;"),"&gt;")&amp;"&gt;"</f>
        <v>&lt;a href="canciones/nsb/ayudame_a_caminar.html"&gt;</v>
      </c>
      <c r="X1265"/>
      <c r="AB1265" s="1"/>
    </row>
    <row r="1266" spans="1:28" x14ac:dyDescent="0.3">
      <c r="A1266" s="1">
        <f>ROW(CantoralDB[[#This Row],[Título]])-1</f>
        <v>1265</v>
      </c>
      <c r="B1266" s="1" t="s">
        <v>1271</v>
      </c>
      <c r="C1266" s="1"/>
      <c r="E1266" s="1">
        <v>153</v>
      </c>
      <c r="H1266" s="1" t="s">
        <v>530</v>
      </c>
      <c r="J1266" s="1" t="s">
        <v>607</v>
      </c>
      <c r="M1266" s="15" t="s">
        <v>2947</v>
      </c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266" s="15" t="str">
        <f>_xlfn.TEXTBEFORE(_xlfn.TEXTAFTER(CantoralDB[[#This Row],[index.html]],"&gt;"),"&gt;")&amp;"&gt;"</f>
        <v>&lt;a href="canciones/nsb/la_palabra_nos_la_dio_el_señor.html"&gt;</v>
      </c>
      <c r="X1266"/>
      <c r="AB1266" s="1"/>
    </row>
    <row r="1267" spans="1:28" x14ac:dyDescent="0.3">
      <c r="A1267" s="1">
        <f>ROW(CantoralDB[[#This Row],[Título]])-1</f>
        <v>1266</v>
      </c>
      <c r="B1267" s="1" t="s">
        <v>1159</v>
      </c>
      <c r="C1267" s="1"/>
      <c r="E1267" s="1">
        <v>15</v>
      </c>
      <c r="H1267" s="1" t="s">
        <v>1026</v>
      </c>
      <c r="J1267" s="1" t="s">
        <v>607</v>
      </c>
      <c r="M1267" s="15" t="s">
        <v>2867</v>
      </c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267" s="15" t="str">
        <f>_xlfn.TEXTBEFORE(_xlfn.TEXTAFTER(CantoralDB[[#This Row],[index.html]],"&gt;"),"&gt;")&amp;"&gt;"</f>
        <v>&lt;a href="canciones/nsb/alabad_al_señor_en_su_templo.html"&gt;</v>
      </c>
      <c r="X1267"/>
      <c r="AB1267" s="1"/>
    </row>
    <row r="1268" spans="1:28" x14ac:dyDescent="0.3">
      <c r="A1268" s="1">
        <f>ROW(CantoralDB[[#This Row],[Título]])-1</f>
        <v>1267</v>
      </c>
      <c r="B1268" s="1" t="s">
        <v>3023</v>
      </c>
      <c r="C1268" s="1"/>
      <c r="E1268" s="1">
        <v>119</v>
      </c>
      <c r="H1268" s="1" t="s">
        <v>530</v>
      </c>
      <c r="J1268" s="1" t="s">
        <v>607</v>
      </c>
      <c r="M1268" s="15" t="s">
        <v>2867</v>
      </c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1268" s="1"/>
      <c r="T1268" s="1"/>
      <c r="U1268" s="32" t="s">
        <v>3024</v>
      </c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1268" s="15" t="str">
        <f>_xlfn.TEXTBEFORE(_xlfn.TEXTAFTER(CantoralDB[[#This Row],[index.html]],"&gt;"),"&gt;")&amp;"&gt;"</f>
        <v>&lt;a href="canciones/nsb/el_señor_es_nuestra_alegria_(este_es_el_dia).html"&gt;</v>
      </c>
      <c r="X1268"/>
      <c r="AB1268" s="1"/>
    </row>
    <row r="1269" spans="1:28" x14ac:dyDescent="0.3">
      <c r="A1269" s="1">
        <f>ROW(CantoralDB[[#This Row],[Título]])-1</f>
        <v>1268</v>
      </c>
      <c r="B1269" s="1" t="s">
        <v>600</v>
      </c>
      <c r="C1269" s="1"/>
      <c r="E1269" s="1">
        <v>148</v>
      </c>
      <c r="J1269" s="1" t="s">
        <v>607</v>
      </c>
      <c r="L1269" s="1" t="s">
        <v>2960</v>
      </c>
      <c r="M1269" s="15" t="s">
        <v>2867</v>
      </c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269" s="1"/>
      <c r="T1269" s="1"/>
      <c r="U1269" s="32" t="s">
        <v>2986</v>
      </c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269" s="15" t="str">
        <f>_xlfn.TEXTBEFORE(_xlfn.TEXTAFTER(CantoralDB[[#This Row],[index.html]],"&gt;"),"&gt;")&amp;"&gt;"</f>
        <v>&lt;a href="canciones/nsb/lampara_es_tu_palabra.html"&gt;</v>
      </c>
      <c r="X1269"/>
      <c r="AB1269" s="1"/>
    </row>
    <row r="1270" spans="1:28" x14ac:dyDescent="0.3">
      <c r="A1270" s="1">
        <f>ROW(CantoralDB[[#This Row],[Título]])-1</f>
        <v>1269</v>
      </c>
      <c r="B1270" s="1" t="s">
        <v>1229</v>
      </c>
      <c r="C1270" s="1"/>
      <c r="E1270" s="1">
        <v>190</v>
      </c>
      <c r="J1270" s="1"/>
      <c r="M1270" s="15" t="s">
        <v>2867</v>
      </c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270" s="15" t="str">
        <f>_xlfn.TEXTBEFORE(_xlfn.TEXTAFTER(CantoralDB[[#This Row],[index.html]],"&gt;"),"&gt;")&amp;"&gt;"</f>
        <v>&lt;a href="canciones/nsb/oh_dios_tu_eres_mi_dios.html"&gt;</v>
      </c>
      <c r="X1270"/>
      <c r="AB1270" s="1"/>
    </row>
    <row r="1271" spans="1:28" x14ac:dyDescent="0.3">
      <c r="A1271" s="1">
        <f>ROW(CantoralDB[[#This Row],[Título]])-1</f>
        <v>1270</v>
      </c>
      <c r="B1271" s="1" t="s">
        <v>512</v>
      </c>
      <c r="C1271" s="1" t="s">
        <v>200</v>
      </c>
      <c r="D1271" s="1" t="s">
        <v>666</v>
      </c>
      <c r="G1271" s="1" t="s">
        <v>208</v>
      </c>
      <c r="H1271" s="1" t="s">
        <v>1029</v>
      </c>
      <c r="J1271" s="1" t="s">
        <v>607</v>
      </c>
      <c r="M1271" s="15" t="s">
        <v>2867</v>
      </c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71" s="1" t="s">
        <v>848</v>
      </c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71" s="15" t="str">
        <f>_xlfn.TEXTBEFORE(_xlfn.TEXTAFTER(CantoralDB[[#This Row],[index.html]],"&gt;"),"&gt;")&amp;"&gt;"</f>
        <v>&lt;a href="canciones/nsb/oh_dios_tu_eres_mi_dios_(sed_de_dios).html"&gt;</v>
      </c>
      <c r="X1271"/>
      <c r="AB1271" s="1"/>
    </row>
    <row r="1272" spans="1:28" x14ac:dyDescent="0.3">
      <c r="A1272" s="1">
        <f>ROW(CantoralDB[[#This Row],[Título]])-1</f>
        <v>1271</v>
      </c>
      <c r="B1272" s="1" t="s">
        <v>126</v>
      </c>
      <c r="C1272" s="1" t="s">
        <v>992</v>
      </c>
      <c r="D1272" s="1" t="s">
        <v>1000</v>
      </c>
      <c r="E1272" s="1">
        <v>225</v>
      </c>
      <c r="G1272" s="1" t="s">
        <v>208</v>
      </c>
      <c r="H1272" s="1" t="s">
        <v>1029</v>
      </c>
      <c r="J1272" s="1" t="s">
        <v>607</v>
      </c>
      <c r="M1272" s="15" t="s">
        <v>577</v>
      </c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272" s="15" t="str">
        <f>_xlfn.TEXTBEFORE(_xlfn.TEXTAFTER(CantoralDB[[#This Row],[index.html]],"&gt;"),"&gt;")&amp;"&gt;"</f>
        <v>&lt;a href="canciones/nsb/resucito_aleluya.html"&gt;</v>
      </c>
      <c r="X1272"/>
      <c r="AB1272" s="1"/>
    </row>
    <row r="1273" spans="1:28" x14ac:dyDescent="0.3">
      <c r="A1273" s="1">
        <f>ROW(CantoralDB[[#This Row],[Título]])-1</f>
        <v>1272</v>
      </c>
      <c r="B1273" s="1" t="s">
        <v>167</v>
      </c>
      <c r="C1273" s="1" t="s">
        <v>200</v>
      </c>
      <c r="D1273" s="1" t="s">
        <v>681</v>
      </c>
      <c r="E1273" s="1">
        <v>475</v>
      </c>
      <c r="F1273" s="1">
        <v>287</v>
      </c>
      <c r="G1273" s="1" t="s">
        <v>208</v>
      </c>
      <c r="H1273" s="1" t="s">
        <v>1029</v>
      </c>
      <c r="J1273" s="1" t="s">
        <v>607</v>
      </c>
      <c r="M1273" s="15" t="s">
        <v>587</v>
      </c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273" s="15" t="str">
        <f>_xlfn.TEXTBEFORE(_xlfn.TEXTAFTER(CantoralDB[[#This Row],[index.html]],"&gt;"),"&gt;")&amp;"&gt;"</f>
        <v>&lt;a href="canciones/nsb/yo_celebrare.html"&gt;</v>
      </c>
      <c r="X1273"/>
      <c r="AB1273" s="1"/>
    </row>
    <row r="1274" spans="1:28" x14ac:dyDescent="0.3">
      <c r="A1274" s="1">
        <f>ROW(CantoralDB[[#This Row],[Título]])-1</f>
        <v>1273</v>
      </c>
      <c r="B1274" s="1" t="s">
        <v>29</v>
      </c>
      <c r="C1274" s="1" t="s">
        <v>193</v>
      </c>
      <c r="D1274" s="1" t="s">
        <v>989</v>
      </c>
      <c r="E1274" s="1">
        <v>413</v>
      </c>
      <c r="F1274" s="1">
        <v>152</v>
      </c>
      <c r="G1274" s="1" t="s">
        <v>208</v>
      </c>
      <c r="H1274" s="1" t="s">
        <v>530</v>
      </c>
      <c r="I1274" s="1" t="s">
        <v>2953</v>
      </c>
      <c r="J1274" s="1" t="s">
        <v>607</v>
      </c>
      <c r="M1274" s="15" t="s">
        <v>585</v>
      </c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274" s="15" t="str">
        <f>_xlfn.TEXTBEFORE(_xlfn.TEXTAFTER(CantoralDB[[#This Row],[index.html]],"&gt;"),"&gt;")&amp;"&gt;"</f>
        <v>&lt;a href="canciones/nsb/canta_aleluya.html"&gt;</v>
      </c>
      <c r="X1274"/>
      <c r="AB1274" s="1"/>
    </row>
    <row r="1275" spans="1:28" x14ac:dyDescent="0.3">
      <c r="A1275" s="1">
        <f>ROW(CantoralDB[[#This Row],[Título]])-1</f>
        <v>1274</v>
      </c>
      <c r="B1275" s="1" t="s">
        <v>1254</v>
      </c>
      <c r="C1275" s="1"/>
      <c r="E1275" s="1">
        <v>123</v>
      </c>
      <c r="H1275" s="1" t="s">
        <v>1029</v>
      </c>
      <c r="J1275" s="1" t="s">
        <v>607</v>
      </c>
      <c r="M1275" s="15" t="s">
        <v>2870</v>
      </c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275" s="1"/>
      <c r="T1275" s="1"/>
      <c r="U1275" s="32" t="s">
        <v>2984</v>
      </c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275" s="15" t="str">
        <f>_xlfn.TEXTBEFORE(_xlfn.TEXTAFTER(CantoralDB[[#This Row],[index.html]],"&gt;"),"&gt;")&amp;"&gt;"</f>
        <v>&lt;a href="canciones/nsb/fe_no_es_aguardar.html"&gt;</v>
      </c>
      <c r="X1275"/>
      <c r="AB1275" s="1"/>
    </row>
    <row r="1276" spans="1:28" x14ac:dyDescent="0.3">
      <c r="A1276" s="1">
        <f>ROW(CantoralDB[[#This Row],[Título]])-1</f>
        <v>1275</v>
      </c>
      <c r="B1276" s="1" t="s">
        <v>1154</v>
      </c>
      <c r="C1276" s="1"/>
      <c r="E1276" s="1">
        <v>3</v>
      </c>
      <c r="H1276" s="1" t="s">
        <v>1026</v>
      </c>
      <c r="J1276" s="1" t="s">
        <v>607</v>
      </c>
      <c r="M1276" s="15" t="s">
        <v>2136</v>
      </c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276" s="1"/>
      <c r="T1276" s="1"/>
      <c r="U1276" s="32" t="s">
        <v>3041</v>
      </c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276" s="15" t="str">
        <f>_xlfn.TEXTBEFORE(_xlfn.TEXTAFTER(CantoralDB[[#This Row],[index.html]],"&gt;"),"&gt;")&amp;"&gt;"</f>
        <v>&lt;a href="canciones/nsb/acuerdate_de_jesucristo.html"&gt;</v>
      </c>
      <c r="X1276"/>
      <c r="AB1276" s="1"/>
    </row>
    <row r="1277" spans="1:28" x14ac:dyDescent="0.3">
      <c r="A1277" s="1">
        <f>ROW(CantoralDB[[#This Row],[Título]])-1</f>
        <v>1276</v>
      </c>
      <c r="B1277" s="1" t="s">
        <v>1163</v>
      </c>
      <c r="C1277" s="1" t="s">
        <v>198</v>
      </c>
      <c r="D1277" s="1" t="s">
        <v>1384</v>
      </c>
      <c r="E1277" s="1">
        <v>22</v>
      </c>
      <c r="G1277" s="1" t="s">
        <v>208</v>
      </c>
      <c r="H1277" s="1" t="s">
        <v>1027</v>
      </c>
      <c r="J1277" s="1" t="s">
        <v>607</v>
      </c>
      <c r="M1277" s="15" t="s">
        <v>2136</v>
      </c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277" s="1" t="s">
        <v>805</v>
      </c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277" s="15" t="str">
        <f>_xlfn.TEXTBEFORE(_xlfn.TEXTAFTER(CantoralDB[[#This Row],[index.html]],"&gt;"),"&gt;")&amp;"&gt;"</f>
        <v>&lt;a href="canciones/nsb/anunciaremos_tu_reino_señor.html"&gt;</v>
      </c>
      <c r="X1277"/>
      <c r="AB1277" s="1"/>
    </row>
    <row r="1278" spans="1:28" x14ac:dyDescent="0.3">
      <c r="A1278" s="1">
        <f>ROW(CantoralDB[[#This Row],[Título]])-1</f>
        <v>1277</v>
      </c>
      <c r="B1278" s="1" t="s">
        <v>1296</v>
      </c>
      <c r="C1278" s="1"/>
      <c r="E1278" s="1">
        <v>194</v>
      </c>
      <c r="H1278" s="1" t="s">
        <v>530</v>
      </c>
      <c r="J1278" s="1" t="s">
        <v>607</v>
      </c>
      <c r="M1278" s="15" t="s">
        <v>2136</v>
      </c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278" s="1"/>
      <c r="T1278" s="1"/>
      <c r="U1278" s="32" t="s">
        <v>2989</v>
      </c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278" s="15" t="str">
        <f>_xlfn.TEXTBEFORE(_xlfn.TEXTAFTER(CantoralDB[[#This Row],[index.html]],"&gt;"),"&gt;")&amp;"&gt;"</f>
        <v>&lt;a href="canciones/nsb/oh_señor_envia_tu_espiritu.html"&gt;</v>
      </c>
      <c r="X1278"/>
      <c r="AB1278" s="1"/>
    </row>
    <row r="1279" spans="1:28" x14ac:dyDescent="0.3">
      <c r="A1279" s="1">
        <f>ROW(CantoralDB[[#This Row],[Título]])-1</f>
        <v>1278</v>
      </c>
      <c r="B1279" s="1" t="s">
        <v>1336</v>
      </c>
      <c r="C1279" s="1"/>
      <c r="E1279" s="1">
        <v>268</v>
      </c>
      <c r="H1279" s="1" t="s">
        <v>1029</v>
      </c>
      <c r="J1279" s="1" t="s">
        <v>607</v>
      </c>
      <c r="M1279" s="15" t="s">
        <v>2136</v>
      </c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279" s="1"/>
      <c r="T1279" s="1"/>
      <c r="U1279" s="32" t="s">
        <v>2990</v>
      </c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279" s="15" t="str">
        <f>_xlfn.TEXTBEFORE(_xlfn.TEXTAFTER(CantoralDB[[#This Row],[index.html]],"&gt;"),"&gt;")&amp;"&gt;"</f>
        <v>&lt;a href="canciones/nsb/un_solo_señor.html"&gt;</v>
      </c>
      <c r="X1279"/>
      <c r="AB1279" s="1"/>
    </row>
    <row r="1280" spans="1:28" x14ac:dyDescent="0.3">
      <c r="A1280" s="1">
        <f>ROW(CantoralDB[[#This Row],[Título]])-1</f>
        <v>1279</v>
      </c>
      <c r="B1280" s="1" t="s">
        <v>136</v>
      </c>
      <c r="C1280" s="1" t="s">
        <v>200</v>
      </c>
      <c r="D1280" s="1" t="s">
        <v>671</v>
      </c>
      <c r="E1280" s="1">
        <v>461</v>
      </c>
      <c r="G1280" s="1" t="s">
        <v>208</v>
      </c>
      <c r="H1280" s="1" t="s">
        <v>530</v>
      </c>
      <c r="I1280" s="1" t="s">
        <v>2953</v>
      </c>
      <c r="J1280" s="1" t="s">
        <v>607</v>
      </c>
      <c r="M1280" s="15" t="s">
        <v>507</v>
      </c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280" s="1" t="s">
        <v>814</v>
      </c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280" s="15" t="str">
        <f>_xlfn.TEXTBEFORE(_xlfn.TEXTAFTER(CantoralDB[[#This Row],[index.html]],"&gt;"),"&gt;")&amp;"&gt;"</f>
        <v>&lt;a href="canciones/nsb/sois_la_sal.html"&gt;</v>
      </c>
      <c r="X1280"/>
      <c r="AB1280" s="1"/>
    </row>
    <row r="1281" spans="1:28" x14ac:dyDescent="0.3">
      <c r="A1281" s="1">
        <f>ROW(CantoralDB[[#This Row],[Título]])-1</f>
        <v>1280</v>
      </c>
      <c r="B1281" s="1" t="s">
        <v>22</v>
      </c>
      <c r="C1281" s="1" t="s">
        <v>992</v>
      </c>
      <c r="D1281" s="1" t="s">
        <v>1039</v>
      </c>
      <c r="E1281" s="1">
        <v>408</v>
      </c>
      <c r="G1281" s="1" t="s">
        <v>208</v>
      </c>
      <c r="H1281" s="1" t="s">
        <v>530</v>
      </c>
      <c r="I1281" s="1" t="s">
        <v>2954</v>
      </c>
      <c r="J1281" s="1" t="s">
        <v>607</v>
      </c>
      <c r="M1281" s="15" t="s">
        <v>541</v>
      </c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281" s="1" t="s">
        <v>803</v>
      </c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281" s="15" t="str">
        <f>_xlfn.TEXTBEFORE(_xlfn.TEXTAFTER(CantoralDB[[#This Row],[index.html]],"&gt;"),"&gt;")&amp;"&gt;"</f>
        <v>&lt;a href="canciones/nsb/amando_hasta_el_extremo.html"&gt;</v>
      </c>
      <c r="X1281"/>
      <c r="AB1281" s="1"/>
    </row>
    <row r="1282" spans="1:28" x14ac:dyDescent="0.3">
      <c r="A1282" s="1">
        <f>ROW(CantoralDB[[#This Row],[Título]])-1</f>
        <v>1281</v>
      </c>
      <c r="B1282" s="1" t="s">
        <v>124</v>
      </c>
      <c r="C1282" s="1" t="s">
        <v>190</v>
      </c>
      <c r="D1282" s="1" t="s">
        <v>749</v>
      </c>
      <c r="E1282" s="1">
        <v>451</v>
      </c>
      <c r="F1282" s="1">
        <v>299</v>
      </c>
      <c r="G1282" s="1" t="s">
        <v>208</v>
      </c>
      <c r="H1282" s="1" t="s">
        <v>1026</v>
      </c>
      <c r="J1282" s="1" t="s">
        <v>607</v>
      </c>
      <c r="M1282" s="15" t="s">
        <v>489</v>
      </c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282" s="15" t="str">
        <f>_xlfn.TEXTBEFORE(_xlfn.TEXTAFTER(CantoralDB[[#This Row],[index.html]],"&gt;"),"&gt;")&amp;"&gt;"</f>
        <v>&lt;a href="canciones/nsb/quiero_alabarte.html"&gt;</v>
      </c>
      <c r="X1282"/>
      <c r="AB1282" s="1"/>
    </row>
    <row r="1283" spans="1:28" x14ac:dyDescent="0.3">
      <c r="A1283" s="1">
        <f>ROW(CantoralDB[[#This Row],[Título]])-1</f>
        <v>1282</v>
      </c>
      <c r="B1283" s="1" t="s">
        <v>255</v>
      </c>
      <c r="C1283" s="1" t="s">
        <v>992</v>
      </c>
      <c r="D1283" s="1" t="s">
        <v>714</v>
      </c>
      <c r="G1283" s="1" t="s">
        <v>253</v>
      </c>
      <c r="H1283" s="1" t="s">
        <v>530</v>
      </c>
      <c r="I1283" s="1" t="s">
        <v>2953</v>
      </c>
      <c r="J1283" s="1" t="s">
        <v>607</v>
      </c>
      <c r="M1283" s="15" t="s">
        <v>632</v>
      </c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283" s="15" t="str">
        <f>_xlfn.TEXTBEFORE(_xlfn.TEXTAFTER(CantoralDB[[#This Row],[index.html]],"&gt;"),"&gt;")&amp;"&gt;"</f>
        <v>&lt;a href="canciones/nsb/jesus_amigo.html"&gt;</v>
      </c>
      <c r="X1283"/>
      <c r="AB1283" s="1"/>
    </row>
    <row r="1284" spans="1:28" x14ac:dyDescent="0.3">
      <c r="A1284" s="1">
        <f>ROW(CantoralDB[[#This Row],[Título]])-1</f>
        <v>1283</v>
      </c>
      <c r="B1284" s="1" t="s">
        <v>556</v>
      </c>
      <c r="C1284" s="1" t="s">
        <v>200</v>
      </c>
      <c r="D1284" s="1" t="s">
        <v>672</v>
      </c>
      <c r="G1284" s="1" t="s">
        <v>552</v>
      </c>
      <c r="H1284" s="1" t="s">
        <v>530</v>
      </c>
      <c r="J1284" s="1" t="s">
        <v>607</v>
      </c>
      <c r="M1284" s="15" t="s">
        <v>612</v>
      </c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284" s="1" t="s">
        <v>860</v>
      </c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284" s="15" t="str">
        <f>_xlfn.TEXTBEFORE(_xlfn.TEXTAFTER(CantoralDB[[#This Row],[index.html]],"&gt;"),"&gt;")&amp;"&gt;"</f>
        <v>&lt;a href="canciones/nsb/te_amo_señor.html"&gt;</v>
      </c>
      <c r="X1284"/>
      <c r="AB1284" s="1"/>
    </row>
    <row r="1285" spans="1:28" x14ac:dyDescent="0.3">
      <c r="A1285" s="1">
        <f>ROW(CantoralDB[[#This Row],[Título]])-1</f>
        <v>1284</v>
      </c>
      <c r="B1285" s="1" t="s">
        <v>229</v>
      </c>
      <c r="C1285" s="1" t="s">
        <v>992</v>
      </c>
      <c r="D1285" s="1" t="s">
        <v>998</v>
      </c>
      <c r="H1285" s="1" t="s">
        <v>1026</v>
      </c>
      <c r="J1285" s="1" t="s">
        <v>607</v>
      </c>
      <c r="M1285" s="15" t="s">
        <v>506</v>
      </c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285" s="15" t="str">
        <f>_xlfn.TEXTBEFORE(_xlfn.TEXTAFTER(CantoralDB[[#This Row],[index.html]],"&gt;"),"&gt;")&amp;"&gt;"</f>
        <v>&lt;a href="canciones/nsb/quien_nos_separara.html"&gt;</v>
      </c>
      <c r="X1285"/>
      <c r="AB1285" s="1"/>
    </row>
    <row r="1286" spans="1:28" x14ac:dyDescent="0.3">
      <c r="A1286" s="1">
        <f>ROW(CantoralDB[[#This Row],[Título]])-1</f>
        <v>1285</v>
      </c>
      <c r="B1286" s="1" t="s">
        <v>1219</v>
      </c>
      <c r="C1286" s="1"/>
      <c r="E1286" s="1">
        <v>300</v>
      </c>
      <c r="H1286" s="1" t="s">
        <v>1027</v>
      </c>
      <c r="J1286" s="1" t="s">
        <v>607</v>
      </c>
      <c r="M1286" s="15" t="s">
        <v>2907</v>
      </c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286" s="15" t="str">
        <f>_xlfn.TEXTBEFORE(_xlfn.TEXTAFTER(CantoralDB[[#This Row],[index.html]],"&gt;"),"&gt;")&amp;"&gt;"</f>
        <v>&lt;a href="canciones/nsb/adios_adios_amigos.html"&gt;</v>
      </c>
      <c r="X1286"/>
      <c r="AB1286" s="1"/>
    </row>
    <row r="1287" spans="1:28" x14ac:dyDescent="0.3">
      <c r="A1287" s="1">
        <f>ROW(CantoralDB[[#This Row],[Título]])-1</f>
        <v>1286</v>
      </c>
      <c r="B1287" s="1" t="s">
        <v>96</v>
      </c>
      <c r="C1287" s="1" t="s">
        <v>992</v>
      </c>
      <c r="D1287" s="1" t="s">
        <v>720</v>
      </c>
      <c r="E1287" s="1">
        <v>439</v>
      </c>
      <c r="F1287" s="1">
        <v>328</v>
      </c>
      <c r="G1287" s="1" t="s">
        <v>208</v>
      </c>
      <c r="H1287" s="1" t="s">
        <v>530</v>
      </c>
      <c r="J1287" s="1" t="s">
        <v>607</v>
      </c>
      <c r="M1287" s="15" t="s">
        <v>574</v>
      </c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287" s="1" t="s">
        <v>845</v>
      </c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287" s="15" t="str">
        <f>_xlfn.TEXTBEFORE(_xlfn.TEXTAFTER(CantoralDB[[#This Row],[index.html]],"&gt;"),"&gt;")&amp;"&gt;"</f>
        <v>&lt;a href="canciones/nsb/nadie_te_ama_como_yo.html"&gt;</v>
      </c>
      <c r="X1287"/>
      <c r="AB1287" s="1"/>
    </row>
    <row r="1288" spans="1:28" x14ac:dyDescent="0.3">
      <c r="A1288" s="1">
        <f>ROW(CantoralDB[[#This Row],[Título]])-1</f>
        <v>1287</v>
      </c>
      <c r="B1288" s="1" t="s">
        <v>1179</v>
      </c>
      <c r="C1288" s="1"/>
      <c r="E1288" s="1">
        <v>49</v>
      </c>
      <c r="J1288" s="1"/>
      <c r="M1288" s="15" t="s">
        <v>2878</v>
      </c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288" s="15" t="str">
        <f>_xlfn.TEXTBEFORE(_xlfn.TEXTAFTER(CantoralDB[[#This Row],[index.html]],"&gt;"),"&gt;")&amp;"&gt;"</f>
        <v>&lt;a href="canciones/nsb/cristiano_es_vivir.html"&gt;</v>
      </c>
      <c r="X1288"/>
      <c r="AB1288" s="1"/>
    </row>
    <row r="1289" spans="1:28" x14ac:dyDescent="0.3">
      <c r="A1289" s="1">
        <f>ROW(CantoralDB[[#This Row],[Título]])-1</f>
        <v>1288</v>
      </c>
      <c r="B1289" s="1" t="s">
        <v>1202</v>
      </c>
      <c r="C1289" s="1"/>
      <c r="E1289" s="1">
        <v>80</v>
      </c>
      <c r="J1289" s="1"/>
      <c r="M1289" s="15" t="s">
        <v>2878</v>
      </c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289" s="15" t="str">
        <f>_xlfn.TEXTBEFORE(_xlfn.TEXTAFTER(CantoralDB[[#This Row],[index.html]],"&gt;"),"&gt;")&amp;"&gt;"</f>
        <v>&lt;a href="canciones/nsb/depende_de_ti_y_de_mi.html"&gt;</v>
      </c>
      <c r="X1289"/>
      <c r="AB1289" s="1"/>
    </row>
    <row r="1290" spans="1:28" x14ac:dyDescent="0.3">
      <c r="A1290" s="1">
        <f>ROW(CantoralDB[[#This Row],[Título]])-1</f>
        <v>1289</v>
      </c>
      <c r="B1290" s="1" t="s">
        <v>1307</v>
      </c>
      <c r="C1290" s="1"/>
      <c r="E1290" s="1">
        <v>218</v>
      </c>
      <c r="J1290" s="1"/>
      <c r="M1290" s="15" t="s">
        <v>2878</v>
      </c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290" s="15" t="str">
        <f>_xlfn.TEXTBEFORE(_xlfn.TEXTAFTER(CantoralDB[[#This Row],[index.html]],"&gt;"),"&gt;")&amp;"&gt;"</f>
        <v>&lt;a href="canciones/nsb/quien_mas_amigo_que_tu.html"&gt;</v>
      </c>
      <c r="X1290"/>
      <c r="AB1290" s="1"/>
    </row>
    <row r="1291" spans="1:28" x14ac:dyDescent="0.3">
      <c r="A1291" s="1">
        <f>ROW(CantoralDB[[#This Row],[Título]])-1</f>
        <v>1290</v>
      </c>
      <c r="B1291" s="1" t="s">
        <v>72</v>
      </c>
      <c r="C1291" s="1" t="s">
        <v>199</v>
      </c>
      <c r="D1291" s="1" t="s">
        <v>1427</v>
      </c>
      <c r="E1291" s="1">
        <v>428</v>
      </c>
      <c r="G1291" s="1" t="s">
        <v>208</v>
      </c>
      <c r="H1291" s="1" t="s">
        <v>530</v>
      </c>
      <c r="I1291" s="1" t="s">
        <v>2953</v>
      </c>
      <c r="J1291" s="1" t="s">
        <v>607</v>
      </c>
      <c r="M1291" s="15" t="s">
        <v>257</v>
      </c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291" s="1" t="s">
        <v>835</v>
      </c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291" s="15" t="str">
        <f>_xlfn.TEXTBEFORE(_xlfn.TEXTAFTER(CantoralDB[[#This Row],[index.html]],"&gt;"),"&gt;")&amp;"&gt;"</f>
        <v>&lt;a href="canciones/nsb/hagase.html"&gt;</v>
      </c>
      <c r="X1291"/>
      <c r="AB1291" s="1"/>
    </row>
    <row r="1292" spans="1:28" x14ac:dyDescent="0.3">
      <c r="A1292" s="1">
        <f>ROW(CantoralDB[[#This Row],[Título]])-1</f>
        <v>1291</v>
      </c>
      <c r="B1292" s="1" t="s">
        <v>533</v>
      </c>
      <c r="C1292" s="1" t="s">
        <v>199</v>
      </c>
      <c r="D1292" s="1" t="s">
        <v>1043</v>
      </c>
      <c r="G1292" s="1" t="s">
        <v>257</v>
      </c>
      <c r="H1292" s="1" t="s">
        <v>530</v>
      </c>
      <c r="I1292" s="1" t="s">
        <v>2951</v>
      </c>
      <c r="J1292" s="1" t="s">
        <v>607</v>
      </c>
      <c r="M1292" s="15" t="s">
        <v>257</v>
      </c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292" s="15" t="str">
        <f>_xlfn.TEXTBEFORE(_xlfn.TEXTAFTER(CantoralDB[[#This Row],[index.html]],"&gt;"),"&gt;")&amp;"&gt;"</f>
        <v>&lt;a href="canciones/nsb/maria_de_nazaret.html"&gt;</v>
      </c>
      <c r="X1292"/>
      <c r="AB1292" s="1"/>
    </row>
    <row r="1293" spans="1:28" x14ac:dyDescent="0.3">
      <c r="A1293" s="1">
        <f>ROW(CantoralDB[[#This Row],[Título]])-1</f>
        <v>1292</v>
      </c>
      <c r="B1293" s="1" t="s">
        <v>99</v>
      </c>
      <c r="C1293" s="1" t="s">
        <v>197</v>
      </c>
      <c r="D1293" s="1" t="s">
        <v>1441</v>
      </c>
      <c r="E1293" s="1">
        <v>442</v>
      </c>
      <c r="G1293" s="1" t="s">
        <v>208</v>
      </c>
      <c r="H1293" s="1" t="s">
        <v>1028</v>
      </c>
      <c r="J1293" s="1" t="s">
        <v>607</v>
      </c>
      <c r="M1293" s="15" t="s">
        <v>257</v>
      </c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293" s="15" t="str">
        <f>_xlfn.TEXTBEFORE(_xlfn.TEXTAFTER(CantoralDB[[#This Row],[index.html]],"&gt;"),"&gt;")&amp;"&gt;"</f>
        <v>&lt;a href="canciones/nsb/no_se_canso_de_hacer_el_bien.html"&gt;</v>
      </c>
      <c r="X1293"/>
      <c r="AB1293" s="1"/>
    </row>
    <row r="1294" spans="1:28" x14ac:dyDescent="0.3">
      <c r="A1294" s="1">
        <f>ROW(CantoralDB[[#This Row],[Título]])-1</f>
        <v>1293</v>
      </c>
      <c r="B1294" s="1" t="s">
        <v>256</v>
      </c>
      <c r="C1294" s="1" t="s">
        <v>200</v>
      </c>
      <c r="D1294" s="1" t="s">
        <v>680</v>
      </c>
      <c r="G1294" s="1" t="s">
        <v>257</v>
      </c>
      <c r="H1294" s="1" t="s">
        <v>1026</v>
      </c>
      <c r="J1294" s="1" t="s">
        <v>607</v>
      </c>
      <c r="M1294" s="15" t="s">
        <v>257</v>
      </c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294" s="15" t="str">
        <f>_xlfn.TEXTBEFORE(_xlfn.TEXTAFTER(CantoralDB[[#This Row],[index.html]],"&gt;"),"&gt;")&amp;"&gt;"</f>
        <v>&lt;a href="canciones/nsb/yendo_contigo.html"&gt;</v>
      </c>
      <c r="X1294"/>
      <c r="AB1294" s="1"/>
    </row>
    <row r="1295" spans="1:28" x14ac:dyDescent="0.3">
      <c r="A1295" s="1">
        <f>ROW(CantoralDB[[#This Row],[Título]])-1</f>
        <v>1294</v>
      </c>
      <c r="B1295" s="1" t="s">
        <v>1188</v>
      </c>
      <c r="C1295" s="1"/>
      <c r="E1295" s="1">
        <v>61</v>
      </c>
      <c r="H1295" s="1" t="s">
        <v>530</v>
      </c>
      <c r="J1295" s="1" t="s">
        <v>607</v>
      </c>
      <c r="M1295" s="15" t="s">
        <v>2080</v>
      </c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295" s="15" t="str">
        <f>_xlfn.TEXTBEFORE(_xlfn.TEXTAFTER(CantoralDB[[#This Row],[index.html]],"&gt;"),"&gt;")&amp;"&gt;"</f>
        <v>&lt;a href="canciones/nsb/creo_señor_firmemente.html"&gt;</v>
      </c>
      <c r="X1295"/>
      <c r="AB1295" s="1"/>
    </row>
    <row r="1296" spans="1:28" x14ac:dyDescent="0.3">
      <c r="A1296" s="1">
        <f>ROW(CantoralDB[[#This Row],[Título]])-1</f>
        <v>1295</v>
      </c>
      <c r="B1296" s="1" t="s">
        <v>1285</v>
      </c>
      <c r="C1296" s="1"/>
      <c r="E1296" s="1">
        <v>176</v>
      </c>
      <c r="H1296" s="1" t="s">
        <v>472</v>
      </c>
      <c r="J1296" s="1" t="s">
        <v>607</v>
      </c>
      <c r="M1296" s="15" t="s">
        <v>2080</v>
      </c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296" s="15" t="str">
        <f>_xlfn.TEXTBEFORE(_xlfn.TEXTAFTER(CantoralDB[[#This Row],[index.html]],"&gt;"),"&gt;")&amp;"&gt;"</f>
        <v>&lt;a href="canciones/nsb/no_hay_cosa_mas_bonita_que_mirar.html"&gt;</v>
      </c>
      <c r="X1296"/>
      <c r="AB1296" s="1"/>
    </row>
    <row r="1297" spans="1:28" x14ac:dyDescent="0.3">
      <c r="A1297" s="1">
        <f>ROW(CantoralDB[[#This Row],[Título]])-1</f>
        <v>1296</v>
      </c>
      <c r="B1297" s="1" t="s">
        <v>1340</v>
      </c>
      <c r="C1297" s="1"/>
      <c r="E1297" s="1">
        <v>279</v>
      </c>
      <c r="J1297" s="1"/>
      <c r="M1297" s="15" t="s">
        <v>2080</v>
      </c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297" s="15" t="str">
        <f>_xlfn.TEXTBEFORE(_xlfn.TEXTAFTER(CantoralDB[[#This Row],[index.html]],"&gt;"),"&gt;")&amp;"&gt;"</f>
        <v>&lt;a href="canciones/nsb/vamos_a_la_cena.html"&gt;</v>
      </c>
      <c r="X1297"/>
      <c r="AB1297" s="1"/>
    </row>
    <row r="1298" spans="1:28" x14ac:dyDescent="0.3">
      <c r="A1298" s="1">
        <f>ROW(CantoralDB[[#This Row],[Título]])-1</f>
        <v>1297</v>
      </c>
      <c r="B1298" s="1" t="s">
        <v>526</v>
      </c>
      <c r="C1298" s="1" t="s">
        <v>195</v>
      </c>
      <c r="D1298" s="1" t="s">
        <v>776</v>
      </c>
      <c r="E1298" s="1">
        <v>231</v>
      </c>
      <c r="G1298" s="1" t="s">
        <v>208</v>
      </c>
      <c r="H1298" s="1" t="s">
        <v>1026</v>
      </c>
      <c r="I1298" s="1" t="s">
        <v>2953</v>
      </c>
      <c r="J1298" s="1" t="s">
        <v>607</v>
      </c>
      <c r="M1298" s="15" t="s">
        <v>517</v>
      </c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298" s="15" t="str">
        <f>_xlfn.TEXTBEFORE(_xlfn.TEXTAFTER(CantoralDB[[#This Row],[index.html]],"&gt;"),"&gt;")&amp;"&gt;"</f>
        <v>&lt;a href="canciones/nsb/santo_salvadoreño.html"&gt;</v>
      </c>
      <c r="X1298"/>
      <c r="AB1298" s="1"/>
    </row>
    <row r="1299" spans="1:28" x14ac:dyDescent="0.3">
      <c r="A1299" s="1">
        <f>ROW(CantoralDB[[#This Row],[Título]])-1</f>
        <v>1298</v>
      </c>
      <c r="B1299" s="1" t="s">
        <v>158</v>
      </c>
      <c r="C1299" s="1" t="s">
        <v>190</v>
      </c>
      <c r="D1299" s="1" t="s">
        <v>757</v>
      </c>
      <c r="E1299" s="1">
        <v>285</v>
      </c>
      <c r="G1299" s="1" t="s">
        <v>208</v>
      </c>
      <c r="H1299" s="1" t="s">
        <v>1029</v>
      </c>
      <c r="J1299" s="1" t="s">
        <v>607</v>
      </c>
      <c r="M1299" s="15" t="s">
        <v>517</v>
      </c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299" s="15" t="str">
        <f>_xlfn.TEXTBEFORE(_xlfn.TEXTAFTER(CantoralDB[[#This Row],[index.html]],"&gt;"),"&gt;")&amp;"&gt;"</f>
        <v>&lt;a href="canciones/nsb/vamos_todos_al_banquete.html"&gt;</v>
      </c>
      <c r="X1299"/>
      <c r="AB1299" s="1"/>
    </row>
    <row r="1300" spans="1:28" x14ac:dyDescent="0.3">
      <c r="A1300" s="1">
        <f>ROW(CantoralDB[[#This Row],[Título]])-1</f>
        <v>1299</v>
      </c>
      <c r="B1300" s="1" t="s">
        <v>621</v>
      </c>
      <c r="C1300" s="1" t="s">
        <v>201</v>
      </c>
      <c r="D1300" s="1" t="s">
        <v>1405</v>
      </c>
      <c r="G1300" s="1" t="s">
        <v>552</v>
      </c>
      <c r="H1300" s="1" t="s">
        <v>530</v>
      </c>
      <c r="J1300" s="1" t="s">
        <v>607</v>
      </c>
      <c r="M1300" s="15" t="s">
        <v>622</v>
      </c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300" s="15" t="str">
        <f>_xlfn.TEXTBEFORE(_xlfn.TEXTAFTER(CantoralDB[[#This Row],[index.html]],"&gt;"),"&gt;")&amp;"&gt;"</f>
        <v>&lt;a href="canciones/nsb/cordero_de_dios_(mies).html"&gt;</v>
      </c>
      <c r="X1300"/>
      <c r="AB1300" s="1"/>
    </row>
    <row r="1301" spans="1:28" x14ac:dyDescent="0.3">
      <c r="A1301" s="1">
        <f>ROW(CantoralDB[[#This Row],[Título]])-1</f>
        <v>1300</v>
      </c>
      <c r="B1301" s="1" t="s">
        <v>231</v>
      </c>
      <c r="C1301" s="1" t="s">
        <v>195</v>
      </c>
      <c r="D1301" s="1" t="s">
        <v>1465</v>
      </c>
      <c r="G1301" s="1" t="s">
        <v>215</v>
      </c>
      <c r="H1301" s="1" t="s">
        <v>530</v>
      </c>
      <c r="J1301" s="1" t="s">
        <v>607</v>
      </c>
      <c r="M1301" s="15" t="s">
        <v>523</v>
      </c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301" s="15" t="str">
        <f>_xlfn.TEXTBEFORE(_xlfn.TEXTAFTER(CantoralDB[[#This Row],[index.html]],"&gt;"),"&gt;")&amp;"&gt;"</f>
        <v>&lt;a href="canciones/nsb/santo_(mocedades).html"&gt;</v>
      </c>
      <c r="X1301"/>
      <c r="AB1301" s="1"/>
    </row>
    <row r="1302" spans="1:28" x14ac:dyDescent="0.3">
      <c r="A1302" s="1">
        <f>ROW(CantoralDB[[#This Row],[Título]])-1</f>
        <v>1301</v>
      </c>
      <c r="B1302" s="1" t="s">
        <v>14</v>
      </c>
      <c r="C1302" s="1" t="s">
        <v>193</v>
      </c>
      <c r="D1302" s="1" t="s">
        <v>1372</v>
      </c>
      <c r="E1302" s="1">
        <v>403</v>
      </c>
      <c r="G1302" s="1" t="s">
        <v>208</v>
      </c>
      <c r="H1302" s="1" t="s">
        <v>1028</v>
      </c>
      <c r="J1302" s="1" t="s">
        <v>607</v>
      </c>
      <c r="M1302" s="15" t="s">
        <v>510</v>
      </c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302" s="15" t="str">
        <f>_xlfn.TEXTBEFORE(_xlfn.TEXTAFTER(CantoralDB[[#This Row],[index.html]],"&gt;"),"&gt;")&amp;"&gt;"</f>
        <v>&lt;a href="canciones/nsb/aleluya_(santiago).html"&gt;</v>
      </c>
      <c r="X1302"/>
      <c r="AB1302" s="1"/>
    </row>
    <row r="1303" spans="1:28" x14ac:dyDescent="0.3">
      <c r="A1303" s="1">
        <f>ROW(CantoralDB[[#This Row],[Título]])-1</f>
        <v>1302</v>
      </c>
      <c r="B1303" s="1" t="s">
        <v>2380</v>
      </c>
      <c r="C1303" s="1" t="s">
        <v>200</v>
      </c>
      <c r="D1303" s="1" t="s">
        <v>652</v>
      </c>
      <c r="F1303" s="1">
        <v>443</v>
      </c>
      <c r="G1303" s="1" t="s">
        <v>208</v>
      </c>
      <c r="H1303" s="1" t="s">
        <v>530</v>
      </c>
      <c r="J1303" s="1" t="s">
        <v>607</v>
      </c>
      <c r="M1303" s="15" t="s">
        <v>510</v>
      </c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303" s="1" t="s">
        <v>826</v>
      </c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303" s="15" t="str">
        <f>_xlfn.TEXTBEFORE(_xlfn.TEXTAFTER(CantoralDB[[#This Row],[index.html]],"&gt;"),"&gt;")&amp;"&gt;"</f>
        <v>&lt;a href="canciones/nsb/el_señor_es_mi_pastor_(nico_montero).html"&gt;</v>
      </c>
      <c r="X1303"/>
      <c r="AB1303" s="1"/>
    </row>
    <row r="1304" spans="1:28" x14ac:dyDescent="0.3">
      <c r="A1304" s="1">
        <f>ROW(CantoralDB[[#This Row],[Título]])-1</f>
        <v>1303</v>
      </c>
      <c r="B1304" s="1" t="s">
        <v>187</v>
      </c>
      <c r="C1304" s="1" t="s">
        <v>190</v>
      </c>
      <c r="D1304" s="1" t="s">
        <v>753</v>
      </c>
      <c r="G1304" s="1" t="s">
        <v>208</v>
      </c>
      <c r="H1304" s="1" t="s">
        <v>1026</v>
      </c>
      <c r="I1304" s="1" t="s">
        <v>2952</v>
      </c>
      <c r="J1304" s="1" t="s">
        <v>607</v>
      </c>
      <c r="M1304" s="15" t="s">
        <v>491</v>
      </c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304" s="1" t="s">
        <v>866</v>
      </c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304" s="15" t="str">
        <f>_xlfn.TEXTBEFORE(_xlfn.TEXTAFTER(CantoralDB[[#This Row],[index.html]],"&gt;"),"&gt;")&amp;"&gt;"</f>
        <v>&lt;a href="canciones/nsb/una_voz_clama_en_el_desierto.html"&gt;</v>
      </c>
      <c r="X1304"/>
      <c r="AB1304" s="1"/>
    </row>
    <row r="1305" spans="1:28" x14ac:dyDescent="0.3">
      <c r="A1305" s="1">
        <f>ROW(CantoralDB[[#This Row],[Título]])-1</f>
        <v>1304</v>
      </c>
      <c r="B1305" s="1" t="s">
        <v>71</v>
      </c>
      <c r="C1305" s="1" t="s">
        <v>200</v>
      </c>
      <c r="D1305" s="1" t="s">
        <v>656</v>
      </c>
      <c r="E1305" s="1">
        <v>124</v>
      </c>
      <c r="G1305" s="1" t="s">
        <v>208</v>
      </c>
      <c r="H1305" s="1" t="s">
        <v>530</v>
      </c>
      <c r="I1305" s="1" t="s">
        <v>2953</v>
      </c>
      <c r="J1305" s="1" t="s">
        <v>607</v>
      </c>
      <c r="M1305" s="15" t="s">
        <v>2088</v>
      </c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305" s="1" t="s">
        <v>834</v>
      </c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305" s="15" t="str">
        <f>_xlfn.TEXTBEFORE(_xlfn.TEXTAFTER(CantoralDB[[#This Row],[index.html]],"&gt;"),"&gt;")&amp;"&gt;"</f>
        <v>&lt;a href="canciones/nsb/gritad_que_dios_es_grande.html"&gt;</v>
      </c>
      <c r="X1305"/>
      <c r="AB1305" s="1"/>
    </row>
    <row r="1306" spans="1:28" x14ac:dyDescent="0.3">
      <c r="A1306" s="1">
        <f>ROW(CantoralDB[[#This Row],[Título]])-1</f>
        <v>1305</v>
      </c>
      <c r="B1306" s="1" t="s">
        <v>1269</v>
      </c>
      <c r="C1306" s="1"/>
      <c r="E1306" s="1">
        <v>150</v>
      </c>
      <c r="H1306" s="1" t="s">
        <v>472</v>
      </c>
      <c r="J1306" s="1" t="s">
        <v>607</v>
      </c>
      <c r="M1306" s="15" t="s">
        <v>2088</v>
      </c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306" s="15" t="str">
        <f>_xlfn.TEXTBEFORE(_xlfn.TEXTAFTER(CantoralDB[[#This Row],[index.html]],"&gt;"),"&gt;")&amp;"&gt;"</f>
        <v>&lt;a href="canciones/nsb/la_noticia_es_amor.html"&gt;</v>
      </c>
      <c r="X1306"/>
      <c r="AB1306" s="1"/>
    </row>
    <row r="1307" spans="1:28" x14ac:dyDescent="0.3">
      <c r="A1307" s="1">
        <f>ROW(CantoralDB[[#This Row],[Título]])-1</f>
        <v>1306</v>
      </c>
      <c r="B1307" s="1" t="s">
        <v>567</v>
      </c>
      <c r="C1307" s="1" t="s">
        <v>194</v>
      </c>
      <c r="D1307" s="1" t="s">
        <v>764</v>
      </c>
      <c r="G1307" s="1" t="s">
        <v>552</v>
      </c>
      <c r="H1307" s="1" t="s">
        <v>1029</v>
      </c>
      <c r="I1307" s="1" t="s">
        <v>2954</v>
      </c>
      <c r="J1307" s="1" t="s">
        <v>607</v>
      </c>
      <c r="M1307" s="15" t="s">
        <v>616</v>
      </c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307" s="15" t="str">
        <f>_xlfn.TEXTBEFORE(_xlfn.TEXTAFTER(CantoralDB[[#This Row],[index.html]],"&gt;"),"&gt;")&amp;"&gt;"</f>
        <v>&lt;a href="canciones/nsb/juntos_nos_acercamos.html"&gt;</v>
      </c>
      <c r="X1307"/>
      <c r="AB1307" s="1"/>
    </row>
    <row r="1308" spans="1:28" x14ac:dyDescent="0.3">
      <c r="A1308" s="1">
        <f>ROW(CantoralDB[[#This Row],[Título]])-1</f>
        <v>1307</v>
      </c>
      <c r="B1308" s="1" t="s">
        <v>551</v>
      </c>
      <c r="C1308" s="1" t="s">
        <v>194</v>
      </c>
      <c r="D1308" s="1" t="s">
        <v>1385</v>
      </c>
      <c r="G1308" s="1" t="s">
        <v>552</v>
      </c>
      <c r="H1308" s="1" t="s">
        <v>1029</v>
      </c>
      <c r="J1308" s="1" t="s">
        <v>607</v>
      </c>
      <c r="M1308" s="15" t="s">
        <v>793</v>
      </c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308" s="15" t="str">
        <f>_xlfn.TEXTBEFORE(_xlfn.TEXTAFTER(CantoralDB[[#This Row],[index.html]],"&gt;"),"&gt;")&amp;"&gt;"</f>
        <v>&lt;a href="canciones/nsb/aqui_tienes_el_pan.html"&gt;</v>
      </c>
      <c r="X1308"/>
      <c r="AB1308" s="1"/>
    </row>
    <row r="1309" spans="1:28" x14ac:dyDescent="0.3">
      <c r="A1309" s="1">
        <f>ROW(CantoralDB[[#This Row],[Título]])-1</f>
        <v>1308</v>
      </c>
      <c r="B1309" s="1" t="s">
        <v>73</v>
      </c>
      <c r="C1309" s="1" t="s">
        <v>992</v>
      </c>
      <c r="D1309" s="1" t="s">
        <v>707</v>
      </c>
      <c r="E1309" s="1">
        <v>429</v>
      </c>
      <c r="G1309" s="1" t="s">
        <v>208</v>
      </c>
      <c r="H1309" s="1" t="s">
        <v>1028</v>
      </c>
      <c r="J1309" s="1" t="s">
        <v>607</v>
      </c>
      <c r="M1309" s="15" t="s">
        <v>631</v>
      </c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309" s="15" t="str">
        <f>_xlfn.TEXTBEFORE(_xlfn.TEXTAFTER(CantoralDB[[#This Row],[index.html]],"&gt;"),"&gt;")&amp;"&gt;"</f>
        <v>&lt;a href="canciones/nsb/hay_un_corazon_que_late.html"&gt;</v>
      </c>
      <c r="X1309"/>
      <c r="AB1309" s="1"/>
    </row>
    <row r="1310" spans="1:28" x14ac:dyDescent="0.3">
      <c r="A1310" s="1">
        <f>ROW(CantoralDB[[#This Row],[Título]])-1</f>
        <v>1309</v>
      </c>
      <c r="B1310" s="1" t="s">
        <v>591</v>
      </c>
      <c r="C1310" s="1" t="s">
        <v>992</v>
      </c>
      <c r="D1310" s="1" t="s">
        <v>1033</v>
      </c>
      <c r="G1310" s="1" t="s">
        <v>532</v>
      </c>
      <c r="H1310" s="1" t="s">
        <v>1026</v>
      </c>
      <c r="J1310" s="1" t="s">
        <v>607</v>
      </c>
      <c r="M1310" s="15" t="s">
        <v>623</v>
      </c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310" s="15" t="str">
        <f>_xlfn.TEXTBEFORE(_xlfn.TEXTAFTER(CantoralDB[[#This Row],[index.html]],"&gt;"),"&gt;")&amp;"&gt;"</f>
        <v>&lt;a href="canciones/nsb/adorando.html"&gt;</v>
      </c>
      <c r="X1310"/>
      <c r="AB1310" s="1"/>
    </row>
    <row r="1311" spans="1:28" x14ac:dyDescent="0.3">
      <c r="A1311" s="1">
        <f>ROW(CantoralDB[[#This Row],[Título]])-1</f>
        <v>1310</v>
      </c>
      <c r="B1311" s="1" t="s">
        <v>261</v>
      </c>
      <c r="C1311" s="1" t="s">
        <v>196</v>
      </c>
      <c r="D1311" s="1" t="s">
        <v>1445</v>
      </c>
      <c r="G1311" s="1" t="s">
        <v>262</v>
      </c>
      <c r="H1311" s="1" t="s">
        <v>1029</v>
      </c>
      <c r="J1311" s="1" t="s">
        <v>607</v>
      </c>
      <c r="M1311" s="15" t="s">
        <v>535</v>
      </c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311" s="15" t="str">
        <f>_xlfn.TEXTBEFORE(_xlfn.TEXTAFTER(CantoralDB[[#This Row],[index.html]],"&gt;"),"&gt;")&amp;"&gt;"</f>
        <v>&lt;a href="canciones/nsb/padre_nuestro_zaragozano.html"&gt;</v>
      </c>
      <c r="X1311"/>
      <c r="AB1311" s="1"/>
    </row>
    <row r="1312" spans="1:28" x14ac:dyDescent="0.3">
      <c r="A1312" s="1">
        <f>ROW(CantoralDB[[#This Row],[Título]])-1</f>
        <v>1311</v>
      </c>
      <c r="B1312" s="1" t="s">
        <v>3</v>
      </c>
      <c r="C1312" s="1" t="s">
        <v>200</v>
      </c>
      <c r="D1312" s="1" t="s">
        <v>1361</v>
      </c>
      <c r="E1312" s="1">
        <v>28</v>
      </c>
      <c r="G1312" s="1" t="s">
        <v>208</v>
      </c>
      <c r="H1312" s="1" t="s">
        <v>1026</v>
      </c>
      <c r="J1312" s="1" t="s">
        <v>607</v>
      </c>
      <c r="M1312" s="15" t="s">
        <v>497</v>
      </c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312" s="15" t="str">
        <f>_xlfn.TEXTBEFORE(_xlfn.TEXTAFTER(CantoralDB[[#This Row],[index.html]],"&gt;"),"&gt;")&amp;"&gt;"</f>
        <v>&lt;a href="canciones/nsb/a_ti_acudo.html"&gt;</v>
      </c>
      <c r="X1312"/>
      <c r="AB1312" s="1"/>
    </row>
    <row r="1313" spans="1:28" x14ac:dyDescent="0.3">
      <c r="A1313" s="1">
        <f>ROW(CantoralDB[[#This Row],[Título]])-1</f>
        <v>1312</v>
      </c>
      <c r="B1313" s="1" t="s">
        <v>30</v>
      </c>
      <c r="C1313" s="1" t="s">
        <v>200</v>
      </c>
      <c r="D1313" s="1" t="s">
        <v>1394</v>
      </c>
      <c r="E1313" s="1">
        <v>45</v>
      </c>
      <c r="G1313" s="1" t="s">
        <v>208</v>
      </c>
      <c r="H1313" s="1" t="s">
        <v>1029</v>
      </c>
      <c r="J1313" s="1" t="s">
        <v>607</v>
      </c>
      <c r="M1313" s="15" t="s">
        <v>497</v>
      </c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313" s="1" t="s">
        <v>811</v>
      </c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313" s="15" t="str">
        <f>_xlfn.TEXTBEFORE(_xlfn.TEXTAFTER(CantoralDB[[#This Row],[index.html]],"&gt;"),"&gt;")&amp;"&gt;"</f>
        <v>&lt;a href="canciones/nsb/cantad_a_dios.html"&gt;</v>
      </c>
      <c r="X1313"/>
      <c r="AB1313" s="1"/>
    </row>
    <row r="1314" spans="1:28" x14ac:dyDescent="0.3">
      <c r="A1314" s="1">
        <f>ROW(CantoralDB[[#This Row],[Título]])-1</f>
        <v>1313</v>
      </c>
      <c r="B1314" s="1" t="s">
        <v>1257</v>
      </c>
      <c r="C1314" s="1"/>
      <c r="E1314" s="1">
        <v>129</v>
      </c>
      <c r="J1314" s="1"/>
      <c r="M1314" s="15" t="s">
        <v>497</v>
      </c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314" s="15" t="str">
        <f>_xlfn.TEXTBEFORE(_xlfn.TEXTAFTER(CantoralDB[[#This Row],[index.html]],"&gt;"),"&gt;")&amp;"&gt;"</f>
        <v>&lt;a href="canciones/nsb/gracias_señor_por_mis_hermanos.html"&gt;</v>
      </c>
      <c r="X1314"/>
      <c r="AB1314" s="1"/>
    </row>
    <row r="1315" spans="1:28" x14ac:dyDescent="0.3">
      <c r="A1315" s="1">
        <f>ROW(CantoralDB[[#This Row],[Título]])-1</f>
        <v>1314</v>
      </c>
      <c r="B1315" s="1" t="s">
        <v>2116</v>
      </c>
      <c r="C1315" s="1"/>
      <c r="E1315" s="1">
        <v>162</v>
      </c>
      <c r="H1315" s="1" t="s">
        <v>1029</v>
      </c>
      <c r="J1315" s="1" t="s">
        <v>607</v>
      </c>
      <c r="M1315" s="15" t="s">
        <v>497</v>
      </c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315" s="1"/>
      <c r="T1315" s="1"/>
      <c r="U1315" s="32" t="s">
        <v>2987</v>
      </c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315" s="15" t="str">
        <f>_xlfn.TEXTBEFORE(_xlfn.TEXTAFTER(CantoralDB[[#This Row],[index.html]],"&gt;"),"&gt;")&amp;"&gt;"</f>
        <v>&lt;a href="canciones/nsb/maria_fuiste_siempre_pobre_de_yahve.html"&gt;</v>
      </c>
      <c r="X1315"/>
      <c r="AB1315" s="1"/>
    </row>
    <row r="1316" spans="1:28" x14ac:dyDescent="0.3">
      <c r="A1316" s="1">
        <f>ROW(CantoralDB[[#This Row],[Título]])-1</f>
        <v>1315</v>
      </c>
      <c r="B1316" s="1" t="s">
        <v>1280</v>
      </c>
      <c r="C1316" s="1"/>
      <c r="E1316" s="1">
        <v>169</v>
      </c>
      <c r="H1316" s="1" t="s">
        <v>1026</v>
      </c>
      <c r="J1316" s="1" t="s">
        <v>607</v>
      </c>
      <c r="M1316" s="15" t="s">
        <v>497</v>
      </c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316" s="1"/>
      <c r="T1316" s="1"/>
      <c r="U1316" s="32" t="s">
        <v>2988</v>
      </c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316" s="15" t="str">
        <f>_xlfn.TEXTBEFORE(_xlfn.TEXTAFTER(CantoralDB[[#This Row],[index.html]],"&gt;"),"&gt;")&amp;"&gt;"</f>
        <v>&lt;a href="canciones/nsb/nacera_una_nueva_hermandad.html"&gt;</v>
      </c>
      <c r="X1316"/>
      <c r="AB1316" s="1"/>
    </row>
    <row r="1317" spans="1:28" x14ac:dyDescent="0.3">
      <c r="A1317" s="1">
        <f>ROW(CantoralDB[[#This Row],[Título]])-1</f>
        <v>1316</v>
      </c>
      <c r="B1317" s="1" t="s">
        <v>144</v>
      </c>
      <c r="C1317" s="1" t="s">
        <v>992</v>
      </c>
      <c r="D1317" s="1" t="s">
        <v>1011</v>
      </c>
      <c r="E1317" s="1">
        <v>310</v>
      </c>
      <c r="F1317" s="1">
        <v>73</v>
      </c>
      <c r="G1317" s="1" t="s">
        <v>208</v>
      </c>
      <c r="H1317" s="1" t="s">
        <v>1029</v>
      </c>
      <c r="J1317" s="1" t="s">
        <v>607</v>
      </c>
      <c r="M1317" s="15" t="s">
        <v>579</v>
      </c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317" s="1" t="s">
        <v>864</v>
      </c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317" s="15" t="str">
        <f>_xlfn.TEXTBEFORE(_xlfn.TEXTAFTER(CantoralDB[[#This Row],[index.html]],"&gt;"),"&gt;")&amp;"&gt;"</f>
        <v>&lt;a href="canciones/nsb/tomado_de_la_mano.html"&gt;</v>
      </c>
      <c r="X1317"/>
      <c r="AB1317" s="1"/>
    </row>
    <row r="1318" spans="1:28" x14ac:dyDescent="0.3">
      <c r="A1318" s="1">
        <f>ROW(CantoralDB[[#This Row],[Título]])-1</f>
        <v>1317</v>
      </c>
      <c r="B1318" s="1" t="s">
        <v>4</v>
      </c>
      <c r="C1318" s="1" t="s">
        <v>199</v>
      </c>
      <c r="D1318" s="1" t="s">
        <v>1362</v>
      </c>
      <c r="E1318" s="1">
        <v>31</v>
      </c>
      <c r="G1318" s="1" t="s">
        <v>208</v>
      </c>
      <c r="H1318" s="1" t="s">
        <v>530</v>
      </c>
      <c r="J1318" s="1" t="s">
        <v>607</v>
      </c>
      <c r="M1318" s="15" t="s">
        <v>568</v>
      </c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318" s="15" t="str">
        <f>_xlfn.TEXTBEFORE(_xlfn.TEXTAFTER(CantoralDB[[#This Row],[index.html]],"&gt;"),"&gt;")&amp;"&gt;"</f>
        <v>&lt;a href="canciones/nsb/a_ti_que_eres_el_signo.html"&gt;</v>
      </c>
      <c r="X1318"/>
      <c r="AB1318" s="1"/>
    </row>
    <row r="1319" spans="1:28" x14ac:dyDescent="0.3">
      <c r="A1319" s="1">
        <f>ROW(CantoralDB[[#This Row],[Título]])-1</f>
        <v>1318</v>
      </c>
      <c r="B1319" s="1" t="s">
        <v>1182</v>
      </c>
      <c r="C1319" s="1"/>
      <c r="E1319" s="1">
        <v>54</v>
      </c>
      <c r="H1319" s="1" t="s">
        <v>530</v>
      </c>
      <c r="J1319" s="1" t="s">
        <v>607</v>
      </c>
      <c r="M1319" s="15" t="s">
        <v>568</v>
      </c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319" s="15" t="str">
        <f>_xlfn.TEXTBEFORE(_xlfn.TEXTAFTER(CantoralDB[[#This Row],[index.html]],"&gt;"),"&gt;")&amp;"&gt;"</f>
        <v>&lt;a href="canciones/nsb/como_lo_habia_anunciado.html"&gt;</v>
      </c>
      <c r="X1319"/>
      <c r="AB1319" s="1"/>
    </row>
    <row r="1320" spans="1:28" x14ac:dyDescent="0.3">
      <c r="A1320" s="1">
        <f>ROW(CantoralDB[[#This Row],[Título]])-1</f>
        <v>1319</v>
      </c>
      <c r="B1320" s="1" t="s">
        <v>1278</v>
      </c>
      <c r="C1320" s="1"/>
      <c r="E1320" s="1">
        <v>165</v>
      </c>
      <c r="J1320" s="1" t="s">
        <v>607</v>
      </c>
      <c r="L1320" s="1" t="s">
        <v>2960</v>
      </c>
      <c r="M1320" s="15" t="s">
        <v>568</v>
      </c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320" s="15" t="str">
        <f>_xlfn.TEXTBEFORE(_xlfn.TEXTAFTER(CantoralDB[[#This Row],[index.html]],"&gt;"),"&gt;")&amp;"&gt;"</f>
        <v>&lt;a href="canciones/nsb/maria_guardabas_todo.html"&gt;</v>
      </c>
      <c r="X1320"/>
      <c r="AB1320" s="1"/>
    </row>
    <row r="1321" spans="1:28" x14ac:dyDescent="0.3">
      <c r="A1321" s="1">
        <f>ROW(CantoralDB[[#This Row],[Título]])-1</f>
        <v>1320</v>
      </c>
      <c r="B1321" s="1" t="s">
        <v>1344</v>
      </c>
      <c r="C1321" s="1"/>
      <c r="E1321" s="1">
        <v>288</v>
      </c>
      <c r="J1321" s="1"/>
      <c r="M1321" s="15" t="s">
        <v>568</v>
      </c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321" s="15" t="str">
        <f>_xlfn.TEXTBEFORE(_xlfn.TEXTAFTER(CantoralDB[[#This Row],[index.html]],"&gt;"),"&gt;")&amp;"&gt;"</f>
        <v>&lt;a href="canciones/nsb/veo_en_tus_ojos_maria.html"&gt;</v>
      </c>
      <c r="X1321"/>
      <c r="AB1321" s="1"/>
    </row>
    <row r="1322" spans="1:28" x14ac:dyDescent="0.3">
      <c r="A1322" s="1">
        <f>ROW(CantoralDB[[#This Row],[Título]])-1</f>
        <v>1321</v>
      </c>
      <c r="B1322" s="1" t="s">
        <v>80</v>
      </c>
      <c r="C1322" s="1" t="s">
        <v>992</v>
      </c>
      <c r="D1322" s="1" t="s">
        <v>713</v>
      </c>
      <c r="E1322" s="1">
        <v>141</v>
      </c>
      <c r="F1322" s="1">
        <v>112</v>
      </c>
      <c r="G1322" s="1" t="s">
        <v>208</v>
      </c>
      <c r="H1322" s="1" t="s">
        <v>1027</v>
      </c>
      <c r="J1322" s="1" t="s">
        <v>607</v>
      </c>
      <c r="M1322" s="15" t="s">
        <v>2170</v>
      </c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322" s="15" t="str">
        <f>_xlfn.TEXTBEFORE(_xlfn.TEXTAFTER(CantoralDB[[#This Row],[index.html]],"&gt;"),"&gt;")&amp;"&gt;"</f>
        <v>&lt;a href="canciones/nsb/iluminame_señor.html"&gt;</v>
      </c>
      <c r="X1322"/>
      <c r="AB1322" s="1"/>
    </row>
    <row r="1323" spans="1:28" x14ac:dyDescent="0.3">
      <c r="A1323" s="1">
        <f>ROW(CantoralDB[[#This Row],[Título]])-1</f>
        <v>1322</v>
      </c>
      <c r="B1323" s="1" t="s">
        <v>93</v>
      </c>
      <c r="C1323" s="1" t="s">
        <v>191</v>
      </c>
      <c r="D1323" s="1" t="s">
        <v>1440</v>
      </c>
      <c r="E1323" s="1">
        <v>168</v>
      </c>
      <c r="F1323" s="1" t="s">
        <v>2487</v>
      </c>
      <c r="G1323" s="1" t="s">
        <v>208</v>
      </c>
      <c r="H1323" s="1" t="s">
        <v>1026</v>
      </c>
      <c r="J1323" s="1" t="s">
        <v>607</v>
      </c>
      <c r="M1323" s="15" t="s">
        <v>2170</v>
      </c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323" s="15" t="str">
        <f>_xlfn.TEXTBEFORE(_xlfn.TEXTAFTER(CantoralDB[[#This Row],[index.html]],"&gt;"),"&gt;")&amp;"&gt;"</f>
        <v>&lt;a href="canciones/nsb/mi_dios_esta_vivo.html"&gt;</v>
      </c>
      <c r="X1323"/>
      <c r="AB1323" s="1"/>
    </row>
    <row r="1324" spans="1:28" x14ac:dyDescent="0.3">
      <c r="A1324" s="1">
        <f>ROW(CantoralDB[[#This Row],[Título]])-1</f>
        <v>1323</v>
      </c>
      <c r="B1324" s="1" t="s">
        <v>70</v>
      </c>
      <c r="C1324" s="1" t="s">
        <v>198</v>
      </c>
      <c r="D1324" s="1" t="s">
        <v>1426</v>
      </c>
      <c r="E1324" s="1">
        <v>427</v>
      </c>
      <c r="G1324" s="1" t="s">
        <v>212</v>
      </c>
      <c r="H1324" s="1" t="s">
        <v>530</v>
      </c>
      <c r="J1324" s="1" t="s">
        <v>607</v>
      </c>
      <c r="M1324" s="15" t="s">
        <v>633</v>
      </c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324" s="15" t="str">
        <f>_xlfn.TEXTBEFORE(_xlfn.TEXTAFTER(CantoralDB[[#This Row],[index.html]],"&gt;"),"&gt;")&amp;"&gt;"</f>
        <v>&lt;a href="canciones/nsb/gracias_señor.html"&gt;</v>
      </c>
      <c r="X1324"/>
      <c r="AB1324" s="1"/>
    </row>
    <row r="1325" spans="1:28" x14ac:dyDescent="0.3">
      <c r="A1325" s="1">
        <f>ROW(CantoralDB[[#This Row],[Título]])-1</f>
        <v>1324</v>
      </c>
      <c r="B1325" s="1" t="s">
        <v>176</v>
      </c>
      <c r="C1325" s="1" t="s">
        <v>992</v>
      </c>
      <c r="D1325" s="1" t="s">
        <v>692</v>
      </c>
      <c r="G1325" s="1" t="s">
        <v>208</v>
      </c>
      <c r="H1325" s="1" t="s">
        <v>472</v>
      </c>
      <c r="J1325" s="1" t="s">
        <v>607</v>
      </c>
      <c r="M1325" s="15" t="s">
        <v>572</v>
      </c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325" s="15" t="str">
        <f>_xlfn.TEXTBEFORE(_xlfn.TEXTAFTER(CantoralDB[[#This Row],[index.html]],"&gt;"),"&gt;")&amp;"&gt;"</f>
        <v>&lt;a href="canciones/nsb/dime_como_ser_pan.html"&gt;</v>
      </c>
      <c r="X1325"/>
      <c r="AB1325" s="1"/>
    </row>
    <row r="1326" spans="1:28" x14ac:dyDescent="0.3">
      <c r="A1326" s="1">
        <f>ROW(CantoralDB[[#This Row],[Título]])-1</f>
        <v>1325</v>
      </c>
      <c r="B1326" s="1" t="s">
        <v>175</v>
      </c>
      <c r="C1326" s="1" t="s">
        <v>992</v>
      </c>
      <c r="D1326" s="1" t="s">
        <v>686</v>
      </c>
      <c r="G1326" s="1" t="s">
        <v>208</v>
      </c>
      <c r="H1326" s="1" t="s">
        <v>1026</v>
      </c>
      <c r="J1326" s="1" t="s">
        <v>607</v>
      </c>
      <c r="M1326" s="15" t="s">
        <v>570</v>
      </c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326" s="15" t="str">
        <f>_xlfn.TEXTBEFORE(_xlfn.TEXTAFTER(CantoralDB[[#This Row],[index.html]],"&gt;"),"&gt;")&amp;"&gt;"</f>
        <v>&lt;a href="canciones/nsb/cerca_de_ti_señor.html"&gt;</v>
      </c>
      <c r="X1326"/>
      <c r="AB1326" s="1"/>
    </row>
    <row r="1327" spans="1:28" x14ac:dyDescent="0.3">
      <c r="A1327" s="1">
        <f>ROW(CantoralDB[[#This Row],[Título]])-1</f>
        <v>1326</v>
      </c>
      <c r="B1327" s="1" t="s">
        <v>106</v>
      </c>
      <c r="C1327" s="1" t="s">
        <v>196</v>
      </c>
      <c r="D1327" s="1" t="s">
        <v>1447</v>
      </c>
      <c r="E1327" s="1">
        <v>198</v>
      </c>
      <c r="F1327" s="1">
        <v>203</v>
      </c>
      <c r="G1327" s="1" t="s">
        <v>208</v>
      </c>
      <c r="H1327" s="1" t="s">
        <v>530</v>
      </c>
      <c r="I1327" s="1" t="s">
        <v>2953</v>
      </c>
      <c r="J1327" s="1" t="s">
        <v>607</v>
      </c>
      <c r="M1327" s="15" t="s">
        <v>2869</v>
      </c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327" s="15" t="str">
        <f>_xlfn.TEXTBEFORE(_xlfn.TEXTAFTER(CantoralDB[[#This Row],[index.html]],"&gt;"),"&gt;")&amp;"&gt;"</f>
        <v>&lt;a href="canciones/nsb/padre_nuestro_tu_que_estas.html"&gt;</v>
      </c>
      <c r="X1327"/>
      <c r="AB1327" s="1"/>
    </row>
    <row r="1328" spans="1:28" x14ac:dyDescent="0.3">
      <c r="A1328" s="1">
        <f>ROW(CantoralDB[[#This Row],[Título]])-1</f>
        <v>1327</v>
      </c>
      <c r="B1328" s="1" t="s">
        <v>555</v>
      </c>
      <c r="C1328" s="1" t="s">
        <v>200</v>
      </c>
      <c r="D1328" s="1" t="s">
        <v>670</v>
      </c>
      <c r="G1328" s="1" t="s">
        <v>552</v>
      </c>
      <c r="H1328" s="1" t="s">
        <v>1026</v>
      </c>
      <c r="J1328" s="1" t="s">
        <v>607</v>
      </c>
      <c r="M1328" s="15" t="s">
        <v>611</v>
      </c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328" s="15" t="str">
        <f>_xlfn.TEXTBEFORE(_xlfn.TEXTAFTER(CantoralDB[[#This Row],[index.html]],"&gt;"),"&gt;")&amp;"&gt;"</f>
        <v>&lt;a href="canciones/nsb/quiero_caminar.html"&gt;</v>
      </c>
      <c r="X1328"/>
      <c r="AB1328" s="1"/>
    </row>
    <row r="1329" spans="1:28" x14ac:dyDescent="0.3">
      <c r="A1329" s="1">
        <f>ROW(CantoralDB[[#This Row],[Título]])-1</f>
        <v>1328</v>
      </c>
      <c r="B1329" s="1" t="s">
        <v>115</v>
      </c>
      <c r="C1329" s="1" t="s">
        <v>190</v>
      </c>
      <c r="D1329" s="1" t="s">
        <v>746</v>
      </c>
      <c r="E1329" s="1">
        <v>449</v>
      </c>
      <c r="F1329" s="1">
        <v>215</v>
      </c>
      <c r="G1329" s="1" t="s">
        <v>208</v>
      </c>
      <c r="H1329" s="1" t="s">
        <v>1028</v>
      </c>
      <c r="J1329" s="1" t="s">
        <v>607</v>
      </c>
      <c r="M1329" s="15" t="s">
        <v>586</v>
      </c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329" s="1" t="s">
        <v>854</v>
      </c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329" s="15" t="str">
        <f>_xlfn.TEXTBEFORE(_xlfn.TEXTAFTER(CantoralDB[[#This Row],[index.html]],"&gt;"),"&gt;")&amp;"&gt;"</f>
        <v>&lt;a href="canciones/nsb/preparad_el_camino_al_señor.html"&gt;</v>
      </c>
      <c r="X1329"/>
      <c r="AB1329" s="1"/>
    </row>
    <row r="1330" spans="1:28" x14ac:dyDescent="0.3">
      <c r="A1330" s="1">
        <f>ROW(CantoralDB[[#This Row],[Título]])-1</f>
        <v>1329</v>
      </c>
      <c r="B1330" s="1" t="s">
        <v>168</v>
      </c>
      <c r="C1330" s="1" t="s">
        <v>992</v>
      </c>
      <c r="D1330" s="1" t="s">
        <v>1018</v>
      </c>
      <c r="E1330" s="1">
        <v>477</v>
      </c>
      <c r="F1330" s="1">
        <v>57</v>
      </c>
      <c r="G1330" s="1" t="s">
        <v>208</v>
      </c>
      <c r="H1330" s="1" t="s">
        <v>1029</v>
      </c>
      <c r="J1330" s="1" t="s">
        <v>607</v>
      </c>
      <c r="M1330" s="15" t="s">
        <v>580</v>
      </c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330" s="1" t="s">
        <v>868</v>
      </c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330" s="15" t="str">
        <f>_xlfn.TEXTBEFORE(_xlfn.TEXTAFTER(CantoralDB[[#This Row],[index.html]],"&gt;"),"&gt;")&amp;"&gt;"</f>
        <v>&lt;a href="canciones/nsb/yo_soy_el_pan_de_vida.html"&gt;</v>
      </c>
      <c r="X1330"/>
      <c r="AB1330" s="1"/>
    </row>
    <row r="1331" spans="1:28" x14ac:dyDescent="0.3">
      <c r="A1331" s="1">
        <f>ROW(CantoralDB[[#This Row],[Título]])-1</f>
        <v>1330</v>
      </c>
      <c r="B1331" s="1" t="s">
        <v>130</v>
      </c>
      <c r="C1331" s="1" t="s">
        <v>195</v>
      </c>
      <c r="D1331" s="1" t="s">
        <v>1461</v>
      </c>
      <c r="E1331" s="1">
        <v>457</v>
      </c>
      <c r="G1331" s="1" t="s">
        <v>208</v>
      </c>
      <c r="H1331" s="1" t="s">
        <v>530</v>
      </c>
      <c r="I1331" s="1" t="s">
        <v>2953</v>
      </c>
      <c r="J1331" s="1" t="s">
        <v>607</v>
      </c>
      <c r="M1331" s="15" t="s">
        <v>524</v>
      </c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331" s="15" t="str">
        <f>_xlfn.TEXTBEFORE(_xlfn.TEXTAFTER(CantoralDB[[#This Row],[index.html]],"&gt;"),"&gt;")&amp;"&gt;"</f>
        <v>&lt;a href="canciones/nsb/santo_(the_beatles).html"&gt;</v>
      </c>
      <c r="X1331"/>
      <c r="AB1331" s="1"/>
    </row>
    <row r="1332" spans="1:28" x14ac:dyDescent="0.3">
      <c r="A1332" s="1">
        <f>ROW(CantoralDB[[#This Row],[Título]])-1</f>
        <v>1331</v>
      </c>
      <c r="B1332" s="1" t="s">
        <v>248</v>
      </c>
      <c r="C1332" s="1" t="s">
        <v>201</v>
      </c>
      <c r="D1332" s="1" t="s">
        <v>1401</v>
      </c>
      <c r="G1332" s="1" t="s">
        <v>247</v>
      </c>
      <c r="H1332" s="1" t="s">
        <v>1029</v>
      </c>
      <c r="I1332" s="1" t="s">
        <v>2951</v>
      </c>
      <c r="J1332" s="1" t="s">
        <v>607</v>
      </c>
      <c r="M1332" s="15" t="s">
        <v>537</v>
      </c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332" s="15" t="str">
        <f>_xlfn.TEXTBEFORE(_xlfn.TEXTAFTER(CantoralDB[[#This Row],[index.html]],"&gt;"),"&gt;")&amp;"&gt;"</f>
        <v>&lt;a href="canciones/nsb/cordero_de_dios_(aragües).html"&gt;</v>
      </c>
      <c r="X1332"/>
      <c r="AB1332" s="1"/>
    </row>
    <row r="1333" spans="1:28" x14ac:dyDescent="0.3">
      <c r="A1333" s="1">
        <f>ROW(CantoralDB[[#This Row],[Título]])-1</f>
        <v>1332</v>
      </c>
      <c r="B1333" s="1" t="s">
        <v>1265</v>
      </c>
      <c r="C1333" s="1"/>
      <c r="E1333" s="1">
        <v>146</v>
      </c>
      <c r="H1333" s="1" t="s">
        <v>1026</v>
      </c>
      <c r="J1333" s="1" t="s">
        <v>607</v>
      </c>
      <c r="M1333" s="15" t="s">
        <v>537</v>
      </c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333" s="15" t="str">
        <f>_xlfn.TEXTBEFORE(_xlfn.TEXTAFTER(CantoralDB[[#This Row],[index.html]],"&gt;"),"&gt;")&amp;"&gt;"</f>
        <v>&lt;a href="canciones/nsb/junto_a_ti_al_caer_de_la_tarde.html"&gt;</v>
      </c>
      <c r="X1333"/>
      <c r="AB1333" s="1"/>
    </row>
    <row r="1334" spans="1:28" x14ac:dyDescent="0.3">
      <c r="A1334" s="1">
        <f>ROW(CantoralDB[[#This Row],[Título]])-1</f>
        <v>1333</v>
      </c>
      <c r="B1334" s="1" t="s">
        <v>638</v>
      </c>
      <c r="C1334" s="1" t="s">
        <v>200</v>
      </c>
      <c r="D1334" s="1" t="s">
        <v>1359</v>
      </c>
      <c r="G1334" s="1" t="s">
        <v>639</v>
      </c>
      <c r="H1334" s="1" t="s">
        <v>530</v>
      </c>
      <c r="J1334" s="1" t="s">
        <v>607</v>
      </c>
      <c r="M1334" s="15" t="s">
        <v>565</v>
      </c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334" s="1" t="s">
        <v>796</v>
      </c>
      <c r="T1334" s="1"/>
      <c r="U1334" s="32" t="s">
        <v>2963</v>
      </c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334" s="15" t="str">
        <f>_xlfn.TEXTBEFORE(_xlfn.TEXTAFTER(CantoralDB[[#This Row],[index.html]],"&gt;"),"&gt;")&amp;"&gt;"</f>
        <v>&lt;a href="canciones/nsb/a_donde_me_quereis_llevar.html"&gt;</v>
      </c>
      <c r="X1334"/>
      <c r="AB1334" s="1"/>
    </row>
    <row r="1335" spans="1:28" x14ac:dyDescent="0.3">
      <c r="A1335" s="1">
        <f>ROW(CantoralDB[[#This Row],[Título]])-1</f>
        <v>1334</v>
      </c>
      <c r="B1335" s="1" t="s">
        <v>584</v>
      </c>
      <c r="C1335" s="1" t="s">
        <v>200</v>
      </c>
      <c r="D1335" s="1" t="s">
        <v>1379</v>
      </c>
      <c r="G1335" s="1" t="s">
        <v>565</v>
      </c>
      <c r="H1335" s="1" t="s">
        <v>530</v>
      </c>
      <c r="I1335" s="1" t="s">
        <v>2952</v>
      </c>
      <c r="J1335" s="1" t="s">
        <v>607</v>
      </c>
      <c r="M1335" s="15" t="s">
        <v>565</v>
      </c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335" s="1" t="s">
        <v>801</v>
      </c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335" s="15" t="str">
        <f>_xlfn.TEXTBEFORE(_xlfn.TEXTAFTER(CantoralDB[[#This Row],[index.html]],"&gt;"),"&gt;")&amp;"&gt;"</f>
        <v>&lt;a href="canciones/nsb/algo_nuevo.html"&gt;</v>
      </c>
      <c r="X1335"/>
      <c r="AB1335" s="1"/>
    </row>
    <row r="1336" spans="1:28" x14ac:dyDescent="0.3">
      <c r="A1336" s="1">
        <f>ROW(CantoralDB[[#This Row],[Título]])-1</f>
        <v>1335</v>
      </c>
      <c r="B1336" s="1" t="s">
        <v>564</v>
      </c>
      <c r="C1336" s="1" t="s">
        <v>195</v>
      </c>
      <c r="D1336" s="1" t="s">
        <v>780</v>
      </c>
      <c r="G1336" s="1" t="s">
        <v>552</v>
      </c>
      <c r="H1336" s="1" t="s">
        <v>530</v>
      </c>
      <c r="J1336" s="1" t="s">
        <v>607</v>
      </c>
      <c r="M1336" s="15" t="s">
        <v>565</v>
      </c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336" s="15" t="str">
        <f>_xlfn.TEXTBEFORE(_xlfn.TEXTAFTER(CantoralDB[[#This Row],[index.html]],"&gt;"),"&gt;")&amp;"&gt;"</f>
        <v>&lt;a href="canciones/nsb/santo_santo_santo.html"&gt;</v>
      </c>
      <c r="X1336"/>
      <c r="AB1336" s="1"/>
    </row>
    <row r="1337" spans="1:28" x14ac:dyDescent="0.3">
      <c r="A1337" s="1">
        <f>ROW(CantoralDB[[#This Row],[Título]])-1</f>
        <v>1336</v>
      </c>
      <c r="B1337" s="1" t="s">
        <v>1286</v>
      </c>
      <c r="C1337" s="1"/>
      <c r="E1337" s="1">
        <v>177</v>
      </c>
      <c r="J1337" s="1"/>
      <c r="M1337" s="15" t="s">
        <v>2874</v>
      </c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337" s="15" t="str">
        <f>_xlfn.TEXTBEFORE(_xlfn.TEXTAFTER(CantoralDB[[#This Row],[index.html]],"&gt;"),"&gt;")&amp;"&gt;"</f>
        <v>&lt;a href="canciones/nsb/navidad_es_amar_romper_toda_frontera.html"&gt;</v>
      </c>
      <c r="X1337"/>
      <c r="AB1337" s="1"/>
    </row>
    <row r="1338" spans="1:28" x14ac:dyDescent="0.3">
      <c r="A1338" s="1">
        <f>ROW(CantoralDB[[#This Row],[Título]])-1</f>
        <v>1337</v>
      </c>
      <c r="B1338" s="1" t="s">
        <v>1310</v>
      </c>
      <c r="C1338" s="1"/>
      <c r="E1338" s="1">
        <v>224</v>
      </c>
      <c r="J1338" s="1"/>
      <c r="M1338" s="15" t="s">
        <v>2093</v>
      </c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338" s="15" t="str">
        <f>_xlfn.TEXTBEFORE(_xlfn.TEXTAFTER(CantoralDB[[#This Row],[index.html]],"&gt;"),"&gt;")&amp;"&gt;"</f>
        <v>&lt;a href="canciones/nsb/que_facil_es_decir_si.html"&gt;</v>
      </c>
      <c r="X1338"/>
      <c r="AB1338" s="1"/>
    </row>
    <row r="1339" spans="1:28" x14ac:dyDescent="0.3">
      <c r="A1339" s="1">
        <f>ROW(CantoralDB[[#This Row],[Título]])-1</f>
        <v>1338</v>
      </c>
      <c r="B1339" s="1" t="s">
        <v>1329</v>
      </c>
      <c r="C1339" s="1"/>
      <c r="E1339" s="1">
        <v>253</v>
      </c>
      <c r="J1339" s="1"/>
      <c r="M1339" s="15" t="s">
        <v>2093</v>
      </c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339" s="15" t="str">
        <f>_xlfn.TEXTBEFORE(_xlfn.TEXTAFTER(CantoralDB[[#This Row],[index.html]],"&gt;"),"&gt;")&amp;"&gt;"</f>
        <v>&lt;a href="canciones/nsb/tiendeme_tu_mano.html"&gt;</v>
      </c>
      <c r="X1339"/>
      <c r="AB1339" s="1"/>
    </row>
    <row r="1340" spans="1:28" x14ac:dyDescent="0.3">
      <c r="A1340" s="1">
        <f>ROW(CantoralDB[[#This Row],[Título]])-1</f>
        <v>1339</v>
      </c>
      <c r="B1340" s="1" t="s">
        <v>1215</v>
      </c>
      <c r="C1340" s="1"/>
      <c r="E1340" s="1">
        <v>97</v>
      </c>
      <c r="J1340" s="1"/>
      <c r="M1340" s="15" t="s">
        <v>2085</v>
      </c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340" s="15" t="str">
        <f>_xlfn.TEXTBEFORE(_xlfn.TEXTAFTER(CantoralDB[[#This Row],[index.html]],"&gt;"),"&gt;")&amp;"&gt;"</f>
        <v>&lt;a href="canciones/nsb/el_esta_vivo_tu_lo_has_visto.html"&gt;</v>
      </c>
      <c r="X1340"/>
      <c r="AB1340" s="1"/>
    </row>
    <row r="1341" spans="1:28" x14ac:dyDescent="0.3">
      <c r="A1341" s="1">
        <f>ROW(CantoralDB[[#This Row],[Título]])-1</f>
        <v>1340</v>
      </c>
      <c r="B1341" s="1" t="s">
        <v>2585</v>
      </c>
      <c r="C1341" s="1"/>
      <c r="F1341" s="1">
        <v>196</v>
      </c>
      <c r="J1341" s="1"/>
      <c r="M1341" s="15" t="s">
        <v>794</v>
      </c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341" s="15" t="str">
        <f>_xlfn.TEXTBEFORE(_xlfn.TEXTAFTER(CantoralDB[[#This Row],[index.html]],"&gt;"),"&gt;")&amp;"&gt;"</f>
        <v>&lt;a href="canciones/nuevas/a_que_tu_no_sabes.html"&gt;</v>
      </c>
      <c r="X1341"/>
      <c r="AB1341" s="1"/>
    </row>
    <row r="1342" spans="1:28" x14ac:dyDescent="0.3">
      <c r="A1342" s="1">
        <f>ROW(CantoralDB[[#This Row],[Título]])-1</f>
        <v>1341</v>
      </c>
      <c r="B1342" s="1" t="s">
        <v>2566</v>
      </c>
      <c r="C1342" s="1"/>
      <c r="F1342" s="1">
        <v>177</v>
      </c>
      <c r="J1342" s="1"/>
      <c r="M1342" s="15" t="s">
        <v>794</v>
      </c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342" s="15" t="str">
        <f>_xlfn.TEXTBEFORE(_xlfn.TEXTAFTER(CantoralDB[[#This Row],[index.html]],"&gt;"),"&gt;")&amp;"&gt;"</f>
        <v>&lt;a href="canciones/nuevas/abba.html"&gt;</v>
      </c>
      <c r="X1342"/>
      <c r="AB1342" s="1"/>
    </row>
    <row r="1343" spans="1:28" x14ac:dyDescent="0.3">
      <c r="A1343" s="1">
        <f>ROW(CantoralDB[[#This Row],[Título]])-1</f>
        <v>1342</v>
      </c>
      <c r="B1343" s="1" t="s">
        <v>2537</v>
      </c>
      <c r="C1343" s="1"/>
      <c r="F1343" s="1">
        <v>150</v>
      </c>
      <c r="J1343" s="1"/>
      <c r="M1343" s="15" t="s">
        <v>794</v>
      </c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343" s="15" t="str">
        <f>_xlfn.TEXTBEFORE(_xlfn.TEXTAFTER(CantoralDB[[#This Row],[index.html]],"&gt;"),"&gt;")&amp;"&gt;"</f>
        <v>&lt;a href="canciones/nuevas/abre_mis_labios.html"&gt;</v>
      </c>
      <c r="X1343"/>
      <c r="AB1343" s="1"/>
    </row>
    <row r="1344" spans="1:28" x14ac:dyDescent="0.3">
      <c r="A1344" s="1">
        <f>ROW(CantoralDB[[#This Row],[Título]])-1</f>
        <v>1343</v>
      </c>
      <c r="B1344" s="1" t="s">
        <v>2490</v>
      </c>
      <c r="C1344" s="1"/>
      <c r="F1344" s="1">
        <v>109</v>
      </c>
      <c r="J1344" s="1"/>
      <c r="M1344" s="15" t="s">
        <v>794</v>
      </c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344" s="15" t="str">
        <f>_xlfn.TEXTBEFORE(_xlfn.TEXTAFTER(CantoralDB[[#This Row],[index.html]],"&gt;"),"&gt;")&amp;"&gt;"</f>
        <v>&lt;a href="canciones/nuevas/aclamad.html"&gt;</v>
      </c>
      <c r="X1344"/>
      <c r="AB1344" s="1"/>
    </row>
    <row r="1345" spans="1:28" x14ac:dyDescent="0.3">
      <c r="A1345" s="1">
        <f>ROW(CantoralDB[[#This Row],[Título]])-1</f>
        <v>1344</v>
      </c>
      <c r="B1345" s="1" t="s">
        <v>2736</v>
      </c>
      <c r="C1345" s="1"/>
      <c r="F1345" s="1">
        <v>360</v>
      </c>
      <c r="J1345" s="1"/>
      <c r="M1345" s="15" t="s">
        <v>794</v>
      </c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345" s="15" t="str">
        <f>_xlfn.TEXTBEFORE(_xlfn.TEXTAFTER(CantoralDB[[#This Row],[index.html]],"&gt;"),"&gt;")&amp;"&gt;"</f>
        <v>&lt;a href="canciones/nuevas/adonai.html"&gt;</v>
      </c>
      <c r="X1345"/>
      <c r="AB1345" s="1"/>
    </row>
    <row r="1346" spans="1:28" x14ac:dyDescent="0.3">
      <c r="A1346" s="1">
        <f>ROW(CantoralDB[[#This Row],[Título]])-1</f>
        <v>1345</v>
      </c>
      <c r="B1346" s="1" t="s">
        <v>2581</v>
      </c>
      <c r="C1346" s="1"/>
      <c r="F1346" s="1">
        <v>190</v>
      </c>
      <c r="J1346" s="1"/>
      <c r="M1346" s="15" t="s">
        <v>794</v>
      </c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346" s="15" t="str">
        <f>_xlfn.TEXTBEFORE(_xlfn.TEXTAFTER(CantoralDB[[#This Row],[index.html]],"&gt;"),"&gt;")&amp;"&gt;"</f>
        <v>&lt;a href="canciones/nuevas/al_estar_aqui.html"&gt;</v>
      </c>
      <c r="X1346"/>
      <c r="AB1346" s="1"/>
    </row>
    <row r="1347" spans="1:28" x14ac:dyDescent="0.3">
      <c r="A1347" s="1">
        <f>ROW(CantoralDB[[#This Row],[Título]])-1</f>
        <v>1346</v>
      </c>
      <c r="B1347" s="1" t="s">
        <v>1159</v>
      </c>
      <c r="C1347" s="1"/>
      <c r="F1347" s="1">
        <v>253</v>
      </c>
      <c r="J1347" s="1"/>
      <c r="M1347" s="15" t="s">
        <v>794</v>
      </c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347" s="15" t="str">
        <f>_xlfn.TEXTBEFORE(_xlfn.TEXTAFTER(CantoralDB[[#This Row],[index.html]],"&gt;"),"&gt;")&amp;"&gt;"</f>
        <v>&lt;a href="canciones/nuevas/alabad_al_señor_en_su_templo.html"&gt;</v>
      </c>
      <c r="X1347"/>
      <c r="AB1347" s="1"/>
    </row>
    <row r="1348" spans="1:28" x14ac:dyDescent="0.3">
      <c r="A1348" s="1">
        <f>ROW(CantoralDB[[#This Row],[Título]])-1</f>
        <v>1347</v>
      </c>
      <c r="B1348" s="1" t="s">
        <v>2568</v>
      </c>
      <c r="C1348" s="1"/>
      <c r="F1348" s="1">
        <v>179</v>
      </c>
      <c r="J1348" s="1"/>
      <c r="M1348" s="15" t="s">
        <v>794</v>
      </c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348" s="15" t="str">
        <f>_xlfn.TEXTBEFORE(_xlfn.TEXTAFTER(CantoralDB[[#This Row],[index.html]],"&gt;"),"&gt;")&amp;"&gt;"</f>
        <v>&lt;a href="canciones/nuevas/alabare.html"&gt;</v>
      </c>
      <c r="X1348"/>
      <c r="AB1348" s="1"/>
    </row>
    <row r="1349" spans="1:28" x14ac:dyDescent="0.3">
      <c r="A1349" s="1">
        <f>ROW(CantoralDB[[#This Row],[Título]])-1</f>
        <v>1348</v>
      </c>
      <c r="B1349" s="1" t="s">
        <v>2447</v>
      </c>
      <c r="C1349" s="1"/>
      <c r="F1349" s="1">
        <v>64</v>
      </c>
      <c r="J1349" s="1"/>
      <c r="M1349" s="15" t="s">
        <v>794</v>
      </c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1349" s="15" t="str">
        <f>_xlfn.TEXTBEFORE(_xlfn.TEXTAFTER(CantoralDB[[#This Row],[index.html]],"&gt;"),"&gt;")&amp;"&gt;"</f>
        <v>&lt;a href="canciones/nuevas/aleluya_alabad_a_dios.html"&gt;</v>
      </c>
      <c r="X1349"/>
      <c r="AB1349" s="1"/>
    </row>
    <row r="1350" spans="1:28" x14ac:dyDescent="0.3">
      <c r="A1350" s="1">
        <f>ROW(CantoralDB[[#This Row],[Título]])-1</f>
        <v>1349</v>
      </c>
      <c r="B1350" s="1" t="s">
        <v>2607</v>
      </c>
      <c r="C1350" s="1"/>
      <c r="F1350" s="1">
        <v>223</v>
      </c>
      <c r="J1350" s="1"/>
      <c r="M1350" s="15" t="s">
        <v>794</v>
      </c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350" s="15" t="str">
        <f>_xlfn.TEXTBEFORE(_xlfn.TEXTAFTER(CantoralDB[[#This Row],[index.html]],"&gt;"),"&gt;")&amp;"&gt;"</f>
        <v>&lt;a href="canciones/nuevas/algo_esta_descendiendo.html"&gt;</v>
      </c>
      <c r="X1350"/>
      <c r="AB1350" s="1"/>
    </row>
    <row r="1351" spans="1:28" x14ac:dyDescent="0.3">
      <c r="A1351" s="1">
        <f>ROW(CantoralDB[[#This Row],[Título]])-1</f>
        <v>1350</v>
      </c>
      <c r="B1351" s="1" t="s">
        <v>2153</v>
      </c>
      <c r="C1351" s="15"/>
      <c r="H1351" s="1" t="s">
        <v>1026</v>
      </c>
      <c r="J1351" s="1" t="s">
        <v>607</v>
      </c>
      <c r="M1351" s="15" t="s">
        <v>794</v>
      </c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351" s="1"/>
      <c r="T1351" s="1"/>
      <c r="U1351" s="32" t="s">
        <v>2996</v>
      </c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351" s="15" t="str">
        <f>_xlfn.TEXTBEFORE(_xlfn.TEXTAFTER(CantoralDB[[#This Row],[index.html]],"&gt;"),"&gt;")&amp;"&gt;"</f>
        <v>&lt;a href="canciones/nuevas/alma_de_cristo.html"&gt;</v>
      </c>
      <c r="X1351"/>
      <c r="AB1351" s="1"/>
    </row>
    <row r="1352" spans="1:28" x14ac:dyDescent="0.3">
      <c r="A1352" s="1">
        <f>ROW(CantoralDB[[#This Row],[Título]])-1</f>
        <v>1351</v>
      </c>
      <c r="B1352" s="1" t="s">
        <v>2542</v>
      </c>
      <c r="C1352" s="1"/>
      <c r="F1352" s="1">
        <v>155</v>
      </c>
      <c r="J1352" s="1"/>
      <c r="M1352" s="15" t="s">
        <v>794</v>
      </c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352" s="15" t="str">
        <f>_xlfn.TEXTBEFORE(_xlfn.TEXTAFTER(CantoralDB[[#This Row],[index.html]],"&gt;"),"&gt;")&amp;"&gt;"</f>
        <v>&lt;a href="canciones/nuevas/amor_tan_grande.html"&gt;</v>
      </c>
      <c r="X1352"/>
      <c r="AB1352" s="1"/>
    </row>
    <row r="1353" spans="1:28" x14ac:dyDescent="0.3">
      <c r="A1353" s="1">
        <f>ROW(CantoralDB[[#This Row],[Título]])-1</f>
        <v>1352</v>
      </c>
      <c r="B1353" s="1" t="s">
        <v>2739</v>
      </c>
      <c r="C1353" s="1"/>
      <c r="F1353" s="1">
        <v>363</v>
      </c>
      <c r="J1353" s="1"/>
      <c r="M1353" s="15" t="s">
        <v>794</v>
      </c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353" s="15" t="str">
        <f>_xlfn.TEXTBEFORE(_xlfn.TEXTAFTER(CantoralDB[[#This Row],[index.html]],"&gt;"),"&gt;")&amp;"&gt;"</f>
        <v>&lt;a href="canciones/nuevas/ante_su_nombre_todo_caera.html"&gt;</v>
      </c>
      <c r="X1353"/>
      <c r="AB1353" s="1"/>
    </row>
    <row r="1354" spans="1:28" x14ac:dyDescent="0.3">
      <c r="A1354" s="1">
        <f>ROW(CantoralDB[[#This Row],[Título]])-1</f>
        <v>1353</v>
      </c>
      <c r="B1354" s="1" t="s">
        <v>2613</v>
      </c>
      <c r="C1354" s="1"/>
      <c r="F1354" s="1">
        <v>231</v>
      </c>
      <c r="J1354" s="1"/>
      <c r="M1354" s="15" t="s">
        <v>794</v>
      </c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354" s="15" t="str">
        <f>_xlfn.TEXTBEFORE(_xlfn.TEXTAFTER(CantoralDB[[#This Row],[index.html]],"&gt;"),"&gt;")&amp;"&gt;"</f>
        <v>&lt;a href="canciones/nuevas/aqui_se_alaba.html"&gt;</v>
      </c>
      <c r="X1354"/>
      <c r="AB1354" s="1"/>
    </row>
    <row r="1355" spans="1:28" x14ac:dyDescent="0.3">
      <c r="A1355" s="1">
        <f>ROW(CantoralDB[[#This Row],[Título]])-1</f>
        <v>1354</v>
      </c>
      <c r="B1355" s="1" t="s">
        <v>2598</v>
      </c>
      <c r="C1355" s="1"/>
      <c r="F1355" s="1">
        <v>213</v>
      </c>
      <c r="J1355" s="1"/>
      <c r="M1355" s="15" t="s">
        <v>794</v>
      </c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355" s="15" t="str">
        <f>_xlfn.TEXTBEFORE(_xlfn.TEXTAFTER(CantoralDB[[#This Row],[index.html]],"&gt;"),"&gt;")&amp;"&gt;"</f>
        <v>&lt;a href="canciones/nuevas/ay_de_mi_si_no_evangelizara.html"&gt;</v>
      </c>
      <c r="X1355"/>
      <c r="AB1355" s="1"/>
    </row>
    <row r="1356" spans="1:28" x14ac:dyDescent="0.3">
      <c r="A1356" s="1">
        <f>ROW(CantoralDB[[#This Row],[Título]])-1</f>
        <v>1355</v>
      </c>
      <c r="B1356" s="1" t="s">
        <v>884</v>
      </c>
      <c r="C1356" s="1"/>
      <c r="F1356" s="1">
        <v>53</v>
      </c>
      <c r="J1356" s="1"/>
      <c r="M1356" s="15" t="s">
        <v>794</v>
      </c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56" s="15" t="str">
        <f>_xlfn.TEXTBEFORE(_xlfn.TEXTAFTER(CantoralDB[[#This Row],[index.html]],"&gt;"),"&gt;")&amp;"&gt;"</f>
        <v>&lt;a href="canciones/nuevas/bendecid_al_señor.html"&gt;</v>
      </c>
      <c r="X1356"/>
      <c r="AB1356" s="1"/>
    </row>
    <row r="1357" spans="1:28" x14ac:dyDescent="0.3">
      <c r="A1357" s="1">
        <f>ROW(CantoralDB[[#This Row],[Título]])-1</f>
        <v>1356</v>
      </c>
      <c r="B1357" s="1" t="s">
        <v>884</v>
      </c>
      <c r="C1357" s="1"/>
      <c r="F1357" s="1">
        <v>364</v>
      </c>
      <c r="J1357" s="1"/>
      <c r="M1357" s="15" t="s">
        <v>794</v>
      </c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57" s="15" t="str">
        <f>_xlfn.TEXTBEFORE(_xlfn.TEXTAFTER(CantoralDB[[#This Row],[index.html]],"&gt;"),"&gt;")&amp;"&gt;"</f>
        <v>&lt;a href="canciones/nuevas/bendecid_al_señor.html"&gt;</v>
      </c>
      <c r="X1357"/>
      <c r="AB1357" s="1"/>
    </row>
    <row r="1358" spans="1:28" x14ac:dyDescent="0.3">
      <c r="A1358" s="1">
        <f>ROW(CantoralDB[[#This Row],[Título]])-1</f>
        <v>1357</v>
      </c>
      <c r="B1358" s="1" t="s">
        <v>2444</v>
      </c>
      <c r="C1358" s="1"/>
      <c r="F1358" s="1">
        <v>62</v>
      </c>
      <c r="J1358" s="1"/>
      <c r="M1358" s="15" t="s">
        <v>794</v>
      </c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1358" s="15" t="str">
        <f>_xlfn.TEXTBEFORE(_xlfn.TEXTAFTER(CantoralDB[[#This Row],[index.html]],"&gt;"),"&gt;")&amp;"&gt;"</f>
        <v>&lt;a href="canciones/nuevas/bendita_entre_las_mujeres.html"&gt;</v>
      </c>
      <c r="X1358"/>
      <c r="AB1358" s="1"/>
    </row>
    <row r="1359" spans="1:28" x14ac:dyDescent="0.3">
      <c r="A1359" s="1">
        <f>ROW(CantoralDB[[#This Row],[Título]])-1</f>
        <v>1358</v>
      </c>
      <c r="B1359" s="1" t="s">
        <v>2496</v>
      </c>
      <c r="C1359" s="1"/>
      <c r="F1359" s="1">
        <v>116</v>
      </c>
      <c r="J1359" s="1"/>
      <c r="M1359" s="15" t="s">
        <v>794</v>
      </c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359" s="15" t="str">
        <f>_xlfn.TEXTBEFORE(_xlfn.TEXTAFTER(CantoralDB[[#This Row],[index.html]],"&gt;"),"&gt;")&amp;"&gt;"</f>
        <v>&lt;a href="canciones/nuevas/bendito_sea_tu_nombre.html"&gt;</v>
      </c>
      <c r="X1359"/>
      <c r="AB1359" s="1"/>
    </row>
    <row r="1360" spans="1:28" x14ac:dyDescent="0.3">
      <c r="A1360" s="1">
        <f>ROW(CantoralDB[[#This Row],[Título]])-1</f>
        <v>1359</v>
      </c>
      <c r="B1360" s="1" t="s">
        <v>244</v>
      </c>
      <c r="C1360" s="1"/>
      <c r="F1360" s="1">
        <v>252</v>
      </c>
      <c r="J1360" s="1"/>
      <c r="M1360" s="15" t="s">
        <v>794</v>
      </c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360" s="15" t="str">
        <f>_xlfn.TEXTBEFORE(_xlfn.TEXTAFTER(CantoralDB[[#This Row],[index.html]],"&gt;"),"&gt;")&amp;"&gt;"</f>
        <v>&lt;a href="canciones/nuevas/bienvenidos.html"&gt;</v>
      </c>
      <c r="X1360"/>
      <c r="AB1360" s="1"/>
    </row>
    <row r="1361" spans="1:28" x14ac:dyDescent="0.3">
      <c r="A1361" s="1">
        <f>ROW(CantoralDB[[#This Row],[Título]])-1</f>
        <v>1360</v>
      </c>
      <c r="B1361" s="1" t="s">
        <v>2821</v>
      </c>
      <c r="C1361" s="1"/>
      <c r="F1361" s="1">
        <v>428</v>
      </c>
      <c r="J1361" s="1"/>
      <c r="M1361" s="15" t="s">
        <v>794</v>
      </c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361" s="15" t="str">
        <f>_xlfn.TEXTBEFORE(_xlfn.TEXTAFTER(CantoralDB[[#This Row],[index.html]],"&gt;"),"&gt;")&amp;"&gt;"</f>
        <v>&lt;a href="canciones/nuevas/buenas_noches_maria.html"&gt;</v>
      </c>
      <c r="X1361"/>
      <c r="AB1361" s="1"/>
    </row>
    <row r="1362" spans="1:28" x14ac:dyDescent="0.3">
      <c r="A1362" s="1">
        <f>ROW(CantoralDB[[#This Row],[Título]])-1</f>
        <v>1361</v>
      </c>
      <c r="B1362" s="1" t="s">
        <v>2702</v>
      </c>
      <c r="C1362" s="1"/>
      <c r="F1362" s="1">
        <v>331</v>
      </c>
      <c r="J1362" s="1"/>
      <c r="M1362" s="15" t="s">
        <v>794</v>
      </c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362" s="15" t="str">
        <f>_xlfn.TEXTBEFORE(_xlfn.TEXTAFTER(CantoralDB[[#This Row],[index.html]],"&gt;"),"&gt;")&amp;"&gt;"</f>
        <v>&lt;a href="canciones/nuevas/cantemos_al_señor.html"&gt;</v>
      </c>
      <c r="X1362"/>
      <c r="AB1362" s="1"/>
    </row>
    <row r="1363" spans="1:28" x14ac:dyDescent="0.3">
      <c r="A1363" s="1">
        <f>ROW(CantoralDB[[#This Row],[Título]])-1</f>
        <v>1362</v>
      </c>
      <c r="B1363" s="1" t="s">
        <v>2617</v>
      </c>
      <c r="C1363" s="1"/>
      <c r="F1363" s="1">
        <v>236</v>
      </c>
      <c r="J1363" s="1"/>
      <c r="M1363" s="15" t="s">
        <v>794</v>
      </c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363" s="15" t="str">
        <f>_xlfn.TEXTBEFORE(_xlfn.TEXTAFTER(CantoralDB[[#This Row],[index.html]],"&gt;"),"&gt;")&amp;"&gt;"</f>
        <v>&lt;a href="canciones/nuevas/como_corre_un_rio.html"&gt;</v>
      </c>
      <c r="X1363"/>
      <c r="AB1363" s="1"/>
    </row>
    <row r="1364" spans="1:28" x14ac:dyDescent="0.3">
      <c r="A1364" s="1">
        <f>ROW(CantoralDB[[#This Row],[Título]])-1</f>
        <v>1363</v>
      </c>
      <c r="B1364" s="1" t="s">
        <v>2637</v>
      </c>
      <c r="C1364" s="1"/>
      <c r="F1364" s="1">
        <v>260</v>
      </c>
      <c r="J1364" s="1"/>
      <c r="M1364" s="15" t="s">
        <v>794</v>
      </c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364" s="15" t="str">
        <f>_xlfn.TEXTBEFORE(_xlfn.TEXTAFTER(CantoralDB[[#This Row],[index.html]],"&gt;"),"&gt;")&amp;"&gt;"</f>
        <v>&lt;a href="canciones/nuevas/conviene_que_cristo_crezca.html"&gt;</v>
      </c>
      <c r="X1364"/>
      <c r="AB1364" s="1"/>
    </row>
    <row r="1365" spans="1:28" x14ac:dyDescent="0.3">
      <c r="A1365" s="1">
        <f>ROW(CantoralDB[[#This Row],[Título]])-1</f>
        <v>1364</v>
      </c>
      <c r="B1365" s="1" t="s">
        <v>1189</v>
      </c>
      <c r="C1365" s="1"/>
      <c r="F1365" s="1">
        <v>268</v>
      </c>
      <c r="J1365" s="1"/>
      <c r="M1365" s="15" t="s">
        <v>794</v>
      </c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365" s="15" t="str">
        <f>_xlfn.TEXTBEFORE(_xlfn.TEXTAFTER(CantoralDB[[#This Row],[index.html]],"&gt;"),"&gt;")&amp;"&gt;"</f>
        <v>&lt;a href="canciones/nuevas/criaturas_del_señor.html"&gt;</v>
      </c>
      <c r="X1365"/>
      <c r="AB1365" s="1"/>
    </row>
    <row r="1366" spans="1:28" x14ac:dyDescent="0.3">
      <c r="A1366" s="1">
        <f>ROW(CantoralDB[[#This Row],[Título]])-1</f>
        <v>1365</v>
      </c>
      <c r="B1366" s="1" t="s">
        <v>2245</v>
      </c>
      <c r="C1366" s="1"/>
      <c r="F1366" s="1">
        <v>261</v>
      </c>
      <c r="J1366" s="1"/>
      <c r="M1366" s="15" t="s">
        <v>794</v>
      </c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366" s="15" t="str">
        <f>_xlfn.TEXTBEFORE(_xlfn.TEXTAFTER(CantoralDB[[#This Row],[index.html]],"&gt;"),"&gt;")&amp;"&gt;"</f>
        <v>&lt;a href="canciones/nuevas/cristo_vive_en_mi.html"&gt;</v>
      </c>
      <c r="X1366"/>
      <c r="AB1366" s="1"/>
    </row>
    <row r="1367" spans="1:28" x14ac:dyDescent="0.3">
      <c r="A1367" s="1">
        <f>ROW(CantoralDB[[#This Row],[Título]])-1</f>
        <v>1366</v>
      </c>
      <c r="B1367" s="1" t="s">
        <v>2701</v>
      </c>
      <c r="C1367" s="1"/>
      <c r="F1367" s="1">
        <v>330</v>
      </c>
      <c r="J1367" s="1"/>
      <c r="M1367" s="15" t="s">
        <v>794</v>
      </c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367" s="15" t="str">
        <f>_xlfn.TEXTBEFORE(_xlfn.TEXTAFTER(CantoralDB[[#This Row],[index.html]],"&gt;"),"&gt;")&amp;"&gt;"</f>
        <v>&lt;a href="canciones/nuevas/cristo_maravilloso_eres_tu.html"&gt;</v>
      </c>
      <c r="X1367"/>
      <c r="AB1367" s="1"/>
    </row>
    <row r="1368" spans="1:28" x14ac:dyDescent="0.3">
      <c r="A1368" s="1">
        <f>ROW(CantoralDB[[#This Row],[Título]])-1</f>
        <v>1367</v>
      </c>
      <c r="B1368" s="1" t="s">
        <v>2555</v>
      </c>
      <c r="C1368" s="1"/>
      <c r="F1368" s="1">
        <v>166</v>
      </c>
      <c r="J1368" s="1"/>
      <c r="M1368" s="15" t="s">
        <v>794</v>
      </c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368" s="15" t="str">
        <f>_xlfn.TEXTBEFORE(_xlfn.TEXTAFTER(CantoralDB[[#This Row],[index.html]],"&gt;"),"&gt;")&amp;"&gt;"</f>
        <v>&lt;a href="canciones/nuevas/cuando_con_el_corazon.html"&gt;</v>
      </c>
      <c r="X1368"/>
      <c r="AB1368" s="1"/>
    </row>
    <row r="1369" spans="1:28" x14ac:dyDescent="0.3">
      <c r="A1369" s="1">
        <f>ROW(CantoralDB[[#This Row],[Título]])-1</f>
        <v>1368</v>
      </c>
      <c r="B1369" s="1" t="s">
        <v>2773</v>
      </c>
      <c r="C1369" s="1"/>
      <c r="F1369" s="1">
        <v>391</v>
      </c>
      <c r="J1369" s="1"/>
      <c r="M1369" s="15" t="s">
        <v>794</v>
      </c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369" s="15" t="str">
        <f>_xlfn.TEXTBEFORE(_xlfn.TEXTAFTER(CantoralDB[[#This Row],[index.html]],"&gt;"),"&gt;")&amp;"&gt;"</f>
        <v>&lt;a href="canciones/nuevas/cuando_cristo_venga_en_gloria.html"&gt;</v>
      </c>
      <c r="X1369"/>
      <c r="AB1369" s="1"/>
    </row>
    <row r="1370" spans="1:28" x14ac:dyDescent="0.3">
      <c r="A1370" s="1">
        <f>ROW(CantoralDB[[#This Row],[Título]])-1</f>
        <v>1369</v>
      </c>
      <c r="B1370" s="1" t="s">
        <v>2720</v>
      </c>
      <c r="C1370" s="1"/>
      <c r="F1370" s="1">
        <v>347</v>
      </c>
      <c r="J1370" s="1"/>
      <c r="M1370" s="15" t="s">
        <v>794</v>
      </c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370" s="15" t="str">
        <f>_xlfn.TEXTBEFORE(_xlfn.TEXTAFTER(CantoralDB[[#This Row],[index.html]],"&gt;"),"&gt;")&amp;"&gt;"</f>
        <v>&lt;a href="canciones/nuevas/dios_me_ama_y_yo_le_amo.html"&gt;</v>
      </c>
      <c r="X1370"/>
      <c r="AB1370" s="1"/>
    </row>
    <row r="1371" spans="1:28" x14ac:dyDescent="0.3">
      <c r="A1371" s="1">
        <f>ROW(CantoralDB[[#This Row],[Título]])-1</f>
        <v>1370</v>
      </c>
      <c r="B1371" s="1" t="s">
        <v>2573</v>
      </c>
      <c r="C1371" s="1"/>
      <c r="F1371" s="1">
        <v>183</v>
      </c>
      <c r="J1371" s="1"/>
      <c r="M1371" s="15" t="s">
        <v>794</v>
      </c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371" s="15" t="str">
        <f>_xlfn.TEXTBEFORE(_xlfn.TEXTAFTER(CantoralDB[[#This Row],[index.html]],"&gt;"),"&gt;")&amp;"&gt;"</f>
        <v>&lt;a href="canciones/nuevas/el_amor_de_dios_ha_sido_derramado.html"&gt;</v>
      </c>
      <c r="X1371"/>
      <c r="AB1371" s="1"/>
    </row>
    <row r="1372" spans="1:28" x14ac:dyDescent="0.3">
      <c r="A1372" s="1">
        <f>ROW(CantoralDB[[#This Row],[Título]])-1</f>
        <v>1371</v>
      </c>
      <c r="B1372" s="1" t="s">
        <v>2658</v>
      </c>
      <c r="C1372" s="1"/>
      <c r="F1372" s="1">
        <v>281</v>
      </c>
      <c r="J1372" s="1"/>
      <c r="M1372" s="15" t="s">
        <v>794</v>
      </c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372" s="15" t="str">
        <f>_xlfn.TEXTBEFORE(_xlfn.TEXTAFTER(CantoralDB[[#This Row],[index.html]],"&gt;"),"&gt;")&amp;"&gt;"</f>
        <v>&lt;a href="canciones/nuevas/el_amor_del_señor.html"&gt;</v>
      </c>
      <c r="X1372"/>
      <c r="AB1372" s="1"/>
    </row>
    <row r="1373" spans="1:28" x14ac:dyDescent="0.3">
      <c r="A1373" s="1">
        <f>ROW(CantoralDB[[#This Row],[Título]])-1</f>
        <v>1372</v>
      </c>
      <c r="B1373" s="1" t="s">
        <v>2530</v>
      </c>
      <c r="C1373" s="1"/>
      <c r="F1373" s="1">
        <v>143</v>
      </c>
      <c r="J1373" s="1"/>
      <c r="M1373" s="15" t="s">
        <v>794</v>
      </c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373" s="15" t="str">
        <f>_xlfn.TEXTBEFORE(_xlfn.TEXTAFTER(CantoralDB[[#This Row],[index.html]],"&gt;"),"&gt;")&amp;"&gt;"</f>
        <v>&lt;a href="canciones/nuevas/el_diario_de_maria.html"&gt;</v>
      </c>
      <c r="X1373"/>
      <c r="AB1373" s="1"/>
    </row>
    <row r="1374" spans="1:28" x14ac:dyDescent="0.3">
      <c r="A1374" s="1">
        <f>ROW(CantoralDB[[#This Row],[Título]])-1</f>
        <v>1373</v>
      </c>
      <c r="B1374" s="1" t="s">
        <v>2583</v>
      </c>
      <c r="C1374" s="1"/>
      <c r="F1374" s="1">
        <v>194</v>
      </c>
      <c r="J1374" s="1"/>
      <c r="M1374" s="15" t="s">
        <v>794</v>
      </c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374" s="15" t="str">
        <f>_xlfn.TEXTBEFORE(_xlfn.TEXTAFTER(CantoralDB[[#This Row],[index.html]],"&gt;"),"&gt;")&amp;"&gt;"</f>
        <v>&lt;a href="canciones/nuevas/el_espiritu_de_dios_esta_en_este_lugar.html"&gt;</v>
      </c>
      <c r="X1374"/>
      <c r="AB1374" s="1"/>
    </row>
    <row r="1375" spans="1:28" x14ac:dyDescent="0.3">
      <c r="A1375" s="1">
        <f>ROW(CantoralDB[[#This Row],[Título]])-1</f>
        <v>1374</v>
      </c>
      <c r="B1375" s="1" t="s">
        <v>2810</v>
      </c>
      <c r="C1375" s="1"/>
      <c r="F1375" s="1">
        <v>419</v>
      </c>
      <c r="J1375" s="1"/>
      <c r="M1375" s="15" t="s">
        <v>794</v>
      </c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375" s="15" t="str">
        <f>_xlfn.TEXTBEFORE(_xlfn.TEXTAFTER(CantoralDB[[#This Row],[index.html]],"&gt;"),"&gt;")&amp;"&gt;"</f>
        <v>&lt;a href="canciones/nuevas/el_leon_de_la_tribu_de_juda.html"&gt;</v>
      </c>
      <c r="X1375"/>
      <c r="AB1375" s="1"/>
    </row>
    <row r="1376" spans="1:28" x14ac:dyDescent="0.3">
      <c r="A1376" s="1">
        <f>ROW(CantoralDB[[#This Row],[Título]])-1</f>
        <v>1375</v>
      </c>
      <c r="B1376" s="1" t="s">
        <v>2427</v>
      </c>
      <c r="C1376" s="1"/>
      <c r="F1376" s="1">
        <v>48</v>
      </c>
      <c r="J1376" s="1"/>
      <c r="M1376" s="15" t="s">
        <v>794</v>
      </c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1376" s="15" t="str">
        <f>_xlfn.TEXTBEFORE(_xlfn.TEXTAFTER(CantoralDB[[#This Row],[index.html]],"&gt;"),"&gt;")&amp;"&gt;"</f>
        <v>&lt;a href="canciones/nuevas/el_nos_ha_elegido.html"&gt;</v>
      </c>
      <c r="X1376"/>
      <c r="AB1376" s="1"/>
    </row>
    <row r="1377" spans="1:28" x14ac:dyDescent="0.3">
      <c r="A1377" s="1">
        <f>ROW(CantoralDB[[#This Row],[Título]])-1</f>
        <v>1376</v>
      </c>
      <c r="B1377" s="1" t="s">
        <v>2482</v>
      </c>
      <c r="C1377" s="1"/>
      <c r="F1377" s="1">
        <v>99</v>
      </c>
      <c r="J1377" s="1"/>
      <c r="M1377" s="15" t="s">
        <v>794</v>
      </c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377" s="15" t="str">
        <f>_xlfn.TEXTBEFORE(_xlfn.TEXTAFTER(CantoralDB[[#This Row],[index.html]],"&gt;"),"&gt;")&amp;"&gt;"</f>
        <v>&lt;a href="canciones/nuevas/el_señor_esta_en_medio_de_ti.html"&gt;</v>
      </c>
      <c r="X1377"/>
      <c r="AB1377" s="1"/>
    </row>
    <row r="1378" spans="1:28" x14ac:dyDescent="0.3">
      <c r="A1378" s="1">
        <f>ROW(CantoralDB[[#This Row],[Título]])-1</f>
        <v>1377</v>
      </c>
      <c r="B1378" s="1" t="s">
        <v>2751</v>
      </c>
      <c r="C1378" s="1"/>
      <c r="F1378" s="1">
        <v>374</v>
      </c>
      <c r="J1378" s="1"/>
      <c r="M1378" s="15" t="s">
        <v>794</v>
      </c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378" s="15" t="str">
        <f>_xlfn.TEXTBEFORE(_xlfn.TEXTAFTER(CantoralDB[[#This Row],[index.html]],"&gt;"),"&gt;")&amp;"&gt;"</f>
        <v>&lt;a href="canciones/nuevas/en_el_cielo_se_oye.html"&gt;</v>
      </c>
      <c r="X1378"/>
      <c r="AB1378" s="1"/>
    </row>
    <row r="1379" spans="1:28" x14ac:dyDescent="0.3">
      <c r="A1379" s="1">
        <f>ROW(CantoralDB[[#This Row],[Título]])-1</f>
        <v>1378</v>
      </c>
      <c r="B1379" s="1" t="s">
        <v>2156</v>
      </c>
      <c r="C1379" s="15"/>
      <c r="H1379" s="1" t="s">
        <v>530</v>
      </c>
      <c r="J1379" s="1" t="s">
        <v>607</v>
      </c>
      <c r="M1379" s="15" t="s">
        <v>794</v>
      </c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379" s="15" t="str">
        <f>_xlfn.TEXTBEFORE(_xlfn.TEXTAFTER(CantoralDB[[#This Row],[index.html]],"&gt;"),"&gt;")&amp;"&gt;"</f>
        <v>&lt;a href="canciones/nuevas/en_los_brazos_de_una_virgen.html"&gt;</v>
      </c>
      <c r="X1379"/>
      <c r="AB1379" s="1"/>
    </row>
    <row r="1380" spans="1:28" x14ac:dyDescent="0.3">
      <c r="A1380" s="1">
        <f>ROW(CantoralDB[[#This Row],[Título]])-1</f>
        <v>1379</v>
      </c>
      <c r="B1380" s="1" t="s">
        <v>2451</v>
      </c>
      <c r="C1380" s="1"/>
      <c r="F1380" s="1">
        <v>69</v>
      </c>
      <c r="J1380" s="1"/>
      <c r="M1380" s="15" t="s">
        <v>794</v>
      </c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1380" s="15" t="str">
        <f>_xlfn.TEXTBEFORE(_xlfn.TEXTAFTER(CantoralDB[[#This Row],[index.html]],"&gt;"),"&gt;")&amp;"&gt;"</f>
        <v>&lt;a href="canciones/nuevas/entregame.html"&gt;</v>
      </c>
      <c r="X1380"/>
      <c r="AB1380" s="1"/>
    </row>
    <row r="1381" spans="1:28" x14ac:dyDescent="0.3">
      <c r="A1381" s="1">
        <f>ROW(CantoralDB[[#This Row],[Título]])-1</f>
        <v>1380</v>
      </c>
      <c r="B1381" s="1" t="s">
        <v>2801</v>
      </c>
      <c r="C1381" s="1"/>
      <c r="F1381" s="1">
        <v>413</v>
      </c>
      <c r="J1381" s="1"/>
      <c r="M1381" s="15" t="s">
        <v>794</v>
      </c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381" s="15" t="str">
        <f>_xlfn.TEXTBEFORE(_xlfn.TEXTAFTER(CantoralDB[[#This Row],[index.html]],"&gt;"),"&gt;")&amp;"&gt;"</f>
        <v>&lt;a href="canciones/nuevas/es_la_confianza.html"&gt;</v>
      </c>
      <c r="X1381"/>
      <c r="AB1381" s="1"/>
    </row>
    <row r="1382" spans="1:28" x14ac:dyDescent="0.3">
      <c r="A1382" s="1">
        <f>ROW(CantoralDB[[#This Row],[Título]])-1</f>
        <v>1381</v>
      </c>
      <c r="B1382" s="1" t="s">
        <v>2159</v>
      </c>
      <c r="C1382" s="15"/>
      <c r="H1382" s="1" t="s">
        <v>530</v>
      </c>
      <c r="J1382" s="1" t="s">
        <v>607</v>
      </c>
      <c r="M1382" s="15" t="s">
        <v>794</v>
      </c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382" s="1"/>
      <c r="T1382" s="1"/>
      <c r="U1382" s="32" t="s">
        <v>3000</v>
      </c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382" s="15" t="str">
        <f>_xlfn.TEXTBEFORE(_xlfn.TEXTAFTER(CantoralDB[[#This Row],[index.html]],"&gt;"),"&gt;")&amp;"&gt;"</f>
        <v>&lt;a href="canciones/nuevas/es_maria_la_blanca_paloma.html"&gt;</v>
      </c>
      <c r="X1382"/>
      <c r="AB1382" s="1"/>
    </row>
    <row r="1383" spans="1:28" x14ac:dyDescent="0.3">
      <c r="A1383" s="1">
        <f>ROW(CantoralDB[[#This Row],[Título]])-1</f>
        <v>1382</v>
      </c>
      <c r="B1383" s="1" t="s">
        <v>2657</v>
      </c>
      <c r="C1383" s="1"/>
      <c r="F1383" s="1">
        <v>279</v>
      </c>
      <c r="J1383" s="1"/>
      <c r="M1383" s="15" t="s">
        <v>794</v>
      </c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383" s="15" t="str">
        <f>_xlfn.TEXTBEFORE(_xlfn.TEXTAFTER(CantoralDB[[#This Row],[index.html]],"&gt;"),"&gt;")&amp;"&gt;"</f>
        <v>&lt;a href="canciones/nuevas/es_necesario_morir.html"&gt;</v>
      </c>
      <c r="X1383"/>
      <c r="AB1383" s="1"/>
    </row>
    <row r="1384" spans="1:28" x14ac:dyDescent="0.3">
      <c r="A1384" s="1">
        <f>ROW(CantoralDB[[#This Row],[Título]])-1</f>
        <v>1383</v>
      </c>
      <c r="B1384" s="1" t="s">
        <v>2422</v>
      </c>
      <c r="C1384" s="1"/>
      <c r="F1384" s="1">
        <v>44</v>
      </c>
      <c r="J1384" s="1"/>
      <c r="M1384" s="15" t="s">
        <v>794</v>
      </c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1384" s="15" t="str">
        <f>_xlfn.TEXTBEFORE(_xlfn.TEXTAFTER(CantoralDB[[#This Row],[index.html]],"&gt;"),"&gt;")&amp;"&gt;"</f>
        <v>&lt;a href="canciones/nuevas/espiritu_santo_ven.html"&gt;</v>
      </c>
      <c r="X1384"/>
      <c r="AB1384" s="1"/>
    </row>
    <row r="1385" spans="1:28" x14ac:dyDescent="0.3">
      <c r="A1385" s="1">
        <f>ROW(CantoralDB[[#This Row],[Título]])-1</f>
        <v>1384</v>
      </c>
      <c r="B1385" s="1" t="s">
        <v>2534</v>
      </c>
      <c r="C1385" s="1"/>
      <c r="F1385" s="1">
        <v>147</v>
      </c>
      <c r="J1385" s="1"/>
      <c r="M1385" s="15" t="s">
        <v>794</v>
      </c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385" s="15" t="str">
        <f>_xlfn.TEXTBEFORE(_xlfn.TEXTAFTER(CantoralDB[[#This Row],[index.html]],"&gt;"),"&gt;")&amp;"&gt;"</f>
        <v>&lt;a href="canciones/nuevas/esta_alegria_no_va_a_pasar.html"&gt;</v>
      </c>
      <c r="X1385"/>
      <c r="AB1385" s="1"/>
    </row>
    <row r="1386" spans="1:28" x14ac:dyDescent="0.3">
      <c r="A1386" s="1">
        <f>ROW(CantoralDB[[#This Row],[Título]])-1</f>
        <v>1385</v>
      </c>
      <c r="B1386" s="1" t="s">
        <v>2388</v>
      </c>
      <c r="C1386" s="1"/>
      <c r="F1386" s="1">
        <v>8</v>
      </c>
      <c r="H1386" s="1" t="s">
        <v>1026</v>
      </c>
      <c r="J1386" s="1" t="s">
        <v>607</v>
      </c>
      <c r="M1386" s="15" t="s">
        <v>794</v>
      </c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1386" s="15" t="str">
        <f>_xlfn.TEXTBEFORE(_xlfn.TEXTAFTER(CantoralDB[[#This Row],[index.html]],"&gt;"),"&gt;")&amp;"&gt;"</f>
        <v>&lt;a href="canciones/nuevas/estamos_de_fiesta.html"&gt;</v>
      </c>
      <c r="X1386"/>
      <c r="AB1386" s="1"/>
    </row>
    <row r="1387" spans="1:28" x14ac:dyDescent="0.3">
      <c r="A1387" s="1">
        <f>ROW(CantoralDB[[#This Row],[Título]])-1</f>
        <v>1386</v>
      </c>
      <c r="B1387" s="1" t="s">
        <v>2578</v>
      </c>
      <c r="C1387" s="1"/>
      <c r="F1387" s="1">
        <v>188</v>
      </c>
      <c r="J1387" s="1"/>
      <c r="M1387" s="15" t="s">
        <v>794</v>
      </c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387" s="15" t="str">
        <f>_xlfn.TEXTBEFORE(_xlfn.TEXTAFTER(CantoralDB[[#This Row],[index.html]],"&gt;"),"&gt;")&amp;"&gt;"</f>
        <v>&lt;a href="canciones/nuevas/estoy_alegre_porque_soy_de_cristo.html"&gt;</v>
      </c>
      <c r="X1387"/>
      <c r="AB1387" s="1"/>
    </row>
    <row r="1388" spans="1:28" x14ac:dyDescent="0.3">
      <c r="A1388" s="1">
        <f>ROW(CantoralDB[[#This Row],[Título]])-1</f>
        <v>1387</v>
      </c>
      <c r="B1388" s="1" t="s">
        <v>2556</v>
      </c>
      <c r="C1388" s="1"/>
      <c r="F1388" s="1">
        <v>167</v>
      </c>
      <c r="J1388" s="1"/>
      <c r="M1388" s="15" t="s">
        <v>794</v>
      </c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388" s="15" t="str">
        <f>_xlfn.TEXTBEFORE(_xlfn.TEXTAFTER(CantoralDB[[#This Row],[index.html]],"&gt;"),"&gt;")&amp;"&gt;"</f>
        <v>&lt;a href="canciones/nuevas/estoy_cantando_alegre.html"&gt;</v>
      </c>
      <c r="X1388"/>
      <c r="AB1388" s="1"/>
    </row>
    <row r="1389" spans="1:28" x14ac:dyDescent="0.3">
      <c r="A1389" s="1">
        <f>ROW(CantoralDB[[#This Row],[Título]])-1</f>
        <v>1388</v>
      </c>
      <c r="B1389" s="1" t="s">
        <v>2161</v>
      </c>
      <c r="C1389" s="15"/>
      <c r="J1389" s="1" t="s">
        <v>607</v>
      </c>
      <c r="L1389" s="1" t="s">
        <v>2960</v>
      </c>
      <c r="M1389" s="15" t="s">
        <v>794</v>
      </c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389" s="1"/>
      <c r="T1389" s="1"/>
      <c r="U1389" s="32" t="s">
        <v>3001</v>
      </c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389" s="15" t="str">
        <f>_xlfn.TEXTBEFORE(_xlfn.TEXTAFTER(CantoralDB[[#This Row],[index.html]],"&gt;"),"&gt;")&amp;"&gt;"</f>
        <v>&lt;a href="canciones/nuevas/evenu_shalom_alejem.html"&gt;</v>
      </c>
      <c r="X1389"/>
      <c r="AB1389" s="1"/>
    </row>
    <row r="1390" spans="1:28" x14ac:dyDescent="0.3">
      <c r="A1390" s="1">
        <f>ROW(CantoralDB[[#This Row],[Título]])-1</f>
        <v>1389</v>
      </c>
      <c r="B1390" s="1" t="s">
        <v>2738</v>
      </c>
      <c r="C1390" s="1"/>
      <c r="F1390" s="1">
        <v>362</v>
      </c>
      <c r="J1390" s="1"/>
      <c r="M1390" s="15" t="s">
        <v>794</v>
      </c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390" s="15" t="str">
        <f>_xlfn.TEXTBEFORE(_xlfn.TEXTAFTER(CantoralDB[[#This Row],[index.html]],"&gt;"),"&gt;")&amp;"&gt;"</f>
        <v>&lt;a href="canciones/nuevas/exaltando_a_jesus.html"&gt;</v>
      </c>
      <c r="X1390"/>
      <c r="AB1390" s="1"/>
    </row>
    <row r="1391" spans="1:28" x14ac:dyDescent="0.3">
      <c r="A1391" s="1">
        <f>ROW(CantoralDB[[#This Row],[Título]])-1</f>
        <v>1390</v>
      </c>
      <c r="B1391" s="1" t="s">
        <v>2610</v>
      </c>
      <c r="C1391" s="1"/>
      <c r="F1391" s="1">
        <v>227</v>
      </c>
      <c r="J1391" s="1"/>
      <c r="M1391" s="15" t="s">
        <v>794</v>
      </c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391" s="15" t="str">
        <f>_xlfn.TEXTBEFORE(_xlfn.TEXTAFTER(CantoralDB[[#This Row],[index.html]],"&gt;"),"&gt;")&amp;"&gt;"</f>
        <v>&lt;a href="canciones/nuevas/gloria_a_ti_por_siempre.html"&gt;</v>
      </c>
      <c r="X1391"/>
      <c r="AB1391" s="1"/>
    </row>
    <row r="1392" spans="1:28" x14ac:dyDescent="0.3">
      <c r="A1392" s="1">
        <f>ROW(CantoralDB[[#This Row],[Título]])-1</f>
        <v>1391</v>
      </c>
      <c r="B1392" s="1" t="s">
        <v>2689</v>
      </c>
      <c r="C1392" s="1"/>
      <c r="F1392" s="1">
        <v>314</v>
      </c>
      <c r="J1392" s="1"/>
      <c r="M1392" s="15" t="s">
        <v>794</v>
      </c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392" s="15" t="str">
        <f>_xlfn.TEXTBEFORE(_xlfn.TEXTAFTER(CantoralDB[[#This Row],[index.html]],"&gt;"),"&gt;")&amp;"&gt;"</f>
        <v>&lt;a href="canciones/nuevas/gracias_por_lo_que_haces_por_mi.html"&gt;</v>
      </c>
      <c r="X1392"/>
      <c r="AB1392" s="1"/>
    </row>
    <row r="1393" spans="1:28" x14ac:dyDescent="0.3">
      <c r="A1393" s="1">
        <f>ROW(CantoralDB[[#This Row],[Título]])-1</f>
        <v>1392</v>
      </c>
      <c r="B1393" s="1" t="s">
        <v>2572</v>
      </c>
      <c r="C1393" s="1"/>
      <c r="F1393" s="1">
        <v>182</v>
      </c>
      <c r="J1393" s="1"/>
      <c r="M1393" s="15" t="s">
        <v>794</v>
      </c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393" s="15" t="str">
        <f>_xlfn.TEXTBEFORE(_xlfn.TEXTAFTER(CantoralDB[[#This Row],[index.html]],"&gt;"),"&gt;")&amp;"&gt;"</f>
        <v>&lt;a href="canciones/nuevas/hay_momentos.html"&gt;</v>
      </c>
      <c r="X1393"/>
      <c r="AB1393" s="1"/>
    </row>
    <row r="1394" spans="1:28" x14ac:dyDescent="0.3">
      <c r="A1394" s="1">
        <f>ROW(CantoralDB[[#This Row],[Título]])-1</f>
        <v>1393</v>
      </c>
      <c r="B1394" s="1" t="s">
        <v>2836</v>
      </c>
      <c r="C1394" s="1"/>
      <c r="F1394" s="1">
        <v>444</v>
      </c>
      <c r="J1394" s="1"/>
      <c r="M1394" s="15" t="s">
        <v>794</v>
      </c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394" s="15" t="str">
        <f>_xlfn.TEXTBEFORE(_xlfn.TEXTAFTER(CantoralDB[[#This Row],[index.html]],"&gt;"),"&gt;")&amp;"&gt;"</f>
        <v>&lt;a href="canciones/nuevas/hay_que_volver_a_nacer_de_nuevo.html"&gt;</v>
      </c>
      <c r="X1394"/>
      <c r="AB1394" s="1"/>
    </row>
    <row r="1395" spans="1:28" x14ac:dyDescent="0.3">
      <c r="A1395" s="1">
        <f>ROW(CantoralDB[[#This Row],[Título]])-1</f>
        <v>1394</v>
      </c>
      <c r="B1395" s="1" t="s">
        <v>2727</v>
      </c>
      <c r="C1395" s="1"/>
      <c r="F1395" s="1">
        <v>352</v>
      </c>
      <c r="J1395" s="1"/>
      <c r="M1395" s="15" t="s">
        <v>794</v>
      </c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395" s="15" t="str">
        <f>_xlfn.TEXTBEFORE(_xlfn.TEXTAFTER(CantoralDB[[#This Row],[index.html]],"&gt;"),"&gt;")&amp;"&gt;"</f>
        <v>&lt;a href="canciones/nuevas/hay_una_fuente_en_mi.html"&gt;</v>
      </c>
      <c r="X1395"/>
      <c r="AB1395" s="1"/>
    </row>
    <row r="1396" spans="1:28" x14ac:dyDescent="0.3">
      <c r="A1396" s="1">
        <f>ROW(CantoralDB[[#This Row],[Título]])-1</f>
        <v>1395</v>
      </c>
      <c r="B1396" s="1" t="s">
        <v>2700</v>
      </c>
      <c r="C1396" s="1"/>
      <c r="F1396" s="1">
        <v>327</v>
      </c>
      <c r="J1396" s="1"/>
      <c r="M1396" s="15" t="s">
        <v>794</v>
      </c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396" s="15" t="str">
        <f>_xlfn.TEXTBEFORE(_xlfn.TEXTAFTER(CantoralDB[[#This Row],[index.html]],"&gt;"),"&gt;")&amp;"&gt;"</f>
        <v>&lt;a href="canciones/nuevas/haz_de_mi_una_ofrenda.html"&gt;</v>
      </c>
      <c r="X1396"/>
      <c r="AB1396" s="1"/>
    </row>
    <row r="1397" spans="1:28" x14ac:dyDescent="0.3">
      <c r="A1397" s="1">
        <f>ROW(CantoralDB[[#This Row],[Título]])-1</f>
        <v>1396</v>
      </c>
      <c r="B1397" s="1" t="s">
        <v>2641</v>
      </c>
      <c r="C1397" s="1"/>
      <c r="F1397" s="1">
        <v>264</v>
      </c>
      <c r="J1397" s="1"/>
      <c r="M1397" s="15" t="s">
        <v>794</v>
      </c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397" s="15" t="str">
        <f>_xlfn.TEXTBEFORE(_xlfn.TEXTAFTER(CantoralDB[[#This Row],[index.html]],"&gt;"),"&gt;")&amp;"&gt;"</f>
        <v>&lt;a href="canciones/nuevas/honor_y_gloria_a_tu_nombre.html"&gt;</v>
      </c>
      <c r="X1397"/>
      <c r="AB1397" s="1"/>
    </row>
    <row r="1398" spans="1:28" x14ac:dyDescent="0.3">
      <c r="A1398" s="1">
        <f>ROW(CantoralDB[[#This Row],[Título]])-1</f>
        <v>1397</v>
      </c>
      <c r="B1398" s="1" t="s">
        <v>2449</v>
      </c>
      <c r="C1398" s="1"/>
      <c r="F1398" s="1">
        <v>66</v>
      </c>
      <c r="J1398" s="1"/>
      <c r="M1398" s="15" t="s">
        <v>794</v>
      </c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1398" s="15" t="str">
        <f>_xlfn.TEXTBEFORE(_xlfn.TEXTAFTER(CantoralDB[[#This Row],[index.html]],"&gt;"),"&gt;")&amp;"&gt;"</f>
        <v>&lt;a href="canciones/nuevas/hoy_el_señor_me_llamo.html"&gt;</v>
      </c>
      <c r="X1398"/>
      <c r="AB1398" s="1"/>
    </row>
    <row r="1399" spans="1:28" x14ac:dyDescent="0.3">
      <c r="A1399" s="1">
        <f>ROW(CantoralDB[[#This Row],[Título]])-1</f>
        <v>1398</v>
      </c>
      <c r="B1399" s="1" t="s">
        <v>2435</v>
      </c>
      <c r="C1399" s="1"/>
      <c r="F1399" s="1">
        <v>54</v>
      </c>
      <c r="J1399" s="1"/>
      <c r="M1399" s="15" t="s">
        <v>794</v>
      </c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1399" s="15" t="str">
        <f>_xlfn.TEXTBEFORE(_xlfn.TEXTAFTER(CantoralDB[[#This Row],[index.html]],"&gt;"),"&gt;")&amp;"&gt;"</f>
        <v>&lt;a href="canciones/nuevas/hoy_perdoname.html"&gt;</v>
      </c>
      <c r="X1399"/>
      <c r="AB1399" s="1"/>
    </row>
    <row r="1400" spans="1:28" x14ac:dyDescent="0.3">
      <c r="A1400" s="1">
        <f>ROW(CantoralDB[[#This Row],[Título]])-1</f>
        <v>1399</v>
      </c>
      <c r="B1400" s="1" t="s">
        <v>2402</v>
      </c>
      <c r="C1400" s="1"/>
      <c r="F1400" s="1">
        <v>23</v>
      </c>
      <c r="J1400" s="1"/>
      <c r="M1400" s="15" t="s">
        <v>794</v>
      </c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1400" s="15" t="str">
        <f>_xlfn.TEXTBEFORE(_xlfn.TEXTAFTER(CantoralDB[[#This Row],[index.html]],"&gt;"),"&gt;")&amp;"&gt;"</f>
        <v>&lt;a href="canciones/nuevas/inunda_mi_ser.html"&gt;</v>
      </c>
      <c r="X1400"/>
      <c r="AB1400" s="1"/>
    </row>
    <row r="1401" spans="1:28" x14ac:dyDescent="0.3">
      <c r="A1401" s="1">
        <f>ROW(CantoralDB[[#This Row],[Título]])-1</f>
        <v>1400</v>
      </c>
      <c r="B1401" s="1" t="s">
        <v>2567</v>
      </c>
      <c r="C1401" s="1"/>
      <c r="F1401" s="1">
        <v>178</v>
      </c>
      <c r="J1401" s="1"/>
      <c r="M1401" s="15" t="s">
        <v>794</v>
      </c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401" s="15" t="str">
        <f>_xlfn.TEXTBEFORE(_xlfn.TEXTAFTER(CantoralDB[[#This Row],[index.html]],"&gt;"),"&gt;")&amp;"&gt;"</f>
        <v>&lt;a href="canciones/nuevas/jesucristo_es_tan_grande.html"&gt;</v>
      </c>
      <c r="X1401"/>
      <c r="AB1401" s="1"/>
    </row>
    <row r="1402" spans="1:28" x14ac:dyDescent="0.3">
      <c r="A1402" s="1">
        <f>ROW(CantoralDB[[#This Row],[Título]])-1</f>
        <v>1401</v>
      </c>
      <c r="B1402" s="1" t="s">
        <v>2680</v>
      </c>
      <c r="C1402" s="1"/>
      <c r="F1402" s="1">
        <v>304</v>
      </c>
      <c r="J1402" s="1"/>
      <c r="M1402" s="15" t="s">
        <v>794</v>
      </c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402" s="15" t="str">
        <f>_xlfn.TEXTBEFORE(_xlfn.TEXTAFTER(CantoralDB[[#This Row],[index.html]],"&gt;"),"&gt;")&amp;"&gt;"</f>
        <v>&lt;a href="canciones/nuevas/jesus_(asis).html"&gt;</v>
      </c>
      <c r="X1402"/>
      <c r="AB1402" s="1"/>
    </row>
    <row r="1403" spans="1:28" x14ac:dyDescent="0.3">
      <c r="A1403" s="1">
        <f>ROW(CantoralDB[[#This Row],[Título]])-1</f>
        <v>1402</v>
      </c>
      <c r="B1403" s="1" t="s">
        <v>2785</v>
      </c>
      <c r="C1403" s="1"/>
      <c r="F1403" s="1">
        <v>403</v>
      </c>
      <c r="J1403" s="1"/>
      <c r="M1403" s="15" t="s">
        <v>794</v>
      </c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403" s="15" t="str">
        <f>_xlfn.TEXTBEFORE(_xlfn.TEXTAFTER(CantoralDB[[#This Row],[index.html]],"&gt;"),"&gt;")&amp;"&gt;"</f>
        <v>&lt;a href="canciones/nuevas/la_paz_este_con_nosotros.html"&gt;</v>
      </c>
      <c r="X1403"/>
      <c r="AB1403" s="1"/>
    </row>
    <row r="1404" spans="1:28" x14ac:dyDescent="0.3">
      <c r="A1404" s="1">
        <f>ROW(CantoralDB[[#This Row],[Título]])-1</f>
        <v>1403</v>
      </c>
      <c r="B1404" s="1" t="s">
        <v>2592</v>
      </c>
      <c r="C1404" s="1"/>
      <c r="F1404" s="1">
        <v>204</v>
      </c>
      <c r="J1404" s="1"/>
      <c r="M1404" s="15" t="s">
        <v>794</v>
      </c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404" s="15" t="str">
        <f>_xlfn.TEXTBEFORE(_xlfn.TEXTAFTER(CantoralDB[[#This Row],[index.html]],"&gt;"),"&gt;")&amp;"&gt;"</f>
        <v>&lt;a href="canciones/nuevas/laudato_sii_o_mi_signore.html"&gt;</v>
      </c>
      <c r="X1404"/>
      <c r="AB1404" s="1"/>
    </row>
    <row r="1405" spans="1:28" x14ac:dyDescent="0.3">
      <c r="A1405" s="1">
        <f>ROW(CantoralDB[[#This Row],[Título]])-1</f>
        <v>1404</v>
      </c>
      <c r="B1405" s="1" t="s">
        <v>2601</v>
      </c>
      <c r="C1405" s="1"/>
      <c r="F1405" s="1">
        <v>217</v>
      </c>
      <c r="J1405" s="1"/>
      <c r="M1405" s="15" t="s">
        <v>794</v>
      </c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405" s="15" t="str">
        <f>_xlfn.TEXTBEFORE(_xlfn.TEXTAFTER(CantoralDB[[#This Row],[index.html]],"&gt;"),"&gt;")&amp;"&gt;"</f>
        <v>&lt;a href="canciones/nuevas/levantare_mis_manos.html"&gt;</v>
      </c>
      <c r="X1405"/>
      <c r="AB1405" s="1"/>
    </row>
    <row r="1406" spans="1:28" x14ac:dyDescent="0.3">
      <c r="A1406" s="1">
        <f>ROW(CantoralDB[[#This Row],[Título]])-1</f>
        <v>1405</v>
      </c>
      <c r="B1406" s="1" t="s">
        <v>2386</v>
      </c>
      <c r="C1406" s="1"/>
      <c r="F1406" s="1">
        <v>6</v>
      </c>
      <c r="H1406" s="1" t="s">
        <v>1029</v>
      </c>
      <c r="J1406" s="1" t="s">
        <v>607</v>
      </c>
      <c r="M1406" s="15" t="s">
        <v>794</v>
      </c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406" s="1"/>
      <c r="T1406" s="1"/>
      <c r="U1406" s="32" t="s">
        <v>3011</v>
      </c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1406" s="15" t="str">
        <f>_xlfn.TEXTBEFORE(_xlfn.TEXTAFTER(CantoralDB[[#This Row],[index.html]],"&gt;"),"&gt;")&amp;"&gt;"</f>
        <v>&lt;a href="canciones/nuevas/llename_señor.html"&gt;</v>
      </c>
      <c r="X1406"/>
      <c r="AB1406" s="1"/>
    </row>
    <row r="1407" spans="1:28" x14ac:dyDescent="0.3">
      <c r="A1407" s="1">
        <f>ROW(CantoralDB[[#This Row],[Título]])-1</f>
        <v>1406</v>
      </c>
      <c r="B1407" s="1" t="s">
        <v>2586</v>
      </c>
      <c r="C1407" s="1"/>
      <c r="F1407" s="1">
        <v>197</v>
      </c>
      <c r="J1407" s="1"/>
      <c r="M1407" s="15" t="s">
        <v>794</v>
      </c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407" s="15" t="str">
        <f>_xlfn.TEXTBEFORE(_xlfn.TEXTAFTER(CantoralDB[[#This Row],[index.html]],"&gt;"),"&gt;")&amp;"&gt;"</f>
        <v>&lt;a href="canciones/nuevas/los_que_esperan.html"&gt;</v>
      </c>
      <c r="X1407"/>
      <c r="AB1407" s="1"/>
    </row>
    <row r="1408" spans="1:28" x14ac:dyDescent="0.3">
      <c r="A1408" s="1">
        <f>ROW(CantoralDB[[#This Row],[Título]])-1</f>
        <v>1407</v>
      </c>
      <c r="B1408" s="1" t="s">
        <v>2596</v>
      </c>
      <c r="C1408" s="1"/>
      <c r="F1408" s="1">
        <v>211</v>
      </c>
      <c r="J1408" s="1"/>
      <c r="M1408" s="15" t="s">
        <v>794</v>
      </c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408" s="15" t="str">
        <f>_xlfn.TEXTBEFORE(_xlfn.TEXTAFTER(CantoralDB[[#This Row],[index.html]],"&gt;"),"&gt;")&amp;"&gt;"</f>
        <v>&lt;a href="canciones/nuevas/manos_abiertas_ante_ti.html"&gt;</v>
      </c>
      <c r="X1408"/>
      <c r="AB1408" s="1"/>
    </row>
    <row r="1409" spans="1:28" x14ac:dyDescent="0.3">
      <c r="A1409" s="1">
        <f>ROW(CantoralDB[[#This Row],[Título]])-1</f>
        <v>1408</v>
      </c>
      <c r="B1409" s="1" t="s">
        <v>2606</v>
      </c>
      <c r="C1409" s="1"/>
      <c r="F1409" s="1">
        <v>222</v>
      </c>
      <c r="J1409" s="1"/>
      <c r="M1409" s="15" t="s">
        <v>794</v>
      </c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409" s="15" t="str">
        <f>_xlfn.TEXTBEFORE(_xlfn.TEXTAFTER(CantoralDB[[#This Row],[index.html]],"&gt;"),"&gt;")&amp;"&gt;"</f>
        <v>&lt;a href="canciones/nuevas/manos_vacias.html"&gt;</v>
      </c>
      <c r="X1409"/>
      <c r="AB1409" s="1"/>
    </row>
    <row r="1410" spans="1:28" x14ac:dyDescent="0.3">
      <c r="A1410" s="1">
        <f>ROW(CantoralDB[[#This Row],[Título]])-1</f>
        <v>1409</v>
      </c>
      <c r="B1410" s="1" t="s">
        <v>2448</v>
      </c>
      <c r="C1410" s="1"/>
      <c r="F1410" s="1">
        <v>65</v>
      </c>
      <c r="J1410" s="1"/>
      <c r="M1410" s="15" t="s">
        <v>794</v>
      </c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1410" s="15" t="str">
        <f>_xlfn.TEXTBEFORE(_xlfn.TEXTAFTER(CantoralDB[[#This Row],[index.html]],"&gt;"),"&gt;")&amp;"&gt;"</f>
        <v>&lt;a href="canciones/nuevas/maravilloso.html"&gt;</v>
      </c>
      <c r="X1410"/>
      <c r="AB1410" s="1"/>
    </row>
    <row r="1411" spans="1:28" x14ac:dyDescent="0.3">
      <c r="A1411" s="1">
        <f>ROW(CantoralDB[[#This Row],[Título]])-1</f>
        <v>1410</v>
      </c>
      <c r="B1411" s="1" t="s">
        <v>2441</v>
      </c>
      <c r="C1411" s="1"/>
      <c r="F1411" s="1">
        <v>59</v>
      </c>
      <c r="J1411" s="1"/>
      <c r="M1411" s="15" t="s">
        <v>794</v>
      </c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1411" s="15" t="str">
        <f>_xlfn.TEXTBEFORE(_xlfn.TEXTAFTER(CantoralDB[[#This Row],[index.html]],"&gt;"),"&gt;")&amp;"&gt;"</f>
        <v>&lt;a href="canciones/nuevas/maravilloso_jesus_es_para_mi.html"&gt;</v>
      </c>
      <c r="X1411"/>
      <c r="AB1411" s="1"/>
    </row>
    <row r="1412" spans="1:28" x14ac:dyDescent="0.3">
      <c r="A1412" s="1">
        <f>ROW(CantoralDB[[#This Row],[Título]])-1</f>
        <v>1411</v>
      </c>
      <c r="B1412" s="1" t="s">
        <v>2421</v>
      </c>
      <c r="C1412" s="1"/>
      <c r="F1412" s="1">
        <v>43</v>
      </c>
      <c r="J1412" s="1"/>
      <c r="M1412" s="15" t="s">
        <v>794</v>
      </c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1412" s="15" t="str">
        <f>_xlfn.TEXTBEFORE(_xlfn.TEXTAFTER(CantoralDB[[#This Row],[index.html]],"&gt;"),"&gt;")&amp;"&gt;"</f>
        <v>&lt;a href="canciones/nuevas/me_alegrare.html"&gt;</v>
      </c>
      <c r="X1412"/>
      <c r="AB1412" s="1"/>
    </row>
    <row r="1413" spans="1:28" x14ac:dyDescent="0.3">
      <c r="A1413" s="1">
        <f>ROW(CantoralDB[[#This Row],[Título]])-1</f>
        <v>1412</v>
      </c>
      <c r="B1413" s="1" t="s">
        <v>2664</v>
      </c>
      <c r="C1413" s="1"/>
      <c r="F1413" s="1">
        <v>289</v>
      </c>
      <c r="J1413" s="1"/>
      <c r="M1413" s="15" t="s">
        <v>794</v>
      </c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413" s="15" t="str">
        <f>_xlfn.TEXTBEFORE(_xlfn.TEXTAFTER(CantoralDB[[#This Row],[index.html]],"&gt;"),"&gt;")&amp;"&gt;"</f>
        <v>&lt;a href="canciones/nuevas/me_gozare_me_alegrare.html"&gt;</v>
      </c>
      <c r="X1413"/>
      <c r="AB1413" s="1"/>
    </row>
    <row r="1414" spans="1:28" x14ac:dyDescent="0.3">
      <c r="A1414" s="1">
        <f>ROW(CantoralDB[[#This Row],[Título]])-1</f>
        <v>1413</v>
      </c>
      <c r="B1414" s="1" t="s">
        <v>2774</v>
      </c>
      <c r="C1414" s="1"/>
      <c r="F1414" s="1">
        <v>392</v>
      </c>
      <c r="J1414" s="1"/>
      <c r="M1414" s="15" t="s">
        <v>794</v>
      </c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414" s="15" t="str">
        <f>_xlfn.TEXTBEFORE(_xlfn.TEXTAFTER(CantoralDB[[#This Row],[index.html]],"&gt;"),"&gt;")&amp;"&gt;"</f>
        <v>&lt;a href="canciones/nuevas/me_llaman_aleluya.html"&gt;</v>
      </c>
      <c r="X1414"/>
      <c r="AB1414" s="1"/>
    </row>
    <row r="1415" spans="1:28" x14ac:dyDescent="0.3">
      <c r="A1415" s="1">
        <f>ROW(CantoralDB[[#This Row],[Título]])-1</f>
        <v>1414</v>
      </c>
      <c r="B1415" s="1" t="s">
        <v>2632</v>
      </c>
      <c r="C1415" s="1"/>
      <c r="F1415" s="1">
        <v>256</v>
      </c>
      <c r="J1415" s="1"/>
      <c r="M1415" s="15" t="s">
        <v>794</v>
      </c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415" s="15" t="str">
        <f>_xlfn.TEXTBEFORE(_xlfn.TEXTAFTER(CantoralDB[[#This Row],[index.html]],"&gt;"),"&gt;")&amp;"&gt;"</f>
        <v>&lt;a href="canciones/nuevas/me_sedujiste_señor.html"&gt;</v>
      </c>
      <c r="X1415"/>
      <c r="AB1415" s="1"/>
    </row>
    <row r="1416" spans="1:28" x14ac:dyDescent="0.3">
      <c r="A1416" s="1">
        <f>ROW(CantoralDB[[#This Row],[Título]])-1</f>
        <v>1415</v>
      </c>
      <c r="B1416" s="1" t="s">
        <v>2521</v>
      </c>
      <c r="C1416" s="1"/>
      <c r="F1416" s="1">
        <v>132</v>
      </c>
      <c r="J1416" s="1"/>
      <c r="M1416" s="15" t="s">
        <v>794</v>
      </c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416" s="15" t="str">
        <f>_xlfn.TEXTBEFORE(_xlfn.TEXTAFTER(CantoralDB[[#This Row],[index.html]],"&gt;"),"&gt;")&amp;"&gt;"</f>
        <v>&lt;a href="canciones/nuevas/mi_alma_alaba_al_señor.html"&gt;</v>
      </c>
      <c r="X1416"/>
      <c r="AB1416" s="1"/>
    </row>
    <row r="1417" spans="1:28" x14ac:dyDescent="0.3">
      <c r="A1417" s="1">
        <f>ROW(CantoralDB[[#This Row],[Título]])-1</f>
        <v>1416</v>
      </c>
      <c r="B1417" s="1" t="s">
        <v>2756</v>
      </c>
      <c r="C1417" s="1"/>
      <c r="F1417" s="1">
        <v>378</v>
      </c>
      <c r="J1417" s="1"/>
      <c r="M1417" s="15" t="s">
        <v>794</v>
      </c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417" s="15" t="str">
        <f>_xlfn.TEXTBEFORE(_xlfn.TEXTAFTER(CantoralDB[[#This Row],[index.html]],"&gt;"),"&gt;")&amp;"&gt;"</f>
        <v>&lt;a href="canciones/nuevas/mi_pensamiento_eres_tu.html"&gt;</v>
      </c>
      <c r="X1417"/>
      <c r="AB1417" s="1"/>
    </row>
    <row r="1418" spans="1:28" x14ac:dyDescent="0.3">
      <c r="A1418" s="1">
        <f>ROW(CantoralDB[[#This Row],[Título]])-1</f>
        <v>1417</v>
      </c>
      <c r="B1418" s="1" t="s">
        <v>2461</v>
      </c>
      <c r="C1418" s="1"/>
      <c r="F1418" s="1">
        <v>79</v>
      </c>
      <c r="J1418" s="1"/>
      <c r="M1418" s="15" t="s">
        <v>794</v>
      </c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1418" s="15" t="str">
        <f>_xlfn.TEXTBEFORE(_xlfn.TEXTAFTER(CantoralDB[[#This Row],[index.html]],"&gt;"),"&gt;")&amp;"&gt;"</f>
        <v>&lt;a href="canciones/nuevas/moviste_mi_corazon.html"&gt;</v>
      </c>
      <c r="X1418"/>
      <c r="AB1418" s="1"/>
    </row>
    <row r="1419" spans="1:28" x14ac:dyDescent="0.3">
      <c r="A1419" s="1">
        <f>ROW(CantoralDB[[#This Row],[Título]])-1</f>
        <v>1418</v>
      </c>
      <c r="B1419" s="1" t="s">
        <v>2478</v>
      </c>
      <c r="C1419" s="1"/>
      <c r="F1419" s="1">
        <v>95</v>
      </c>
      <c r="J1419" s="1"/>
      <c r="M1419" s="15" t="s">
        <v>794</v>
      </c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1419" s="15" t="str">
        <f>_xlfn.TEXTBEFORE(_xlfn.TEXTAFTER(CantoralDB[[#This Row],[index.html]],"&gt;"),"&gt;")&amp;"&gt;"</f>
        <v>&lt;a href="canciones/nuevas/muchos_hermanos_aqui.html"&gt;</v>
      </c>
      <c r="X1419"/>
      <c r="AB1419" s="1"/>
    </row>
    <row r="1420" spans="1:28" x14ac:dyDescent="0.3">
      <c r="A1420" s="1">
        <f>ROW(CantoralDB[[#This Row],[Título]])-1</f>
        <v>1419</v>
      </c>
      <c r="B1420" s="1" t="s">
        <v>2706</v>
      </c>
      <c r="C1420" s="1"/>
      <c r="F1420" s="1">
        <v>335</v>
      </c>
      <c r="J1420" s="1"/>
      <c r="M1420" s="15" t="s">
        <v>794</v>
      </c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420" s="15" t="str">
        <f>_xlfn.TEXTBEFORE(_xlfn.TEXTAFTER(CantoralDB[[#This Row],[index.html]],"&gt;"),"&gt;")&amp;"&gt;"</f>
        <v>&lt;a href="canciones/nuevas/no_hay_nadie_como_mi_dios.html"&gt;</v>
      </c>
      <c r="X1420"/>
      <c r="AB1420" s="1"/>
    </row>
    <row r="1421" spans="1:28" x14ac:dyDescent="0.3">
      <c r="A1421" s="1">
        <f>ROW(CantoralDB[[#This Row],[Título]])-1</f>
        <v>1420</v>
      </c>
      <c r="B1421" s="1" t="s">
        <v>2651</v>
      </c>
      <c r="C1421" s="1"/>
      <c r="F1421" s="1">
        <v>274</v>
      </c>
      <c r="J1421" s="1"/>
      <c r="M1421" s="15" t="s">
        <v>794</v>
      </c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421" s="15" t="str">
        <f>_xlfn.TEXTBEFORE(_xlfn.TEXTAFTER(CantoralDB[[#This Row],[index.html]],"&gt;"),"&gt;")&amp;"&gt;"</f>
        <v>&lt;a href="canciones/nuevas/no_puede_estar_triste.html"&gt;</v>
      </c>
      <c r="X1421"/>
      <c r="AB1421" s="1"/>
    </row>
    <row r="1422" spans="1:28" x14ac:dyDescent="0.3">
      <c r="A1422" s="1">
        <f>ROW(CantoralDB[[#This Row],[Título]])-1</f>
        <v>1421</v>
      </c>
      <c r="B1422" s="1" t="s">
        <v>2471</v>
      </c>
      <c r="C1422" s="1"/>
      <c r="F1422" s="1">
        <v>88</v>
      </c>
      <c r="J1422" s="1"/>
      <c r="M1422" s="15" t="s">
        <v>794</v>
      </c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1422" s="15" t="str">
        <f>_xlfn.TEXTBEFORE(_xlfn.TEXTAFTER(CantoralDB[[#This Row],[index.html]],"&gt;"),"&gt;")&amp;"&gt;"</f>
        <v>&lt;a href="canciones/nuevas/nombra_a_jesus.html"&gt;</v>
      </c>
      <c r="X1422"/>
      <c r="AB1422" s="1"/>
    </row>
    <row r="1423" spans="1:28" x14ac:dyDescent="0.3">
      <c r="A1423" s="1">
        <f>ROW(CantoralDB[[#This Row],[Título]])-1</f>
        <v>1422</v>
      </c>
      <c r="B1423" s="1" t="s">
        <v>2620</v>
      </c>
      <c r="C1423" s="1"/>
      <c r="F1423" s="1">
        <v>240</v>
      </c>
      <c r="J1423" s="1"/>
      <c r="M1423" s="15" t="s">
        <v>794</v>
      </c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423" s="15" t="str">
        <f>_xlfn.TEXTBEFORE(_xlfn.TEXTAFTER(CantoralDB[[#This Row],[index.html]],"&gt;"),"&gt;")&amp;"&gt;"</f>
        <v>&lt;a href="canciones/nuevas/oh_aleluya.html"&gt;</v>
      </c>
      <c r="X1423"/>
      <c r="AB1423" s="1"/>
    </row>
    <row r="1424" spans="1:28" x14ac:dyDescent="0.3">
      <c r="A1424" s="1">
        <f>ROW(CantoralDB[[#This Row],[Título]])-1</f>
        <v>1423</v>
      </c>
      <c r="B1424" s="1" t="s">
        <v>2466</v>
      </c>
      <c r="C1424" s="1"/>
      <c r="F1424" s="1">
        <v>83</v>
      </c>
      <c r="J1424" s="1"/>
      <c r="M1424" s="15" t="s">
        <v>794</v>
      </c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1424" s="15" t="str">
        <f>_xlfn.TEXTBEFORE(_xlfn.TEXTAFTER(CantoralDB[[#This Row],[index.html]],"&gt;"),"&gt;")&amp;"&gt;"</f>
        <v>&lt;a href="canciones/nuevas/oh_oh_oh_padre.html"&gt;</v>
      </c>
      <c r="X1424"/>
      <c r="AB1424" s="1"/>
    </row>
    <row r="1425" spans="1:28" x14ac:dyDescent="0.3">
      <c r="A1425" s="1">
        <f>ROW(CantoralDB[[#This Row],[Título]])-1</f>
        <v>1424</v>
      </c>
      <c r="B1425" s="1" t="s">
        <v>2404</v>
      </c>
      <c r="C1425" s="1"/>
      <c r="F1425" s="1">
        <v>25</v>
      </c>
      <c r="J1425" s="1"/>
      <c r="M1425" s="15" t="s">
        <v>794</v>
      </c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1425" s="15" t="str">
        <f>_xlfn.TEXTBEFORE(_xlfn.TEXTAFTER(CantoralDB[[#This Row],[index.html]],"&gt;"),"&gt;")&amp;"&gt;"</f>
        <v>&lt;a href="canciones/nuevas/oh_padre_yo_te_amo.html"&gt;</v>
      </c>
      <c r="X1425"/>
      <c r="AB1425" s="1"/>
    </row>
    <row r="1426" spans="1:28" x14ac:dyDescent="0.3">
      <c r="A1426" s="1">
        <f>ROW(CantoralDB[[#This Row],[Título]])-1</f>
        <v>1425</v>
      </c>
      <c r="B1426" s="1" t="s">
        <v>2460</v>
      </c>
      <c r="C1426" s="1"/>
      <c r="F1426" s="1">
        <v>78</v>
      </c>
      <c r="J1426" s="1"/>
      <c r="M1426" s="15" t="s">
        <v>794</v>
      </c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1426" s="15" t="str">
        <f>_xlfn.TEXTBEFORE(_xlfn.TEXTAFTER(CantoralDB[[#This Row],[index.html]],"&gt;"),"&gt;")&amp;"&gt;"</f>
        <v>&lt;a href="canciones/nuevas/oh_ven_ven_y_deleitate.html"&gt;</v>
      </c>
      <c r="X1426"/>
      <c r="AB1426" s="1"/>
    </row>
    <row r="1427" spans="1:28" x14ac:dyDescent="0.3">
      <c r="A1427" s="1">
        <f>ROW(CantoralDB[[#This Row],[Título]])-1</f>
        <v>1426</v>
      </c>
      <c r="B1427" s="1" t="s">
        <v>2837</v>
      </c>
      <c r="C1427" s="1"/>
      <c r="F1427" s="1">
        <v>445</v>
      </c>
      <c r="J1427" s="1"/>
      <c r="M1427" s="15" t="s">
        <v>794</v>
      </c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427" s="15" t="str">
        <f>_xlfn.TEXTBEFORE(_xlfn.TEXTAFTER(CantoralDB[[#This Row],[index.html]],"&gt;"),"&gt;")&amp;"&gt;"</f>
        <v>&lt;a href="canciones/nuevas/pa_arriba.html"&gt;</v>
      </c>
      <c r="X1427"/>
      <c r="AB1427" s="1"/>
    </row>
    <row r="1428" spans="1:28" x14ac:dyDescent="0.3">
      <c r="A1428" s="1">
        <f>ROW(CantoralDB[[#This Row],[Título]])-1</f>
        <v>1427</v>
      </c>
      <c r="B1428" s="1" t="s">
        <v>196</v>
      </c>
      <c r="C1428" s="1"/>
      <c r="F1428" s="1">
        <v>114</v>
      </c>
      <c r="J1428" s="1"/>
      <c r="M1428" s="15" t="s">
        <v>794</v>
      </c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428" s="15" t="str">
        <f>_xlfn.TEXTBEFORE(_xlfn.TEXTAFTER(CantoralDB[[#This Row],[index.html]],"&gt;"),"&gt;")&amp;"&gt;"</f>
        <v>&lt;a href="canciones/nuevas/padrenuestro.html"&gt;</v>
      </c>
      <c r="X1428"/>
      <c r="AB1428" s="1"/>
    </row>
    <row r="1429" spans="1:28" x14ac:dyDescent="0.3">
      <c r="A1429" s="1">
        <f>ROW(CantoralDB[[#This Row],[Título]])-1</f>
        <v>1428</v>
      </c>
      <c r="B1429" s="1" t="s">
        <v>2609</v>
      </c>
      <c r="C1429" s="1"/>
      <c r="F1429" s="1">
        <v>225</v>
      </c>
      <c r="J1429" s="1"/>
      <c r="M1429" s="15" t="s">
        <v>794</v>
      </c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429" s="15" t="str">
        <f>_xlfn.TEXTBEFORE(_xlfn.TEXTAFTER(CantoralDB[[#This Row],[index.html]],"&gt;"),"&gt;")&amp;"&gt;"</f>
        <v>&lt;a href="canciones/nuevas/pequeño_como_una_brisa.html"&gt;</v>
      </c>
      <c r="X1429"/>
      <c r="AB1429" s="1"/>
    </row>
    <row r="1430" spans="1:28" x14ac:dyDescent="0.3">
      <c r="A1430" s="1">
        <f>ROW(CantoralDB[[#This Row],[Título]])-1</f>
        <v>1429</v>
      </c>
      <c r="B1430" s="1" t="s">
        <v>2640</v>
      </c>
      <c r="C1430" s="1"/>
      <c r="F1430" s="1">
        <v>263</v>
      </c>
      <c r="J1430" s="1"/>
      <c r="M1430" s="15" t="s">
        <v>794</v>
      </c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430" s="15" t="str">
        <f>_xlfn.TEXTBEFORE(_xlfn.TEXTAFTER(CantoralDB[[#This Row],[index.html]],"&gt;"),"&gt;")&amp;"&gt;"</f>
        <v>&lt;a href="canciones/nuevas/pon_hoy_la_llama_de_amor.html"&gt;</v>
      </c>
      <c r="X1430"/>
      <c r="AB1430" s="1"/>
    </row>
    <row r="1431" spans="1:28" x14ac:dyDescent="0.3">
      <c r="A1431" s="1">
        <f>ROW(CantoralDB[[#This Row],[Título]])-1</f>
        <v>1430</v>
      </c>
      <c r="B1431" s="1" t="s">
        <v>2612</v>
      </c>
      <c r="C1431" s="1"/>
      <c r="F1431" s="1">
        <v>230</v>
      </c>
      <c r="J1431" s="1"/>
      <c r="M1431" s="15" t="s">
        <v>794</v>
      </c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431" s="15" t="str">
        <f>_xlfn.TEXTBEFORE(_xlfn.TEXTAFTER(CantoralDB[[#This Row],[index.html]],"&gt;"),"&gt;")&amp;"&gt;"</f>
        <v>&lt;a href="canciones/nuevas/porque_para_siempre_dios.html"&gt;</v>
      </c>
      <c r="X1431"/>
      <c r="AB1431" s="1"/>
    </row>
    <row r="1432" spans="1:28" x14ac:dyDescent="0.3">
      <c r="A1432" s="1">
        <f>ROW(CantoralDB[[#This Row],[Título]])-1</f>
        <v>1431</v>
      </c>
      <c r="B1432" s="1" t="s">
        <v>2783</v>
      </c>
      <c r="C1432" s="1"/>
      <c r="F1432" s="1">
        <v>399</v>
      </c>
      <c r="J1432" s="1"/>
      <c r="M1432" s="15" t="s">
        <v>794</v>
      </c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432" s="15" t="str">
        <f>_xlfn.TEXTBEFORE(_xlfn.TEXTAFTER(CantoralDB[[#This Row],[index.html]],"&gt;"),"&gt;")&amp;"&gt;"</f>
        <v>&lt;a href="canciones/nuevas/porque_tu_eres_bueno.html"&gt;</v>
      </c>
      <c r="X1432"/>
      <c r="AB1432" s="1"/>
    </row>
    <row r="1433" spans="1:28" x14ac:dyDescent="0.3">
      <c r="A1433" s="1">
        <f>ROW(CantoralDB[[#This Row],[Título]])-1</f>
        <v>1432</v>
      </c>
      <c r="B1433" s="1" t="s">
        <v>2463</v>
      </c>
      <c r="C1433" s="1"/>
      <c r="F1433" s="1">
        <v>81</v>
      </c>
      <c r="J1433" s="1"/>
      <c r="M1433" s="15" t="s">
        <v>794</v>
      </c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1433" s="15" t="str">
        <f>_xlfn.TEXTBEFORE(_xlfn.TEXTAFTER(CantoralDB[[#This Row],[index.html]],"&gt;"),"&gt;")&amp;"&gt;"</f>
        <v>&lt;a href="canciones/nuevas/pueblo_de_dios.html"&gt;</v>
      </c>
      <c r="X1433"/>
      <c r="AB1433" s="1"/>
    </row>
    <row r="1434" spans="1:28" x14ac:dyDescent="0.3">
      <c r="A1434" s="1">
        <f>ROW(CantoralDB[[#This Row],[Título]])-1</f>
        <v>1433</v>
      </c>
      <c r="B1434" s="1" t="s">
        <v>2713</v>
      </c>
      <c r="C1434" s="1"/>
      <c r="F1434" s="1">
        <v>342</v>
      </c>
      <c r="J1434" s="1"/>
      <c r="M1434" s="15" t="s">
        <v>794</v>
      </c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434" s="15" t="str">
        <f>_xlfn.TEXTBEFORE(_xlfn.TEXTAFTER(CantoralDB[[#This Row],[index.html]],"&gt;"),"&gt;")&amp;"&gt;"</f>
        <v>&lt;a href="canciones/nuevas/queremos_ser.html"&gt;</v>
      </c>
      <c r="X1434"/>
      <c r="AB1434" s="1"/>
    </row>
    <row r="1435" spans="1:28" x14ac:dyDescent="0.3">
      <c r="A1435" s="1">
        <f>ROW(CantoralDB[[#This Row],[Título]])-1</f>
        <v>1434</v>
      </c>
      <c r="B1435" s="1" t="s">
        <v>2615</v>
      </c>
      <c r="C1435" s="1"/>
      <c r="F1435" s="1">
        <v>234</v>
      </c>
      <c r="J1435" s="1"/>
      <c r="M1435" s="15" t="s">
        <v>794</v>
      </c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435" s="15" t="str">
        <f>_xlfn.TEXTBEFORE(_xlfn.TEXTAFTER(CantoralDB[[#This Row],[index.html]],"&gt;"),"&gt;")&amp;"&gt;"</f>
        <v>&lt;a href="canciones/nuevas/quiero_levantar_mis_manos.html"&gt;</v>
      </c>
      <c r="X1435"/>
      <c r="AB1435" s="1"/>
    </row>
    <row r="1436" spans="1:28" x14ac:dyDescent="0.3">
      <c r="A1436" s="1">
        <f>ROW(CantoralDB[[#This Row],[Título]])-1</f>
        <v>1435</v>
      </c>
      <c r="B1436" s="1" t="s">
        <v>2714</v>
      </c>
      <c r="C1436" s="1"/>
      <c r="F1436" s="1">
        <v>343</v>
      </c>
      <c r="J1436" s="1"/>
      <c r="M1436" s="15" t="s">
        <v>794</v>
      </c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436" s="15" t="str">
        <f>_xlfn.TEXTBEFORE(_xlfn.TEXTAFTER(CantoralDB[[#This Row],[index.html]],"&gt;"),"&gt;")&amp;"&gt;"</f>
        <v>&lt;a href="canciones/nuevas/quiero_llenar_tu_trono_de_alabanza.html"&gt;</v>
      </c>
      <c r="X1436"/>
      <c r="AB1436" s="1"/>
    </row>
    <row r="1437" spans="1:28" x14ac:dyDescent="0.3">
      <c r="A1437" s="1">
        <f>ROW(CantoralDB[[#This Row],[Título]])-1</f>
        <v>1436</v>
      </c>
      <c r="B1437" s="1" t="s">
        <v>2731</v>
      </c>
      <c r="C1437" s="1"/>
      <c r="F1437" s="1">
        <v>356</v>
      </c>
      <c r="J1437" s="1"/>
      <c r="M1437" s="15" t="s">
        <v>794</v>
      </c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437" s="15" t="str">
        <f>_xlfn.TEXTBEFORE(_xlfn.TEXTAFTER(CantoralDB[[#This Row],[index.html]],"&gt;"),"&gt;")&amp;"&gt;"</f>
        <v>&lt;a href="canciones/nuevas/reina_en_mi.html"&gt;</v>
      </c>
      <c r="X1437"/>
      <c r="AB1437" s="1"/>
    </row>
    <row r="1438" spans="1:28" x14ac:dyDescent="0.3">
      <c r="A1438" s="1">
        <f>ROW(CantoralDB[[#This Row],[Título]])-1</f>
        <v>1437</v>
      </c>
      <c r="B1438" s="1" t="s">
        <v>2406</v>
      </c>
      <c r="C1438" s="1"/>
      <c r="F1438" s="1">
        <v>28</v>
      </c>
      <c r="J1438" s="1"/>
      <c r="M1438" s="15" t="s">
        <v>794</v>
      </c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38" s="15" t="str">
        <f>_xlfn.TEXTBEFORE(_xlfn.TEXTAFTER(CantoralDB[[#This Row],[index.html]],"&gt;"),"&gt;")&amp;"&gt;"</f>
        <v>&lt;a href="canciones/nuevas/rey_de_reyes.html"&gt;</v>
      </c>
      <c r="X1438"/>
      <c r="AB1438" s="1"/>
    </row>
    <row r="1439" spans="1:28" x14ac:dyDescent="0.3">
      <c r="A1439" s="1">
        <f>ROW(CantoralDB[[#This Row],[Título]])-1</f>
        <v>1438</v>
      </c>
      <c r="B1439" s="1" t="s">
        <v>2406</v>
      </c>
      <c r="C1439" s="1"/>
      <c r="F1439" s="1">
        <v>138</v>
      </c>
      <c r="J1439" s="1"/>
      <c r="M1439" s="15" t="s">
        <v>794</v>
      </c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39" s="15" t="str">
        <f>_xlfn.TEXTBEFORE(_xlfn.TEXTAFTER(CantoralDB[[#This Row],[index.html]],"&gt;"),"&gt;")&amp;"&gt;"</f>
        <v>&lt;a href="canciones/nuevas/rey_de_reyes.html"&gt;</v>
      </c>
      <c r="X1439"/>
      <c r="AB1439" s="1"/>
    </row>
    <row r="1440" spans="1:28" x14ac:dyDescent="0.3">
      <c r="A1440" s="1">
        <f>ROW(CantoralDB[[#This Row],[Título]])-1</f>
        <v>1439</v>
      </c>
      <c r="B1440" s="1" t="s">
        <v>1756</v>
      </c>
      <c r="C1440" s="1"/>
      <c r="F1440" s="1">
        <v>86</v>
      </c>
      <c r="J1440" s="1"/>
      <c r="M1440" s="15" t="s">
        <v>794</v>
      </c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1440" s="15" t="str">
        <f>_xlfn.TEXTBEFORE(_xlfn.TEXTAFTER(CantoralDB[[#This Row],[index.html]],"&gt;"),"&gt;")&amp;"&gt;"</f>
        <v>&lt;a href="canciones/nuevas/ruah.html"&gt;</v>
      </c>
      <c r="X1440"/>
      <c r="AB1440" s="1"/>
    </row>
    <row r="1441" spans="1:28" x14ac:dyDescent="0.3">
      <c r="A1441" s="1">
        <f>ROW(CantoralDB[[#This Row],[Título]])-1</f>
        <v>1440</v>
      </c>
      <c r="B1441" s="1" t="s">
        <v>2625</v>
      </c>
      <c r="C1441" s="1"/>
      <c r="F1441" s="1">
        <v>245</v>
      </c>
      <c r="J1441" s="1"/>
      <c r="M1441" s="15" t="s">
        <v>794</v>
      </c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441" s="15" t="str">
        <f>_xlfn.TEXTBEFORE(_xlfn.TEXTAFTER(CantoralDB[[#This Row],[index.html]],"&gt;"),"&gt;")&amp;"&gt;"</f>
        <v>&lt;a href="canciones/nuevas/salvador_para_todos.html"&gt;</v>
      </c>
      <c r="X1441"/>
      <c r="AB1441" s="1"/>
    </row>
    <row r="1442" spans="1:28" x14ac:dyDescent="0.3">
      <c r="A1442" s="1">
        <f>ROW(CantoralDB[[#This Row],[Título]])-1</f>
        <v>1441</v>
      </c>
      <c r="B1442" s="1" t="s">
        <v>559</v>
      </c>
      <c r="C1442" s="1"/>
      <c r="F1442" s="1">
        <v>161</v>
      </c>
      <c r="J1442" s="1"/>
      <c r="M1442" s="15" t="s">
        <v>794</v>
      </c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442" s="15" t="str">
        <f>_xlfn.TEXTBEFORE(_xlfn.TEXTAFTER(CantoralDB[[#This Row],[index.html]],"&gt;"),"&gt;")&amp;"&gt;"</f>
        <v>&lt;a href="canciones/nuevas/santo_es_el_señor.html"&gt;</v>
      </c>
      <c r="X1442"/>
      <c r="AB1442" s="1"/>
    </row>
    <row r="1443" spans="1:28" x14ac:dyDescent="0.3">
      <c r="A1443" s="1">
        <f>ROW(CantoralDB[[#This Row],[Título]])-1</f>
        <v>1442</v>
      </c>
      <c r="B1443" s="1" t="s">
        <v>2454</v>
      </c>
      <c r="C1443" s="1"/>
      <c r="F1443" s="1">
        <v>71</v>
      </c>
      <c r="J1443" s="1"/>
      <c r="M1443" s="15" t="s">
        <v>794</v>
      </c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1443" s="15" t="str">
        <f>_xlfn.TEXTBEFORE(_xlfn.TEXTAFTER(CantoralDB[[#This Row],[index.html]],"&gt;"),"&gt;")&amp;"&gt;"</f>
        <v>&lt;a href="canciones/nuevas/santo_dios_de_fuerza_y_poder.html"&gt;</v>
      </c>
      <c r="X1443"/>
      <c r="AB1443" s="1"/>
    </row>
    <row r="1444" spans="1:28" x14ac:dyDescent="0.3">
      <c r="A1444" s="1">
        <f>ROW(CantoralDB[[#This Row],[Título]])-1</f>
        <v>1443</v>
      </c>
      <c r="B1444" s="1" t="s">
        <v>2455</v>
      </c>
      <c r="C1444" s="1"/>
      <c r="F1444" s="1">
        <v>72</v>
      </c>
      <c r="J1444" s="1"/>
      <c r="M1444" s="15" t="s">
        <v>794</v>
      </c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1444" s="15" t="str">
        <f>_xlfn.TEXTBEFORE(_xlfn.TEXTAFTER(CantoralDB[[#This Row],[index.html]],"&gt;"),"&gt;")&amp;"&gt;"</f>
        <v>&lt;a href="canciones/nuevas/santo_dios_de_los_hombres.html"&gt;</v>
      </c>
      <c r="X1444"/>
      <c r="AB1444" s="1"/>
    </row>
    <row r="1445" spans="1:28" x14ac:dyDescent="0.3">
      <c r="A1445" s="1">
        <f>ROW(CantoralDB[[#This Row],[Título]])-1</f>
        <v>1444</v>
      </c>
      <c r="B1445" s="1" t="s">
        <v>2767</v>
      </c>
      <c r="C1445" s="1"/>
      <c r="F1445" s="1">
        <v>388</v>
      </c>
      <c r="J1445" s="1"/>
      <c r="M1445" s="15" t="s">
        <v>794</v>
      </c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445" s="15" t="str">
        <f>_xlfn.TEXTBEFORE(_xlfn.TEXTAFTER(CantoralDB[[#This Row],[index.html]],"&gt;"),"&gt;")&amp;"&gt;"</f>
        <v>&lt;a href="canciones/nuevas/se_encienden_las_velas.html"&gt;</v>
      </c>
      <c r="X1445"/>
      <c r="AB1445" s="1"/>
    </row>
    <row r="1446" spans="1:28" x14ac:dyDescent="0.3">
      <c r="A1446" s="1">
        <f>ROW(CantoralDB[[#This Row],[Título]])-1</f>
        <v>1445</v>
      </c>
      <c r="B1446" s="1" t="s">
        <v>2411</v>
      </c>
      <c r="C1446" s="1"/>
      <c r="F1446" s="1">
        <v>33</v>
      </c>
      <c r="J1446" s="1"/>
      <c r="M1446" s="15" t="s">
        <v>794</v>
      </c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1446" s="15" t="str">
        <f>_xlfn.TEXTBEFORE(_xlfn.TEXTAFTER(CantoralDB[[#This Row],[index.html]],"&gt;"),"&gt;")&amp;"&gt;"</f>
        <v>&lt;a href="canciones/nuevas/sea_la_gloria.html"&gt;</v>
      </c>
      <c r="X1446"/>
      <c r="AB1446" s="1"/>
    </row>
    <row r="1447" spans="1:28" x14ac:dyDescent="0.3">
      <c r="A1447" s="1">
        <f>ROW(CantoralDB[[#This Row],[Título]])-1</f>
        <v>1446</v>
      </c>
      <c r="B1447" s="1" t="s">
        <v>2407</v>
      </c>
      <c r="C1447" s="1"/>
      <c r="F1447" s="1">
        <v>29</v>
      </c>
      <c r="J1447" s="1"/>
      <c r="M1447" s="15" t="s">
        <v>794</v>
      </c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1447" s="15" t="str">
        <f>_xlfn.TEXTBEFORE(_xlfn.TEXTAFTER(CantoralDB[[#This Row],[index.html]],"&gt;"),"&gt;")&amp;"&gt;"</f>
        <v>&lt;a href="canciones/nuevas/seguid_unidos_a_mi.html"&gt;</v>
      </c>
      <c r="X1447"/>
      <c r="AB1447" s="1"/>
    </row>
    <row r="1448" spans="1:28" x14ac:dyDescent="0.3">
      <c r="A1448" s="1">
        <f>ROW(CantoralDB[[#This Row],[Título]])-1</f>
        <v>1447</v>
      </c>
      <c r="B1448" s="1" t="s">
        <v>2782</v>
      </c>
      <c r="C1448" s="1"/>
      <c r="F1448" s="1">
        <v>398</v>
      </c>
      <c r="J1448" s="1"/>
      <c r="M1448" s="15" t="s">
        <v>794</v>
      </c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448" s="15" t="str">
        <f>_xlfn.TEXTBEFORE(_xlfn.TEXTAFTER(CantoralDB[[#This Row],[index.html]],"&gt;"),"&gt;")&amp;"&gt;"</f>
        <v>&lt;a href="canciones/nuevas/señor_llevame_a_tus_atrios.html"&gt;</v>
      </c>
      <c r="X1448"/>
      <c r="AB1448" s="1"/>
    </row>
    <row r="1449" spans="1:28" x14ac:dyDescent="0.3">
      <c r="A1449" s="1">
        <f>ROW(CantoralDB[[#This Row],[Título]])-1</f>
        <v>1448</v>
      </c>
      <c r="B1449" s="1" t="s">
        <v>2401</v>
      </c>
      <c r="C1449" s="1"/>
      <c r="F1449" s="1">
        <v>21</v>
      </c>
      <c r="J1449" s="1"/>
      <c r="M1449" s="15" t="s">
        <v>794</v>
      </c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1449" s="15" t="str">
        <f>_xlfn.TEXTBEFORE(_xlfn.TEXTAFTER(CantoralDB[[#This Row],[index.html]],"&gt;"),"&gt;")&amp;"&gt;"</f>
        <v>&lt;a href="canciones/nuevas/shema_israel.html"&gt;</v>
      </c>
      <c r="X1449"/>
      <c r="AB1449" s="1"/>
    </row>
    <row r="1450" spans="1:28" x14ac:dyDescent="0.3">
      <c r="A1450" s="1">
        <f>ROW(CantoralDB[[#This Row],[Título]])-1</f>
        <v>1449</v>
      </c>
      <c r="B1450" s="1" t="s">
        <v>2543</v>
      </c>
      <c r="C1450" s="1"/>
      <c r="F1450" s="1">
        <v>156</v>
      </c>
      <c r="J1450" s="1"/>
      <c r="M1450" s="15" t="s">
        <v>794</v>
      </c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450" s="15" t="str">
        <f>_xlfn.TEXTBEFORE(_xlfn.TEXTAFTER(CantoralDB[[#This Row],[index.html]],"&gt;"),"&gt;")&amp;"&gt;"</f>
        <v>&lt;a href="canciones/nuevas/si_el_espiritu_de_dios.html"&gt;</v>
      </c>
      <c r="X1450"/>
      <c r="AB1450" s="1"/>
    </row>
    <row r="1451" spans="1:28" x14ac:dyDescent="0.3">
      <c r="A1451" s="1">
        <f>ROW(CantoralDB[[#This Row],[Título]])-1</f>
        <v>1450</v>
      </c>
      <c r="B1451" s="1" t="s">
        <v>2564</v>
      </c>
      <c r="C1451" s="1"/>
      <c r="F1451" s="1">
        <v>174</v>
      </c>
      <c r="J1451" s="1"/>
      <c r="M1451" s="15" t="s">
        <v>794</v>
      </c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451" s="15" t="str">
        <f>_xlfn.TEXTBEFORE(_xlfn.TEXTAFTER(CantoralDB[[#This Row],[index.html]],"&gt;"),"&gt;")&amp;"&gt;"</f>
        <v>&lt;a href="canciones/nuevas/si_es_verdad_que_dios_te_quiere.html"&gt;</v>
      </c>
      <c r="X1451"/>
      <c r="AB1451" s="1"/>
    </row>
    <row r="1452" spans="1:28" x14ac:dyDescent="0.3">
      <c r="A1452" s="1">
        <f>ROW(CantoralDB[[#This Row],[Título]])-1</f>
        <v>1451</v>
      </c>
      <c r="B1452" s="1" t="s">
        <v>2403</v>
      </c>
      <c r="C1452" s="1"/>
      <c r="F1452" s="1">
        <v>24</v>
      </c>
      <c r="J1452" s="1"/>
      <c r="M1452" s="15" t="s">
        <v>794</v>
      </c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1452" s="15" t="str">
        <f>_xlfn.TEXTBEFORE(_xlfn.TEXTAFTER(CantoralDB[[#This Row],[index.html]],"&gt;"),"&gt;")&amp;"&gt;"</f>
        <v>&lt;a href="canciones/nuevas/si_tuvieras_fe_como_un_granito_de_mostaza.html"&gt;</v>
      </c>
      <c r="X1452"/>
      <c r="AB1452" s="1"/>
    </row>
    <row r="1453" spans="1:28" x14ac:dyDescent="0.3">
      <c r="A1453" s="1">
        <f>ROW(CantoralDB[[#This Row],[Título]])-1</f>
        <v>1452</v>
      </c>
      <c r="B1453" s="1" t="s">
        <v>2420</v>
      </c>
      <c r="C1453" s="1"/>
      <c r="F1453" s="1">
        <v>42</v>
      </c>
      <c r="J1453" s="1"/>
      <c r="M1453" s="15" t="s">
        <v>794</v>
      </c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1453" s="15" t="str">
        <f>_xlfn.TEXTBEFORE(_xlfn.TEXTAFTER(CantoralDB[[#This Row],[index.html]],"&gt;"),"&gt;")&amp;"&gt;"</f>
        <v>&lt;a href="canciones/nuevas/si_yo_confio_en_el_señor.html"&gt;</v>
      </c>
      <c r="X1453"/>
      <c r="AB1453" s="1"/>
    </row>
    <row r="1454" spans="1:28" x14ac:dyDescent="0.3">
      <c r="A1454" s="1">
        <f>ROW(CantoralDB[[#This Row],[Título]])-1</f>
        <v>1453</v>
      </c>
      <c r="B1454" s="1" t="s">
        <v>2780</v>
      </c>
      <c r="C1454" s="1"/>
      <c r="F1454" s="1">
        <v>397</v>
      </c>
      <c r="J1454" s="1"/>
      <c r="M1454" s="15" t="s">
        <v>794</v>
      </c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454" s="15" t="str">
        <f>_xlfn.TEXTBEFORE(_xlfn.TEXTAFTER(CantoralDB[[#This Row],[index.html]],"&gt;"),"&gt;")&amp;"&gt;"</f>
        <v>&lt;a href="canciones/nuevas/siento_que_tus_ojos_me_miran.html"&gt;</v>
      </c>
      <c r="X1454"/>
      <c r="AB1454" s="1"/>
    </row>
    <row r="1455" spans="1:28" x14ac:dyDescent="0.3">
      <c r="A1455" s="1">
        <f>ROW(CantoralDB[[#This Row],[Título]])-1</f>
        <v>1454</v>
      </c>
      <c r="B1455" s="1" t="s">
        <v>2707</v>
      </c>
      <c r="C1455" s="1"/>
      <c r="F1455" s="1">
        <v>336</v>
      </c>
      <c r="J1455" s="1"/>
      <c r="M1455" s="15" t="s">
        <v>794</v>
      </c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455" s="15" t="str">
        <f>_xlfn.TEXTBEFORE(_xlfn.TEXTAFTER(CantoralDB[[#This Row],[index.html]],"&gt;"),"&gt;")&amp;"&gt;"</f>
        <v>&lt;a href="canciones/nuevas/te_alabaran_oh_señor.html"&gt;</v>
      </c>
      <c r="X1455"/>
      <c r="AB1455" s="1"/>
    </row>
    <row r="1456" spans="1:28" x14ac:dyDescent="0.3">
      <c r="A1456" s="1">
        <f>ROW(CantoralDB[[#This Row],[Título]])-1</f>
        <v>1455</v>
      </c>
      <c r="B1456" s="1" t="s">
        <v>2746</v>
      </c>
      <c r="C1456" s="1"/>
      <c r="F1456" s="1">
        <v>371</v>
      </c>
      <c r="J1456" s="1"/>
      <c r="M1456" s="15" t="s">
        <v>794</v>
      </c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456" s="15" t="str">
        <f>_xlfn.TEXTBEFORE(_xlfn.TEXTAFTER(CantoralDB[[#This Row],[index.html]],"&gt;"),"&gt;")&amp;"&gt;"</f>
        <v>&lt;a href="canciones/nuevas/te_damos_gloria.html"&gt;</v>
      </c>
      <c r="X1456"/>
      <c r="AB1456" s="1"/>
    </row>
    <row r="1457" spans="1:28" x14ac:dyDescent="0.3">
      <c r="A1457" s="1">
        <f>ROW(CantoralDB[[#This Row],[Título]])-1</f>
        <v>1456</v>
      </c>
      <c r="B1457" s="1" t="s">
        <v>2467</v>
      </c>
      <c r="C1457" s="1"/>
      <c r="F1457" s="1">
        <v>84</v>
      </c>
      <c r="J1457" s="1"/>
      <c r="M1457" s="15" t="s">
        <v>794</v>
      </c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1457" s="15" t="str">
        <f>_xlfn.TEXTBEFORE(_xlfn.TEXTAFTER(CantoralDB[[#This Row],[index.html]],"&gt;"),"&gt;")&amp;"&gt;"</f>
        <v>&lt;a href="canciones/nuevas/te_ensalzamos.html"&gt;</v>
      </c>
      <c r="X1457"/>
      <c r="AB1457" s="1"/>
    </row>
    <row r="1458" spans="1:28" x14ac:dyDescent="0.3">
      <c r="A1458" s="1">
        <f>ROW(CantoralDB[[#This Row],[Título]])-1</f>
        <v>1457</v>
      </c>
      <c r="B1458" s="1" t="s">
        <v>2405</v>
      </c>
      <c r="C1458" s="1"/>
      <c r="F1458" s="1">
        <v>27</v>
      </c>
      <c r="J1458" s="1"/>
      <c r="M1458" s="15" t="s">
        <v>794</v>
      </c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1458" s="15" t="str">
        <f>_xlfn.TEXTBEFORE(_xlfn.TEXTAFTER(CantoralDB[[#This Row],[index.html]],"&gt;"),"&gt;")&amp;"&gt;"</f>
        <v>&lt;a href="canciones/nuevas/tenemos_tanto.html"&gt;</v>
      </c>
      <c r="X1458"/>
      <c r="AB1458" s="1"/>
    </row>
    <row r="1459" spans="1:28" x14ac:dyDescent="0.3">
      <c r="A1459" s="1">
        <f>ROW(CantoralDB[[#This Row],[Título]])-1</f>
        <v>1458</v>
      </c>
      <c r="B1459" s="1" t="s">
        <v>2647</v>
      </c>
      <c r="C1459" s="1"/>
      <c r="F1459" s="1">
        <v>270</v>
      </c>
      <c r="J1459" s="1"/>
      <c r="M1459" s="15" t="s">
        <v>794</v>
      </c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459" s="15" t="str">
        <f>_xlfn.TEXTBEFORE(_xlfn.TEXTAFTER(CantoralDB[[#This Row],[index.html]],"&gt;"),"&gt;")&amp;"&gt;"</f>
        <v>&lt;a href="canciones/nuevas/tomame.html"&gt;</v>
      </c>
      <c r="X1459"/>
      <c r="AB1459" s="1"/>
    </row>
    <row r="1460" spans="1:28" x14ac:dyDescent="0.3">
      <c r="A1460" s="1">
        <f>ROW(CantoralDB[[#This Row],[Título]])-1</f>
        <v>1459</v>
      </c>
      <c r="B1460" s="1" t="s">
        <v>2419</v>
      </c>
      <c r="C1460" s="1"/>
      <c r="F1460" s="1">
        <v>40</v>
      </c>
      <c r="J1460" s="1"/>
      <c r="M1460" s="15" t="s">
        <v>794</v>
      </c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1460" s="15" t="str">
        <f>_xlfn.TEXTBEFORE(_xlfn.TEXTAFTER(CantoralDB[[#This Row],[index.html]],"&gt;"),"&gt;")&amp;"&gt;"</f>
        <v>&lt;a href="canciones/nuevas/tu_amor_sublime.html"&gt;</v>
      </c>
      <c r="X1460"/>
      <c r="AB1460" s="1"/>
    </row>
    <row r="1461" spans="1:28" x14ac:dyDescent="0.3">
      <c r="A1461" s="1">
        <f>ROW(CantoralDB[[#This Row],[Título]])-1</f>
        <v>1460</v>
      </c>
      <c r="B1461" s="1" t="s">
        <v>2450</v>
      </c>
      <c r="C1461" s="1"/>
      <c r="F1461" s="1">
        <v>67</v>
      </c>
      <c r="J1461" s="1"/>
      <c r="M1461" s="15" t="s">
        <v>794</v>
      </c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1461" s="15" t="str">
        <f>_xlfn.TEXTBEFORE(_xlfn.TEXTAFTER(CantoralDB[[#This Row],[index.html]],"&gt;"),"&gt;")&amp;"&gt;"</f>
        <v>&lt;a href="canciones/nuevas/tuya_es_la_gloria.html"&gt;</v>
      </c>
      <c r="X1461"/>
      <c r="AB1461" s="1"/>
    </row>
    <row r="1462" spans="1:28" x14ac:dyDescent="0.3">
      <c r="A1462" s="1">
        <f>ROW(CantoralDB[[#This Row],[Título]])-1</f>
        <v>1461</v>
      </c>
      <c r="B1462" s="1" t="s">
        <v>2488</v>
      </c>
      <c r="C1462" s="1"/>
      <c r="F1462" s="1">
        <v>106</v>
      </c>
      <c r="J1462" s="1"/>
      <c r="M1462" s="15" t="s">
        <v>794</v>
      </c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462" s="15" t="str">
        <f>_xlfn.TEXTBEFORE(_xlfn.TEXTAFTER(CantoralDB[[#This Row],[index.html]],"&gt;"),"&gt;")&amp;"&gt;"</f>
        <v>&lt;a href="canciones/nuevas/va_bajando_ya.html"&gt;</v>
      </c>
      <c r="X1462"/>
      <c r="AB1462" s="1"/>
    </row>
    <row r="1463" spans="1:28" x14ac:dyDescent="0.3">
      <c r="A1463" s="1">
        <f>ROW(CantoralDB[[#This Row],[Título]])-1</f>
        <v>1462</v>
      </c>
      <c r="B1463" s="1" t="s">
        <v>2723</v>
      </c>
      <c r="C1463" s="1"/>
      <c r="F1463" s="1">
        <v>349</v>
      </c>
      <c r="J1463" s="1"/>
      <c r="M1463" s="15" t="s">
        <v>794</v>
      </c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463" s="15" t="str">
        <f>_xlfn.TEXTBEFORE(_xlfn.TEXTAFTER(CantoralDB[[#This Row],[index.html]],"&gt;"),"&gt;")&amp;"&gt;"</f>
        <v>&lt;a href="canciones/nuevas/vamos_a_bendecir_al_señor.html"&gt;</v>
      </c>
      <c r="X1463"/>
      <c r="AB1463" s="1"/>
    </row>
    <row r="1464" spans="1:28" x14ac:dyDescent="0.3">
      <c r="A1464" s="1">
        <f>ROW(CantoralDB[[#This Row],[Título]])-1</f>
        <v>1463</v>
      </c>
      <c r="B1464" s="1" t="s">
        <v>2440</v>
      </c>
      <c r="C1464" s="1"/>
      <c r="F1464" s="1">
        <v>58</v>
      </c>
      <c r="J1464" s="1"/>
      <c r="M1464" s="15" t="s">
        <v>794</v>
      </c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464" s="1"/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1464" s="15" t="str">
        <f>_xlfn.TEXTBEFORE(_xlfn.TEXTAFTER(CantoralDB[[#This Row],[index.html]],"&gt;"),"&gt;")&amp;"&gt;"</f>
        <v>&lt;a href="canciones/nuevas/vamos_a_cantar.html"&gt;</v>
      </c>
      <c r="X1464"/>
      <c r="AB1464" s="1"/>
    </row>
    <row r="1465" spans="1:28" x14ac:dyDescent="0.3">
      <c r="A1465" s="1">
        <f>ROW(CantoralDB[[#This Row],[Título]])-1</f>
        <v>1464</v>
      </c>
      <c r="B1465" s="1" t="s">
        <v>2410</v>
      </c>
      <c r="C1465" s="1"/>
      <c r="F1465" s="1">
        <v>32</v>
      </c>
      <c r="J1465" s="1"/>
      <c r="M1465" s="15" t="s">
        <v>794</v>
      </c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1465" s="15" t="str">
        <f>_xlfn.TEXTBEFORE(_xlfn.TEXTAFTER(CantoralDB[[#This Row],[index.html]],"&gt;"),"&gt;")&amp;"&gt;"</f>
        <v>&lt;a href="canciones/nuevas/vamos_a_juntarnos.html"&gt;</v>
      </c>
      <c r="X1465"/>
      <c r="AB1465" s="1"/>
    </row>
    <row r="1466" spans="1:28" x14ac:dyDescent="0.3">
      <c r="A1466" s="1">
        <f>ROW(CantoralDB[[#This Row],[Título]])-1</f>
        <v>1465</v>
      </c>
      <c r="B1466" s="1" t="s">
        <v>2550</v>
      </c>
      <c r="C1466" s="1"/>
      <c r="F1466" s="1">
        <v>162</v>
      </c>
      <c r="J1466" s="1"/>
      <c r="M1466" s="15" t="s">
        <v>794</v>
      </c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466" s="15" t="str">
        <f>_xlfn.TEXTBEFORE(_xlfn.TEXTAFTER(CantoralDB[[#This Row],[index.html]],"&gt;"),"&gt;")&amp;"&gt;"</f>
        <v>&lt;a href="canciones/nuevas/vamos_con_gozo.html"&gt;</v>
      </c>
      <c r="X1466"/>
      <c r="AB1466" s="1"/>
    </row>
    <row r="1467" spans="1:28" x14ac:dyDescent="0.3">
      <c r="A1467" s="1">
        <f>ROW(CantoralDB[[#This Row],[Título]])-1</f>
        <v>1466</v>
      </c>
      <c r="B1467" s="1" t="s">
        <v>2168</v>
      </c>
      <c r="C1467" s="15"/>
      <c r="H1467" s="1" t="s">
        <v>1026</v>
      </c>
      <c r="J1467" s="1" t="s">
        <v>607</v>
      </c>
      <c r="M1467" s="15" t="s">
        <v>794</v>
      </c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467" s="15" t="str">
        <f>_xlfn.TEXTBEFORE(_xlfn.TEXTAFTER(CantoralDB[[#This Row],[index.html]],"&gt;"),"&gt;")&amp;"&gt;"</f>
        <v>&lt;a href="canciones/nuevas/vamos_amigos.html"&gt;</v>
      </c>
      <c r="X1467"/>
      <c r="AB1467" s="1"/>
    </row>
    <row r="1468" spans="1:28" x14ac:dyDescent="0.3">
      <c r="A1468" s="1">
        <f>ROW(CantoralDB[[#This Row],[Título]])-1</f>
        <v>1467</v>
      </c>
      <c r="B1468" s="1" t="s">
        <v>2608</v>
      </c>
      <c r="C1468" s="1"/>
      <c r="F1468" s="1">
        <v>224</v>
      </c>
      <c r="J1468" s="1"/>
      <c r="M1468" s="15" t="s">
        <v>794</v>
      </c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468" s="15" t="str">
        <f>_xlfn.TEXTBEFORE(_xlfn.TEXTAFTER(CantoralDB[[#This Row],[index.html]],"&gt;"),"&gt;")&amp;"&gt;"</f>
        <v>&lt;a href="canciones/nuevas/ven_a_conocer.html"&gt;</v>
      </c>
      <c r="X1468"/>
      <c r="AB1468" s="1"/>
    </row>
    <row r="1469" spans="1:28" x14ac:dyDescent="0.3">
      <c r="A1469" s="1">
        <f>ROW(CantoralDB[[#This Row],[Título]])-1</f>
        <v>1468</v>
      </c>
      <c r="B1469" s="1" t="s">
        <v>2656</v>
      </c>
      <c r="C1469" s="1"/>
      <c r="F1469" s="1">
        <v>278</v>
      </c>
      <c r="J1469" s="1"/>
      <c r="M1469" s="15" t="s">
        <v>794</v>
      </c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469" s="15" t="str">
        <f>_xlfn.TEXTBEFORE(_xlfn.TEXTAFTER(CantoralDB[[#This Row],[index.html]],"&gt;"),"&gt;")&amp;"&gt;"</f>
        <v>&lt;a href="canciones/nuevas/ven_ahora.html"&gt;</v>
      </c>
      <c r="X1469"/>
      <c r="AB1469" s="1"/>
    </row>
    <row r="1470" spans="1:28" x14ac:dyDescent="0.3">
      <c r="A1470" s="1">
        <f>ROW(CantoralDB[[#This Row],[Título]])-1</f>
        <v>1469</v>
      </c>
      <c r="B1470" s="1" t="s">
        <v>2807</v>
      </c>
      <c r="C1470" s="1"/>
      <c r="F1470" s="1">
        <v>418</v>
      </c>
      <c r="J1470" s="1"/>
      <c r="M1470" s="15" t="s">
        <v>794</v>
      </c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470" s="15" t="str">
        <f>_xlfn.TEXTBEFORE(_xlfn.TEXTAFTER(CantoralDB[[#This Row],[index.html]],"&gt;"),"&gt;")&amp;"&gt;"</f>
        <v>&lt;a href="canciones/nuevas/ven_al_corazon.html"&gt;</v>
      </c>
      <c r="X1470"/>
      <c r="AB1470" s="1"/>
    </row>
    <row r="1471" spans="1:28" x14ac:dyDescent="0.3">
      <c r="A1471" s="1">
        <f>ROW(CantoralDB[[#This Row],[Título]])-1</f>
        <v>1470</v>
      </c>
      <c r="B1471" s="1" t="s">
        <v>2660</v>
      </c>
      <c r="C1471" s="1"/>
      <c r="F1471" s="1">
        <v>283</v>
      </c>
      <c r="J1471" s="1"/>
      <c r="M1471" s="15" t="s">
        <v>794</v>
      </c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471" s="15" t="str">
        <f>_xlfn.TEXTBEFORE(_xlfn.TEXTAFTER(CantoralDB[[#This Row],[index.html]],"&gt;"),"&gt;")&amp;"&gt;"</f>
        <v>&lt;a href="canciones/nuevas/ven_amor_de_dios.html"&gt;</v>
      </c>
      <c r="X1471"/>
      <c r="AB1471" s="1"/>
    </row>
    <row r="1472" spans="1:28" x14ac:dyDescent="0.3">
      <c r="A1472" s="1">
        <f>ROW(CantoralDB[[#This Row],[Título]])-1</f>
        <v>1471</v>
      </c>
      <c r="B1472" s="1" t="s">
        <v>2437</v>
      </c>
      <c r="C1472" s="1"/>
      <c r="F1472" s="1">
        <v>55</v>
      </c>
      <c r="J1472" s="1"/>
      <c r="M1472" s="15" t="s">
        <v>794</v>
      </c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472" s="1"/>
      <c r="T1472" s="1"/>
      <c r="U1472" s="15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1472" s="15" t="str">
        <f>_xlfn.TEXTBEFORE(_xlfn.TEXTAFTER(CantoralDB[[#This Row],[index.html]],"&gt;"),"&gt;")&amp;"&gt;"</f>
        <v>&lt;a href="canciones/nuevas/ven_espiritu_divino.html"&gt;</v>
      </c>
      <c r="X1472"/>
      <c r="AB1472" s="1"/>
    </row>
    <row r="1473" spans="1:28" x14ac:dyDescent="0.3">
      <c r="A1473" s="1">
        <f>ROW(CantoralDB[[#This Row],[Título]])-1</f>
        <v>1472</v>
      </c>
      <c r="B1473" s="1" t="s">
        <v>2357</v>
      </c>
      <c r="C1473" s="1"/>
      <c r="F1473" s="1">
        <v>259</v>
      </c>
      <c r="J1473" s="1"/>
      <c r="M1473" s="15" t="s">
        <v>794</v>
      </c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473" s="15" t="str">
        <f>_xlfn.TEXTBEFORE(_xlfn.TEXTAFTER(CantoralDB[[#This Row],[index.html]],"&gt;"),"&gt;")&amp;"&gt;"</f>
        <v>&lt;a href="canciones/nuevas/venid_a_mi.html"&gt;</v>
      </c>
      <c r="X1473"/>
      <c r="AB1473" s="1"/>
    </row>
    <row r="1474" spans="1:28" x14ac:dyDescent="0.3">
      <c r="A1474" s="1">
        <f>ROW(CantoralDB[[#This Row],[Título]])-1</f>
        <v>1473</v>
      </c>
      <c r="B1474" s="1" t="s">
        <v>2654</v>
      </c>
      <c r="C1474" s="1"/>
      <c r="F1474" s="1">
        <v>276</v>
      </c>
      <c r="J1474" s="1"/>
      <c r="M1474" s="15" t="s">
        <v>794</v>
      </c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474" s="15" t="str">
        <f>_xlfn.TEXTBEFORE(_xlfn.TEXTAFTER(CantoralDB[[#This Row],[index.html]],"&gt;"),"&gt;")&amp;"&gt;"</f>
        <v>&lt;a href="canciones/nuevas/venid_alabad.html"&gt;</v>
      </c>
      <c r="X1474"/>
      <c r="AB1474" s="1"/>
    </row>
    <row r="1475" spans="1:28" x14ac:dyDescent="0.3">
      <c r="A1475" s="1">
        <f>ROW(CantoralDB[[#This Row],[Título]])-1</f>
        <v>1474</v>
      </c>
      <c r="B1475" s="1" t="s">
        <v>1714</v>
      </c>
      <c r="C1475" s="1"/>
      <c r="F1475" s="1">
        <v>41</v>
      </c>
      <c r="J1475" s="1"/>
      <c r="M1475" s="15" t="s">
        <v>794</v>
      </c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1475" s="15" t="str">
        <f>_xlfn.TEXTBEFORE(_xlfn.TEXTAFTER(CantoralDB[[#This Row],[index.html]],"&gt;"),"&gt;")&amp;"&gt;"</f>
        <v>&lt;a href="canciones/nuevas/venimos_ante_ti.html"&gt;</v>
      </c>
      <c r="X1475"/>
      <c r="AB1475" s="1"/>
    </row>
    <row r="1476" spans="1:28" x14ac:dyDescent="0.3">
      <c r="A1476" s="1">
        <f>ROW(CantoralDB[[#This Row],[Título]])-1</f>
        <v>1475</v>
      </c>
      <c r="B1476" s="1" t="s">
        <v>2775</v>
      </c>
      <c r="C1476" s="1"/>
      <c r="F1476" s="1">
        <v>393</v>
      </c>
      <c r="J1476" s="1"/>
      <c r="M1476" s="15" t="s">
        <v>794</v>
      </c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476" s="15" t="str">
        <f>_xlfn.TEXTBEFORE(_xlfn.TEXTAFTER(CantoralDB[[#This Row],[index.html]],"&gt;"),"&gt;")&amp;"&gt;"</f>
        <v>&lt;a href="canciones/nuevas/y_es_que_tengo_un_fuego.html"&gt;</v>
      </c>
      <c r="X1476"/>
      <c r="AB1476" s="1"/>
    </row>
    <row r="1477" spans="1:28" x14ac:dyDescent="0.3">
      <c r="A1477" s="1">
        <f>ROW(CantoralDB[[#This Row],[Título]])-1</f>
        <v>1476</v>
      </c>
      <c r="B1477" s="1" t="s">
        <v>2726</v>
      </c>
      <c r="C1477" s="1"/>
      <c r="F1477" s="1">
        <v>351</v>
      </c>
      <c r="J1477" s="1"/>
      <c r="M1477" s="15" t="s">
        <v>794</v>
      </c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477" s="15" t="str">
        <f>_xlfn.TEXTBEFORE(_xlfn.TEXTAFTER(CantoralDB[[#This Row],[index.html]],"&gt;"),"&gt;")&amp;"&gt;"</f>
        <v>&lt;a href="canciones/nuevas/yo_cantare_tus_alabanzas.html"&gt;</v>
      </c>
      <c r="X1477"/>
      <c r="AB1477" s="1"/>
    </row>
    <row r="1478" spans="1:28" x14ac:dyDescent="0.3">
      <c r="A1478" s="1">
        <f>ROW(CantoralDB[[#This Row],[Título]])-1</f>
        <v>1477</v>
      </c>
      <c r="B1478" s="1" t="s">
        <v>2400</v>
      </c>
      <c r="C1478" s="1"/>
      <c r="F1478" s="1">
        <v>20</v>
      </c>
      <c r="J1478" s="1"/>
      <c r="M1478" s="15" t="s">
        <v>794</v>
      </c>
      <c r="O1478" s="15"/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1478" s="15" t="str">
        <f>_xlfn.TEXTBEFORE(_xlfn.TEXTAFTER(CantoralDB[[#This Row],[index.html]],"&gt;"),"&gt;")&amp;"&gt;"</f>
        <v>&lt;a href="canciones/nuevas/yo_soy_testigo.html"&gt;</v>
      </c>
      <c r="X1478"/>
      <c r="AB1478" s="1"/>
    </row>
    <row r="1479" spans="1:28" x14ac:dyDescent="0.3">
      <c r="A1479" s="1">
        <f>ROW(CantoralDB[[#This Row],[Título]])-1</f>
        <v>1478</v>
      </c>
      <c r="B1479" s="1" t="s">
        <v>2784</v>
      </c>
      <c r="C1479" s="1"/>
      <c r="F1479" s="1">
        <v>402</v>
      </c>
      <c r="J1479" s="1"/>
      <c r="M1479" s="15" t="s">
        <v>794</v>
      </c>
      <c r="O1479" s="15"/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479" s="15" t="str">
        <f>_xlfn.TEXTBEFORE(_xlfn.TEXTAFTER(CantoralDB[[#This Row],[index.html]],"&gt;"),"&gt;")&amp;"&gt;"</f>
        <v>&lt;a href="canciones/nuevas/yo_te_adoro_señor.html"&gt;</v>
      </c>
      <c r="X1479"/>
      <c r="AB1479" s="1"/>
    </row>
    <row r="1480" spans="1:28" x14ac:dyDescent="0.3">
      <c r="A1480" s="1">
        <f>ROW(CantoralDB[[#This Row],[Título]])-1</f>
        <v>1479</v>
      </c>
      <c r="B1480" s="1" t="s">
        <v>2593</v>
      </c>
      <c r="C1480" s="1"/>
      <c r="F1480" s="1">
        <v>207</v>
      </c>
      <c r="J1480" s="1"/>
      <c r="M1480" s="15" t="s">
        <v>794</v>
      </c>
      <c r="O1480" s="15"/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480" s="15" t="str">
        <f>_xlfn.TEXTBEFORE(_xlfn.TEXTAFTER(CantoralDB[[#This Row],[index.html]],"&gt;"),"&gt;")&amp;"&gt;"</f>
        <v>&lt;a href="canciones/nuevas/yo_tengo_un_gozo_en_el_alma.html"&gt;</v>
      </c>
      <c r="X1480"/>
      <c r="AB1480" s="1"/>
    </row>
    <row r="1481" spans="1:28" x14ac:dyDescent="0.3">
      <c r="A1481" s="1">
        <f>ROW(CantoralDB[[#This Row],[Título]])-1</f>
        <v>1480</v>
      </c>
      <c r="B1481" s="1" t="s">
        <v>3035</v>
      </c>
      <c r="C1481" s="1"/>
      <c r="H1481" s="1" t="s">
        <v>1026</v>
      </c>
      <c r="I1481" s="1" t="s">
        <v>2953</v>
      </c>
      <c r="J1481" s="1" t="s">
        <v>607</v>
      </c>
      <c r="M1481" s="15" t="s">
        <v>573</v>
      </c>
      <c r="O1481" s="15"/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1481" s="1"/>
      <c r="T1481" s="1"/>
      <c r="U1481" s="32" t="s">
        <v>3036</v>
      </c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1481" s="15" t="str">
        <f>_xlfn.TEXTBEFORE(_xlfn.TEXTAFTER(CantoralDB[[#This Row],[index.html]],"&gt;"),"&gt;")&amp;"&gt;"</f>
        <v>&lt;a href="canciones/nuevas/el_señor_nos_llama_y_nos_reune.html"&gt;</v>
      </c>
      <c r="X1481"/>
      <c r="AB1481" s="1"/>
    </row>
    <row r="1482" spans="1:28" x14ac:dyDescent="0.3">
      <c r="A1482" s="1">
        <f>ROW(CantoralDB[[#This Row],[Título]])-1</f>
        <v>1481</v>
      </c>
      <c r="B1482" s="1" t="s">
        <v>2408</v>
      </c>
      <c r="C1482" s="1"/>
      <c r="F1482" s="1">
        <v>30</v>
      </c>
      <c r="J1482" s="1"/>
      <c r="M1482" s="15" t="s">
        <v>2409</v>
      </c>
      <c r="O1482" s="15"/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1482" s="15" t="str">
        <f>_xlfn.TEXTBEFORE(_xlfn.TEXTAFTER(CantoralDB[[#This Row],[index.html]],"&gt;"),"&gt;")&amp;"&gt;"</f>
        <v>&lt;a href="canciones/nuevas/digo_que_jesus_el_nazareno.html"&gt;</v>
      </c>
      <c r="X1482"/>
      <c r="AB1482" s="1"/>
    </row>
    <row r="1483" spans="1:28" x14ac:dyDescent="0.3">
      <c r="A1483" s="1">
        <f>ROW(CantoralDB[[#This Row],[Título]])-1</f>
        <v>1482</v>
      </c>
      <c r="B1483" s="1" t="s">
        <v>2154</v>
      </c>
      <c r="C1483" s="15"/>
      <c r="H1483" s="1" t="s">
        <v>530</v>
      </c>
      <c r="J1483" s="1" t="s">
        <v>607</v>
      </c>
      <c r="M1483" s="15" t="s">
        <v>2172</v>
      </c>
      <c r="O1483" s="15"/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1483" s="15" t="str">
        <f>_xlfn.TEXTBEFORE(_xlfn.TEXTAFTER(CantoralDB[[#This Row],[index.html]],"&gt;"),"&gt;")&amp;"&gt;"</f>
        <v>&lt;a href="canciones/nuevas/contigo_me_la_juego.html"&gt;</v>
      </c>
      <c r="X1483"/>
      <c r="AB1483" s="1"/>
    </row>
    <row r="1484" spans="1:28" x14ac:dyDescent="0.3">
      <c r="A1484" s="1">
        <f>ROW(CantoralDB[[#This Row],[Título]])-1</f>
        <v>1483</v>
      </c>
      <c r="B1484" s="1" t="s">
        <v>940</v>
      </c>
      <c r="C1484" s="1"/>
      <c r="F1484" s="1">
        <v>93</v>
      </c>
      <c r="J1484" s="1"/>
      <c r="M1484" s="15" t="s">
        <v>2476</v>
      </c>
      <c r="O1484" s="15"/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1484" s="15" t="str">
        <f>_xlfn.TEXTBEFORE(_xlfn.TEXTAFTER(CantoralDB[[#This Row],[index.html]],"&gt;"),"&gt;")&amp;"&gt;"</f>
        <v>&lt;a href="canciones/nuevas/ven_espiritu_de_dios.html"&gt;</v>
      </c>
      <c r="X1484"/>
      <c r="AB1484" s="1"/>
    </row>
    <row r="1485" spans="1:28" x14ac:dyDescent="0.3">
      <c r="A1485" s="1">
        <f>ROW(CantoralDB[[#This Row],[Título]])-1</f>
        <v>1484</v>
      </c>
      <c r="B1485" s="1" t="s">
        <v>2675</v>
      </c>
      <c r="C1485" s="1"/>
      <c r="F1485" s="1">
        <v>298</v>
      </c>
      <c r="J1485" s="1"/>
      <c r="M1485" s="15" t="s">
        <v>2676</v>
      </c>
      <c r="O1485" s="15"/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1485" s="15" t="str">
        <f>_xlfn.TEXTBEFORE(_xlfn.TEXTAFTER(CantoralDB[[#This Row],[index.html]],"&gt;"),"&gt;")&amp;"&gt;"</f>
        <v>&lt;a href="canciones/nuevas/jesus_salvador.html"&gt;</v>
      </c>
      <c r="X1485"/>
      <c r="AB1485" s="1"/>
    </row>
    <row r="1486" spans="1:28" x14ac:dyDescent="0.3">
      <c r="A1486" s="1">
        <f>ROW(CantoralDB[[#This Row],[Título]])-1</f>
        <v>1485</v>
      </c>
      <c r="B1486" s="1" t="s">
        <v>2825</v>
      </c>
      <c r="C1486" s="1"/>
      <c r="F1486" s="1">
        <v>434</v>
      </c>
      <c r="J1486" s="1"/>
      <c r="M1486" s="15" t="s">
        <v>2827</v>
      </c>
      <c r="O1486" s="15"/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1486" s="15" t="str">
        <f>_xlfn.TEXTBEFORE(_xlfn.TEXTAFTER(CantoralDB[[#This Row],[index.html]],"&gt;"),"&gt;")&amp;"&gt;"</f>
        <v>&lt;a href="canciones/nuevas/ven_ven_espiritu_de_dios.html"&gt;</v>
      </c>
      <c r="X1486"/>
      <c r="AB1486" s="1"/>
    </row>
    <row r="1487" spans="1:28" x14ac:dyDescent="0.3">
      <c r="A1487" s="1">
        <f>ROW(CantoralDB[[#This Row],[Título]])-1</f>
        <v>1486</v>
      </c>
      <c r="B1487" s="1" t="s">
        <v>2418</v>
      </c>
      <c r="C1487" s="1"/>
      <c r="F1487" s="1">
        <v>39</v>
      </c>
      <c r="J1487" s="1"/>
      <c r="M1487" s="15" t="s">
        <v>2417</v>
      </c>
      <c r="O1487" s="15"/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1487" s="15" t="str">
        <f>_xlfn.TEXTBEFORE(_xlfn.TEXTAFTER(CantoralDB[[#This Row],[index.html]],"&gt;"),"&gt;")&amp;"&gt;"</f>
        <v>&lt;a href="canciones/nuevas/ven_y_adorale.html"&gt;</v>
      </c>
      <c r="X1487"/>
      <c r="AB1487" s="1"/>
    </row>
    <row r="1488" spans="1:28" x14ac:dyDescent="0.3">
      <c r="A1488" s="1">
        <f>ROW(CantoralDB[[#This Row],[Título]])-1</f>
        <v>1487</v>
      </c>
      <c r="B1488" s="1" t="s">
        <v>2757</v>
      </c>
      <c r="C1488" s="1"/>
      <c r="F1488" s="1">
        <v>381</v>
      </c>
      <c r="J1488" s="1"/>
      <c r="M1488" s="15" t="s">
        <v>2760</v>
      </c>
      <c r="O1488" s="15"/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1488" s="15" t="str">
        <f>_xlfn.TEXTBEFORE(_xlfn.TEXTAFTER(CantoralDB[[#This Row],[index.html]],"&gt;"),"&gt;")&amp;"&gt;"</f>
        <v>&lt;a href="canciones/nuevas/mi_ser_alaba_al_señor.html"&gt;</v>
      </c>
      <c r="X1488"/>
      <c r="AB1488" s="1"/>
    </row>
    <row r="1489" spans="1:28" x14ac:dyDescent="0.3">
      <c r="A1489" s="1">
        <f>ROW(CantoralDB[[#This Row],[Título]])-1</f>
        <v>1488</v>
      </c>
      <c r="B1489" s="1" t="s">
        <v>2149</v>
      </c>
      <c r="C1489" s="15"/>
      <c r="H1489" s="1" t="s">
        <v>1029</v>
      </c>
      <c r="J1489" s="1" t="s">
        <v>607</v>
      </c>
      <c r="M1489" s="15" t="s">
        <v>576</v>
      </c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489" s="1"/>
      <c r="T1489" s="1"/>
      <c r="U1489" s="32" t="s">
        <v>2991</v>
      </c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1489" s="15" t="str">
        <f>_xlfn.TEXTBEFORE(_xlfn.TEXTAFTER(CantoralDB[[#This Row],[index.html]],"&gt;"),"&gt;")&amp;"&gt;"</f>
        <v>&lt;a href="canciones/nuevas/acaso_no_estoy_yo_aqui_que_soy_tu_madre.html"&gt;</v>
      </c>
      <c r="X1489"/>
      <c r="AB1489" s="1"/>
    </row>
    <row r="1490" spans="1:28" x14ac:dyDescent="0.3">
      <c r="A1490" s="1">
        <f>ROW(CantoralDB[[#This Row],[Título]])-1</f>
        <v>1489</v>
      </c>
      <c r="B1490" s="1" t="s">
        <v>2167</v>
      </c>
      <c r="C1490" s="15"/>
      <c r="H1490" s="1" t="s">
        <v>530</v>
      </c>
      <c r="J1490" s="1" t="s">
        <v>607</v>
      </c>
      <c r="M1490" s="15" t="s">
        <v>576</v>
      </c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490" s="1"/>
      <c r="T1490" s="1"/>
      <c r="U1490" s="32" t="s">
        <v>3005</v>
      </c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1490" s="15" t="str">
        <f>_xlfn.TEXTBEFORE(_xlfn.TEXTAFTER(CantoralDB[[#This Row],[index.html]],"&gt;"),"&gt;")&amp;"&gt;"</f>
        <v>&lt;a href="canciones/nuevas/todo_es_tuyo.html"&gt;</v>
      </c>
      <c r="X1490"/>
      <c r="AB1490" s="1"/>
    </row>
    <row r="1491" spans="1:28" x14ac:dyDescent="0.3">
      <c r="A1491" s="1">
        <f>ROW(CantoralDB[[#This Row],[Título]])-1</f>
        <v>1490</v>
      </c>
      <c r="B1491" s="1" t="s">
        <v>2671</v>
      </c>
      <c r="C1491" s="1"/>
      <c r="F1491" s="1">
        <v>296</v>
      </c>
      <c r="J1491" s="1"/>
      <c r="M1491" s="15" t="s">
        <v>2672</v>
      </c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1491" s="15" t="str">
        <f>_xlfn.TEXTBEFORE(_xlfn.TEXTAFTER(CantoralDB[[#This Row],[index.html]],"&gt;"),"&gt;")&amp;"&gt;"</f>
        <v>&lt;a href="canciones/nuevas/jesus_y_la_samaritana.html"&gt;</v>
      </c>
      <c r="X1491"/>
      <c r="AB1491" s="1"/>
    </row>
    <row r="1492" spans="1:28" x14ac:dyDescent="0.3">
      <c r="A1492" s="1">
        <f>ROW(CantoralDB[[#This Row],[Título]])-1</f>
        <v>1491</v>
      </c>
      <c r="B1492" s="1" t="s">
        <v>2165</v>
      </c>
      <c r="C1492" s="1"/>
      <c r="F1492" s="1">
        <v>380</v>
      </c>
      <c r="H1492" s="1" t="s">
        <v>1027</v>
      </c>
      <c r="J1492" s="1" t="s">
        <v>607</v>
      </c>
      <c r="M1492" s="15" t="s">
        <v>2672</v>
      </c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492" s="1"/>
      <c r="T1492" s="1"/>
      <c r="U1492" s="32" t="s">
        <v>3003</v>
      </c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1492" s="15" t="str">
        <f>_xlfn.TEXTBEFORE(_xlfn.TEXTAFTER(CantoralDB[[#This Row],[index.html]],"&gt;"),"&gt;")&amp;"&gt;"</f>
        <v>&lt;a href="canciones/nuevas/shalom_te_doy_la_paz.html"&gt;</v>
      </c>
      <c r="X1492"/>
      <c r="AB1492" s="1"/>
    </row>
    <row r="1493" spans="1:28" x14ac:dyDescent="0.3">
      <c r="A1493" s="1">
        <f>ROW(CantoralDB[[#This Row],[Título]])-1</f>
        <v>1492</v>
      </c>
      <c r="B1493" s="1" t="s">
        <v>2429</v>
      </c>
      <c r="C1493" s="1"/>
      <c r="F1493" s="1">
        <v>50</v>
      </c>
      <c r="J1493" s="1"/>
      <c r="M1493" s="15" t="s">
        <v>2430</v>
      </c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1493" s="15" t="str">
        <f>_xlfn.TEXTBEFORE(_xlfn.TEXTAFTER(CantoralDB[[#This Row],[index.html]],"&gt;"),"&gt;")&amp;"&gt;"</f>
        <v>&lt;a href="canciones/nuevas/escucha_señor_mi_oracion.html"&gt;</v>
      </c>
      <c r="X1493"/>
      <c r="AB1493" s="1"/>
    </row>
    <row r="1494" spans="1:28" x14ac:dyDescent="0.3">
      <c r="A1494" s="1">
        <f>ROW(CantoralDB[[#This Row],[Título]])-1</f>
        <v>1493</v>
      </c>
      <c r="B1494" s="1" t="s">
        <v>2790</v>
      </c>
      <c r="C1494" s="1"/>
      <c r="F1494" s="1">
        <v>406</v>
      </c>
      <c r="J1494" s="1"/>
      <c r="M1494" s="15" t="s">
        <v>2791</v>
      </c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1494" s="15" t="str">
        <f>_xlfn.TEXTBEFORE(_xlfn.TEXTAFTER(CantoralDB[[#This Row],[index.html]],"&gt;"),"&gt;")&amp;"&gt;"</f>
        <v>&lt;a href="canciones/nuevas/imagina.html"&gt;</v>
      </c>
      <c r="X1494"/>
      <c r="AB1494" s="1"/>
    </row>
    <row r="1495" spans="1:28" x14ac:dyDescent="0.3">
      <c r="A1495" s="1">
        <f>ROW(CantoralDB[[#This Row],[Título]])-1</f>
        <v>1494</v>
      </c>
      <c r="B1495" s="1" t="s">
        <v>2772</v>
      </c>
      <c r="C1495" s="1"/>
      <c r="F1495" s="1">
        <v>390</v>
      </c>
      <c r="J1495" s="1"/>
      <c r="M1495" s="15" t="s">
        <v>2771</v>
      </c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1495" s="15" t="str">
        <f>_xlfn.TEXTBEFORE(_xlfn.TEXTAFTER(CantoralDB[[#This Row],[index.html]],"&gt;"),"&gt;")&amp;"&gt;"</f>
        <v>&lt;a href="canciones/nuevas/bendito_sea_el_señor.html"&gt;</v>
      </c>
      <c r="X1495"/>
      <c r="AB1495" s="1"/>
    </row>
    <row r="1496" spans="1:28" x14ac:dyDescent="0.3">
      <c r="A1496" s="1">
        <f>ROW(CantoralDB[[#This Row],[Título]])-1</f>
        <v>1495</v>
      </c>
      <c r="B1496" s="1" t="s">
        <v>884</v>
      </c>
      <c r="C1496" s="1"/>
      <c r="F1496" s="1">
        <v>320</v>
      </c>
      <c r="J1496" s="1"/>
      <c r="M1496" s="15" t="s">
        <v>2691</v>
      </c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1496" s="15" t="str">
        <f>_xlfn.TEXTBEFORE(_xlfn.TEXTAFTER(CantoralDB[[#This Row],[index.html]],"&gt;"),"&gt;")&amp;"&gt;"</f>
        <v>&lt;a href="canciones/nuevas/bendecid_al_señor.html"&gt;</v>
      </c>
      <c r="X1496"/>
      <c r="AB1496" s="1"/>
    </row>
    <row r="1497" spans="1:28" x14ac:dyDescent="0.3">
      <c r="A1497" s="1">
        <f>ROW(CantoralDB[[#This Row],[Título]])-1</f>
        <v>1496</v>
      </c>
      <c r="B1497" s="1" t="s">
        <v>2766</v>
      </c>
      <c r="C1497" s="1"/>
      <c r="F1497" s="1">
        <v>387</v>
      </c>
      <c r="J1497" s="1"/>
      <c r="M1497" s="15" t="s">
        <v>2768</v>
      </c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1497" s="15" t="str">
        <f>_xlfn.TEXTBEFORE(_xlfn.TEXTAFTER(CantoralDB[[#This Row],[index.html]],"&gt;"),"&gt;")&amp;"&gt;"</f>
        <v>&lt;a href="canciones/nuevas/gracias_yo_te_dare.html"&gt;</v>
      </c>
      <c r="X1497"/>
      <c r="AB1497" s="1"/>
    </row>
    <row r="1498" spans="1:28" x14ac:dyDescent="0.3">
      <c r="A1498" s="1">
        <f>ROW(CantoralDB[[#This Row],[Título]])-1</f>
        <v>1497</v>
      </c>
      <c r="B1498" s="1" t="s">
        <v>2802</v>
      </c>
      <c r="C1498" s="1"/>
      <c r="F1498" s="1">
        <v>414</v>
      </c>
      <c r="J1498" s="1"/>
      <c r="M1498" s="15" t="s">
        <v>2805</v>
      </c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1498" s="15" t="str">
        <f>_xlfn.TEXTBEFORE(_xlfn.TEXTAFTER(CantoralDB[[#This Row],[index.html]],"&gt;"),"&gt;")&amp;"&gt;"</f>
        <v>&lt;a href="canciones/nuevas/ven_es_hora_de_adorarle.html"&gt;</v>
      </c>
      <c r="X1498"/>
      <c r="AB1498" s="1"/>
    </row>
    <row r="1499" spans="1:28" x14ac:dyDescent="0.3">
      <c r="A1499" s="1">
        <f>ROW(CantoralDB[[#This Row],[Título]])-1</f>
        <v>1498</v>
      </c>
      <c r="B1499" s="1" t="s">
        <v>2594</v>
      </c>
      <c r="C1499" s="1"/>
      <c r="F1499" s="1">
        <v>209</v>
      </c>
      <c r="J1499" s="1"/>
      <c r="M1499" s="15" t="s">
        <v>2595</v>
      </c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1499" s="15" t="str">
        <f>_xlfn.TEXTBEFORE(_xlfn.TEXTAFTER(CantoralDB[[#This Row],[index.html]],"&gt;"),"&gt;")&amp;"&gt;"</f>
        <v>&lt;a href="canciones/nuevas/ahora_es_tiempo.html"&gt;</v>
      </c>
      <c r="X1499"/>
      <c r="AB1499" s="1"/>
    </row>
    <row r="1500" spans="1:28" x14ac:dyDescent="0.3">
      <c r="A1500" s="1">
        <f>ROW(CantoralDB[[#This Row],[Título]])-1</f>
        <v>1499</v>
      </c>
      <c r="B1500" s="1" t="s">
        <v>2698</v>
      </c>
      <c r="C1500" s="1"/>
      <c r="F1500" s="1">
        <v>326</v>
      </c>
      <c r="J1500" s="1"/>
      <c r="M1500" s="15" t="s">
        <v>2699</v>
      </c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1500" s="15" t="str">
        <f>_xlfn.TEXTBEFORE(_xlfn.TEXTAFTER(CantoralDB[[#This Row],[index.html]],"&gt;"),"&gt;")&amp;"&gt;"</f>
        <v>&lt;a href="canciones/nuevas/hosanna.html"&gt;</v>
      </c>
      <c r="X1500"/>
      <c r="AB1500" s="1"/>
    </row>
    <row r="1501" spans="1:28" x14ac:dyDescent="0.3">
      <c r="A1501" s="1">
        <f>ROW(CantoralDB[[#This Row],[Título]])-1</f>
        <v>1500</v>
      </c>
      <c r="B1501" s="1" t="s">
        <v>2629</v>
      </c>
      <c r="C1501" s="1"/>
      <c r="F1501" s="1">
        <v>254</v>
      </c>
      <c r="J1501" s="1"/>
      <c r="M1501" s="15" t="s">
        <v>2631</v>
      </c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1501" s="15" t="str">
        <f>_xlfn.TEXTBEFORE(_xlfn.TEXTAFTER(CantoralDB[[#This Row],[index.html]],"&gt;"),"&gt;")&amp;"&gt;"</f>
        <v>&lt;a href="canciones/nuevas/hoy_canto_para_ti.html"&gt;</v>
      </c>
      <c r="X1501"/>
      <c r="AB1501" s="1"/>
    </row>
    <row r="1502" spans="1:28" x14ac:dyDescent="0.3">
      <c r="A1502" s="1">
        <f>ROW(CantoralDB[[#This Row],[Título]])-1</f>
        <v>1501</v>
      </c>
      <c r="B1502" s="1" t="s">
        <v>2536</v>
      </c>
      <c r="C1502" s="1"/>
      <c r="F1502" s="1">
        <v>149</v>
      </c>
      <c r="J1502" s="1"/>
      <c r="M1502" s="15" t="s">
        <v>2636</v>
      </c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502" s="15" t="str">
        <f>_xlfn.TEXTBEFORE(_xlfn.TEXTAFTER(CantoralDB[[#This Row],[index.html]],"&gt;"),"&gt;")&amp;"&gt;"</f>
        <v>&lt;a href="canciones/nuevas/dios_tu_mi_dios.html"&gt;</v>
      </c>
      <c r="X1502"/>
      <c r="AB1502" s="1"/>
    </row>
    <row r="1503" spans="1:28" x14ac:dyDescent="0.3">
      <c r="A1503" s="1">
        <f>ROW(CantoralDB[[#This Row],[Título]])-1</f>
        <v>1502</v>
      </c>
      <c r="B1503" s="1" t="s">
        <v>2733</v>
      </c>
      <c r="C1503" s="1"/>
      <c r="F1503" s="1">
        <v>357</v>
      </c>
      <c r="J1503" s="1"/>
      <c r="M1503" s="15" t="s">
        <v>2636</v>
      </c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1503" s="15" t="str">
        <f>_xlfn.TEXTBEFORE(_xlfn.TEXTAFTER(CantoralDB[[#This Row],[index.html]],"&gt;"),"&gt;")&amp;"&gt;"</f>
        <v>&lt;a href="canciones/nuevas/toma_mi_vida.html"&gt;</v>
      </c>
      <c r="X1503"/>
      <c r="AB1503" s="1"/>
    </row>
    <row r="1504" spans="1:28" x14ac:dyDescent="0.3">
      <c r="A1504" s="1">
        <f>ROW(CantoralDB[[#This Row],[Título]])-1</f>
        <v>1503</v>
      </c>
      <c r="B1504" s="1" t="s">
        <v>2634</v>
      </c>
      <c r="C1504" s="1"/>
      <c r="F1504" s="1">
        <v>258</v>
      </c>
      <c r="J1504" s="1"/>
      <c r="M1504" s="15" t="s">
        <v>2636</v>
      </c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1504" s="15" t="str">
        <f>_xlfn.TEXTBEFORE(_xlfn.TEXTAFTER(CantoralDB[[#This Row],[index.html]],"&gt;"),"&gt;")&amp;"&gt;"</f>
        <v>&lt;a href="canciones/nuevas/ven_dios_padre.html"&gt;</v>
      </c>
      <c r="X1504"/>
      <c r="AB1504" s="1"/>
    </row>
    <row r="1505" spans="1:28" x14ac:dyDescent="0.3">
      <c r="A1505" s="1">
        <f>ROW(CantoralDB[[#This Row],[Título]])-1</f>
        <v>1504</v>
      </c>
      <c r="B1505" s="1" t="s">
        <v>2468</v>
      </c>
      <c r="C1505" s="1"/>
      <c r="F1505" s="1">
        <v>85</v>
      </c>
      <c r="J1505" s="1"/>
      <c r="M1505" s="15" t="s">
        <v>2469</v>
      </c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1505" s="15" t="str">
        <f>_xlfn.TEXTBEFORE(_xlfn.TEXTAFTER(CantoralDB[[#This Row],[index.html]],"&gt;"),"&gt;")&amp;"&gt;"</f>
        <v>&lt;a href="canciones/nuevas/vuelve_los_ojos_al_señor.html"&gt;</v>
      </c>
      <c r="X1505"/>
      <c r="AB1505" s="1"/>
    </row>
    <row r="1506" spans="1:28" x14ac:dyDescent="0.3">
      <c r="A1506" s="1">
        <f>ROW(CantoralDB[[#This Row],[Título]])-1</f>
        <v>1505</v>
      </c>
      <c r="B1506" s="1" t="s">
        <v>2648</v>
      </c>
      <c r="C1506" s="1"/>
      <c r="F1506" s="1">
        <v>271</v>
      </c>
      <c r="J1506" s="1"/>
      <c r="M1506" s="15" t="s">
        <v>2649</v>
      </c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1506" s="15" t="str">
        <f>_xlfn.TEXTBEFORE(_xlfn.TEXTAFTER(CantoralDB[[#This Row],[index.html]],"&gt;"),"&gt;")&amp;"&gt;"</f>
        <v>&lt;a href="canciones/nuevas/ven_ahora_espiritu_santo.html"&gt;</v>
      </c>
      <c r="X1506"/>
      <c r="AB1506" s="1"/>
    </row>
    <row r="1507" spans="1:28" x14ac:dyDescent="0.3">
      <c r="A1507" s="1">
        <f>ROW(CantoralDB[[#This Row],[Título]])-1</f>
        <v>1506</v>
      </c>
      <c r="B1507" s="1" t="s">
        <v>2824</v>
      </c>
      <c r="C1507" s="1"/>
      <c r="F1507" s="1">
        <v>433</v>
      </c>
      <c r="J1507" s="1"/>
      <c r="M1507" s="15" t="s">
        <v>2826</v>
      </c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1507" s="15" t="str">
        <f>_xlfn.TEXTBEFORE(_xlfn.TEXTAFTER(CantoralDB[[#This Row],[index.html]],"&gt;"),"&gt;")&amp;"&gt;"</f>
        <v>&lt;a href="canciones/nuevas/cantico_de_victoria.html"&gt;</v>
      </c>
      <c r="X1507"/>
      <c r="AB1507" s="1"/>
    </row>
    <row r="1508" spans="1:28" x14ac:dyDescent="0.3">
      <c r="A1508" s="1">
        <f>ROW(CantoralDB[[#This Row],[Título]])-1</f>
        <v>1507</v>
      </c>
      <c r="B1508" s="1" t="s">
        <v>2164</v>
      </c>
      <c r="C1508" s="1"/>
      <c r="F1508" s="1">
        <v>244</v>
      </c>
      <c r="H1508" s="1" t="s">
        <v>530</v>
      </c>
      <c r="J1508" s="1" t="s">
        <v>607</v>
      </c>
      <c r="M1508" s="15" t="s">
        <v>2177</v>
      </c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508" s="1"/>
      <c r="T1508" s="1"/>
      <c r="U1508" s="32" t="s">
        <v>3002</v>
      </c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1508" s="15" t="str">
        <f>_xlfn.TEXTBEFORE(_xlfn.TEXTAFTER(CantoralDB[[#This Row],[index.html]],"&gt;"),"&gt;")&amp;"&gt;"</f>
        <v>&lt;a href="canciones/nuevas/salvame.html"&gt;</v>
      </c>
      <c r="X1508"/>
      <c r="AB1508" s="1"/>
    </row>
    <row r="1509" spans="1:28" x14ac:dyDescent="0.3">
      <c r="A1509" s="1">
        <f>ROW(CantoralDB[[#This Row],[Título]])-1</f>
        <v>1508</v>
      </c>
      <c r="B1509" s="1" t="s">
        <v>2518</v>
      </c>
      <c r="C1509" s="1"/>
      <c r="F1509" s="1">
        <v>130</v>
      </c>
      <c r="J1509" s="1"/>
      <c r="M1509" s="15" t="s">
        <v>2517</v>
      </c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509" s="15" t="str">
        <f>_xlfn.TEXTBEFORE(_xlfn.TEXTAFTER(CantoralDB[[#This Row],[index.html]],"&gt;"),"&gt;")&amp;"&gt;"</f>
        <v>&lt;a href="canciones/nuevas/pasa_por_aqui_señor.html"&gt;</v>
      </c>
      <c r="X1509"/>
      <c r="AB1509" s="1"/>
    </row>
    <row r="1510" spans="1:28" x14ac:dyDescent="0.3">
      <c r="A1510" s="1">
        <f>ROW(CantoralDB[[#This Row],[Título]])-1</f>
        <v>1509</v>
      </c>
      <c r="B1510" s="1" t="s">
        <v>2569</v>
      </c>
      <c r="C1510" s="1"/>
      <c r="F1510" s="1">
        <v>180</v>
      </c>
      <c r="J1510" s="1"/>
      <c r="M1510" s="15" t="s">
        <v>2570</v>
      </c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510" s="15" t="str">
        <f>_xlfn.TEXTBEFORE(_xlfn.TEXTAFTER(CantoralDB[[#This Row],[index.html]],"&gt;"),"&gt;")&amp;"&gt;"</f>
        <v>&lt;a href="canciones/nuevas/yo_canto_a_mi_señor.html"&gt;</v>
      </c>
      <c r="X1510"/>
      <c r="AB1510" s="1"/>
    </row>
    <row r="1511" spans="1:28" x14ac:dyDescent="0.3">
      <c r="A1511" s="1">
        <f>ROW(CantoralDB[[#This Row],[Título]])-1</f>
        <v>1510</v>
      </c>
      <c r="B1511" s="1" t="s">
        <v>2538</v>
      </c>
      <c r="C1511" s="1"/>
      <c r="F1511" s="1">
        <v>151</v>
      </c>
      <c r="J1511" s="1"/>
      <c r="M1511" s="15" t="s">
        <v>2539</v>
      </c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1" s="15" t="str">
        <f>_xlfn.TEXTBEFORE(_xlfn.TEXTAFTER(CantoralDB[[#This Row],[index.html]],"&gt;"),"&gt;")&amp;"&gt;"</f>
        <v>&lt;a href="canciones/nuevas/yo_quiero_ser_como_tu.html"&gt;</v>
      </c>
      <c r="X1511"/>
      <c r="AB1511" s="1"/>
    </row>
    <row r="1512" spans="1:28" x14ac:dyDescent="0.3">
      <c r="A1512" s="1">
        <f>ROW(CantoralDB[[#This Row],[Título]])-1</f>
        <v>1511</v>
      </c>
      <c r="B1512" s="1" t="s">
        <v>2452</v>
      </c>
      <c r="C1512" s="1"/>
      <c r="F1512" s="1">
        <v>70</v>
      </c>
      <c r="J1512" s="1"/>
      <c r="M1512" s="15" t="s">
        <v>2453</v>
      </c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1512" s="15" t="str">
        <f>_xlfn.TEXTBEFORE(_xlfn.TEXTAFTER(CantoralDB[[#This Row],[index.html]],"&gt;"),"&gt;")&amp;"&gt;"</f>
        <v>&lt;a href="canciones/nuevas/espiritu_santo_de_dios.html"&gt;</v>
      </c>
      <c r="X1512"/>
      <c r="AB1512" s="1"/>
    </row>
    <row r="1513" spans="1:28" x14ac:dyDescent="0.3">
      <c r="A1513" s="1">
        <f>ROW(CantoralDB[[#This Row],[Título]])-1</f>
        <v>1512</v>
      </c>
      <c r="B1513" s="1" t="s">
        <v>2750</v>
      </c>
      <c r="C1513" s="1"/>
      <c r="F1513" s="1">
        <v>373</v>
      </c>
      <c r="J1513" s="1"/>
      <c r="M1513" s="15" t="s">
        <v>2749</v>
      </c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1513" s="15" t="str">
        <f>_xlfn.TEXTBEFORE(_xlfn.TEXTAFTER(CantoralDB[[#This Row],[index.html]],"&gt;"),"&gt;")&amp;"&gt;"</f>
        <v>&lt;a href="canciones/nuevas/mi_cristo_mi_rey.html"&gt;</v>
      </c>
      <c r="X1513"/>
      <c r="AB1513" s="1"/>
    </row>
    <row r="1514" spans="1:28" x14ac:dyDescent="0.3">
      <c r="A1514" s="1">
        <f>ROW(CantoralDB[[#This Row],[Título]])-1</f>
        <v>1513</v>
      </c>
      <c r="B1514" s="1" t="s">
        <v>2645</v>
      </c>
      <c r="C1514" s="1"/>
      <c r="F1514" s="1">
        <v>269</v>
      </c>
      <c r="J1514" s="1"/>
      <c r="M1514" s="15" t="s">
        <v>2646</v>
      </c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1514" s="15" t="str">
        <f>_xlfn.TEXTBEFORE(_xlfn.TEXTAFTER(CantoralDB[[#This Row],[index.html]],"&gt;"),"&gt;")&amp;"&gt;"</f>
        <v>&lt;a href="canciones/nuevas/en_momentos_asi.html"&gt;</v>
      </c>
      <c r="X1514"/>
      <c r="AB1514" s="1"/>
    </row>
    <row r="1515" spans="1:28" x14ac:dyDescent="0.3">
      <c r="A1515" s="1">
        <f>ROW(CantoralDB[[#This Row],[Título]])-1</f>
        <v>1514</v>
      </c>
      <c r="B1515" s="1" t="s">
        <v>2150</v>
      </c>
      <c r="C1515" s="15"/>
      <c r="F1515" s="1">
        <v>205</v>
      </c>
      <c r="H1515" s="1" t="s">
        <v>472</v>
      </c>
      <c r="J1515" s="1" t="s">
        <v>607</v>
      </c>
      <c r="M1515" s="15" t="s">
        <v>2169</v>
      </c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515" s="1"/>
      <c r="T1515" s="1"/>
      <c r="U1515" s="32" t="s">
        <v>2992</v>
      </c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1515" s="15" t="str">
        <f>_xlfn.TEXTBEFORE(_xlfn.TEXTAFTER(CantoralDB[[#This Row],[index.html]],"&gt;"),"&gt;")&amp;"&gt;"</f>
        <v>&lt;a href="canciones/nuevas/al_que_esta_sentado_en_el_trono_y_al_cordero.html"&gt;</v>
      </c>
      <c r="X1515"/>
      <c r="AB1515" s="1"/>
    </row>
    <row r="1516" spans="1:28" x14ac:dyDescent="0.3">
      <c r="A1516" s="1">
        <f>ROW(CantoralDB[[#This Row],[Título]])-1</f>
        <v>1515</v>
      </c>
      <c r="B1516" s="1" t="s">
        <v>2796</v>
      </c>
      <c r="C1516" s="1"/>
      <c r="F1516" s="1">
        <v>410</v>
      </c>
      <c r="J1516" s="1"/>
      <c r="M1516" s="15" t="s">
        <v>2797</v>
      </c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1516" s="15" t="str">
        <f>_xlfn.TEXTBEFORE(_xlfn.TEXTAFTER(CantoralDB[[#This Row],[index.html]],"&gt;"),"&gt;")&amp;"&gt;"</f>
        <v>&lt;a href="canciones/nuevas/tu_eres_dios.html"&gt;</v>
      </c>
      <c r="X1516"/>
      <c r="AB1516" s="1"/>
    </row>
    <row r="1517" spans="1:28" x14ac:dyDescent="0.3">
      <c r="A1517" s="1">
        <f>ROW(CantoralDB[[#This Row],[Título]])-1</f>
        <v>1516</v>
      </c>
      <c r="B1517" s="1" t="s">
        <v>2504</v>
      </c>
      <c r="C1517" s="1"/>
      <c r="F1517" s="1">
        <v>121</v>
      </c>
      <c r="J1517" s="1"/>
      <c r="M1517" s="15" t="s">
        <v>2503</v>
      </c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517" s="15" t="str">
        <f>_xlfn.TEXTBEFORE(_xlfn.TEXTAFTER(CantoralDB[[#This Row],[index.html]],"&gt;"),"&gt;")&amp;"&gt;"</f>
        <v>&lt;a href="canciones/nuevas/sendas_dios_hara.html"&gt;</v>
      </c>
      <c r="X1517"/>
      <c r="AB1517" s="1"/>
    </row>
    <row r="1518" spans="1:28" x14ac:dyDescent="0.3">
      <c r="A1518" s="1">
        <f>ROW(CantoralDB[[#This Row],[Título]])-1</f>
        <v>1517</v>
      </c>
      <c r="B1518" s="1" t="s">
        <v>2673</v>
      </c>
      <c r="C1518" s="1"/>
      <c r="F1518" s="1">
        <v>297</v>
      </c>
      <c r="H1518" s="1" t="s">
        <v>1026</v>
      </c>
      <c r="J1518" s="1" t="s">
        <v>607</v>
      </c>
      <c r="M1518" s="15" t="s">
        <v>2674</v>
      </c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518" s="1"/>
      <c r="T1518" s="1"/>
      <c r="U1518" s="32" t="s">
        <v>2993</v>
      </c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1518" s="15" t="str">
        <f>_xlfn.TEXTBEFORE(_xlfn.TEXTAFTER(CantoralDB[[#This Row],[index.html]],"&gt;"),"&gt;")&amp;"&gt;"</f>
        <v>&lt;a href="canciones/nuevas/aleluya_demos_gracias.html"&gt;</v>
      </c>
      <c r="X1518"/>
      <c r="AB1518" s="1"/>
    </row>
    <row r="1519" spans="1:28" x14ac:dyDescent="0.3">
      <c r="A1519" s="1">
        <f>ROW(CantoralDB[[#This Row],[Título]])-1</f>
        <v>1518</v>
      </c>
      <c r="B1519" s="1" t="s">
        <v>2812</v>
      </c>
      <c r="C1519" s="1"/>
      <c r="F1519" s="1">
        <v>422</v>
      </c>
      <c r="J1519" s="1"/>
      <c r="M1519" s="15" t="s">
        <v>2816</v>
      </c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519" s="1"/>
      <c r="T1519" s="1"/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1519" s="15" t="str">
        <f>_xlfn.TEXTBEFORE(_xlfn.TEXTAFTER(CantoralDB[[#This Row],[index.html]],"&gt;"),"&gt;")&amp;"&gt;"</f>
        <v>&lt;a href="canciones/nuevas/queremos_a_cristo_proclamar.html"&gt;</v>
      </c>
      <c r="X1519"/>
      <c r="AB1519" s="1"/>
    </row>
    <row r="1520" spans="1:28" x14ac:dyDescent="0.3">
      <c r="A1520" s="1">
        <f>ROW(CantoralDB[[#This Row],[Título]])-1</f>
        <v>1519</v>
      </c>
      <c r="B1520" s="1" t="s">
        <v>2619</v>
      </c>
      <c r="C1520" s="1"/>
      <c r="F1520" s="1">
        <v>238</v>
      </c>
      <c r="J1520" s="1"/>
      <c r="M1520" s="15" t="s">
        <v>2618</v>
      </c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1520" s="15" t="str">
        <f>_xlfn.TEXTBEFORE(_xlfn.TEXTAFTER(CantoralDB[[#This Row],[index.html]],"&gt;"),"&gt;")&amp;"&gt;"</f>
        <v>&lt;a href="canciones/nuevas/el_gran_amor.html"&gt;</v>
      </c>
      <c r="X1520"/>
      <c r="AB1520" s="1"/>
    </row>
    <row r="1521" spans="1:28" x14ac:dyDescent="0.3">
      <c r="A1521" s="1">
        <f>ROW(CantoralDB[[#This Row],[Título]])-1</f>
        <v>1520</v>
      </c>
      <c r="B1521" s="1" t="s">
        <v>2497</v>
      </c>
      <c r="C1521" s="1"/>
      <c r="F1521" s="1">
        <v>117</v>
      </c>
      <c r="J1521" s="1"/>
      <c r="M1521" s="15" t="s">
        <v>2498</v>
      </c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521" s="15" t="str">
        <f>_xlfn.TEXTBEFORE(_xlfn.TEXTAFTER(CantoralDB[[#This Row],[index.html]],"&gt;"),"&gt;")&amp;"&gt;"</f>
        <v>&lt;a href="canciones/nuevas/algo_nuevo_esta_naciendo.html"&gt;</v>
      </c>
      <c r="X1521"/>
      <c r="AB1521" s="1"/>
    </row>
    <row r="1522" spans="1:28" x14ac:dyDescent="0.3">
      <c r="A1522" s="1">
        <f>ROW(CantoralDB[[#This Row],[Título]])-1</f>
        <v>1521</v>
      </c>
      <c r="B1522" s="1" t="s">
        <v>2621</v>
      </c>
      <c r="C1522" s="1"/>
      <c r="F1522" s="1">
        <v>242</v>
      </c>
      <c r="J1522" s="1"/>
      <c r="M1522" s="15" t="s">
        <v>2498</v>
      </c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1522" s="15" t="str">
        <f>_xlfn.TEXTBEFORE(_xlfn.TEXTAFTER(CantoralDB[[#This Row],[index.html]],"&gt;"),"&gt;")&amp;"&gt;"</f>
        <v>&lt;a href="canciones/nuevas/oh_alabad.html"&gt;</v>
      </c>
      <c r="X1522"/>
      <c r="AB1522" s="1"/>
    </row>
    <row r="1523" spans="1:28" x14ac:dyDescent="0.3">
      <c r="A1523" s="1">
        <f>ROW(CantoralDB[[#This Row],[Título]])-1</f>
        <v>1522</v>
      </c>
      <c r="B1523" s="1" t="s">
        <v>2525</v>
      </c>
      <c r="C1523" s="1"/>
      <c r="F1523" s="1">
        <v>139</v>
      </c>
      <c r="J1523" s="1"/>
      <c r="M1523" s="15" t="s">
        <v>2526</v>
      </c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523" s="15" t="str">
        <f>_xlfn.TEXTBEFORE(_xlfn.TEXTAFTER(CantoralDB[[#This Row],[index.html]],"&gt;"),"&gt;")&amp;"&gt;"</f>
        <v>&lt;a href="canciones/nuevas/fuego_en_esta_casa.html"&gt;</v>
      </c>
      <c r="X1523"/>
      <c r="AB1523" s="1"/>
    </row>
    <row r="1524" spans="1:28" x14ac:dyDescent="0.3">
      <c r="A1524" s="1">
        <f>ROW(CantoralDB[[#This Row],[Título]])-1</f>
        <v>1523</v>
      </c>
      <c r="B1524" s="1" t="s">
        <v>2383</v>
      </c>
      <c r="C1524" s="1"/>
      <c r="F1524" s="1">
        <v>3</v>
      </c>
      <c r="H1524" s="1" t="s">
        <v>1026</v>
      </c>
      <c r="J1524" s="1" t="s">
        <v>607</v>
      </c>
      <c r="M1524" s="15" t="s">
        <v>2382</v>
      </c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1524" s="15" t="str">
        <f>_xlfn.TEXTBEFORE(_xlfn.TEXTAFTER(CantoralDB[[#This Row],[index.html]],"&gt;"),"&gt;")&amp;"&gt;"</f>
        <v>&lt;a href="canciones/nuevas/con_mis_manos_alzadas.html"&gt;</v>
      </c>
      <c r="X1524"/>
      <c r="AB1524" s="1"/>
    </row>
    <row r="1525" spans="1:28" x14ac:dyDescent="0.3">
      <c r="A1525" s="1">
        <f>ROW(CantoralDB[[#This Row],[Título]])-1</f>
        <v>1524</v>
      </c>
      <c r="B1525" s="1" t="s">
        <v>2604</v>
      </c>
      <c r="C1525" s="1"/>
      <c r="F1525" s="1">
        <v>221</v>
      </c>
      <c r="J1525" s="1"/>
      <c r="M1525" s="15" t="s">
        <v>2605</v>
      </c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1525" s="15" t="str">
        <f>_xlfn.TEXTBEFORE(_xlfn.TEXTAFTER(CantoralDB[[#This Row],[index.html]],"&gt;"),"&gt;")&amp;"&gt;"</f>
        <v>&lt;a href="canciones/nuevas/enseñame_tu_camino_señor.html"&gt;</v>
      </c>
      <c r="X1525"/>
      <c r="AB1525" s="1"/>
    </row>
    <row r="1526" spans="1:28" x14ac:dyDescent="0.3">
      <c r="A1526" s="1">
        <f>ROW(CantoralDB[[#This Row],[Título]])-1</f>
        <v>1525</v>
      </c>
      <c r="B1526" s="1" t="s">
        <v>2633</v>
      </c>
      <c r="C1526" s="1"/>
      <c r="F1526" s="1">
        <v>257</v>
      </c>
      <c r="J1526" s="1"/>
      <c r="M1526" s="15" t="s">
        <v>2635</v>
      </c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1526" s="15" t="str">
        <f>_xlfn.TEXTBEFORE(_xlfn.TEXTAFTER(CantoralDB[[#This Row],[index.html]],"&gt;"),"&gt;")&amp;"&gt;"</f>
        <v>&lt;a href="canciones/nuevas/mi_alma_tiene_sed_de_dios.html"&gt;</v>
      </c>
      <c r="X1526"/>
      <c r="AB1526" s="1"/>
    </row>
    <row r="1527" spans="1:28" x14ac:dyDescent="0.3">
      <c r="A1527" s="1">
        <f>ROW(CantoralDB[[#This Row],[Título]])-1</f>
        <v>1526</v>
      </c>
      <c r="B1527" s="1" t="s">
        <v>2758</v>
      </c>
      <c r="C1527" s="1"/>
      <c r="F1527" s="1">
        <v>382</v>
      </c>
      <c r="J1527" s="1"/>
      <c r="M1527" s="15" t="s">
        <v>2761</v>
      </c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1527" s="15" t="str">
        <f>_xlfn.TEXTBEFORE(_xlfn.TEXTAFTER(CantoralDB[[#This Row],[index.html]],"&gt;"),"&gt;")&amp;"&gt;"</f>
        <v>&lt;a href="canciones/nuevas/majestuoso_poderoso.html"&gt;</v>
      </c>
      <c r="X1527"/>
      <c r="AB1527" s="1"/>
    </row>
    <row r="1528" spans="1:28" x14ac:dyDescent="0.3">
      <c r="A1528" s="1">
        <f>ROW(CantoralDB[[#This Row],[Título]])-1</f>
        <v>1527</v>
      </c>
      <c r="B1528" s="1" t="s">
        <v>2692</v>
      </c>
      <c r="C1528" s="1"/>
      <c r="F1528" s="1">
        <v>321</v>
      </c>
      <c r="J1528" s="1"/>
      <c r="M1528" s="15" t="s">
        <v>2693</v>
      </c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1528" s="15" t="str">
        <f>_xlfn.TEXTBEFORE(_xlfn.TEXTAFTER(CantoralDB[[#This Row],[index.html]],"&gt;"),"&gt;")&amp;"&gt;"</f>
        <v>&lt;a href="canciones/nuevas/aleluya_jesus_es_el_señor.html"&gt;</v>
      </c>
      <c r="X1528"/>
      <c r="AB1528" s="1"/>
    </row>
    <row r="1529" spans="1:28" x14ac:dyDescent="0.3">
      <c r="A1529" s="1">
        <f>ROW(CantoralDB[[#This Row],[Título]])-1</f>
        <v>1528</v>
      </c>
      <c r="B1529" s="1" t="s">
        <v>2685</v>
      </c>
      <c r="C1529" s="1"/>
      <c r="F1529" s="1">
        <v>310</v>
      </c>
      <c r="J1529" s="1"/>
      <c r="M1529" s="15" t="s">
        <v>2873</v>
      </c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1529" s="15" t="str">
        <f>_xlfn.TEXTBEFORE(_xlfn.TEXTAFTER(CantoralDB[[#This Row],[index.html]],"&gt;"),"&gt;")&amp;"&gt;"</f>
        <v>&lt;a href="canciones/nuevas/ponte_ya_de_pie.html"&gt;</v>
      </c>
      <c r="X1529"/>
      <c r="AB1529" s="1"/>
    </row>
    <row r="1530" spans="1:28" x14ac:dyDescent="0.3">
      <c r="A1530" s="1">
        <f>ROW(CantoralDB[[#This Row],[Título]])-1</f>
        <v>1529</v>
      </c>
      <c r="B1530" s="1" t="s">
        <v>2734</v>
      </c>
      <c r="C1530" s="1"/>
      <c r="F1530" s="1">
        <v>358</v>
      </c>
      <c r="J1530" s="1"/>
      <c r="M1530" s="15" t="s">
        <v>2873</v>
      </c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1530" s="15" t="str">
        <f>_xlfn.TEXTBEFORE(_xlfn.TEXTAFTER(CantoralDB[[#This Row],[index.html]],"&gt;"),"&gt;")&amp;"&gt;"</f>
        <v>&lt;a href="canciones/nuevas/que_nuestro_dios_te_guarde.html"&gt;</v>
      </c>
      <c r="X1530"/>
      <c r="AB1530" s="1"/>
    </row>
    <row r="1531" spans="1:28" x14ac:dyDescent="0.3">
      <c r="A1531" s="1">
        <f>ROW(CantoralDB[[#This Row],[Título]])-1</f>
        <v>1530</v>
      </c>
      <c r="B1531" s="1" t="s">
        <v>414</v>
      </c>
      <c r="C1531" s="1"/>
      <c r="F1531" s="1">
        <v>447</v>
      </c>
      <c r="J1531" s="1"/>
      <c r="M1531" s="15" t="s">
        <v>2839</v>
      </c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1531" s="15" t="str">
        <f>_xlfn.TEXTBEFORE(_xlfn.TEXTAFTER(CantoralDB[[#This Row],[index.html]],"&gt;"),"&gt;")&amp;"&gt;"</f>
        <v>&lt;a href="canciones/nuevas/nada_te_turbe.html"&gt;</v>
      </c>
      <c r="X1531"/>
      <c r="AB1531" s="1"/>
    </row>
    <row r="1532" spans="1:28" x14ac:dyDescent="0.3">
      <c r="A1532" s="1">
        <f>ROW(CantoralDB[[#This Row],[Título]])-1</f>
        <v>1531</v>
      </c>
      <c r="B1532" s="1" t="s">
        <v>2442</v>
      </c>
      <c r="C1532" s="1"/>
      <c r="F1532" s="1">
        <v>61</v>
      </c>
      <c r="J1532" s="1"/>
      <c r="M1532" s="15" t="s">
        <v>2443</v>
      </c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1532" s="15" t="str">
        <f>_xlfn.TEXTBEFORE(_xlfn.TEXTAFTER(CantoralDB[[#This Row],[index.html]],"&gt;"),"&gt;")&amp;"&gt;"</f>
        <v>&lt;a href="canciones/nuevas/escucha_nuestra_oracion.html"&gt;</v>
      </c>
      <c r="X1532"/>
      <c r="AB1532" s="1"/>
    </row>
    <row r="1533" spans="1:28" x14ac:dyDescent="0.3">
      <c r="A1533" s="1">
        <f>ROW(CantoralDB[[#This Row],[Título]])-1</f>
        <v>1532</v>
      </c>
      <c r="B1533" s="1" t="s">
        <v>2718</v>
      </c>
      <c r="C1533" s="1"/>
      <c r="F1533" s="1">
        <v>346</v>
      </c>
      <c r="J1533" s="1"/>
      <c r="M1533" s="15" t="s">
        <v>2719</v>
      </c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1533" s="15" t="str">
        <f>_xlfn.TEXTBEFORE(_xlfn.TEXTAFTER(CantoralDB[[#This Row],[index.html]],"&gt;"),"&gt;")&amp;"&gt;"</f>
        <v>&lt;a href="canciones/nuevas/celebrad_a_cristo.html"&gt;</v>
      </c>
      <c r="X1533"/>
      <c r="AB1533" s="1"/>
    </row>
    <row r="1534" spans="1:28" x14ac:dyDescent="0.3">
      <c r="A1534" s="1">
        <f>ROW(CantoralDB[[#This Row],[Título]])-1</f>
        <v>1533</v>
      </c>
      <c r="B1534" s="1" t="s">
        <v>2493</v>
      </c>
      <c r="C1534" s="1"/>
      <c r="F1534" s="1">
        <v>113</v>
      </c>
      <c r="H1534" s="1" t="s">
        <v>1029</v>
      </c>
      <c r="J1534" s="1" t="s">
        <v>607</v>
      </c>
      <c r="M1534" s="15" t="s">
        <v>625</v>
      </c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534" s="15" t="str">
        <f>_xlfn.TEXTBEFORE(_xlfn.TEXTAFTER(CantoralDB[[#This Row],[index.html]],"&gt;"),"&gt;")&amp;"&gt;"</f>
        <v>&lt;a href="canciones/nuevas/santo_(gen_rosso).html"&gt;</v>
      </c>
      <c r="X1534"/>
      <c r="AB1534" s="1"/>
    </row>
    <row r="1535" spans="1:28" x14ac:dyDescent="0.3">
      <c r="A1535" s="1">
        <f>ROW(CantoralDB[[#This Row],[Título]])-1</f>
        <v>1534</v>
      </c>
      <c r="B1535" s="1" t="s">
        <v>2544</v>
      </c>
      <c r="C1535" s="1"/>
      <c r="F1535" s="1">
        <v>157</v>
      </c>
      <c r="H1535" s="1" t="s">
        <v>530</v>
      </c>
      <c r="J1535" s="1" t="s">
        <v>607</v>
      </c>
      <c r="M1535" s="15" t="s">
        <v>2545</v>
      </c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35" s="1"/>
      <c r="T1535" s="1"/>
      <c r="U1535" s="32" t="s">
        <v>3004</v>
      </c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35" s="15" t="str">
        <f>_xlfn.TEXTBEFORE(_xlfn.TEXTAFTER(CantoralDB[[#This Row],[index.html]],"&gt;"),"&gt;")&amp;"&gt;"</f>
        <v>&lt;a href="canciones/nuevas/tierra_firme_(getsemani).html"&gt;</v>
      </c>
      <c r="X1535"/>
      <c r="AB1535" s="1"/>
    </row>
    <row r="1536" spans="1:28" x14ac:dyDescent="0.3">
      <c r="A1536" s="1">
        <f>ROW(CantoralDB[[#This Row],[Título]])-1</f>
        <v>1535</v>
      </c>
      <c r="B1536" s="1" t="s">
        <v>2390</v>
      </c>
      <c r="C1536" s="1"/>
      <c r="F1536" s="1">
        <v>12</v>
      </c>
      <c r="H1536" s="1" t="s">
        <v>1029</v>
      </c>
      <c r="J1536" s="1" t="s">
        <v>607</v>
      </c>
      <c r="M1536" s="15" t="s">
        <v>2391</v>
      </c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536" s="1"/>
      <c r="T1536" s="1"/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536" s="15" t="str">
        <f>_xlfn.TEXTBEFORE(_xlfn.TEXTAFTER(CantoralDB[[#This Row],[index.html]],"&gt;"),"&gt;")&amp;"&gt;"</f>
        <v>&lt;a href="canciones/nuevas/brilla_jesus.html"&gt;</v>
      </c>
      <c r="X1536"/>
      <c r="AB1536" s="1"/>
    </row>
    <row r="1537" spans="1:28" x14ac:dyDescent="0.3">
      <c r="A1537" s="1">
        <f>ROW(CantoralDB[[#This Row],[Título]])-1</f>
        <v>1536</v>
      </c>
      <c r="B1537" s="1" t="s">
        <v>2627</v>
      </c>
      <c r="C1537" s="1"/>
      <c r="F1537" s="1">
        <v>248</v>
      </c>
      <c r="H1537" s="1" t="s">
        <v>1026</v>
      </c>
      <c r="J1537" s="1" t="s">
        <v>607</v>
      </c>
      <c r="M1537" s="15" t="s">
        <v>2391</v>
      </c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537" s="1"/>
      <c r="T1537" s="1"/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1537" s="15" t="str">
        <f>_xlfn.TEXTBEFORE(_xlfn.TEXTAFTER(CantoralDB[[#This Row],[index.html]],"&gt;"),"&gt;")&amp;"&gt;"</f>
        <v>&lt;a href="canciones/nuevas/seduce_mi_corazon.html"&gt;</v>
      </c>
      <c r="X1537"/>
      <c r="AB1537" s="1"/>
    </row>
    <row r="1538" spans="1:28" x14ac:dyDescent="0.3">
      <c r="A1538" s="1">
        <f>ROW(CantoralDB[[#This Row],[Título]])-1</f>
        <v>1537</v>
      </c>
      <c r="B1538" s="1" t="s">
        <v>2730</v>
      </c>
      <c r="C1538" s="1"/>
      <c r="F1538" s="1">
        <v>355</v>
      </c>
      <c r="J1538" s="1"/>
      <c r="M1538" s="15" t="s">
        <v>2732</v>
      </c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538" s="1"/>
      <c r="T1538" s="1"/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1538" s="15" t="str">
        <f>_xlfn.TEXTBEFORE(_xlfn.TEXTAFTER(CantoralDB[[#This Row],[index.html]],"&gt;"),"&gt;")&amp;"&gt;"</f>
        <v>&lt;a href="canciones/nuevas/no_puedo_parar.html"&gt;</v>
      </c>
      <c r="X1538"/>
      <c r="AB1538" s="1"/>
    </row>
    <row r="1539" spans="1:28" x14ac:dyDescent="0.3">
      <c r="A1539" s="1">
        <f>ROW(CantoralDB[[#This Row],[Título]])-1</f>
        <v>1538</v>
      </c>
      <c r="B1539" s="1" t="s">
        <v>2590</v>
      </c>
      <c r="C1539" s="1"/>
      <c r="F1539" s="1">
        <v>201</v>
      </c>
      <c r="J1539" s="1"/>
      <c r="M1539" s="15" t="s">
        <v>2591</v>
      </c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539" s="1"/>
      <c r="T1539" s="1"/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1539" s="15" t="str">
        <f>_xlfn.TEXTBEFORE(_xlfn.TEXTAFTER(CantoralDB[[#This Row],[index.html]],"&gt;"),"&gt;")&amp;"&gt;"</f>
        <v>&lt;a href="canciones/nuevas/quiero_agradecer.html"&gt;</v>
      </c>
      <c r="X1539"/>
      <c r="AB1539" s="1"/>
    </row>
    <row r="1540" spans="1:28" x14ac:dyDescent="0.3">
      <c r="A1540" s="1">
        <f>ROW(CantoralDB[[#This Row],[Título]])-1</f>
        <v>1539</v>
      </c>
      <c r="B1540" s="1" t="s">
        <v>2428</v>
      </c>
      <c r="C1540" s="1"/>
      <c r="F1540" s="1">
        <v>49</v>
      </c>
      <c r="J1540" s="1"/>
      <c r="M1540" s="15" t="s">
        <v>2426</v>
      </c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540" s="1"/>
      <c r="T1540" s="1"/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1540" s="15" t="str">
        <f>_xlfn.TEXTBEFORE(_xlfn.TEXTAFTER(CantoralDB[[#This Row],[index.html]],"&gt;"),"&gt;")&amp;"&gt;"</f>
        <v>&lt;a href="canciones/nuevas/maria_madre_conducenos.html"&gt;</v>
      </c>
      <c r="X1540"/>
      <c r="AB1540" s="1"/>
    </row>
    <row r="1541" spans="1:28" x14ac:dyDescent="0.3">
      <c r="A1541" s="1">
        <f>ROW(CantoralDB[[#This Row],[Título]])-1</f>
        <v>1540</v>
      </c>
      <c r="B1541" s="1" t="s">
        <v>2512</v>
      </c>
      <c r="C1541" s="1"/>
      <c r="F1541" s="1">
        <v>126</v>
      </c>
      <c r="J1541" s="1"/>
      <c r="M1541" s="15" t="s">
        <v>2511</v>
      </c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541" s="1"/>
      <c r="T1541" s="1"/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541" s="15" t="str">
        <f>_xlfn.TEXTBEFORE(_xlfn.TEXTAFTER(CantoralDB[[#This Row],[index.html]],"&gt;"),"&gt;")&amp;"&gt;"</f>
        <v>&lt;a href="canciones/nuevas/madre.html"&gt;</v>
      </c>
      <c r="X1541"/>
      <c r="AB1541" s="1"/>
    </row>
    <row r="1542" spans="1:28" x14ac:dyDescent="0.3">
      <c r="A1542" s="1">
        <f>ROW(CantoralDB[[#This Row],[Título]])-1</f>
        <v>1541</v>
      </c>
      <c r="B1542" s="1" t="s">
        <v>2602</v>
      </c>
      <c r="C1542" s="1"/>
      <c r="F1542" s="1">
        <v>219</v>
      </c>
      <c r="J1542" s="1"/>
      <c r="M1542" s="15" t="s">
        <v>2603</v>
      </c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542" s="1"/>
      <c r="T1542" s="1"/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1542" s="15" t="str">
        <f>_xlfn.TEXTBEFORE(_xlfn.TEXTAFTER(CantoralDB[[#This Row],[index.html]],"&gt;"),"&gt;")&amp;"&gt;"</f>
        <v>&lt;a href="canciones/nuevas/majestad.html"&gt;</v>
      </c>
      <c r="X1542"/>
      <c r="AB1542" s="1"/>
    </row>
    <row r="1543" spans="1:28" x14ac:dyDescent="0.3">
      <c r="A1543" s="1">
        <f>ROW(CantoralDB[[#This Row],[Título]])-1</f>
        <v>1542</v>
      </c>
      <c r="B1543" s="1" t="s">
        <v>2817</v>
      </c>
      <c r="C1543" s="1"/>
      <c r="F1543" s="1">
        <v>426</v>
      </c>
      <c r="J1543" s="1"/>
      <c r="M1543" s="15" t="s">
        <v>2819</v>
      </c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543" s="1"/>
      <c r="T1543" s="1"/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1543" s="15" t="str">
        <f>_xlfn.TEXTBEFORE(_xlfn.TEXTAFTER(CantoralDB[[#This Row],[index.html]],"&gt;"),"&gt;")&amp;"&gt;"</f>
        <v>&lt;a href="canciones/nuevas/esto_es_mi_cuerpo.html"&gt;</v>
      </c>
      <c r="X1543"/>
      <c r="AB1543" s="1"/>
    </row>
    <row r="1544" spans="1:28" x14ac:dyDescent="0.3">
      <c r="A1544" s="1">
        <f>ROW(CantoralDB[[#This Row],[Título]])-1</f>
        <v>1543</v>
      </c>
      <c r="B1544" s="1" t="s">
        <v>2644</v>
      </c>
      <c r="C1544" s="1"/>
      <c r="F1544" s="1">
        <v>267</v>
      </c>
      <c r="J1544" s="1"/>
      <c r="M1544" s="15" t="s">
        <v>2643</v>
      </c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544" s="1"/>
      <c r="T1544" s="1"/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1544" s="15" t="str">
        <f>_xlfn.TEXTBEFORE(_xlfn.TEXTAFTER(CantoralDB[[#This Row],[index.html]],"&gt;"),"&gt;")&amp;"&gt;"</f>
        <v>&lt;a href="canciones/nuevas/nadie_te_quiere_como_el.html"&gt;</v>
      </c>
      <c r="X1544"/>
      <c r="AB1544" s="1"/>
    </row>
    <row r="1545" spans="1:28" x14ac:dyDescent="0.3">
      <c r="A1545" s="1">
        <f>ROW(CantoralDB[[#This Row],[Título]])-1</f>
        <v>1544</v>
      </c>
      <c r="B1545" s="1" t="s">
        <v>2828</v>
      </c>
      <c r="C1545" s="1"/>
      <c r="F1545" s="1">
        <v>435</v>
      </c>
      <c r="J1545" s="1"/>
      <c r="M1545" s="15" t="s">
        <v>2173</v>
      </c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545" s="1"/>
      <c r="T1545" s="1"/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1545" s="15" t="str">
        <f>_xlfn.TEXTBEFORE(_xlfn.TEXTAFTER(CantoralDB[[#This Row],[index.html]],"&gt;"),"&gt;")&amp;"&gt;"</f>
        <v>&lt;a href="canciones/nuevas/cansado_del_camino.html"&gt;</v>
      </c>
      <c r="X1545"/>
      <c r="AB1545" s="1"/>
    </row>
    <row r="1546" spans="1:28" x14ac:dyDescent="0.3">
      <c r="A1546" s="1">
        <f>ROW(CantoralDB[[#This Row],[Título]])-1</f>
        <v>1545</v>
      </c>
      <c r="B1546" s="1" t="s">
        <v>2157</v>
      </c>
      <c r="C1546" s="15"/>
      <c r="H1546" s="1" t="s">
        <v>1026</v>
      </c>
      <c r="J1546" s="1" t="s">
        <v>607</v>
      </c>
      <c r="M1546" s="15" t="s">
        <v>2173</v>
      </c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546" s="1"/>
      <c r="T1546" s="1"/>
      <c r="U1546" s="32" t="s">
        <v>2998</v>
      </c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546" s="15" t="str">
        <f>_xlfn.TEXTBEFORE(_xlfn.TEXTAFTER(CantoralDB[[#This Row],[index.html]],"&gt;"),"&gt;")&amp;"&gt;"</f>
        <v>&lt;a href="canciones/nuevas/enamorame_de_ti.html"&gt;</v>
      </c>
      <c r="X1546"/>
      <c r="AB1546" s="1"/>
    </row>
    <row r="1547" spans="1:28" x14ac:dyDescent="0.3">
      <c r="A1547" s="1">
        <f>ROW(CantoralDB[[#This Row],[Título]])-1</f>
        <v>1546</v>
      </c>
      <c r="B1547" s="1" t="s">
        <v>2830</v>
      </c>
      <c r="C1547" s="1"/>
      <c r="F1547" s="1">
        <v>437</v>
      </c>
      <c r="J1547" s="1"/>
      <c r="M1547" s="15" t="s">
        <v>2173</v>
      </c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547" s="1"/>
      <c r="T1547" s="1"/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1547" s="15" t="str">
        <f>_xlfn.TEXTBEFORE(_xlfn.TEXTAFTER(CantoralDB[[#This Row],[index.html]],"&gt;"),"&gt;")&amp;"&gt;"</f>
        <v>&lt;a href="canciones/nuevas/que_seria_de_mi.html"&gt;</v>
      </c>
      <c r="X1547"/>
      <c r="AB1547" s="1"/>
    </row>
    <row r="1548" spans="1:28" x14ac:dyDescent="0.3">
      <c r="A1548" s="1">
        <f>ROW(CantoralDB[[#This Row],[Título]])-1</f>
        <v>1547</v>
      </c>
      <c r="B1548" s="1" t="s">
        <v>1543</v>
      </c>
      <c r="C1548" s="1"/>
      <c r="F1548" s="1">
        <v>235</v>
      </c>
      <c r="J1548" s="1"/>
      <c r="M1548" s="15" t="s">
        <v>2616</v>
      </c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548" s="1"/>
      <c r="T1548" s="1"/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1548" s="15" t="str">
        <f>_xlfn.TEXTBEFORE(_xlfn.TEXTAFTER(CantoralDB[[#This Row],[index.html]],"&gt;"),"&gt;")&amp;"&gt;"</f>
        <v>&lt;a href="canciones/nuevas/magnificat.html"&gt;</v>
      </c>
      <c r="X1548"/>
      <c r="AB1548" s="1"/>
    </row>
    <row r="1549" spans="1:28" x14ac:dyDescent="0.3">
      <c r="A1549" s="1">
        <f>ROW(CantoralDB[[#This Row],[Título]])-1</f>
        <v>1548</v>
      </c>
      <c r="B1549" s="1" t="s">
        <v>2576</v>
      </c>
      <c r="C1549" s="1"/>
      <c r="F1549" s="1">
        <v>186</v>
      </c>
      <c r="J1549" s="1"/>
      <c r="M1549" s="15" t="s">
        <v>2577</v>
      </c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549" s="1"/>
      <c r="T1549" s="1"/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549" s="15" t="str">
        <f>_xlfn.TEXTBEFORE(_xlfn.TEXTAFTER(CantoralDB[[#This Row],[index.html]],"&gt;"),"&gt;")&amp;"&gt;"</f>
        <v>&lt;a href="canciones/nuevas/jesus_jesus_jesus.html"&gt;</v>
      </c>
      <c r="X1549"/>
      <c r="AB1549" s="1"/>
    </row>
    <row r="1550" spans="1:28" x14ac:dyDescent="0.3">
      <c r="A1550" s="1">
        <f>ROW(CantoralDB[[#This Row],[Título]])-1</f>
        <v>1549</v>
      </c>
      <c r="B1550" s="1" t="s">
        <v>2515</v>
      </c>
      <c r="C1550" s="1"/>
      <c r="F1550" s="1">
        <v>128</v>
      </c>
      <c r="J1550" s="1"/>
      <c r="M1550" s="15" t="s">
        <v>2516</v>
      </c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550" s="1"/>
      <c r="T1550" s="1"/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550" s="15" t="str">
        <f>_xlfn.TEXTBEFORE(_xlfn.TEXTAFTER(CantoralDB[[#This Row],[index.html]],"&gt;"),"&gt;")&amp;"&gt;"</f>
        <v>&lt;a href="canciones/nuevas/la_cancion_del_espiritu.html"&gt;</v>
      </c>
      <c r="X1550"/>
      <c r="AB1550" s="1"/>
    </row>
    <row r="1551" spans="1:28" x14ac:dyDescent="0.3">
      <c r="A1551" s="1">
        <f>ROW(CantoralDB[[#This Row],[Título]])-1</f>
        <v>1550</v>
      </c>
      <c r="B1551" s="1" t="s">
        <v>2152</v>
      </c>
      <c r="C1551" s="15"/>
      <c r="H1551" s="1" t="s">
        <v>1028</v>
      </c>
      <c r="J1551" s="1" t="s">
        <v>607</v>
      </c>
      <c r="M1551" s="15" t="s">
        <v>2171</v>
      </c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551" s="1"/>
      <c r="T1551" s="1"/>
      <c r="U1551" s="32" t="s">
        <v>2995</v>
      </c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551" s="15" t="str">
        <f>_xlfn.TEXTBEFORE(_xlfn.TEXTAFTER(CantoralDB[[#This Row],[index.html]],"&gt;"),"&gt;")&amp;"&gt;"</f>
        <v>&lt;a href="canciones/nuevas/algo_esta_cayendo_aqui.html"&gt;</v>
      </c>
      <c r="X1551"/>
      <c r="AB1551" s="1"/>
    </row>
    <row r="1552" spans="1:28" x14ac:dyDescent="0.3">
      <c r="A1552" s="1">
        <f>ROW(CantoralDB[[#This Row],[Título]])-1</f>
        <v>1551</v>
      </c>
      <c r="B1552" s="1" t="s">
        <v>2623</v>
      </c>
      <c r="C1552" s="1"/>
      <c r="F1552" s="1">
        <v>243</v>
      </c>
      <c r="J1552" s="1"/>
      <c r="M1552" s="15" t="s">
        <v>2622</v>
      </c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552" s="1"/>
      <c r="T1552" s="1"/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1552" s="15" t="str">
        <f>_xlfn.TEXTBEFORE(_xlfn.TEXTAFTER(CantoralDB[[#This Row],[index.html]],"&gt;"),"&gt;")&amp;"&gt;"</f>
        <v>&lt;a href="canciones/nuevas/mira_el_rostro_de_jesus.html"&gt;</v>
      </c>
      <c r="X1552"/>
      <c r="AB1552" s="1"/>
    </row>
    <row r="1553" spans="1:28" x14ac:dyDescent="0.3">
      <c r="A1553" s="1">
        <f>ROW(CantoralDB[[#This Row],[Título]])-1</f>
        <v>1552</v>
      </c>
      <c r="B1553" s="1" t="s">
        <v>2548</v>
      </c>
      <c r="C1553" s="1"/>
      <c r="F1553" s="1">
        <v>159</v>
      </c>
      <c r="J1553" s="1"/>
      <c r="M1553" s="15" t="s">
        <v>2510</v>
      </c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53" s="1"/>
      <c r="T1553" s="1"/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53" s="15" t="str">
        <f>_xlfn.TEXTBEFORE(_xlfn.TEXTAFTER(CantoralDB[[#This Row],[index.html]],"&gt;"),"&gt;")&amp;"&gt;"</f>
        <v>&lt;a href="canciones/nuevas/escucha_oh_jesus.html"&gt;</v>
      </c>
      <c r="X1553"/>
      <c r="AB1553" s="1"/>
    </row>
    <row r="1554" spans="1:28" x14ac:dyDescent="0.3">
      <c r="A1554" s="1">
        <f>ROW(CantoralDB[[#This Row],[Título]])-1</f>
        <v>1553</v>
      </c>
      <c r="B1554" s="1" t="s">
        <v>2509</v>
      </c>
      <c r="C1554" s="1"/>
      <c r="F1554" s="1">
        <v>125</v>
      </c>
      <c r="J1554" s="1"/>
      <c r="M1554" s="15" t="s">
        <v>2510</v>
      </c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554" s="1"/>
      <c r="T1554" s="1"/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554" s="15" t="str">
        <f>_xlfn.TEXTBEFORE(_xlfn.TEXTAFTER(CantoralDB[[#This Row],[index.html]],"&gt;"),"&gt;")&amp;"&gt;"</f>
        <v>&lt;a href="canciones/nuevas/grito_santo.html"&gt;</v>
      </c>
      <c r="X1554"/>
      <c r="AB1554" s="1"/>
    </row>
    <row r="1555" spans="1:28" x14ac:dyDescent="0.3">
      <c r="A1555" s="1">
        <f>ROW(CantoralDB[[#This Row],[Título]])-1</f>
        <v>1554</v>
      </c>
      <c r="B1555" s="1" t="s">
        <v>2776</v>
      </c>
      <c r="C1555" s="1"/>
      <c r="F1555" s="1">
        <v>394</v>
      </c>
      <c r="J1555" s="1"/>
      <c r="M1555" s="15" t="s">
        <v>2510</v>
      </c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555" s="1"/>
      <c r="T1555" s="1"/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1555" s="15" t="str">
        <f>_xlfn.TEXTBEFORE(_xlfn.TEXTAFTER(CantoralDB[[#This Row],[index.html]],"&gt;"),"&gt;")&amp;"&gt;"</f>
        <v>&lt;a href="canciones/nuevas/he_venido_para_que_vivais.html"&gt;</v>
      </c>
      <c r="X1555"/>
      <c r="AB1555" s="1"/>
    </row>
    <row r="1556" spans="1:28" x14ac:dyDescent="0.3">
      <c r="A1556" s="1">
        <f>ROW(CantoralDB[[#This Row],[Título]])-1</f>
        <v>1555</v>
      </c>
      <c r="B1556" s="1" t="s">
        <v>2505</v>
      </c>
      <c r="C1556" s="1"/>
      <c r="F1556" s="1">
        <v>122</v>
      </c>
      <c r="J1556" s="1"/>
      <c r="M1556" s="15" t="s">
        <v>2506</v>
      </c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556" s="1"/>
      <c r="T1556" s="1"/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556" s="15" t="str">
        <f>_xlfn.TEXTBEFORE(_xlfn.TEXTAFTER(CantoralDB[[#This Row],[index.html]],"&gt;"),"&gt;")&amp;"&gt;"</f>
        <v>&lt;a href="canciones/nuevas/el_señor_es_mi_pastor_(jm_monedero).html"&gt;</v>
      </c>
      <c r="X1556"/>
      <c r="AB1556" s="1"/>
    </row>
    <row r="1557" spans="1:28" x14ac:dyDescent="0.3">
      <c r="A1557" s="1">
        <f>ROW(CantoralDB[[#This Row],[Título]])-1</f>
        <v>1556</v>
      </c>
      <c r="B1557" s="1" t="s">
        <v>489</v>
      </c>
      <c r="C1557" s="1"/>
      <c r="F1557" s="1">
        <v>250</v>
      </c>
      <c r="J1557" s="1"/>
      <c r="M1557" s="15" t="s">
        <v>2506</v>
      </c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557" s="1"/>
      <c r="T1557" s="1"/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1557" s="15" t="str">
        <f>_xlfn.TEXTBEFORE(_xlfn.TEXTAFTER(CantoralDB[[#This Row],[index.html]],"&gt;"),"&gt;")&amp;"&gt;"</f>
        <v>&lt;a href="canciones/nuevas/maranatha.html"&gt;</v>
      </c>
      <c r="X1557"/>
      <c r="AB1557" s="1"/>
    </row>
    <row r="1558" spans="1:28" x14ac:dyDescent="0.3">
      <c r="A1558" s="1">
        <f>ROW(CantoralDB[[#This Row],[Título]])-1</f>
        <v>1557</v>
      </c>
      <c r="B1558" s="1" t="s">
        <v>2519</v>
      </c>
      <c r="C1558" s="1"/>
      <c r="F1558" s="1">
        <v>131</v>
      </c>
      <c r="J1558" s="1"/>
      <c r="M1558" s="15" t="s">
        <v>2520</v>
      </c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558" s="1"/>
      <c r="T1558" s="1"/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558" s="15" t="str">
        <f>_xlfn.TEXTBEFORE(_xlfn.TEXTAFTER(CantoralDB[[#This Row],[index.html]],"&gt;"),"&gt;")&amp;"&gt;"</f>
        <v>&lt;a href="canciones/nuevas/despertemos.html"&gt;</v>
      </c>
      <c r="X1558"/>
      <c r="AB1558" s="1"/>
    </row>
    <row r="1559" spans="1:28" x14ac:dyDescent="0.3">
      <c r="A1559" s="1">
        <f>ROW(CantoralDB[[#This Row],[Título]])-1</f>
        <v>1558</v>
      </c>
      <c r="B1559" s="1" t="s">
        <v>2384</v>
      </c>
      <c r="C1559" s="1"/>
      <c r="F1559" s="1">
        <v>4</v>
      </c>
      <c r="H1559" s="1" t="s">
        <v>530</v>
      </c>
      <c r="J1559" s="1" t="s">
        <v>607</v>
      </c>
      <c r="M1559" s="15" t="s">
        <v>2385</v>
      </c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559" s="1"/>
      <c r="T1559" s="1"/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1559" s="15" t="str">
        <f>_xlfn.TEXTBEFORE(_xlfn.TEXTAFTER(CantoralDB[[#This Row],[index.html]],"&gt;"),"&gt;")&amp;"&gt;"</f>
        <v>&lt;a href="canciones/nuevas/se_fue_pero_a_nuestro_lado_esta.html"&gt;</v>
      </c>
      <c r="X1559"/>
      <c r="AB1559" s="1"/>
    </row>
    <row r="1560" spans="1:28" x14ac:dyDescent="0.3">
      <c r="A1560" s="1">
        <f>ROW(CantoralDB[[#This Row],[Título]])-1</f>
        <v>1559</v>
      </c>
      <c r="B1560" s="1" t="s">
        <v>1505</v>
      </c>
      <c r="C1560" s="1"/>
      <c r="F1560" s="1">
        <v>87</v>
      </c>
      <c r="J1560" s="1"/>
      <c r="M1560" s="15" t="s">
        <v>2470</v>
      </c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60" s="1"/>
      <c r="T1560" s="1"/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1560" s="15" t="str">
        <f>_xlfn.TEXTBEFORE(_xlfn.TEXTAFTER(CantoralDB[[#This Row],[index.html]],"&gt;"),"&gt;")&amp;"&gt;"</f>
        <v>&lt;a href="canciones/nuevas/alegrate.html"&gt;</v>
      </c>
      <c r="X1560"/>
      <c r="AB1560" s="1"/>
    </row>
    <row r="1561" spans="1:28" x14ac:dyDescent="0.3">
      <c r="A1561" s="1">
        <f>ROW(CantoralDB[[#This Row],[Título]])-1</f>
        <v>1560</v>
      </c>
      <c r="B1561" s="1" t="s">
        <v>193</v>
      </c>
      <c r="C1561" s="1"/>
      <c r="F1561" s="1">
        <v>146</v>
      </c>
      <c r="J1561" s="1"/>
      <c r="M1561" s="15" t="s">
        <v>2533</v>
      </c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561" s="1"/>
      <c r="T1561" s="1"/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561" s="15" t="str">
        <f>_xlfn.TEXTBEFORE(_xlfn.TEXTAFTER(CantoralDB[[#This Row],[index.html]],"&gt;"),"&gt;")&amp;"&gt;"</f>
        <v>&lt;a href="canciones/nuevas/aleluya.html"&gt;</v>
      </c>
      <c r="X1561"/>
      <c r="AB1561" s="1"/>
    </row>
    <row r="1562" spans="1:28" x14ac:dyDescent="0.3">
      <c r="A1562" s="1">
        <f>ROW(CantoralDB[[#This Row],[Título]])-1</f>
        <v>1561</v>
      </c>
      <c r="B1562" s="1" t="s">
        <v>2765</v>
      </c>
      <c r="C1562" s="1"/>
      <c r="F1562" s="1">
        <v>386</v>
      </c>
      <c r="J1562" s="1"/>
      <c r="M1562" s="15" t="s">
        <v>2514</v>
      </c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562" s="1"/>
      <c r="T1562" s="1"/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1562" s="15" t="str">
        <f>_xlfn.TEXTBEFORE(_xlfn.TEXTAFTER(CantoralDB[[#This Row],[index.html]],"&gt;"),"&gt;")&amp;"&gt;"</f>
        <v>&lt;a href="canciones/nuevas/alabad_a_yahve.html"&gt;</v>
      </c>
      <c r="X1562"/>
      <c r="AB1562" s="1"/>
    </row>
    <row r="1563" spans="1:28" x14ac:dyDescent="0.3">
      <c r="A1563" s="1">
        <f>ROW(CantoralDB[[#This Row],[Título]])-1</f>
        <v>1562</v>
      </c>
      <c r="B1563" s="1" t="s">
        <v>2513</v>
      </c>
      <c r="C1563" s="1"/>
      <c r="F1563" s="1">
        <v>127</v>
      </c>
      <c r="J1563" s="1"/>
      <c r="M1563" s="15" t="s">
        <v>2514</v>
      </c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563" s="1"/>
      <c r="T1563" s="1"/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563" s="15" t="str">
        <f>_xlfn.TEXTBEFORE(_xlfn.TEXTAFTER(CantoralDB[[#This Row],[index.html]],"&gt;"),"&gt;")&amp;"&gt;"</f>
        <v>&lt;a href="canciones/nuevas/señor_ten_piedad_de_mi_pecador.html"&gt;</v>
      </c>
      <c r="X1563"/>
      <c r="AB1563" s="1"/>
    </row>
    <row r="1564" spans="1:28" x14ac:dyDescent="0.3">
      <c r="A1564" s="1">
        <f>ROW(CantoralDB[[#This Row],[Título]])-1</f>
        <v>1563</v>
      </c>
      <c r="B1564" s="1" t="s">
        <v>2716</v>
      </c>
      <c r="C1564" s="1"/>
      <c r="F1564" s="1">
        <v>345</v>
      </c>
      <c r="J1564" s="1"/>
      <c r="M1564" s="15" t="s">
        <v>2717</v>
      </c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564" s="1"/>
      <c r="T1564" s="1"/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564" s="15" t="str">
        <f>_xlfn.TEXTBEFORE(_xlfn.TEXTAFTER(CantoralDB[[#This Row],[index.html]],"&gt;"),"&gt;")&amp;"&gt;"</f>
        <v>&lt;a href="canciones/nuevas/mi_paz.html"&gt;</v>
      </c>
      <c r="X1564"/>
      <c r="AB1564" s="1"/>
    </row>
    <row r="1565" spans="1:28" x14ac:dyDescent="0.3">
      <c r="A1565" s="1">
        <f>ROW(CantoralDB[[#This Row],[Título]])-1</f>
        <v>1564</v>
      </c>
      <c r="B1565" s="1" t="s">
        <v>2389</v>
      </c>
      <c r="C1565" s="1"/>
      <c r="F1565" s="1">
        <v>10</v>
      </c>
      <c r="H1565" s="1" t="s">
        <v>530</v>
      </c>
      <c r="J1565" s="1" t="s">
        <v>607</v>
      </c>
      <c r="M1565" s="15" t="s">
        <v>3014</v>
      </c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565" s="1"/>
      <c r="T1565" s="1"/>
      <c r="U1565" s="32" t="s">
        <v>3015</v>
      </c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565" s="15" t="str">
        <f>_xlfn.TEXTBEFORE(_xlfn.TEXTAFTER(CantoralDB[[#This Row],[index.html]],"&gt;"),"&gt;")&amp;"&gt;"</f>
        <v>&lt;a href="canciones/nuevas/mejor_que_vida_es_tu_misericordia.html"&gt;</v>
      </c>
      <c r="X1565"/>
      <c r="AB1565" s="1"/>
    </row>
    <row r="1566" spans="1:28" x14ac:dyDescent="0.3">
      <c r="A1566" s="1">
        <f>ROW(CantoralDB[[#This Row],[Título]])-1</f>
        <v>1565</v>
      </c>
      <c r="B1566" s="1" t="s">
        <v>2508</v>
      </c>
      <c r="C1566" s="1"/>
      <c r="F1566" s="1">
        <v>123</v>
      </c>
      <c r="J1566" s="1"/>
      <c r="M1566" s="15" t="s">
        <v>2507</v>
      </c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566" s="1"/>
      <c r="T1566" s="1"/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566" s="15" t="str">
        <f>_xlfn.TEXTBEFORE(_xlfn.TEXTAFTER(CantoralDB[[#This Row],[index.html]],"&gt;"),"&gt;")&amp;"&gt;"</f>
        <v>&lt;a href="canciones/nuevas/te_amo_rey.html"&gt;</v>
      </c>
      <c r="X1566"/>
      <c r="AB1566" s="1"/>
    </row>
    <row r="1567" spans="1:28" x14ac:dyDescent="0.3">
      <c r="A1567" s="1">
        <f>ROW(CantoralDB[[#This Row],[Título]])-1</f>
        <v>1566</v>
      </c>
      <c r="B1567" s="1" t="s">
        <v>2415</v>
      </c>
      <c r="C1567" s="1"/>
      <c r="F1567" s="1">
        <v>38</v>
      </c>
      <c r="J1567" s="1"/>
      <c r="M1567" s="15" t="s">
        <v>2416</v>
      </c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567" s="1"/>
      <c r="T1567" s="1"/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567" s="15" t="str">
        <f>_xlfn.TEXTBEFORE(_xlfn.TEXTAFTER(CantoralDB[[#This Row],[index.html]],"&gt;"),"&gt;")&amp;"&gt;"</f>
        <v>&lt;a href="canciones/nuevas/hemos_venido_a_este_lugar.html"&gt;</v>
      </c>
      <c r="X1567"/>
      <c r="AB1567" s="1"/>
    </row>
    <row r="1568" spans="1:28" x14ac:dyDescent="0.3">
      <c r="A1568" s="1">
        <f>ROW(CantoralDB[[#This Row],[Título]])-1</f>
        <v>1567</v>
      </c>
      <c r="B1568" s="1" t="s">
        <v>1030</v>
      </c>
      <c r="C1568" s="1"/>
      <c r="H1568" s="1" t="s">
        <v>1029</v>
      </c>
      <c r="J1568" s="1" t="s">
        <v>607</v>
      </c>
      <c r="M1568" s="15" t="s">
        <v>2141</v>
      </c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568" s="1"/>
      <c r="T1568" s="1"/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568" s="15" t="str">
        <f>_xlfn.TEXTBEFORE(_xlfn.TEXTAFTER(CantoralDB[[#This Row],[index.html]],"&gt;"),"&gt;")&amp;"&gt;"</f>
        <v>&lt;a href="canciones/nuevas/aleluya_(cohen).html"&gt;</v>
      </c>
      <c r="X1568"/>
      <c r="AB1568" s="1"/>
    </row>
    <row r="1569" spans="1:28" x14ac:dyDescent="0.3">
      <c r="A1569" s="1">
        <f>ROW(CantoralDB[[#This Row],[Título]])-1</f>
        <v>1568</v>
      </c>
      <c r="B1569" s="1" t="s">
        <v>2710</v>
      </c>
      <c r="C1569" s="1"/>
      <c r="F1569" s="1">
        <v>340</v>
      </c>
      <c r="J1569" s="1"/>
      <c r="M1569" s="15" t="s">
        <v>2711</v>
      </c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569" s="1"/>
      <c r="T1569" s="1"/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569" s="15" t="str">
        <f>_xlfn.TEXTBEFORE(_xlfn.TEXTAFTER(CantoralDB[[#This Row],[index.html]],"&gt;"),"&gt;")&amp;"&gt;"</f>
        <v>&lt;a href="canciones/nuevas/nuestro_dios_reina.html"&gt;</v>
      </c>
      <c r="X1569"/>
      <c r="AB1569" s="1"/>
    </row>
    <row r="1570" spans="1:28" x14ac:dyDescent="0.3">
      <c r="A1570" s="1">
        <f>ROW(CantoralDB[[#This Row],[Título]])-1</f>
        <v>1569</v>
      </c>
      <c r="B1570" s="1" t="s">
        <v>2464</v>
      </c>
      <c r="C1570" s="1"/>
      <c r="F1570" s="1">
        <v>82</v>
      </c>
      <c r="J1570" s="1"/>
      <c r="M1570" s="15" t="s">
        <v>2465</v>
      </c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570" s="1"/>
      <c r="T1570" s="1"/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570" s="15" t="str">
        <f>_xlfn.TEXTBEFORE(_xlfn.TEXTAFTER(CantoralDB[[#This Row],[index.html]],"&gt;"),"&gt;")&amp;"&gt;"</f>
        <v>&lt;a href="canciones/nuevas/hay_poder.html"&gt;</v>
      </c>
      <c r="X1570"/>
      <c r="AB1570" s="1"/>
    </row>
    <row r="1571" spans="1:28" x14ac:dyDescent="0.3">
      <c r="A1571" s="1">
        <f>ROW(CantoralDB[[#This Row],[Título]])-1</f>
        <v>1570</v>
      </c>
      <c r="B1571" s="1" t="s">
        <v>2158</v>
      </c>
      <c r="C1571" s="15"/>
      <c r="H1571" s="1" t="s">
        <v>530</v>
      </c>
      <c r="J1571" s="1" t="s">
        <v>607</v>
      </c>
      <c r="M1571" s="15" t="s">
        <v>2174</v>
      </c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571" s="1"/>
      <c r="T1571" s="1"/>
      <c r="U1571" s="32" t="s">
        <v>2999</v>
      </c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571" s="15" t="str">
        <f>_xlfn.TEXTBEFORE(_xlfn.TEXTAFTER(CantoralDB[[#This Row],[index.html]],"&gt;"),"&gt;")&amp;"&gt;"</f>
        <v>&lt;a href="canciones/nuevas/entra_en_el_corazon_de_dios.html"&gt;</v>
      </c>
      <c r="X1571"/>
      <c r="AB1571" s="1"/>
    </row>
    <row r="1572" spans="1:28" x14ac:dyDescent="0.3">
      <c r="A1572" s="1">
        <f>ROW(CantoralDB[[#This Row],[Título]])-1</f>
        <v>1571</v>
      </c>
      <c r="B1572" s="1" t="s">
        <v>2550</v>
      </c>
      <c r="C1572" s="1"/>
      <c r="F1572" s="1">
        <v>324</v>
      </c>
      <c r="J1572" s="1"/>
      <c r="M1572" s="15" t="s">
        <v>2697</v>
      </c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572" s="1"/>
      <c r="T1572" s="1"/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572" s="15" t="str">
        <f>_xlfn.TEXTBEFORE(_xlfn.TEXTAFTER(CantoralDB[[#This Row],[index.html]],"&gt;"),"&gt;")&amp;"&gt;"</f>
        <v>&lt;a href="canciones/nuevas/vamos_con_gozo.html"&gt;</v>
      </c>
      <c r="X1572"/>
      <c r="AB1572" s="1"/>
    </row>
    <row r="1573" spans="1:28" x14ac:dyDescent="0.3">
      <c r="A1573" s="1">
        <f>ROW(CantoralDB[[#This Row],[Título]])-1</f>
        <v>1572</v>
      </c>
      <c r="B1573" s="1" t="s">
        <v>2788</v>
      </c>
      <c r="C1573" s="1"/>
      <c r="F1573" s="1">
        <v>405</v>
      </c>
      <c r="J1573" s="1"/>
      <c r="M1573" s="15" t="s">
        <v>2789</v>
      </c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573" s="1"/>
      <c r="T1573" s="1"/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573" s="15" t="str">
        <f>_xlfn.TEXTBEFORE(_xlfn.TEXTAFTER(CantoralDB[[#This Row],[index.html]],"&gt;"),"&gt;")&amp;"&gt;"</f>
        <v>&lt;a href="canciones/nuevas/aclamad_al_señor.html"&gt;</v>
      </c>
      <c r="X1573"/>
      <c r="AB1573" s="1"/>
    </row>
    <row r="1574" spans="1:28" x14ac:dyDescent="0.3">
      <c r="A1574" s="1">
        <f>ROW(CantoralDB[[#This Row],[Título]])-1</f>
        <v>1573</v>
      </c>
      <c r="B1574" s="1" t="s">
        <v>2432</v>
      </c>
      <c r="C1574" s="1"/>
      <c r="F1574" s="1">
        <v>51</v>
      </c>
      <c r="J1574" s="1"/>
      <c r="M1574" s="15" t="s">
        <v>2431</v>
      </c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574" s="1"/>
      <c r="T1574" s="1"/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574" s="15" t="str">
        <f>_xlfn.TEXTBEFORE(_xlfn.TEXTAFTER(CantoralDB[[#This Row],[index.html]],"&gt;"),"&gt;")&amp;"&gt;"</f>
        <v>&lt;a href="canciones/nuevas/mi_alma_esta_sedienta.html"&gt;</v>
      </c>
      <c r="X1574"/>
      <c r="AB1574" s="1"/>
    </row>
    <row r="1575" spans="1:28" x14ac:dyDescent="0.3">
      <c r="A1575" s="1">
        <f>ROW(CantoralDB[[#This Row],[Título]])-1</f>
        <v>1574</v>
      </c>
      <c r="B1575" s="1" t="s">
        <v>2483</v>
      </c>
      <c r="C1575" s="1"/>
      <c r="F1575" s="1">
        <v>100</v>
      </c>
      <c r="J1575" s="1"/>
      <c r="M1575" s="15" t="s">
        <v>2485</v>
      </c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575" s="1"/>
      <c r="T1575" s="1"/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575" s="15" t="str">
        <f>_xlfn.TEXTBEFORE(_xlfn.TEXTAFTER(CantoralDB[[#This Row],[index.html]],"&gt;"),"&gt;")&amp;"&gt;"</f>
        <v>&lt;a href="canciones/nuevas/alguien_cerca_esta_de_mi.html"&gt;</v>
      </c>
      <c r="X1575"/>
      <c r="AB1575" s="1"/>
    </row>
    <row r="1576" spans="1:28" x14ac:dyDescent="0.3">
      <c r="A1576" s="1">
        <f>ROW(CantoralDB[[#This Row],[Título]])-1</f>
        <v>1575</v>
      </c>
      <c r="B1576" s="1" t="s">
        <v>2535</v>
      </c>
      <c r="C1576" s="1"/>
      <c r="F1576" s="1">
        <v>148</v>
      </c>
      <c r="J1576" s="1"/>
      <c r="M1576" s="15" t="s">
        <v>2485</v>
      </c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576" s="1"/>
      <c r="T1576" s="1"/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576" s="15" t="str">
        <f>_xlfn.TEXTBEFORE(_xlfn.TEXTAFTER(CantoralDB[[#This Row],[index.html]],"&gt;"),"&gt;")&amp;"&gt;"</f>
        <v>&lt;a href="canciones/nuevas/dios_precisa_de_ti.html"&gt;</v>
      </c>
      <c r="X1576"/>
      <c r="AB1576" s="1"/>
    </row>
    <row r="1577" spans="1:28" x14ac:dyDescent="0.3">
      <c r="A1577" s="1">
        <f>ROW(CantoralDB[[#This Row],[Título]])-1</f>
        <v>1576</v>
      </c>
      <c r="B1577" s="1" t="s">
        <v>2694</v>
      </c>
      <c r="C1577" s="1"/>
      <c r="F1577" s="1">
        <v>322</v>
      </c>
      <c r="J1577" s="1"/>
      <c r="M1577" s="15" t="s">
        <v>2485</v>
      </c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577" s="1"/>
      <c r="T1577" s="1"/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577" s="15" t="str">
        <f>_xlfn.TEXTBEFORE(_xlfn.TEXTAFTER(CantoralDB[[#This Row],[index.html]],"&gt;"),"&gt;")&amp;"&gt;"</f>
        <v>&lt;a href="canciones/nuevas/hay_una_promesa.html"&gt;</v>
      </c>
      <c r="X1577"/>
      <c r="AB1577" s="1"/>
    </row>
    <row r="1578" spans="1:28" x14ac:dyDescent="0.3">
      <c r="A1578" s="1">
        <f>ROW(CantoralDB[[#This Row],[Título]])-1</f>
        <v>1577</v>
      </c>
      <c r="B1578" s="1" t="s">
        <v>2626</v>
      </c>
      <c r="C1578" s="1"/>
      <c r="F1578" s="1">
        <v>247</v>
      </c>
      <c r="J1578" s="1"/>
      <c r="M1578" s="15" t="s">
        <v>2485</v>
      </c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578" s="1"/>
      <c r="T1578" s="1"/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578" s="15" t="str">
        <f>_xlfn.TEXTBEFORE(_xlfn.TEXTAFTER(CantoralDB[[#This Row],[index.html]],"&gt;"),"&gt;")&amp;"&gt;"</f>
        <v>&lt;a href="canciones/nuevas/vive_jesus.html"&gt;</v>
      </c>
      <c r="X1578"/>
      <c r="AB1578" s="1"/>
    </row>
    <row r="1579" spans="1:28" x14ac:dyDescent="0.3">
      <c r="A1579" s="1">
        <f>ROW(CantoralDB[[#This Row],[Título]])-1</f>
        <v>1578</v>
      </c>
      <c r="B1579" s="1" t="s">
        <v>2561</v>
      </c>
      <c r="C1579" s="1"/>
      <c r="F1579" s="1">
        <v>170</v>
      </c>
      <c r="J1579" s="1"/>
      <c r="M1579" s="15" t="s">
        <v>2560</v>
      </c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579" s="1"/>
      <c r="T1579" s="1"/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579" s="15" t="str">
        <f>_xlfn.TEXTBEFORE(_xlfn.TEXTAFTER(CantoralDB[[#This Row],[index.html]],"&gt;"),"&gt;")&amp;"&gt;"</f>
        <v>&lt;a href="canciones/nuevas/evangelio.html"&gt;</v>
      </c>
      <c r="X1579"/>
      <c r="AB1579" s="1"/>
    </row>
    <row r="1580" spans="1:28" x14ac:dyDescent="0.3">
      <c r="A1580" s="1">
        <f>ROW(CantoralDB[[#This Row],[Título]])-1</f>
        <v>1579</v>
      </c>
      <c r="B1580" s="1" t="s">
        <v>192</v>
      </c>
      <c r="C1580" s="1"/>
      <c r="F1580" s="1">
        <v>333</v>
      </c>
      <c r="J1580" s="1"/>
      <c r="M1580" s="15" t="s">
        <v>2704</v>
      </c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580" s="1"/>
      <c r="T1580" s="1"/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580" s="15" t="str">
        <f>_xlfn.TEXTBEFORE(_xlfn.TEXTAFTER(CantoralDB[[#This Row],[index.html]],"&gt;"),"&gt;")&amp;"&gt;"</f>
        <v>&lt;a href="canciones/nuevas/gloria.html"&gt;</v>
      </c>
      <c r="X1580"/>
      <c r="AB1580" s="1"/>
    </row>
    <row r="1581" spans="1:28" x14ac:dyDescent="0.3">
      <c r="A1581" s="1">
        <f>ROW(CantoralDB[[#This Row],[Título]])-1</f>
        <v>1580</v>
      </c>
      <c r="B1581" s="1" t="s">
        <v>2786</v>
      </c>
      <c r="C1581" s="1"/>
      <c r="F1581" s="1">
        <v>404</v>
      </c>
      <c r="J1581" s="1"/>
      <c r="M1581" s="15" t="s">
        <v>2787</v>
      </c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581" s="1"/>
      <c r="T1581" s="1"/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581" s="15" t="str">
        <f>_xlfn.TEXTBEFORE(_xlfn.TEXTAFTER(CantoralDB[[#This Row],[index.html]],"&gt;"),"&gt;")&amp;"&gt;"</f>
        <v>&lt;a href="canciones/nuevas/ahora_mas_que_nunca.html"&gt;</v>
      </c>
      <c r="X1581"/>
      <c r="AB1581" s="1"/>
    </row>
    <row r="1582" spans="1:28" x14ac:dyDescent="0.3">
      <c r="A1582" s="1">
        <f>ROW(CantoralDB[[#This Row],[Título]])-1</f>
        <v>1581</v>
      </c>
      <c r="B1582" s="1" t="s">
        <v>2155</v>
      </c>
      <c r="C1582" s="15"/>
      <c r="H1582" s="1" t="s">
        <v>530</v>
      </c>
      <c r="J1582" s="1" t="s">
        <v>607</v>
      </c>
      <c r="M1582" s="15" t="s">
        <v>2949</v>
      </c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582" s="1"/>
      <c r="T1582" s="1"/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582" s="15" t="str">
        <f>_xlfn.TEXTBEFORE(_xlfn.TEXTAFTER(CantoralDB[[#This Row],[index.html]],"&gt;"),"&gt;")&amp;"&gt;"</f>
        <v>&lt;a href="canciones/nuevas/dijiste_si.html"&gt;</v>
      </c>
      <c r="X1582"/>
      <c r="AB1582" s="1"/>
    </row>
    <row r="1583" spans="1:28" x14ac:dyDescent="0.3">
      <c r="A1583" s="1">
        <f>ROW(CantoralDB[[#This Row],[Título]])-1</f>
        <v>1582</v>
      </c>
      <c r="B1583" s="1" t="s">
        <v>3008</v>
      </c>
      <c r="C1583" s="1"/>
      <c r="J1583" s="1" t="s">
        <v>607</v>
      </c>
      <c r="M1583" s="15" t="s">
        <v>2949</v>
      </c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583" s="1"/>
      <c r="T1583" s="1"/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583" s="15" t="str">
        <f>_xlfn.TEXTBEFORE(_xlfn.TEXTAFTER(CantoralDB[[#This Row],[index.html]],"&gt;"),"&gt;")&amp;"&gt;"</f>
        <v>&lt;a href="canciones/nuevas/petrus_(in_illo_uno_unum).html"&gt;</v>
      </c>
      <c r="X1583"/>
      <c r="AB1583" s="1"/>
    </row>
    <row r="1584" spans="1:28" x14ac:dyDescent="0.3">
      <c r="A1584" s="1">
        <f>ROW(CantoralDB[[#This Row],[Título]])-1</f>
        <v>1583</v>
      </c>
      <c r="B1584" s="1" t="s">
        <v>2948</v>
      </c>
      <c r="C1584" s="1"/>
      <c r="H1584" s="1" t="s">
        <v>1029</v>
      </c>
      <c r="J1584" s="1" t="s">
        <v>607</v>
      </c>
      <c r="M1584" s="15" t="s">
        <v>2949</v>
      </c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584" s="1"/>
      <c r="T1584" s="1"/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584" s="15" t="str">
        <f>_xlfn.TEXTBEFORE(_xlfn.TEXTAFTER(CantoralDB[[#This Row],[index.html]],"&gt;"),"&gt;")&amp;"&gt;"</f>
        <v>&lt;a href="canciones/nuevas/ungidos.html"&gt;</v>
      </c>
      <c r="X1584"/>
      <c r="AB1584" s="1"/>
    </row>
    <row r="1585" spans="1:28" x14ac:dyDescent="0.3">
      <c r="A1585" s="1">
        <f>ROW(CantoralDB[[#This Row],[Título]])-1</f>
        <v>1584</v>
      </c>
      <c r="B1585" s="1" t="s">
        <v>2769</v>
      </c>
      <c r="C1585" s="1"/>
      <c r="F1585" s="1">
        <v>389</v>
      </c>
      <c r="J1585" s="1"/>
      <c r="M1585" s="15" t="s">
        <v>2770</v>
      </c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585" s="1"/>
      <c r="T1585" s="1"/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585" s="15" t="str">
        <f>_xlfn.TEXTBEFORE(_xlfn.TEXTAFTER(CantoralDB[[#This Row],[index.html]],"&gt;"),"&gt;")&amp;"&gt;"</f>
        <v>&lt;a href="canciones/nuevas/entra_en_la_presencia.html"&gt;</v>
      </c>
      <c r="X1585"/>
      <c r="AB1585" s="1"/>
    </row>
    <row r="1586" spans="1:28" x14ac:dyDescent="0.3">
      <c r="A1586" s="1">
        <f>ROW(CantoralDB[[#This Row],[Título]])-1</f>
        <v>1585</v>
      </c>
      <c r="B1586" s="1" t="s">
        <v>201</v>
      </c>
      <c r="C1586" s="1"/>
      <c r="F1586" s="1">
        <v>129</v>
      </c>
      <c r="J1586" s="1"/>
      <c r="M1586" s="15" t="s">
        <v>2486</v>
      </c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586" s="1"/>
      <c r="T1586" s="1"/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586" s="15" t="str">
        <f>_xlfn.TEXTBEFORE(_xlfn.TEXTAFTER(CantoralDB[[#This Row],[index.html]],"&gt;"),"&gt;")&amp;"&gt;"</f>
        <v>&lt;a href="canciones/nuevas/cordero_de_dios.html"&gt;</v>
      </c>
      <c r="X1586"/>
      <c r="AB1586" s="1"/>
    </row>
    <row r="1587" spans="1:28" x14ac:dyDescent="0.3">
      <c r="A1587" s="1">
        <f>ROW(CantoralDB[[#This Row],[Título]])-1</f>
        <v>1586</v>
      </c>
      <c r="B1587" s="1" t="s">
        <v>133</v>
      </c>
      <c r="C1587" s="1"/>
      <c r="F1587" s="1">
        <v>103</v>
      </c>
      <c r="J1587" s="1"/>
      <c r="M1587" s="15" t="s">
        <v>2486</v>
      </c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587" s="1"/>
      <c r="T1587" s="1"/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587" s="15" t="str">
        <f>_xlfn.TEXTBEFORE(_xlfn.TEXTAFTER(CantoralDB[[#This Row],[index.html]],"&gt;"),"&gt;")&amp;"&gt;"</f>
        <v>&lt;a href="canciones/nuevas/señor_ten_piedad.html"&gt;</v>
      </c>
      <c r="X1587"/>
      <c r="AB1587" s="1"/>
    </row>
    <row r="1588" spans="1:28" x14ac:dyDescent="0.3">
      <c r="A1588" s="1">
        <f>ROW(CantoralDB[[#This Row],[Título]])-1</f>
        <v>1587</v>
      </c>
      <c r="B1588" s="1" t="s">
        <v>1505</v>
      </c>
      <c r="C1588" s="1"/>
      <c r="F1588" s="1">
        <v>9</v>
      </c>
      <c r="H1588" s="1" t="s">
        <v>1028</v>
      </c>
      <c r="J1588" s="1" t="s">
        <v>607</v>
      </c>
      <c r="M1588" s="15" t="s">
        <v>489</v>
      </c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88" s="1"/>
      <c r="T1588" s="1"/>
      <c r="U1588" s="32" t="s">
        <v>3013</v>
      </c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588" s="15" t="str">
        <f>_xlfn.TEXTBEFORE(_xlfn.TEXTAFTER(CantoralDB[[#This Row],[index.html]],"&gt;"),"&gt;")&amp;"&gt;"</f>
        <v>&lt;a href="canciones/nuevas/alegrate.html"&gt;</v>
      </c>
      <c r="X1588"/>
      <c r="AB1588" s="1"/>
    </row>
    <row r="1589" spans="1:28" x14ac:dyDescent="0.3">
      <c r="A1589" s="1">
        <f>ROW(CantoralDB[[#This Row],[Título]])-1</f>
        <v>1588</v>
      </c>
      <c r="B1589" s="1" t="s">
        <v>2614</v>
      </c>
      <c r="C1589" s="1"/>
      <c r="F1589" s="1">
        <v>233</v>
      </c>
      <c r="J1589" s="1"/>
      <c r="M1589" s="15" t="s">
        <v>489</v>
      </c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589" s="1"/>
      <c r="T1589" s="1"/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589" s="15" t="str">
        <f>_xlfn.TEXTBEFORE(_xlfn.TEXTAFTER(CantoralDB[[#This Row],[index.html]],"&gt;"),"&gt;")&amp;"&gt;"</f>
        <v>&lt;a href="canciones/nuevas/resucitaremos_con_el.html"&gt;</v>
      </c>
      <c r="X1589"/>
      <c r="AB1589" s="1"/>
    </row>
    <row r="1590" spans="1:28" x14ac:dyDescent="0.3">
      <c r="A1590" s="1">
        <f>ROW(CantoralDB[[#This Row],[Título]])-1</f>
        <v>1589</v>
      </c>
      <c r="B1590" s="1" t="s">
        <v>2724</v>
      </c>
      <c r="C1590" s="1"/>
      <c r="F1590" s="1">
        <v>350</v>
      </c>
      <c r="J1590" s="1"/>
      <c r="M1590" s="15" t="s">
        <v>2725</v>
      </c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590" s="1"/>
      <c r="T1590" s="1"/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590" s="15" t="str">
        <f>_xlfn.TEXTBEFORE(_xlfn.TEXTAFTER(CantoralDB[[#This Row],[index.html]],"&gt;"),"&gt;")&amp;"&gt;"</f>
        <v>&lt;a href="canciones/nuevas/clamamos_a_ti.html"&gt;</v>
      </c>
      <c r="X1590"/>
      <c r="AB1590" s="1"/>
    </row>
    <row r="1591" spans="1:28" x14ac:dyDescent="0.3">
      <c r="A1591" s="1">
        <f>ROW(CantoralDB[[#This Row],[Título]])-1</f>
        <v>1590</v>
      </c>
      <c r="B1591" s="1" t="s">
        <v>2456</v>
      </c>
      <c r="C1591" s="1"/>
      <c r="F1591" s="1">
        <v>75</v>
      </c>
      <c r="J1591" s="1"/>
      <c r="M1591" s="15" t="s">
        <v>2458</v>
      </c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591" s="1"/>
      <c r="T1591" s="1"/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591" s="15" t="str">
        <f>_xlfn.TEXTBEFORE(_xlfn.TEXTAFTER(CantoralDB[[#This Row],[index.html]],"&gt;"),"&gt;")&amp;"&gt;"</f>
        <v>&lt;a href="canciones/nuevas/la_rosa_de_saron.html"&gt;</v>
      </c>
      <c r="X1591"/>
      <c r="AB1591" s="1"/>
    </row>
    <row r="1592" spans="1:28" x14ac:dyDescent="0.3">
      <c r="A1592" s="1">
        <f>ROW(CantoralDB[[#This Row],[Título]])-1</f>
        <v>1591</v>
      </c>
      <c r="B1592" s="1" t="s">
        <v>2822</v>
      </c>
      <c r="C1592" s="1"/>
      <c r="F1592" s="1">
        <v>430</v>
      </c>
      <c r="J1592" s="1"/>
      <c r="M1592" s="15" t="s">
        <v>2820</v>
      </c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592" s="1"/>
      <c r="T1592" s="1"/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592" s="15" t="str">
        <f>_xlfn.TEXTBEFORE(_xlfn.TEXTAFTER(CantoralDB[[#This Row],[index.html]],"&gt;"),"&gt;")&amp;"&gt;"</f>
        <v>&lt;a href="canciones/nuevas/a_el_le_sea_la_gloria.html"&gt;</v>
      </c>
      <c r="X1592"/>
      <c r="AB1592" s="1"/>
    </row>
    <row r="1593" spans="1:28" x14ac:dyDescent="0.3">
      <c r="A1593" s="1">
        <f>ROW(CantoralDB[[#This Row],[Título]])-1</f>
        <v>1592</v>
      </c>
      <c r="B1593" s="1" t="s">
        <v>2395</v>
      </c>
      <c r="C1593" s="1"/>
      <c r="F1593" s="1">
        <v>15</v>
      </c>
      <c r="H1593" s="1" t="s">
        <v>1029</v>
      </c>
      <c r="J1593" s="1" t="s">
        <v>607</v>
      </c>
      <c r="M1593" s="15" t="s">
        <v>2820</v>
      </c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593" s="1"/>
      <c r="T1593" s="1"/>
      <c r="U1593" s="32" t="s">
        <v>3018</v>
      </c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593" s="15" t="str">
        <f>_xlfn.TEXTBEFORE(_xlfn.TEXTAFTER(CantoralDB[[#This Row],[index.html]],"&gt;"),"&gt;")&amp;"&gt;"</f>
        <v>&lt;a href="canciones/nuevas/cristo_heme_aqui.html"&gt;</v>
      </c>
      <c r="X1593"/>
      <c r="AB1593" s="1"/>
    </row>
    <row r="1594" spans="1:28" x14ac:dyDescent="0.3">
      <c r="A1594" s="1">
        <f>ROW(CantoralDB[[#This Row],[Título]])-1</f>
        <v>1593</v>
      </c>
      <c r="B1594" s="1" t="s">
        <v>2818</v>
      </c>
      <c r="C1594" s="1"/>
      <c r="F1594" s="1">
        <v>427</v>
      </c>
      <c r="J1594" s="1"/>
      <c r="M1594" s="15" t="s">
        <v>2820</v>
      </c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594" s="1"/>
      <c r="T1594" s="1"/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594" s="15" t="str">
        <f>_xlfn.TEXTBEFORE(_xlfn.TEXTAFTER(CantoralDB[[#This Row],[index.html]],"&gt;"),"&gt;")&amp;"&gt;"</f>
        <v>&lt;a href="canciones/nuevas/ven_espiritu_ven.html"&gt;</v>
      </c>
      <c r="X1594"/>
      <c r="AB1594" s="1"/>
    </row>
    <row r="1595" spans="1:28" x14ac:dyDescent="0.3">
      <c r="A1595" s="1">
        <f>ROW(CantoralDB[[#This Row],[Título]])-1</f>
        <v>1594</v>
      </c>
      <c r="B1595" s="1" t="s">
        <v>2740</v>
      </c>
      <c r="C1595" s="1"/>
      <c r="F1595" s="1">
        <v>366</v>
      </c>
      <c r="J1595" s="1"/>
      <c r="M1595" s="15" t="s">
        <v>2741</v>
      </c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595" s="1"/>
      <c r="T1595" s="1"/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595" s="15" t="str">
        <f>_xlfn.TEXTBEFORE(_xlfn.TEXTAFTER(CantoralDB[[#This Row],[index.html]],"&gt;"),"&gt;")&amp;"&gt;"</f>
        <v>&lt;a href="canciones/nuevas/con_gozo_al_señor_cantare.html"&gt;</v>
      </c>
      <c r="X1595"/>
      <c r="AB1595" s="1"/>
    </row>
    <row r="1596" spans="1:28" x14ac:dyDescent="0.3">
      <c r="A1596" s="1">
        <f>ROW(CantoralDB[[#This Row],[Título]])-1</f>
        <v>1595</v>
      </c>
      <c r="B1596" s="1" t="s">
        <v>1225</v>
      </c>
      <c r="C1596" s="1"/>
      <c r="F1596" s="1">
        <v>102</v>
      </c>
      <c r="J1596" s="1"/>
      <c r="M1596" s="15" t="s">
        <v>2484</v>
      </c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596" s="1"/>
      <c r="T1596" s="1"/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596" s="15" t="str">
        <f>_xlfn.TEXTBEFORE(_xlfn.TEXTAFTER(CantoralDB[[#This Row],[index.html]],"&gt;"),"&gt;")&amp;"&gt;"</f>
        <v>&lt;a href="canciones/nuevas/el_espiritu_del_señor.html"&gt;</v>
      </c>
      <c r="X1596"/>
      <c r="AB1596" s="1"/>
    </row>
    <row r="1597" spans="1:28" x14ac:dyDescent="0.3">
      <c r="A1597" s="1">
        <f>ROW(CantoralDB[[#This Row],[Título]])-1</f>
        <v>1596</v>
      </c>
      <c r="B1597" s="1" t="s">
        <v>2799</v>
      </c>
      <c r="C1597" s="1"/>
      <c r="F1597" s="1">
        <v>411</v>
      </c>
      <c r="J1597" s="1"/>
      <c r="M1597" s="15" t="s">
        <v>2798</v>
      </c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597" s="1"/>
      <c r="T1597" s="1"/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597" s="15" t="str">
        <f>_xlfn.TEXTBEFORE(_xlfn.TEXTAFTER(CantoralDB[[#This Row],[index.html]],"&gt;"),"&gt;")&amp;"&gt;"</f>
        <v>&lt;a href="canciones/nuevas/de_rodillas_madre.html"&gt;</v>
      </c>
      <c r="X1597"/>
      <c r="AB1597" s="1"/>
    </row>
    <row r="1598" spans="1:28" x14ac:dyDescent="0.3">
      <c r="A1598" s="1">
        <f>ROW(CantoralDB[[#This Row],[Título]])-1</f>
        <v>1597</v>
      </c>
      <c r="B1598" s="1" t="s">
        <v>2811</v>
      </c>
      <c r="C1598" s="1"/>
      <c r="F1598" s="1">
        <v>420</v>
      </c>
      <c r="J1598" s="1"/>
      <c r="M1598" s="15" t="s">
        <v>2808</v>
      </c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598" s="1"/>
      <c r="T1598" s="1"/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598" s="15" t="str">
        <f>_xlfn.TEXTBEFORE(_xlfn.TEXTAFTER(CantoralDB[[#This Row],[index.html]],"&gt;"),"&gt;")&amp;"&gt;"</f>
        <v>&lt;a href="canciones/nuevas/eres_mi_respirar.html"&gt;</v>
      </c>
      <c r="X1598"/>
      <c r="AB1598" s="1"/>
    </row>
    <row r="1599" spans="1:28" x14ac:dyDescent="0.3">
      <c r="A1599" s="1">
        <f>ROW(CantoralDB[[#This Row],[Título]])-1</f>
        <v>1598</v>
      </c>
      <c r="B1599" s="1" t="s">
        <v>2558</v>
      </c>
      <c r="C1599" s="1"/>
      <c r="F1599" s="1">
        <v>169</v>
      </c>
      <c r="J1599" s="1"/>
      <c r="M1599" s="15" t="s">
        <v>2559</v>
      </c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599" s="1"/>
      <c r="T1599" s="1"/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599" s="15" t="str">
        <f>_xlfn.TEXTBEFORE(_xlfn.TEXTAFTER(CantoralDB[[#This Row],[index.html]],"&gt;"),"&gt;")&amp;"&gt;"</f>
        <v>&lt;a href="canciones/nuevas/siento.html"&gt;</v>
      </c>
      <c r="X1599"/>
      <c r="AB1599" s="1"/>
    </row>
    <row r="1600" spans="1:28" x14ac:dyDescent="0.3">
      <c r="A1600" s="1">
        <f>ROW(CantoralDB[[#This Row],[Título]])-1</f>
        <v>1599</v>
      </c>
      <c r="B1600" s="1" t="s">
        <v>2759</v>
      </c>
      <c r="C1600" s="1"/>
      <c r="F1600" s="1">
        <v>383</v>
      </c>
      <c r="J1600" s="1"/>
      <c r="M1600" s="15" t="s">
        <v>2762</v>
      </c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600" s="1"/>
      <c r="T1600" s="1"/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600" s="15" t="str">
        <f>_xlfn.TEXTBEFORE(_xlfn.TEXTAFTER(CantoralDB[[#This Row],[index.html]],"&gt;"),"&gt;")&amp;"&gt;"</f>
        <v>&lt;a href="canciones/nuevas/asi_es_dios.html"&gt;</v>
      </c>
      <c r="X1600"/>
      <c r="AB1600" s="1"/>
    </row>
    <row r="1601" spans="1:28" x14ac:dyDescent="0.3">
      <c r="A1601" s="1">
        <f>ROW(CantoralDB[[#This Row],[Título]])-1</f>
        <v>1600</v>
      </c>
      <c r="B1601" s="1" t="s">
        <v>2523</v>
      </c>
      <c r="C1601" s="1"/>
      <c r="F1601" s="1">
        <v>136</v>
      </c>
      <c r="J1601" s="1"/>
      <c r="M1601" s="15" t="s">
        <v>2524</v>
      </c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601" s="1"/>
      <c r="T1601" s="1"/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601" s="15" t="str">
        <f>_xlfn.TEXTBEFORE(_xlfn.TEXTAFTER(CantoralDB[[#This Row],[index.html]],"&gt;"),"&gt;")&amp;"&gt;"</f>
        <v>&lt;a href="canciones/nuevas/aleluya_cristo_vive.html"&gt;</v>
      </c>
      <c r="X1601"/>
      <c r="AB1601" s="1"/>
    </row>
    <row r="1602" spans="1:28" x14ac:dyDescent="0.3">
      <c r="A1602" s="1">
        <f>ROW(CantoralDB[[#This Row],[Título]])-1</f>
        <v>1601</v>
      </c>
      <c r="B1602" s="1" t="s">
        <v>2557</v>
      </c>
      <c r="C1602" s="1"/>
      <c r="F1602" s="1">
        <v>168</v>
      </c>
      <c r="J1602" s="1"/>
      <c r="M1602" s="15" t="s">
        <v>2524</v>
      </c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02" s="1"/>
      <c r="T1602" s="1"/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02" s="15" t="str">
        <f>_xlfn.TEXTBEFORE(_xlfn.TEXTAFTER(CantoralDB[[#This Row],[index.html]],"&gt;"),"&gt;")&amp;"&gt;"</f>
        <v>&lt;a href="canciones/nuevas/jesus_te_quiere_asi.html"&gt;</v>
      </c>
      <c r="X1602"/>
      <c r="AB1602" s="1"/>
    </row>
    <row r="1603" spans="1:28" x14ac:dyDescent="0.3">
      <c r="A1603" s="1">
        <f>ROW(CantoralDB[[#This Row],[Título]])-1</f>
        <v>1602</v>
      </c>
      <c r="B1603" s="1" t="s">
        <v>2742</v>
      </c>
      <c r="C1603" s="1"/>
      <c r="F1603" s="1">
        <v>367</v>
      </c>
      <c r="J1603" s="1"/>
      <c r="M1603" s="15" t="s">
        <v>2743</v>
      </c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603" s="1"/>
      <c r="T1603" s="1"/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603" s="15" t="str">
        <f>_xlfn.TEXTBEFORE(_xlfn.TEXTAFTER(CantoralDB[[#This Row],[index.html]],"&gt;"),"&gt;")&amp;"&gt;"</f>
        <v>&lt;a href="canciones/nuevas/en_presencia.html"&gt;</v>
      </c>
      <c r="X1603"/>
      <c r="AB1603" s="1"/>
    </row>
    <row r="1604" spans="1:28" x14ac:dyDescent="0.3">
      <c r="A1604" s="1">
        <f>ROW(CantoralDB[[#This Row],[Título]])-1</f>
        <v>1603</v>
      </c>
      <c r="B1604" s="1" t="s">
        <v>2754</v>
      </c>
      <c r="C1604" s="1"/>
      <c r="F1604" s="1">
        <v>377</v>
      </c>
      <c r="J1604" s="1"/>
      <c r="M1604" s="15" t="s">
        <v>2755</v>
      </c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604" s="1"/>
      <c r="T1604" s="1"/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604" s="15" t="str">
        <f>_xlfn.TEXTBEFORE(_xlfn.TEXTAFTER(CantoralDB[[#This Row],[index.html]],"&gt;"),"&gt;")&amp;"&gt;"</f>
        <v>&lt;a href="canciones/nuevas/jesus_tengo_sed.html"&gt;</v>
      </c>
      <c r="X1604"/>
      <c r="AB1604" s="1"/>
    </row>
    <row r="1605" spans="1:28" x14ac:dyDescent="0.3">
      <c r="A1605" s="1">
        <f>ROW(CantoralDB[[#This Row],[Título]])-1</f>
        <v>1604</v>
      </c>
      <c r="B1605" s="1" t="s">
        <v>2630</v>
      </c>
      <c r="C1605" s="1"/>
      <c r="F1605" s="1">
        <v>255</v>
      </c>
      <c r="J1605" s="1"/>
      <c r="M1605" s="15" t="s">
        <v>574</v>
      </c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605" s="1"/>
      <c r="T1605" s="1"/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605" s="15" t="str">
        <f>_xlfn.TEXTBEFORE(_xlfn.TEXTAFTER(CantoralDB[[#This Row],[index.html]],"&gt;"),"&gt;")&amp;"&gt;"</f>
        <v>&lt;a href="canciones/nuevas/gloria_a_jesus_el_señor.html"&gt;</v>
      </c>
      <c r="X1605"/>
      <c r="AB1605" s="1"/>
    </row>
    <row r="1606" spans="1:28" x14ac:dyDescent="0.3">
      <c r="A1606" s="1">
        <f>ROW(CantoralDB[[#This Row],[Título]])-1</f>
        <v>1605</v>
      </c>
      <c r="B1606" s="1" t="s">
        <v>2589</v>
      </c>
      <c r="C1606" s="1"/>
      <c r="F1606" s="1">
        <v>200</v>
      </c>
      <c r="J1606" s="1"/>
      <c r="M1606" s="15" t="s">
        <v>574</v>
      </c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606" s="1"/>
      <c r="T1606" s="1"/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606" s="15" t="str">
        <f>_xlfn.TEXTBEFORE(_xlfn.TEXTAFTER(CantoralDB[[#This Row],[index.html]],"&gt;"),"&gt;")&amp;"&gt;"</f>
        <v>&lt;a href="canciones/nuevas/la_pancita.html"&gt;</v>
      </c>
      <c r="X1606"/>
      <c r="AB1606" s="1"/>
    </row>
    <row r="1607" spans="1:28" x14ac:dyDescent="0.3">
      <c r="A1607" s="1">
        <f>ROW(CantoralDB[[#This Row],[Título]])-1</f>
        <v>1606</v>
      </c>
      <c r="B1607" s="1" t="s">
        <v>2708</v>
      </c>
      <c r="C1607" s="1"/>
      <c r="F1607" s="1">
        <v>337</v>
      </c>
      <c r="J1607" s="1"/>
      <c r="M1607" s="15" t="s">
        <v>2709</v>
      </c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607" s="1"/>
      <c r="T1607" s="1"/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607" s="15" t="str">
        <f>_xlfn.TEXTBEFORE(_xlfn.TEXTAFTER(CantoralDB[[#This Row],[index.html]],"&gt;"),"&gt;")&amp;"&gt;"</f>
        <v>&lt;a href="canciones/nuevas/el_señor_resucitado.html"&gt;</v>
      </c>
      <c r="X1607"/>
      <c r="AB1607" s="1"/>
    </row>
    <row r="1608" spans="1:28" x14ac:dyDescent="0.3">
      <c r="A1608" s="1">
        <f>ROW(CantoralDB[[#This Row],[Título]])-1</f>
        <v>1607</v>
      </c>
      <c r="B1608" s="1" t="s">
        <v>2438</v>
      </c>
      <c r="C1608" s="1"/>
      <c r="F1608" s="1">
        <v>56</v>
      </c>
      <c r="J1608" s="1"/>
      <c r="M1608" s="15" t="s">
        <v>2439</v>
      </c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608" s="15" t="str">
        <f>_xlfn.TEXTBEFORE(_xlfn.TEXTAFTER(CantoralDB[[#This Row],[index.html]],"&gt;"),"&gt;")&amp;"&gt;"</f>
        <v>&lt;a href="canciones/nuevas/viejos_y_jovenes.html"&gt;</v>
      </c>
      <c r="X1608"/>
      <c r="AB1608" s="1"/>
    </row>
    <row r="1609" spans="1:28" x14ac:dyDescent="0.3">
      <c r="A1609" s="1">
        <f>ROW(CantoralDB[[#This Row],[Título]])-1</f>
        <v>1608</v>
      </c>
      <c r="B1609" s="1" t="s">
        <v>2587</v>
      </c>
      <c r="C1609" s="1"/>
      <c r="F1609" s="1">
        <v>199</v>
      </c>
      <c r="J1609" s="1"/>
      <c r="M1609" s="15" t="s">
        <v>2588</v>
      </c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609" s="15" t="str">
        <f>_xlfn.TEXTBEFORE(_xlfn.TEXTAFTER(CantoralDB[[#This Row],[index.html]],"&gt;"),"&gt;")&amp;"&gt;"</f>
        <v>&lt;a href="canciones/nuevas/clamaremos_al_señor.html"&gt;</v>
      </c>
      <c r="X1609"/>
      <c r="AB1609" s="1"/>
    </row>
    <row r="1610" spans="1:28" x14ac:dyDescent="0.3">
      <c r="A1610" s="1">
        <f>ROW(CantoralDB[[#This Row],[Título]])-1</f>
        <v>1609</v>
      </c>
      <c r="B1610" s="1" t="s">
        <v>2793</v>
      </c>
      <c r="C1610" s="1"/>
      <c r="F1610" s="1">
        <v>408</v>
      </c>
      <c r="J1610" s="1"/>
      <c r="M1610" s="15" t="s">
        <v>2794</v>
      </c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610" s="15" t="str">
        <f>_xlfn.TEXTBEFORE(_xlfn.TEXTAFTER(CantoralDB[[#This Row],[index.html]],"&gt;"),"&gt;")&amp;"&gt;"</f>
        <v>&lt;a href="canciones/nuevas/agnus_dei.html"&gt;</v>
      </c>
      <c r="X1610"/>
      <c r="AB1610" s="1"/>
    </row>
    <row r="1611" spans="1:28" x14ac:dyDescent="0.3">
      <c r="A1611" s="1">
        <f>ROW(CantoralDB[[#This Row],[Título]])-1</f>
        <v>1610</v>
      </c>
      <c r="B1611" s="1" t="s">
        <v>2721</v>
      </c>
      <c r="C1611" s="1"/>
      <c r="F1611" s="1">
        <v>348</v>
      </c>
      <c r="J1611" s="1"/>
      <c r="M1611" s="15" t="s">
        <v>2722</v>
      </c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611" s="1"/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611" s="15" t="str">
        <f>_xlfn.TEXTBEFORE(_xlfn.TEXTAFTER(CantoralDB[[#This Row],[index.html]],"&gt;"),"&gt;")&amp;"&gt;"</f>
        <v>&lt;a href="canciones/nuevas/exaltad.html"&gt;</v>
      </c>
      <c r="X1611"/>
      <c r="AB1611" s="1"/>
    </row>
    <row r="1612" spans="1:28" x14ac:dyDescent="0.3">
      <c r="A1612" s="1">
        <f>ROW(CantoralDB[[#This Row],[Título]])-1</f>
        <v>1611</v>
      </c>
      <c r="B1612" s="1" t="s">
        <v>2752</v>
      </c>
      <c r="C1612" s="1"/>
      <c r="F1612" s="1">
        <v>375</v>
      </c>
      <c r="J1612" s="1"/>
      <c r="M1612" s="15" t="s">
        <v>2722</v>
      </c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612" s="15" t="str">
        <f>_xlfn.TEXTBEFORE(_xlfn.TEXTAFTER(CantoralDB[[#This Row],[index.html]],"&gt;"),"&gt;")&amp;"&gt;"</f>
        <v>&lt;a href="canciones/nuevas/tu_fidelidad.html"&gt;</v>
      </c>
      <c r="X1612"/>
      <c r="AB1612" s="1"/>
    </row>
    <row r="1613" spans="1:28" x14ac:dyDescent="0.3">
      <c r="A1613" s="1">
        <f>ROW(CantoralDB[[#This Row],[Título]])-1</f>
        <v>1612</v>
      </c>
      <c r="B1613" s="1" t="s">
        <v>2652</v>
      </c>
      <c r="C1613" s="1"/>
      <c r="F1613" s="1">
        <v>275</v>
      </c>
      <c r="J1613" s="1"/>
      <c r="M1613" s="15" t="s">
        <v>2653</v>
      </c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613" s="15" t="str">
        <f>_xlfn.TEXTBEFORE(_xlfn.TEXTAFTER(CantoralDB[[#This Row],[index.html]],"&gt;"),"&gt;")&amp;"&gt;"</f>
        <v>&lt;a href="canciones/nuevas/no_tengo_mas.html"&gt;</v>
      </c>
      <c r="X1613"/>
      <c r="AB1613" s="1"/>
    </row>
    <row r="1614" spans="1:28" x14ac:dyDescent="0.3">
      <c r="A1614" s="1">
        <f>ROW(CantoralDB[[#This Row],[Título]])-1</f>
        <v>1613</v>
      </c>
      <c r="B1614" s="1" t="s">
        <v>1702</v>
      </c>
      <c r="C1614" s="1"/>
      <c r="F1614" s="1">
        <v>171</v>
      </c>
      <c r="J1614" s="1"/>
      <c r="M1614" s="15" t="s">
        <v>2562</v>
      </c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614" s="15" t="str">
        <f>_xlfn.TEXTBEFORE(_xlfn.TEXTAFTER(CantoralDB[[#This Row],[index.html]],"&gt;"),"&gt;")&amp;"&gt;"</f>
        <v>&lt;a href="canciones/nuevas/creo_en_ti.html"&gt;</v>
      </c>
      <c r="X1614"/>
      <c r="AB1614" s="1"/>
    </row>
    <row r="1615" spans="1:28" x14ac:dyDescent="0.3">
      <c r="A1615" s="1">
        <f>ROW(CantoralDB[[#This Row],[Título]])-1</f>
        <v>1614</v>
      </c>
      <c r="B1615" s="1" t="s">
        <v>2852</v>
      </c>
      <c r="C1615" s="1"/>
      <c r="H1615" s="1" t="s">
        <v>1029</v>
      </c>
      <c r="J1615" s="1" t="s">
        <v>607</v>
      </c>
      <c r="M1615" s="15" t="s">
        <v>2855</v>
      </c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615" s="1"/>
      <c r="T1615" s="1"/>
      <c r="U1615" s="32" t="s">
        <v>2997</v>
      </c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615" s="15" t="str">
        <f>_xlfn.TEXTBEFORE(_xlfn.TEXTAFTER(CantoralDB[[#This Row],[index.html]],"&gt;"),"&gt;")&amp;"&gt;"</f>
        <v>&lt;a href="canciones/nuevas/alza_la_mirada.html"&gt;</v>
      </c>
      <c r="X1615"/>
      <c r="AB1615" s="1"/>
    </row>
    <row r="1616" spans="1:28" x14ac:dyDescent="0.3">
      <c r="A1616" s="1">
        <f>ROW(CantoralDB[[#This Row],[Título]])-1</f>
        <v>1615</v>
      </c>
      <c r="B1616" s="1" t="s">
        <v>2814</v>
      </c>
      <c r="C1616" s="1"/>
      <c r="F1616" s="1">
        <v>425</v>
      </c>
      <c r="J1616" s="1"/>
      <c r="M1616" s="15" t="s">
        <v>2815</v>
      </c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616" s="15" t="str">
        <f>_xlfn.TEXTBEFORE(_xlfn.TEXTAFTER(CantoralDB[[#This Row],[index.html]],"&gt;"),"&gt;")&amp;"&gt;"</f>
        <v>&lt;a href="canciones/nuevas/haz_llover.html"&gt;</v>
      </c>
      <c r="X1616"/>
      <c r="AB1616" s="1"/>
    </row>
    <row r="1617" spans="1:28" x14ac:dyDescent="0.3">
      <c r="A1617" s="1">
        <f>ROW(CantoralDB[[#This Row],[Título]])-1</f>
        <v>1616</v>
      </c>
      <c r="B1617" s="1" t="s">
        <v>2433</v>
      </c>
      <c r="C1617" s="1"/>
      <c r="F1617" s="1">
        <v>52</v>
      </c>
      <c r="J1617" s="1"/>
      <c r="M1617" s="15" t="s">
        <v>2434</v>
      </c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617" s="15" t="str">
        <f>_xlfn.TEXTBEFORE(_xlfn.TEXTAFTER(CantoralDB[[#This Row],[index.html]],"&gt;"),"&gt;")&amp;"&gt;"</f>
        <v>&lt;a href="canciones/nuevas/he_decidido_seguir_a_cristo.html"&gt;</v>
      </c>
      <c r="X1617"/>
      <c r="AB1617" s="1"/>
    </row>
    <row r="1618" spans="1:28" x14ac:dyDescent="0.3">
      <c r="A1618" s="1">
        <f>ROW(CantoralDB[[#This Row],[Título]])-1</f>
        <v>1617</v>
      </c>
      <c r="B1618" s="1" t="s">
        <v>2668</v>
      </c>
      <c r="C1618" s="1"/>
      <c r="F1618" s="1">
        <v>294</v>
      </c>
      <c r="J1618" s="1"/>
      <c r="M1618" s="15" t="s">
        <v>2669</v>
      </c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618" s="15" t="str">
        <f>_xlfn.TEXTBEFORE(_xlfn.TEXTAFTER(CantoralDB[[#This Row],[index.html]],"&gt;"),"&gt;")&amp;"&gt;"</f>
        <v>&lt;a href="canciones/nuevas/digno_eres.html"&gt;</v>
      </c>
      <c r="X1618"/>
      <c r="AB1618" s="1"/>
    </row>
    <row r="1619" spans="1:28" x14ac:dyDescent="0.3">
      <c r="A1619" s="1">
        <f>ROW(CantoralDB[[#This Row],[Título]])-1</f>
        <v>1618</v>
      </c>
      <c r="B1619" s="1" t="s">
        <v>2638</v>
      </c>
      <c r="C1619" s="1"/>
      <c r="F1619" s="1">
        <v>262</v>
      </c>
      <c r="J1619" s="1"/>
      <c r="M1619" s="15" t="s">
        <v>2639</v>
      </c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619" s="15" t="str">
        <f>_xlfn.TEXTBEFORE(_xlfn.TEXTAFTER(CantoralDB[[#This Row],[index.html]],"&gt;"),"&gt;")&amp;"&gt;"</f>
        <v>&lt;a href="canciones/nuevas/vuelvete_a_mi.html"&gt;</v>
      </c>
      <c r="X1619"/>
      <c r="AB1619" s="1"/>
    </row>
    <row r="1620" spans="1:28" x14ac:dyDescent="0.3">
      <c r="A1620" s="1">
        <f>ROW(CantoralDB[[#This Row],[Título]])-1</f>
        <v>1619</v>
      </c>
      <c r="B1620" s="1" t="s">
        <v>2491</v>
      </c>
      <c r="C1620" s="1"/>
      <c r="F1620" s="1">
        <v>110</v>
      </c>
      <c r="J1620" s="1"/>
      <c r="M1620" s="15" t="s">
        <v>2480</v>
      </c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620" s="15" t="str">
        <f>_xlfn.TEXTBEFORE(_xlfn.TEXTAFTER(CantoralDB[[#This Row],[index.html]],"&gt;"),"&gt;")&amp;"&gt;"</f>
        <v>&lt;a href="canciones/nuevas/postrado.html"&gt;</v>
      </c>
      <c r="X1620"/>
      <c r="AB1620" s="1"/>
    </row>
    <row r="1621" spans="1:28" x14ac:dyDescent="0.3">
      <c r="A1621" s="1">
        <f>ROW(CantoralDB[[#This Row],[Título]])-1</f>
        <v>1620</v>
      </c>
      <c r="B1621" s="1" t="s">
        <v>2481</v>
      </c>
      <c r="C1621" s="1"/>
      <c r="F1621" s="1">
        <v>98</v>
      </c>
      <c r="J1621" s="1"/>
      <c r="M1621" s="15" t="s">
        <v>2480</v>
      </c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621" s="15" t="str">
        <f>_xlfn.TEXTBEFORE(_xlfn.TEXTAFTER(CantoralDB[[#This Row],[index.html]],"&gt;"),"&gt;")&amp;"&gt;"</f>
        <v>&lt;a href="canciones/nuevas/tu_el_dios_de_mi_refugio.html"&gt;</v>
      </c>
      <c r="X1621"/>
      <c r="AB1621" s="1"/>
    </row>
    <row r="1622" spans="1:28" x14ac:dyDescent="0.3">
      <c r="A1622" s="1">
        <f>ROW(CantoralDB[[#This Row],[Título]])-1</f>
        <v>1621</v>
      </c>
      <c r="B1622" s="1" t="s">
        <v>2777</v>
      </c>
      <c r="C1622" s="1"/>
      <c r="F1622" s="1">
        <v>395</v>
      </c>
      <c r="J1622" s="1"/>
      <c r="M1622" s="15" t="s">
        <v>2778</v>
      </c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622" s="15" t="str">
        <f>_xlfn.TEXTBEFORE(_xlfn.TEXTAFTER(CantoralDB[[#This Row],[index.html]],"&gt;"),"&gt;")&amp;"&gt;"</f>
        <v>&lt;a href="canciones/nuevas/ven_y_juntos_alabemos.html"&gt;</v>
      </c>
      <c r="X1622"/>
      <c r="AB1622" s="1"/>
    </row>
    <row r="1623" spans="1:28" x14ac:dyDescent="0.3">
      <c r="A1623" s="1">
        <f>ROW(CantoralDB[[#This Row],[Título]])-1</f>
        <v>1622</v>
      </c>
      <c r="B1623" s="1" t="s">
        <v>2151</v>
      </c>
      <c r="C1623" s="15"/>
      <c r="F1623" s="1">
        <v>315</v>
      </c>
      <c r="H1623" s="1" t="s">
        <v>472</v>
      </c>
      <c r="J1623" s="1" t="s">
        <v>607</v>
      </c>
      <c r="M1623" s="15" t="s">
        <v>2170</v>
      </c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623" s="1"/>
      <c r="T1623" s="1"/>
      <c r="U1623" s="32" t="s">
        <v>2994</v>
      </c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623" s="15" t="str">
        <f>_xlfn.TEXTBEFORE(_xlfn.TEXTAFTER(CantoralDB[[#This Row],[index.html]],"&gt;"),"&gt;")&amp;"&gt;"</f>
        <v>&lt;a href="canciones/nuevas/aleluya_yo_creo_en_tu_amor.html"&gt;</v>
      </c>
      <c r="X1623"/>
      <c r="AB1623" s="1"/>
    </row>
    <row r="1624" spans="1:28" x14ac:dyDescent="0.3">
      <c r="A1624" s="1">
        <f>ROW(CantoralDB[[#This Row],[Título]])-1</f>
        <v>1623</v>
      </c>
      <c r="B1624" s="1" t="s">
        <v>2854</v>
      </c>
      <c r="C1624" s="1"/>
      <c r="H1624" s="1" t="s">
        <v>530</v>
      </c>
      <c r="J1624" s="1" t="s">
        <v>607</v>
      </c>
      <c r="M1624" s="15" t="s">
        <v>2170</v>
      </c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624" s="15" t="str">
        <f>_xlfn.TEXTBEFORE(_xlfn.TEXTAFTER(CantoralDB[[#This Row],[index.html]],"&gt;"),"&gt;")&amp;"&gt;"</f>
        <v>&lt;a href="canciones/nuevas/pregon_pascual_(neocatecumenal).html"&gt;</v>
      </c>
      <c r="X1624"/>
      <c r="AB1624" s="1"/>
    </row>
    <row r="1625" spans="1:28" x14ac:dyDescent="0.3">
      <c r="A1625" s="1">
        <f>ROW(CantoralDB[[#This Row],[Título]])-1</f>
        <v>1624</v>
      </c>
      <c r="B1625" s="1" t="s">
        <v>2728</v>
      </c>
      <c r="C1625" s="1"/>
      <c r="F1625" s="1">
        <v>353</v>
      </c>
      <c r="J1625" s="1"/>
      <c r="M1625" s="15" t="s">
        <v>2729</v>
      </c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625" s="1"/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625" s="15" t="str">
        <f>_xlfn.TEXTBEFORE(_xlfn.TEXTAFTER(CantoralDB[[#This Row],[index.html]],"&gt;"),"&gt;")&amp;"&gt;"</f>
        <v>&lt;a href="canciones/nuevas/jesus_es_mi_luz_y_mi_salvacion.html"&gt;</v>
      </c>
      <c r="X1625"/>
      <c r="AB1625" s="1"/>
    </row>
    <row r="1626" spans="1:28" x14ac:dyDescent="0.3">
      <c r="A1626" s="1">
        <f>ROW(CantoralDB[[#This Row],[Título]])-1</f>
        <v>1625</v>
      </c>
      <c r="B1626" s="1" t="s">
        <v>2166</v>
      </c>
      <c r="C1626" s="15"/>
      <c r="F1626" s="1">
        <v>439</v>
      </c>
      <c r="H1626" s="1" t="s">
        <v>530</v>
      </c>
      <c r="J1626" s="1" t="s">
        <v>607</v>
      </c>
      <c r="M1626" s="15" t="s">
        <v>2832</v>
      </c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626" s="15" t="str">
        <f>_xlfn.TEXTBEFORE(_xlfn.TEXTAFTER(CantoralDB[[#This Row],[index.html]],"&gt;"),"&gt;")&amp;"&gt;"</f>
        <v>&lt;a href="canciones/nuevas/te_doy_mi_corazon.html"&gt;</v>
      </c>
      <c r="X1626"/>
      <c r="AB1626" s="1"/>
    </row>
    <row r="1627" spans="1:28" x14ac:dyDescent="0.3">
      <c r="A1627" s="1">
        <f>ROW(CantoralDB[[#This Row],[Título]])-1</f>
        <v>1626</v>
      </c>
      <c r="B1627" s="1" t="s">
        <v>2547</v>
      </c>
      <c r="C1627" s="1"/>
      <c r="F1627" s="1">
        <v>158</v>
      </c>
      <c r="J1627" s="1"/>
      <c r="M1627" s="15" t="s">
        <v>2546</v>
      </c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627" s="15" t="str">
        <f>_xlfn.TEXTBEFORE(_xlfn.TEXTAFTER(CantoralDB[[#This Row],[index.html]],"&gt;"),"&gt;")&amp;"&gt;"</f>
        <v>&lt;a href="canciones/nuevas/eli_eli.html"&gt;</v>
      </c>
      <c r="X1627"/>
      <c r="AB1627" s="1"/>
    </row>
    <row r="1628" spans="1:28" x14ac:dyDescent="0.3">
      <c r="A1628" s="1">
        <f>ROW(CantoralDB[[#This Row],[Título]])-1</f>
        <v>1627</v>
      </c>
      <c r="B1628" s="1" t="s">
        <v>2423</v>
      </c>
      <c r="C1628" s="1"/>
      <c r="F1628" s="1">
        <v>46</v>
      </c>
      <c r="J1628" s="1"/>
      <c r="M1628" s="15" t="s">
        <v>2425</v>
      </c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628" s="15" t="str">
        <f>_xlfn.TEXTBEFORE(_xlfn.TEXTAFTER(CantoralDB[[#This Row],[index.html]],"&gt;"),"&gt;")&amp;"&gt;"</f>
        <v>&lt;a href="canciones/nuevas/eres_tu_palabra_de_vida.html"&gt;</v>
      </c>
      <c r="X1628"/>
      <c r="AB1628" s="1"/>
    </row>
    <row r="1629" spans="1:28" x14ac:dyDescent="0.3">
      <c r="A1629" s="1">
        <f>ROW(CantoralDB[[#This Row],[Título]])-1</f>
        <v>1628</v>
      </c>
      <c r="B1629" s="1" t="s">
        <v>1346</v>
      </c>
      <c r="C1629" s="1"/>
      <c r="F1629" s="1">
        <v>273</v>
      </c>
      <c r="J1629" s="1"/>
      <c r="M1629" s="15" t="s">
        <v>2425</v>
      </c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629" s="15" t="str">
        <f>_xlfn.TEXTBEFORE(_xlfn.TEXTAFTER(CantoralDB[[#This Row],[index.html]],"&gt;"),"&gt;")&amp;"&gt;"</f>
        <v>&lt;a href="canciones/nuevas/ven_espiritu_santo.html"&gt;</v>
      </c>
      <c r="X1629"/>
      <c r="AB1629" s="1"/>
    </row>
    <row r="1630" spans="1:28" x14ac:dyDescent="0.3">
      <c r="A1630" s="1">
        <f>ROW(CantoralDB[[#This Row],[Título]])-1</f>
        <v>1629</v>
      </c>
      <c r="B1630" s="1" t="s">
        <v>2744</v>
      </c>
      <c r="C1630" s="1"/>
      <c r="F1630" s="1">
        <v>369</v>
      </c>
      <c r="J1630" s="1"/>
      <c r="M1630" s="15" t="s">
        <v>2747</v>
      </c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630" s="15" t="str">
        <f>_xlfn.TEXTBEFORE(_xlfn.TEXTAFTER(CantoralDB[[#This Row],[index.html]],"&gt;"),"&gt;")&amp;"&gt;"</f>
        <v>&lt;a href="canciones/nuevas/en_la_tierra_habra.html"&gt;</v>
      </c>
      <c r="X1630"/>
      <c r="AB1630" s="1"/>
    </row>
    <row r="1631" spans="1:28" x14ac:dyDescent="0.3">
      <c r="A1631" s="1">
        <f>ROW(CantoralDB[[#This Row],[Título]])-1</f>
        <v>1630</v>
      </c>
      <c r="B1631" s="1" t="s">
        <v>2552</v>
      </c>
      <c r="C1631" s="1"/>
      <c r="F1631" s="1">
        <v>164</v>
      </c>
      <c r="J1631" s="1"/>
      <c r="M1631" s="15" t="s">
        <v>2553</v>
      </c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31" s="15" t="str">
        <f>_xlfn.TEXTBEFORE(_xlfn.TEXTAFTER(CantoralDB[[#This Row],[index.html]],"&gt;"),"&gt;")&amp;"&gt;"</f>
        <v>&lt;a href="canciones/nuevas/aleluya_cristo_vivo_esta.html"&gt;</v>
      </c>
      <c r="X1631"/>
      <c r="AB1631" s="1"/>
    </row>
    <row r="1632" spans="1:28" x14ac:dyDescent="0.3">
      <c r="A1632" s="1">
        <f>ROW(CantoralDB[[#This Row],[Título]])-1</f>
        <v>1631</v>
      </c>
      <c r="B1632" s="1" t="s">
        <v>2162</v>
      </c>
      <c r="C1632" s="15"/>
      <c r="H1632" s="1" t="s">
        <v>530</v>
      </c>
      <c r="I1632" s="1" t="s">
        <v>2953</v>
      </c>
      <c r="J1632" s="1" t="s">
        <v>607</v>
      </c>
      <c r="M1632" s="15" t="s">
        <v>2176</v>
      </c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632" s="15" t="str">
        <f>_xlfn.TEXTBEFORE(_xlfn.TEXTAFTER(CantoralDB[[#This Row],[index.html]],"&gt;"),"&gt;")&amp;"&gt;"</f>
        <v>&lt;a href="canciones/nuevas/haz_de_tu_casa_un_nazaret.html"&gt;</v>
      </c>
      <c r="X1632"/>
      <c r="AB1632" s="1"/>
    </row>
    <row r="1633" spans="1:28" x14ac:dyDescent="0.3">
      <c r="A1633" s="1">
        <f>ROW(CantoralDB[[#This Row],[Título]])-1</f>
        <v>1632</v>
      </c>
      <c r="B1633" s="1" t="s">
        <v>2474</v>
      </c>
      <c r="C1633" s="1"/>
      <c r="F1633" s="1">
        <v>90</v>
      </c>
      <c r="J1633" s="1"/>
      <c r="M1633" s="15" t="s">
        <v>2473</v>
      </c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633" s="15" t="str">
        <f>_xlfn.TEXTBEFORE(_xlfn.TEXTAFTER(CantoralDB[[#This Row],[index.html]],"&gt;"),"&gt;")&amp;"&gt;"</f>
        <v>&lt;a href="canciones/nuevas/yo_os_dare_la_fuerza.html"&gt;</v>
      </c>
      <c r="X1633"/>
      <c r="AB1633" s="1"/>
    </row>
    <row r="1634" spans="1:28" x14ac:dyDescent="0.3">
      <c r="A1634" s="1">
        <f>ROW(CantoralDB[[#This Row],[Título]])-1</f>
        <v>1633</v>
      </c>
      <c r="B1634" s="1" t="s">
        <v>2160</v>
      </c>
      <c r="C1634" s="15"/>
      <c r="H1634" s="1" t="s">
        <v>530</v>
      </c>
      <c r="J1634" s="1" t="s">
        <v>607</v>
      </c>
      <c r="M1634" s="15" t="s">
        <v>572</v>
      </c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634" s="15" t="str">
        <f>_xlfn.TEXTBEFORE(_xlfn.TEXTAFTER(CantoralDB[[#This Row],[index.html]],"&gt;"),"&gt;")&amp;"&gt;"</f>
        <v>&lt;a href="canciones/nuevas/estas_aqui_jesus.html"&gt;</v>
      </c>
      <c r="X1634"/>
      <c r="AB1634" s="1"/>
    </row>
    <row r="1635" spans="1:28" x14ac:dyDescent="0.3">
      <c r="A1635" s="1">
        <f>ROW(CantoralDB[[#This Row],[Título]])-1</f>
        <v>1634</v>
      </c>
      <c r="B1635" s="1" t="s">
        <v>2904</v>
      </c>
      <c r="C1635" s="1"/>
      <c r="F1635" s="1">
        <v>309</v>
      </c>
      <c r="H1635" s="1" t="s">
        <v>530</v>
      </c>
      <c r="J1635" s="1" t="s">
        <v>607</v>
      </c>
      <c r="M1635" s="15" t="s">
        <v>2661</v>
      </c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635" s="15" t="str">
        <f>_xlfn.TEXTBEFORE(_xlfn.TEXTAFTER(CantoralDB[[#This Row],[index.html]],"&gt;"),"&gt;")&amp;"&gt;"</f>
        <v>&lt;a href="canciones/nuevas/abba_padre_(escuchame).html"&gt;</v>
      </c>
      <c r="X1635"/>
      <c r="AB1635" s="1"/>
    </row>
    <row r="1636" spans="1:28" x14ac:dyDescent="0.3">
      <c r="A1636" s="1">
        <f>ROW(CantoralDB[[#This Row],[Título]])-1</f>
        <v>1635</v>
      </c>
      <c r="B1636" s="1" t="s">
        <v>582</v>
      </c>
      <c r="C1636" s="1"/>
      <c r="F1636" s="1">
        <v>285</v>
      </c>
      <c r="H1636" s="1" t="s">
        <v>2961</v>
      </c>
      <c r="J1636" s="1" t="s">
        <v>607</v>
      </c>
      <c r="M1636" s="15" t="s">
        <v>2661</v>
      </c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636" s="15" t="str">
        <f>_xlfn.TEXTBEFORE(_xlfn.TEXTAFTER(CantoralDB[[#This Row],[index.html]],"&gt;"),"&gt;")&amp;"&gt;"</f>
        <v>&lt;a href="canciones/nuevas/salve_regina.html"&gt;</v>
      </c>
      <c r="X1636"/>
      <c r="AB1636" s="1"/>
    </row>
    <row r="1637" spans="1:28" x14ac:dyDescent="0.3">
      <c r="A1637" s="1">
        <f>ROW(CantoralDB[[#This Row],[Título]])-1</f>
        <v>1636</v>
      </c>
      <c r="B1637" s="1" t="s">
        <v>2445</v>
      </c>
      <c r="C1637" s="1"/>
      <c r="F1637" s="1">
        <v>63</v>
      </c>
      <c r="J1637" s="1"/>
      <c r="M1637" s="15" t="s">
        <v>2446</v>
      </c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637" s="15" t="str">
        <f>_xlfn.TEXTBEFORE(_xlfn.TEXTAFTER(CantoralDB[[#This Row],[index.html]],"&gt;"),"&gt;")&amp;"&gt;"</f>
        <v>&lt;a href="canciones/nuevas/hazme_instrumento.html"&gt;</v>
      </c>
      <c r="X1637"/>
      <c r="AB1637" s="1"/>
    </row>
    <row r="1638" spans="1:28" x14ac:dyDescent="0.3">
      <c r="A1638" s="1">
        <f>ROW(CantoralDB[[#This Row],[Título]])-1</f>
        <v>1637</v>
      </c>
      <c r="B1638" s="1" t="s">
        <v>2678</v>
      </c>
      <c r="C1638" s="1"/>
      <c r="F1638" s="1">
        <v>302</v>
      </c>
      <c r="J1638" s="1"/>
      <c r="M1638" s="15" t="s">
        <v>2679</v>
      </c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638" s="15" t="str">
        <f>_xlfn.TEXTBEFORE(_xlfn.TEXTAFTER(CantoralDB[[#This Row],[index.html]],"&gt;"),"&gt;")&amp;"&gt;"</f>
        <v>&lt;a href="canciones/nuevas/dios_el_mas_grande.html"&gt;</v>
      </c>
      <c r="X1638"/>
      <c r="AB1638" s="1"/>
    </row>
    <row r="1639" spans="1:28" x14ac:dyDescent="0.3">
      <c r="A1639" s="1">
        <f>ROW(CantoralDB[[#This Row],[Título]])-1</f>
        <v>1638</v>
      </c>
      <c r="B1639" s="1" t="s">
        <v>2163</v>
      </c>
      <c r="C1639" s="15"/>
      <c r="F1639" s="1">
        <v>101</v>
      </c>
      <c r="H1639" s="1" t="s">
        <v>1026</v>
      </c>
      <c r="J1639" s="1" t="s">
        <v>607</v>
      </c>
      <c r="M1639" s="15" t="s">
        <v>2175</v>
      </c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639" s="15" t="str">
        <f>_xlfn.TEXTBEFORE(_xlfn.TEXTAFTER(CantoralDB[[#This Row],[index.html]],"&gt;"),"&gt;")&amp;"&gt;"</f>
        <v>&lt;a href="canciones/nuevas/mas_de_ti_menos_de_mi.html"&gt;</v>
      </c>
      <c r="X1639"/>
      <c r="AB1639" s="1"/>
    </row>
    <row r="1640" spans="1:28" x14ac:dyDescent="0.3">
      <c r="A1640" s="1">
        <f>ROW(CantoralDB[[#This Row],[Título]])-1</f>
        <v>1639</v>
      </c>
      <c r="B1640" s="1" t="s">
        <v>2695</v>
      </c>
      <c r="C1640" s="1"/>
      <c r="F1640" s="1">
        <v>323</v>
      </c>
      <c r="J1640" s="1"/>
      <c r="M1640" s="15" t="s">
        <v>2696</v>
      </c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640" s="15" t="str">
        <f>_xlfn.TEXTBEFORE(_xlfn.TEXTAFTER(CantoralDB[[#This Row],[index.html]],"&gt;"),"&gt;")&amp;"&gt;"</f>
        <v>&lt;a href="canciones/nuevas/padre_te_adoramos.html"&gt;</v>
      </c>
      <c r="X1640"/>
      <c r="AB1640" s="1"/>
    </row>
    <row r="1641" spans="1:28" x14ac:dyDescent="0.3">
      <c r="A1641" s="1">
        <f>ROW(CantoralDB[[#This Row],[Título]])-1</f>
        <v>1640</v>
      </c>
      <c r="B1641" s="1" t="s">
        <v>2803</v>
      </c>
      <c r="C1641" s="1"/>
      <c r="F1641" s="1">
        <v>416</v>
      </c>
      <c r="J1641" s="1"/>
      <c r="M1641" s="15" t="s">
        <v>2804</v>
      </c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641" s="15" t="str">
        <f>_xlfn.TEXTBEFORE(_xlfn.TEXTAFTER(CantoralDB[[#This Row],[index.html]],"&gt;"),"&gt;")&amp;"&gt;"</f>
        <v>&lt;a href="canciones/nuevas/vengo_a_adorarte.html"&gt;</v>
      </c>
      <c r="X1641"/>
      <c r="AB1641" s="1"/>
    </row>
    <row r="1642" spans="1:28" x14ac:dyDescent="0.3">
      <c r="A1642" s="1">
        <f>ROW(CantoralDB[[#This Row],[Título]])-1</f>
        <v>1641</v>
      </c>
      <c r="B1642" s="1" t="s">
        <v>2779</v>
      </c>
      <c r="C1642" s="1"/>
      <c r="F1642" s="1">
        <v>396</v>
      </c>
      <c r="J1642" s="1"/>
      <c r="M1642" s="15" t="s">
        <v>2781</v>
      </c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642" s="15" t="str">
        <f>_xlfn.TEXTBEFORE(_xlfn.TEXTAFTER(CantoralDB[[#This Row],[index.html]],"&gt;"),"&gt;")&amp;"&gt;"</f>
        <v>&lt;a href="canciones/nuevas/se_exalta_nuestro_dios.html"&gt;</v>
      </c>
      <c r="X1642"/>
      <c r="AB1642" s="1"/>
    </row>
    <row r="1643" spans="1:28" x14ac:dyDescent="0.3">
      <c r="A1643" s="1">
        <f>ROW(CantoralDB[[#This Row],[Título]])-1</f>
        <v>1642</v>
      </c>
      <c r="B1643" s="1" t="s">
        <v>2599</v>
      </c>
      <c r="C1643" s="1"/>
      <c r="F1643" s="1">
        <v>216</v>
      </c>
      <c r="J1643" s="1"/>
      <c r="M1643" s="15" t="s">
        <v>2600</v>
      </c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643" s="15" t="str">
        <f>_xlfn.TEXTBEFORE(_xlfn.TEXTAFTER(CantoralDB[[#This Row],[index.html]],"&gt;"),"&gt;")&amp;"&gt;"</f>
        <v>&lt;a href="canciones/nuevas/tu_has_sido_fiel.html"&gt;</v>
      </c>
      <c r="X1643"/>
      <c r="AB1643" s="1"/>
    </row>
    <row r="1644" spans="1:28" x14ac:dyDescent="0.3">
      <c r="A1644" s="1">
        <f>ROW(CantoralDB[[#This Row],[Título]])-1</f>
        <v>1643</v>
      </c>
      <c r="B1644" s="1" t="s">
        <v>7</v>
      </c>
      <c r="C1644" s="1" t="s">
        <v>992</v>
      </c>
      <c r="D1644" s="1" t="s">
        <v>1031</v>
      </c>
      <c r="E1644" s="1">
        <v>402</v>
      </c>
      <c r="F1644" s="1">
        <v>124</v>
      </c>
      <c r="G1644" s="1" t="s">
        <v>215</v>
      </c>
      <c r="H1644" s="1" t="s">
        <v>1029</v>
      </c>
      <c r="J1644" s="1" t="s">
        <v>607</v>
      </c>
      <c r="M1644" s="15" t="s">
        <v>569</v>
      </c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644" s="15" t="str">
        <f>_xlfn.TEXTBEFORE(_xlfn.TEXTAFTER(CantoralDB[[#This Row],[index.html]],"&gt;"),"&gt;")&amp;"&gt;"</f>
        <v>&lt;a href="canciones/pelayo_sanchez/abro_mi_ser.html"&gt;</v>
      </c>
      <c r="X1644"/>
      <c r="AB1644" s="1"/>
    </row>
    <row r="1645" spans="1:28" x14ac:dyDescent="0.3">
      <c r="A1645" s="1">
        <f>ROW(CantoralDB[[#This Row],[Título]])-1</f>
        <v>1644</v>
      </c>
      <c r="B1645" s="1" t="s">
        <v>2457</v>
      </c>
      <c r="C1645" s="1"/>
      <c r="F1645" s="1">
        <v>76</v>
      </c>
      <c r="J1645" s="1"/>
      <c r="M1645" s="15" t="s">
        <v>569</v>
      </c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645" s="15" t="str">
        <f>_xlfn.TEXTBEFORE(_xlfn.TEXTAFTER(CantoralDB[[#This Row],[index.html]],"&gt;"),"&gt;")&amp;"&gt;"</f>
        <v>&lt;a href="canciones/pelayo_sanchez/avemaria.html"&gt;</v>
      </c>
      <c r="X1645"/>
      <c r="AB1645" s="1"/>
    </row>
    <row r="1646" spans="1:28" x14ac:dyDescent="0.3">
      <c r="A1646" s="1">
        <f>ROW(CantoralDB[[#This Row],[Título]])-1</f>
        <v>1645</v>
      </c>
      <c r="B1646" s="1" t="s">
        <v>26</v>
      </c>
      <c r="C1646" s="1" t="s">
        <v>218</v>
      </c>
      <c r="D1646" s="1" t="s">
        <v>1389</v>
      </c>
      <c r="E1646" s="1">
        <v>411</v>
      </c>
      <c r="F1646" s="1">
        <v>325</v>
      </c>
      <c r="G1646" s="1" t="s">
        <v>208</v>
      </c>
      <c r="H1646" s="1" t="s">
        <v>1028</v>
      </c>
      <c r="I1646" s="1" t="s">
        <v>2950</v>
      </c>
      <c r="J1646" s="1" t="s">
        <v>607</v>
      </c>
      <c r="M1646" s="15" t="s">
        <v>569</v>
      </c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646" s="1" t="s">
        <v>807</v>
      </c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646" s="15" t="str">
        <f>_xlfn.TEXTBEFORE(_xlfn.TEXTAFTER(CantoralDB[[#This Row],[index.html]],"&gt;"),"&gt;")&amp;"&gt;"</f>
        <v>&lt;a href="canciones/pelayo_sanchez/bendigamos_al_señor.html"&gt;</v>
      </c>
      <c r="X1646"/>
      <c r="AB1646" s="1"/>
    </row>
    <row r="1647" spans="1:28" x14ac:dyDescent="0.3">
      <c r="A1647" s="1">
        <f>ROW(CantoralDB[[#This Row],[Título]])-1</f>
        <v>1646</v>
      </c>
      <c r="B1647" s="1" t="s">
        <v>2715</v>
      </c>
      <c r="C1647" s="1"/>
      <c r="F1647" s="1">
        <v>344</v>
      </c>
      <c r="J1647" s="1"/>
      <c r="M1647" s="15" t="s">
        <v>569</v>
      </c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647" s="15" t="str">
        <f>_xlfn.TEXTBEFORE(_xlfn.TEXTAFTER(CantoralDB[[#This Row],[index.html]],"&gt;"),"&gt;")&amp;"&gt;"</f>
        <v>&lt;a href="canciones/pelayo_sanchez/desde_cualquier_rincon.html"&gt;</v>
      </c>
      <c r="X1647"/>
      <c r="AB1647" s="1"/>
    </row>
    <row r="1648" spans="1:28" x14ac:dyDescent="0.3">
      <c r="A1648" s="1">
        <f>ROW(CantoralDB[[#This Row],[Título]])-1</f>
        <v>1647</v>
      </c>
      <c r="B1648" s="1" t="s">
        <v>181</v>
      </c>
      <c r="C1648" s="1" t="s">
        <v>199</v>
      </c>
      <c r="D1648" s="1" t="s">
        <v>1419</v>
      </c>
      <c r="F1648" s="1">
        <v>108</v>
      </c>
      <c r="G1648" s="1" t="s">
        <v>208</v>
      </c>
      <c r="H1648" s="1" t="s">
        <v>530</v>
      </c>
      <c r="J1648" s="1" t="s">
        <v>607</v>
      </c>
      <c r="M1648" s="15" t="s">
        <v>569</v>
      </c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648" s="15" t="str">
        <f>_xlfn.TEXTBEFORE(_xlfn.TEXTAFTER(CantoralDB[[#This Row],[index.html]],"&gt;"),"&gt;")&amp;"&gt;"</f>
        <v>&lt;a href="canciones/pelayo_sanchez/fuente_de_paz_y_fidelidad.html"&gt;</v>
      </c>
      <c r="X1648"/>
      <c r="AB1648" s="1"/>
    </row>
    <row r="1649" spans="1:28" x14ac:dyDescent="0.3">
      <c r="A1649" s="1">
        <f>ROW(CantoralDB[[#This Row],[Título]])-1</f>
        <v>1648</v>
      </c>
      <c r="B1649" s="1" t="s">
        <v>2489</v>
      </c>
      <c r="C1649" s="1"/>
      <c r="F1649" s="1">
        <v>107</v>
      </c>
      <c r="J1649" s="1"/>
      <c r="M1649" s="15" t="s">
        <v>569</v>
      </c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649" s="15" t="str">
        <f>_xlfn.TEXTBEFORE(_xlfn.TEXTAFTER(CantoralDB[[#This Row],[index.html]],"&gt;"),"&gt;")&amp;"&gt;"</f>
        <v>&lt;a href="canciones/pelayo_sanchez/jesus_esta_en_ti.html"&gt;</v>
      </c>
      <c r="X1649"/>
      <c r="AB1649" s="1"/>
    </row>
    <row r="1650" spans="1:28" x14ac:dyDescent="0.3">
      <c r="A1650" s="1">
        <f>ROW(CantoralDB[[#This Row],[Título]])-1</f>
        <v>1649</v>
      </c>
      <c r="B1650" s="1" t="s">
        <v>2492</v>
      </c>
      <c r="C1650" s="1"/>
      <c r="F1650" s="1">
        <v>111</v>
      </c>
      <c r="J1650" s="1"/>
      <c r="M1650" s="15" t="s">
        <v>569</v>
      </c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650" s="15" t="str">
        <f>_xlfn.TEXTBEFORE(_xlfn.TEXTAFTER(CantoralDB[[#This Row],[index.html]],"&gt;"),"&gt;")&amp;"&gt;"</f>
        <v>&lt;a href="canciones/pelayo_sanchez/mira_oh_dios.html"&gt;</v>
      </c>
      <c r="X1650"/>
      <c r="AB1650" s="1"/>
    </row>
    <row r="1651" spans="1:28" x14ac:dyDescent="0.3">
      <c r="A1651" s="1">
        <f>ROW(CantoralDB[[#This Row],[Título]])-1</f>
        <v>1650</v>
      </c>
      <c r="B1651" s="1" t="s">
        <v>140</v>
      </c>
      <c r="C1651" s="1" t="s">
        <v>192</v>
      </c>
      <c r="D1651" s="1" t="s">
        <v>1469</v>
      </c>
      <c r="F1651" s="1">
        <v>329</v>
      </c>
      <c r="G1651" s="1" t="s">
        <v>208</v>
      </c>
      <c r="H1651" s="1" t="s">
        <v>530</v>
      </c>
      <c r="J1651" s="1" t="s">
        <v>607</v>
      </c>
      <c r="M1651" s="15" t="s">
        <v>569</v>
      </c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651" s="15" t="str">
        <f>_xlfn.TEXTBEFORE(_xlfn.TEXTAFTER(CantoralDB[[#This Row],[index.html]],"&gt;"),"&gt;")&amp;"&gt;"</f>
        <v>&lt;a href="canciones/pelayo_sanchez/te_damos_gracias_señor.html"&gt;</v>
      </c>
      <c r="X1651"/>
      <c r="AB1651" s="1"/>
    </row>
    <row r="1652" spans="1:28" x14ac:dyDescent="0.3">
      <c r="A1652" s="1">
        <f>ROW(CantoralDB[[#This Row],[Título]])-1</f>
        <v>1651</v>
      </c>
      <c r="B1652" s="1" t="s">
        <v>2665</v>
      </c>
      <c r="C1652" s="1"/>
      <c r="F1652" s="1">
        <v>290</v>
      </c>
      <c r="J1652" s="1"/>
      <c r="M1652" s="15" t="s">
        <v>569</v>
      </c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652" s="15" t="str">
        <f>_xlfn.TEXTBEFORE(_xlfn.TEXTAFTER(CantoralDB[[#This Row],[index.html]],"&gt;"),"&gt;")&amp;"&gt;"</f>
        <v>&lt;a href="canciones/pelayo_sanchez/ved_a_cristo.html"&gt;</v>
      </c>
      <c r="X1652"/>
      <c r="AB1652" s="1"/>
    </row>
    <row r="1653" spans="1:28" x14ac:dyDescent="0.3">
      <c r="A1653" s="1">
        <f>ROW(CantoralDB[[#This Row],[Título]])-1</f>
        <v>1652</v>
      </c>
      <c r="B1653" s="1" t="s">
        <v>2688</v>
      </c>
      <c r="C1653" s="1"/>
      <c r="F1653" s="1">
        <v>313</v>
      </c>
      <c r="J1653" s="1"/>
      <c r="M1653" s="15" t="s">
        <v>569</v>
      </c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653" s="15" t="str">
        <f>_xlfn.TEXTBEFORE(_xlfn.TEXTAFTER(CantoralDB[[#This Row],[index.html]],"&gt;"),"&gt;")&amp;"&gt;"</f>
        <v>&lt;a href="canciones/pelayo_sanchez/ven_a_cantar.html"&gt;</v>
      </c>
      <c r="X1653"/>
      <c r="AB1653" s="1"/>
    </row>
    <row r="1654" spans="1:28" x14ac:dyDescent="0.3">
      <c r="A1654" s="1">
        <f>ROW(CantoralDB[[#This Row],[Título]])-1</f>
        <v>1653</v>
      </c>
      <c r="B1654" s="1" t="s">
        <v>1155</v>
      </c>
      <c r="C1654" s="1"/>
      <c r="E1654" s="1">
        <v>5</v>
      </c>
      <c r="H1654" s="1" t="s">
        <v>472</v>
      </c>
      <c r="J1654" s="1" t="s">
        <v>607</v>
      </c>
      <c r="M1654" s="15" t="s">
        <v>2139</v>
      </c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654" s="15" t="str">
        <f>_xlfn.TEXTBEFORE(_xlfn.TEXTAFTER(CantoralDB[[#This Row],[index.html]],"&gt;"),"&gt;")&amp;"&gt;"</f>
        <v>&lt;a href="canciones/perpetuo_socorro/abrid_de_par_en_par.html"&gt;</v>
      </c>
      <c r="X1654"/>
      <c r="AB1654" s="1"/>
    </row>
    <row r="1655" spans="1:28" x14ac:dyDescent="0.3">
      <c r="A1655" s="1">
        <f>ROW(CantoralDB[[#This Row],[Título]])-1</f>
        <v>1654</v>
      </c>
      <c r="B1655" s="1" t="s">
        <v>2879</v>
      </c>
      <c r="C1655" s="1"/>
      <c r="E1655" s="1">
        <v>7</v>
      </c>
      <c r="H1655" s="1" t="s">
        <v>1027</v>
      </c>
      <c r="J1655" s="1" t="s">
        <v>607</v>
      </c>
      <c r="M1655" s="15" t="s">
        <v>2139</v>
      </c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655" s="15" t="str">
        <f>_xlfn.TEXTBEFORE(_xlfn.TEXTAFTER(CantoralDB[[#This Row],[index.html]],"&gt;"),"&gt;")&amp;"&gt;"</f>
        <v>&lt;a href="canciones/perpetuo_socorro/amaras_al_señor_tu_dios.html"&gt;</v>
      </c>
      <c r="X1655"/>
      <c r="AB1655" s="1"/>
    </row>
    <row r="1656" spans="1:28" x14ac:dyDescent="0.3">
      <c r="A1656" s="1">
        <f>ROW(CantoralDB[[#This Row],[Título]])-1</f>
        <v>1655</v>
      </c>
      <c r="B1656" s="1" t="s">
        <v>1249</v>
      </c>
      <c r="C1656" s="1"/>
      <c r="E1656" s="1">
        <v>112</v>
      </c>
      <c r="J1656" s="1"/>
      <c r="M1656" s="15" t="s">
        <v>2139</v>
      </c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656" s="1"/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656" s="15" t="str">
        <f>_xlfn.TEXTBEFORE(_xlfn.TEXTAFTER(CantoralDB[[#This Row],[index.html]],"&gt;"),"&gt;")&amp;"&gt;"</f>
        <v>&lt;a href="canciones/perpetuo_socorro/escuchad_escuchad.html"&gt;</v>
      </c>
      <c r="X1656"/>
      <c r="AB1656" s="1"/>
    </row>
    <row r="1657" spans="1:28" x14ac:dyDescent="0.3">
      <c r="A1657" s="1">
        <f>ROW(CantoralDB[[#This Row],[Título]])-1</f>
        <v>1656</v>
      </c>
      <c r="B1657" s="1" t="s">
        <v>107</v>
      </c>
      <c r="C1657" s="1" t="s">
        <v>197</v>
      </c>
      <c r="D1657" s="1" t="s">
        <v>1448</v>
      </c>
      <c r="E1657" s="1">
        <v>195</v>
      </c>
      <c r="F1657" s="1">
        <v>5</v>
      </c>
      <c r="G1657" s="1" t="s">
        <v>208</v>
      </c>
      <c r="H1657" s="1" t="s">
        <v>1029</v>
      </c>
      <c r="J1657" s="1" t="s">
        <v>607</v>
      </c>
      <c r="M1657" s="15" t="s">
        <v>2139</v>
      </c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657" s="15" t="str">
        <f>_xlfn.TEXTBEFORE(_xlfn.TEXTAFTER(CantoralDB[[#This Row],[index.html]],"&gt;"),"&gt;")&amp;"&gt;"</f>
        <v>&lt;a href="canciones/perpetuo_socorro/padre_unenos.html"&gt;</v>
      </c>
      <c r="X1657"/>
      <c r="AB1657" s="1"/>
    </row>
    <row r="1658" spans="1:28" x14ac:dyDescent="0.3">
      <c r="A1658" s="1">
        <f>ROW(CantoralDB[[#This Row],[Título]])-1</f>
        <v>1657</v>
      </c>
      <c r="B1658" s="1" t="s">
        <v>1314</v>
      </c>
      <c r="C1658" s="1"/>
      <c r="E1658" s="1">
        <v>230</v>
      </c>
      <c r="H1658" s="1" t="s">
        <v>1029</v>
      </c>
      <c r="J1658" s="1" t="s">
        <v>607</v>
      </c>
      <c r="M1658" s="15" t="s">
        <v>2139</v>
      </c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658" s="15" t="str">
        <f>_xlfn.TEXTBEFORE(_xlfn.TEXTAFTER(CantoralDB[[#This Row],[index.html]],"&gt;"),"&gt;")&amp;"&gt;"</f>
        <v>&lt;a href="canciones/perpetuo_socorro/señor_guiame_por_el_sendero.html"&gt;</v>
      </c>
      <c r="X1658"/>
      <c r="AB1658" s="1"/>
    </row>
    <row r="1659" spans="1:28" x14ac:dyDescent="0.3">
      <c r="A1659" s="1">
        <f>ROW(CantoralDB[[#This Row],[Título]])-1</f>
        <v>1658</v>
      </c>
      <c r="B1659" s="1" t="s">
        <v>1334</v>
      </c>
      <c r="C1659" s="1"/>
      <c r="E1659" s="1">
        <v>263</v>
      </c>
      <c r="H1659" s="1" t="s">
        <v>1029</v>
      </c>
      <c r="J1659" s="1" t="s">
        <v>607</v>
      </c>
      <c r="M1659" s="15" t="s">
        <v>2139</v>
      </c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659" s="15" t="str">
        <f>_xlfn.TEXTBEFORE(_xlfn.TEXTAFTER(CantoralDB[[#This Row],[index.html]],"&gt;"),"&gt;")&amp;"&gt;"</f>
        <v>&lt;a href="canciones/perpetuo_socorro/todavia_cantamos.html"&gt;</v>
      </c>
      <c r="X1659"/>
      <c r="AB1659" s="1"/>
    </row>
    <row r="1660" spans="1:28" x14ac:dyDescent="0.3">
      <c r="A1660" s="1">
        <f>ROW(CantoralDB[[#This Row],[Título]])-1</f>
        <v>1659</v>
      </c>
      <c r="B1660" s="1" t="s">
        <v>1180</v>
      </c>
      <c r="C1660" s="1"/>
      <c r="E1660" s="1">
        <v>53</v>
      </c>
      <c r="H1660" s="1" t="s">
        <v>530</v>
      </c>
      <c r="J1660" s="1" t="s">
        <v>607</v>
      </c>
      <c r="M1660" s="15" t="s">
        <v>508</v>
      </c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660" s="15" t="str">
        <f>_xlfn.TEXTBEFORE(_xlfn.TEXTAFTER(CantoralDB[[#This Row],[index.html]],"&gt;"),"&gt;")&amp;"&gt;"</f>
        <v>&lt;a href="canciones/ricardo_cantalapiedra/como_le_cantare_al_señor.html"&gt;</v>
      </c>
      <c r="X1660"/>
      <c r="AB1660" s="1"/>
    </row>
    <row r="1661" spans="1:28" x14ac:dyDescent="0.3">
      <c r="A1661" s="1">
        <f>ROW(CantoralDB[[#This Row],[Título]])-1</f>
        <v>1660</v>
      </c>
      <c r="B1661" s="1" t="s">
        <v>1172</v>
      </c>
      <c r="C1661" s="1"/>
      <c r="E1661" s="1">
        <v>37</v>
      </c>
      <c r="H1661" s="1" t="s">
        <v>1027</v>
      </c>
      <c r="J1661" s="1" t="s">
        <v>607</v>
      </c>
      <c r="M1661" s="15" t="s">
        <v>508</v>
      </c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661" s="15" t="str">
        <f>_xlfn.TEXTBEFORE(_xlfn.TEXTAFTER(CantoralDB[[#This Row],[index.html]],"&gt;"),"&gt;")&amp;"&gt;"</f>
        <v>&lt;a href="canciones/ricardo_cantalapiedra/con_su_muerte_nos_justificara.html"&gt;</v>
      </c>
      <c r="X1661"/>
      <c r="AB1661" s="1"/>
    </row>
    <row r="1662" spans="1:28" x14ac:dyDescent="0.3">
      <c r="A1662" s="1">
        <f>ROW(CantoralDB[[#This Row],[Título]])-1</f>
        <v>1661</v>
      </c>
      <c r="B1662" s="1" t="s">
        <v>1201</v>
      </c>
      <c r="C1662" s="1"/>
      <c r="E1662" s="1">
        <v>78</v>
      </c>
      <c r="H1662" s="1" t="s">
        <v>1026</v>
      </c>
      <c r="J1662" s="1" t="s">
        <v>607</v>
      </c>
      <c r="M1662" s="15" t="s">
        <v>508</v>
      </c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662" s="15" t="str">
        <f>_xlfn.TEXTBEFORE(_xlfn.TEXTAFTER(CantoralDB[[#This Row],[index.html]],"&gt;"),"&gt;")&amp;"&gt;"</f>
        <v>&lt;a href="canciones/ricardo_cantalapiedra/donde_hay_amor_alli_esta_dios.html"&gt;</v>
      </c>
      <c r="X1662"/>
      <c r="AB1662" s="1"/>
    </row>
    <row r="1663" spans="1:28" x14ac:dyDescent="0.3">
      <c r="A1663" s="1">
        <f>ROW(CantoralDB[[#This Row],[Título]])-1</f>
        <v>1662</v>
      </c>
      <c r="B1663" s="1" t="s">
        <v>1200</v>
      </c>
      <c r="C1663" s="1"/>
      <c r="E1663" s="1">
        <v>76</v>
      </c>
      <c r="H1663" s="1" t="s">
        <v>530</v>
      </c>
      <c r="I1663" s="1" t="s">
        <v>2953</v>
      </c>
      <c r="J1663" s="1" t="s">
        <v>607</v>
      </c>
      <c r="M1663" s="15" t="s">
        <v>508</v>
      </c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663" s="15" t="str">
        <f>_xlfn.TEXTBEFORE(_xlfn.TEXTAFTER(CantoralDB[[#This Row],[index.html]],"&gt;"),"&gt;")&amp;"&gt;"</f>
        <v>&lt;a href="canciones/ricardo_cantalapiedra/donde_tu_dices_ley.html"&gt;</v>
      </c>
      <c r="X1663"/>
      <c r="AB1663" s="1"/>
    </row>
    <row r="1664" spans="1:28" x14ac:dyDescent="0.3">
      <c r="A1664" s="1">
        <f>ROW(CantoralDB[[#This Row],[Título]])-1</f>
        <v>1663</v>
      </c>
      <c r="B1664" s="1" t="s">
        <v>1282</v>
      </c>
      <c r="C1664" s="1"/>
      <c r="E1664" s="1">
        <v>172</v>
      </c>
      <c r="H1664" s="1" t="s">
        <v>1029</v>
      </c>
      <c r="J1664" s="1" t="s">
        <v>607</v>
      </c>
      <c r="M1664" s="15" t="s">
        <v>508</v>
      </c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664" s="15" t="str">
        <f>_xlfn.TEXTBEFORE(_xlfn.TEXTAFTER(CantoralDB[[#This Row],[index.html]],"&gt;"),"&gt;")&amp;"&gt;"</f>
        <v>&lt;a href="canciones/ricardo_cantalapiedra/no_queremos_a_los_grandes_palabreros.html"&gt;</v>
      </c>
      <c r="X1664"/>
      <c r="AB1664" s="1"/>
    </row>
    <row r="1665" spans="1:28" x14ac:dyDescent="0.3">
      <c r="A1665" s="1">
        <f>ROW(CantoralDB[[#This Row],[Título]])-1</f>
        <v>1664</v>
      </c>
      <c r="B1665" s="1" t="s">
        <v>1295</v>
      </c>
      <c r="C1665" s="1"/>
      <c r="E1665" s="1">
        <v>188</v>
      </c>
      <c r="H1665" s="1" t="s">
        <v>530</v>
      </c>
      <c r="J1665" s="1" t="s">
        <v>607</v>
      </c>
      <c r="M1665" s="15" t="s">
        <v>508</v>
      </c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665" s="15" t="str">
        <f>_xlfn.TEXTBEFORE(_xlfn.TEXTAFTER(CantoralDB[[#This Row],[index.html]],"&gt;"),"&gt;")&amp;"&gt;"</f>
        <v>&lt;a href="canciones/ricardo_cantalapiedra/oh_dios_por_que_nos_has_abandonado.html"&gt;</v>
      </c>
      <c r="X1665"/>
      <c r="AB1665" s="1"/>
    </row>
    <row r="1666" spans="1:28" x14ac:dyDescent="0.3">
      <c r="A1666" s="1">
        <f>ROW(CantoralDB[[#This Row],[Título]])-1</f>
        <v>1665</v>
      </c>
      <c r="B1666" s="1" t="s">
        <v>104</v>
      </c>
      <c r="C1666" s="1" t="s">
        <v>200</v>
      </c>
      <c r="D1666" s="1" t="s">
        <v>669</v>
      </c>
      <c r="E1666" s="1">
        <v>192</v>
      </c>
      <c r="G1666" s="1" t="s">
        <v>208</v>
      </c>
      <c r="H1666" s="1" t="s">
        <v>530</v>
      </c>
      <c r="I1666" s="1" t="s">
        <v>2953</v>
      </c>
      <c r="J1666" s="1" t="s">
        <v>607</v>
      </c>
      <c r="M1666" s="15" t="s">
        <v>508</v>
      </c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666" s="1" t="s">
        <v>850</v>
      </c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666" s="15" t="str">
        <f>_xlfn.TEXTBEFORE(_xlfn.TEXTAFTER(CantoralDB[[#This Row],[index.html]],"&gt;"),"&gt;")&amp;"&gt;"</f>
        <v>&lt;a href="canciones/ricardo_cantalapiedra/os_doy_un_mandato_nuevo.html"&gt;</v>
      </c>
      <c r="X1666"/>
      <c r="AB1666" s="1"/>
    </row>
    <row r="1667" spans="1:28" x14ac:dyDescent="0.3">
      <c r="A1667" s="1">
        <f>ROW(CantoralDB[[#This Row],[Título]])-1</f>
        <v>1666</v>
      </c>
      <c r="B1667" s="1" t="s">
        <v>116</v>
      </c>
      <c r="C1667" s="1" t="s">
        <v>992</v>
      </c>
      <c r="D1667" s="1" t="s">
        <v>728</v>
      </c>
      <c r="E1667" s="1">
        <v>202</v>
      </c>
      <c r="G1667" s="1" t="s">
        <v>208</v>
      </c>
      <c r="H1667" s="1" t="s">
        <v>530</v>
      </c>
      <c r="J1667" s="1" t="s">
        <v>607</v>
      </c>
      <c r="M1667" s="15" t="s">
        <v>508</v>
      </c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667" s="15" t="str">
        <f>_xlfn.TEXTBEFORE(_xlfn.TEXTAFTER(CantoralDB[[#This Row],[index.html]],"&gt;"),"&gt;")&amp;"&gt;"</f>
        <v>&lt;a href="canciones/ricardo_cantalapiedra/protegeme_dios_mio.html"&gt;</v>
      </c>
      <c r="X1667"/>
      <c r="AB1667" s="1"/>
    </row>
    <row r="1668" spans="1:28" x14ac:dyDescent="0.3">
      <c r="A1668" s="1">
        <f>ROW(CantoralDB[[#This Row],[Título]])-1</f>
        <v>1667</v>
      </c>
      <c r="B1668" s="1" t="s">
        <v>117</v>
      </c>
      <c r="C1668" s="1" t="s">
        <v>992</v>
      </c>
      <c r="D1668" s="1" t="s">
        <v>993</v>
      </c>
      <c r="E1668" s="1">
        <v>205</v>
      </c>
      <c r="G1668" s="1" t="s">
        <v>208</v>
      </c>
      <c r="H1668" s="1" t="s">
        <v>530</v>
      </c>
      <c r="I1668" s="1" t="s">
        <v>2950</v>
      </c>
      <c r="J1668" s="1" t="s">
        <v>607</v>
      </c>
      <c r="M1668" s="15" t="s">
        <v>508</v>
      </c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668" s="1" t="s">
        <v>855</v>
      </c>
      <c r="T1668" s="1"/>
      <c r="U1668" s="32" t="s">
        <v>3006</v>
      </c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668" s="15" t="str">
        <f>_xlfn.TEXTBEFORE(_xlfn.TEXTAFTER(CantoralDB[[#This Row],[index.html]],"&gt;"),"&gt;")&amp;"&gt;"</f>
        <v>&lt;a href="canciones/ricardo_cantalapiedra/pueblo_mio.html"&gt;</v>
      </c>
      <c r="X1668"/>
      <c r="AB1668" s="1"/>
    </row>
    <row r="1669" spans="1:28" x14ac:dyDescent="0.3">
      <c r="A1669" s="1">
        <f>ROW(CantoralDB[[#This Row],[Título]])-1</f>
        <v>1668</v>
      </c>
      <c r="B1669" s="1" t="s">
        <v>1313</v>
      </c>
      <c r="C1669" s="1"/>
      <c r="E1669" s="1">
        <v>229</v>
      </c>
      <c r="J1669" s="1"/>
      <c r="M1669" s="15" t="s">
        <v>508</v>
      </c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669" s="15" t="str">
        <f>_xlfn.TEXTBEFORE(_xlfn.TEXTAFTER(CantoralDB[[#This Row],[index.html]],"&gt;"),"&gt;")&amp;"&gt;"</f>
        <v>&lt;a href="canciones/ricardo_cantalapiedra/si_no_encuentro_la_alegria.html"&gt;</v>
      </c>
      <c r="X1669"/>
      <c r="AB1669" s="1"/>
    </row>
    <row r="1670" spans="1:28" x14ac:dyDescent="0.3">
      <c r="A1670" s="1">
        <f>ROW(CantoralDB[[#This Row],[Título]])-1</f>
        <v>1669</v>
      </c>
      <c r="B1670" s="1" t="s">
        <v>141</v>
      </c>
      <c r="C1670" s="1" t="s">
        <v>200</v>
      </c>
      <c r="D1670" s="1" t="s">
        <v>673</v>
      </c>
      <c r="E1670" s="1">
        <v>257</v>
      </c>
      <c r="G1670" s="1" t="s">
        <v>208</v>
      </c>
      <c r="H1670" s="1" t="s">
        <v>530</v>
      </c>
      <c r="J1670" s="1" t="s">
        <v>607</v>
      </c>
      <c r="M1670" s="15" t="s">
        <v>508</v>
      </c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670" s="1" t="s">
        <v>861</v>
      </c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670" s="15" t="str">
        <f>_xlfn.TEXTBEFORE(_xlfn.TEXTAFTER(CantoralDB[[#This Row],[index.html]],"&gt;"),"&gt;")&amp;"&gt;"</f>
        <v>&lt;a href="canciones/ricardo_cantalapiedra/te_ensalzare_señor.html"&gt;</v>
      </c>
      <c r="X1670"/>
      <c r="AB1670" s="1"/>
    </row>
    <row r="1671" spans="1:28" x14ac:dyDescent="0.3">
      <c r="A1671" s="1">
        <f>ROW(CantoralDB[[#This Row],[Título]])-1</f>
        <v>1670</v>
      </c>
      <c r="B1671" s="1" t="s">
        <v>1349</v>
      </c>
      <c r="C1671" s="1"/>
      <c r="E1671" s="1">
        <v>295</v>
      </c>
      <c r="H1671" s="1" t="s">
        <v>1029</v>
      </c>
      <c r="J1671" s="1" t="s">
        <v>607</v>
      </c>
      <c r="M1671" s="15" t="s">
        <v>508</v>
      </c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671" s="1"/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671" s="15" t="str">
        <f>_xlfn.TEXTBEFORE(_xlfn.TEXTAFTER(CantoralDB[[#This Row],[index.html]],"&gt;"),"&gt;")&amp;"&gt;"</f>
        <v>&lt;a href="canciones/ricardo_cantalapiedra/yo_volvere_a_cantar.html"&gt;</v>
      </c>
      <c r="X1671"/>
      <c r="AB1671" s="1"/>
    </row>
    <row r="1672" spans="1:28" x14ac:dyDescent="0.3">
      <c r="A1672" s="1">
        <f>ROW(CantoralDB[[#This Row],[Título]])-1</f>
        <v>1671</v>
      </c>
      <c r="B1672" s="1" t="s">
        <v>2677</v>
      </c>
      <c r="C1672" s="1"/>
      <c r="F1672" s="1">
        <v>300</v>
      </c>
      <c r="J1672" s="1"/>
      <c r="M1672" s="15" t="s">
        <v>2495</v>
      </c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672" s="15" t="str">
        <f>_xlfn.TEXTBEFORE(_xlfn.TEXTAFTER(CantoralDB[[#This Row],[index.html]],"&gt;"),"&gt;")&amp;"&gt;"</f>
        <v>&lt;a href="canciones/rosa_cruz/al_nombre_de_jesus.html"&gt;</v>
      </c>
      <c r="X1672"/>
      <c r="AB1672" s="1"/>
    </row>
    <row r="1673" spans="1:28" x14ac:dyDescent="0.3">
      <c r="A1673" s="1">
        <f>ROW(CantoralDB[[#This Row],[Título]])-1</f>
        <v>1672</v>
      </c>
      <c r="B1673" s="1" t="s">
        <v>2597</v>
      </c>
      <c r="C1673" s="1"/>
      <c r="F1673" s="1">
        <v>212</v>
      </c>
      <c r="J1673" s="1"/>
      <c r="M1673" s="15" t="s">
        <v>2495</v>
      </c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673" s="15" t="str">
        <f>_xlfn.TEXTBEFORE(_xlfn.TEXTAFTER(CantoralDB[[#This Row],[index.html]],"&gt;"),"&gt;")&amp;"&gt;"</f>
        <v>&lt;a href="canciones/rosa_cruz/anunciamos_con_poder.html"&gt;</v>
      </c>
      <c r="X1673"/>
      <c r="AB1673" s="1"/>
    </row>
    <row r="1674" spans="1:28" x14ac:dyDescent="0.3">
      <c r="A1674" s="1">
        <f>ROW(CantoralDB[[#This Row],[Título]])-1</f>
        <v>1673</v>
      </c>
      <c r="B1674" s="1" t="s">
        <v>2795</v>
      </c>
      <c r="C1674" s="1"/>
      <c r="F1674" s="1">
        <v>409</v>
      </c>
      <c r="J1674" s="1"/>
      <c r="M1674" s="15" t="s">
        <v>2495</v>
      </c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674" s="15" t="str">
        <f>_xlfn.TEXTBEFORE(_xlfn.TEXTAFTER(CantoralDB[[#This Row],[index.html]],"&gt;"),"&gt;")&amp;"&gt;"</f>
        <v>&lt;a href="canciones/rosa_cruz/como_un_niño.html"&gt;</v>
      </c>
      <c r="X1674"/>
      <c r="AB1674" s="1"/>
    </row>
    <row r="1675" spans="1:28" x14ac:dyDescent="0.3">
      <c r="A1675" s="1">
        <f>ROW(CantoralDB[[#This Row],[Título]])-1</f>
        <v>1674</v>
      </c>
      <c r="B1675" s="1" t="s">
        <v>2628</v>
      </c>
      <c r="C1675" s="1"/>
      <c r="F1675" s="1">
        <v>251</v>
      </c>
      <c r="J1675" s="1"/>
      <c r="M1675" s="15" t="s">
        <v>2495</v>
      </c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675" s="15" t="str">
        <f>_xlfn.TEXTBEFORE(_xlfn.TEXTAFTER(CantoralDB[[#This Row],[index.html]],"&gt;"),"&gt;")&amp;"&gt;"</f>
        <v>&lt;a href="canciones/rosa_cruz/cuida_de_mi.html"&gt;</v>
      </c>
      <c r="X1675"/>
      <c r="AB1675" s="1"/>
    </row>
    <row r="1676" spans="1:28" x14ac:dyDescent="0.3">
      <c r="A1676" s="1">
        <f>ROW(CantoralDB[[#This Row],[Título]])-1</f>
        <v>1675</v>
      </c>
      <c r="B1676" s="1" t="s">
        <v>2541</v>
      </c>
      <c r="C1676" s="1"/>
      <c r="F1676" s="1">
        <v>154</v>
      </c>
      <c r="J1676" s="1"/>
      <c r="M1676" s="15" t="s">
        <v>2495</v>
      </c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676" s="15" t="str">
        <f>_xlfn.TEXTBEFORE(_xlfn.TEXTAFTER(CantoralDB[[#This Row],[index.html]],"&gt;"),"&gt;")&amp;"&gt;"</f>
        <v>&lt;a href="canciones/rosa_cruz/el_tren.html"&gt;</v>
      </c>
      <c r="X1676"/>
      <c r="AB1676" s="1"/>
    </row>
    <row r="1677" spans="1:28" x14ac:dyDescent="0.3">
      <c r="A1677" s="1">
        <f>ROW(CantoralDB[[#This Row],[Título]])-1</f>
        <v>1676</v>
      </c>
      <c r="B1677" s="1" t="s">
        <v>2642</v>
      </c>
      <c r="C1677" s="1"/>
      <c r="F1677" s="1">
        <v>266</v>
      </c>
      <c r="J1677" s="1"/>
      <c r="M1677" s="15" t="s">
        <v>2495</v>
      </c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677" s="15" t="str">
        <f>_xlfn.TEXTBEFORE(_xlfn.TEXTAFTER(CantoralDB[[#This Row],[index.html]],"&gt;"),"&gt;")&amp;"&gt;"</f>
        <v>&lt;a href="canciones/rosa_cruz/en_ti_esta_la_fuente_de_la_vida.html"&gt;</v>
      </c>
      <c r="X1677"/>
      <c r="AB1677" s="1"/>
    </row>
    <row r="1678" spans="1:28" x14ac:dyDescent="0.3">
      <c r="A1678" s="1">
        <f>ROW(CantoralDB[[#This Row],[Título]])-1</f>
        <v>1677</v>
      </c>
      <c r="B1678" s="1" t="s">
        <v>2624</v>
      </c>
      <c r="C1678" s="1"/>
      <c r="F1678" s="1">
        <v>246</v>
      </c>
      <c r="J1678" s="1"/>
      <c r="M1678" s="15" t="s">
        <v>2495</v>
      </c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678" s="15" t="str">
        <f>_xlfn.TEXTBEFORE(_xlfn.TEXTAFTER(CantoralDB[[#This Row],[index.html]],"&gt;"),"&gt;")&amp;"&gt;"</f>
        <v>&lt;a href="canciones/rosa_cruz/lo_mas_valioso.html"&gt;</v>
      </c>
      <c r="X1678"/>
      <c r="AB1678" s="1"/>
    </row>
    <row r="1679" spans="1:28" x14ac:dyDescent="0.3">
      <c r="A1679" s="1">
        <f>ROW(CantoralDB[[#This Row],[Título]])-1</f>
        <v>1678</v>
      </c>
      <c r="B1679" s="1" t="s">
        <v>2753</v>
      </c>
      <c r="C1679" s="1"/>
      <c r="F1679" s="1">
        <v>376</v>
      </c>
      <c r="J1679" s="1"/>
      <c r="M1679" s="15" t="s">
        <v>2495</v>
      </c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679" s="15" t="str">
        <f>_xlfn.TEXTBEFORE(_xlfn.TEXTAFTER(CantoralDB[[#This Row],[index.html]],"&gt;"),"&gt;")&amp;"&gt;"</f>
        <v>&lt;a href="canciones/rosa_cruz/no_tengo_señor_alabanza.html"&gt;</v>
      </c>
      <c r="X1679"/>
      <c r="AB1679" s="1"/>
    </row>
    <row r="1680" spans="1:28" x14ac:dyDescent="0.3">
      <c r="A1680" s="1">
        <f>ROW(CantoralDB[[#This Row],[Título]])-1</f>
        <v>1679</v>
      </c>
      <c r="B1680" s="1" t="s">
        <v>2494</v>
      </c>
      <c r="C1680" s="1"/>
      <c r="F1680" s="1">
        <v>115</v>
      </c>
      <c r="J1680" s="1"/>
      <c r="M1680" s="15" t="s">
        <v>2495</v>
      </c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680" s="15" t="str">
        <f>_xlfn.TEXTBEFORE(_xlfn.TEXTAFTER(CantoralDB[[#This Row],[index.html]],"&gt;"),"&gt;")&amp;"&gt;"</f>
        <v>&lt;a href="canciones/rosa_cruz/paz_a_vosotros.html"&gt;</v>
      </c>
      <c r="X1680"/>
      <c r="AB1680" s="1"/>
    </row>
    <row r="1681" spans="1:28" x14ac:dyDescent="0.3">
      <c r="A1681" s="1">
        <f>ROW(CantoralDB[[#This Row],[Título]])-1</f>
        <v>1680</v>
      </c>
      <c r="B1681" s="1" t="s">
        <v>2712</v>
      </c>
      <c r="C1681" s="1"/>
      <c r="F1681" s="1">
        <v>341</v>
      </c>
      <c r="J1681" s="1"/>
      <c r="M1681" s="15" t="s">
        <v>2495</v>
      </c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681" s="15" t="str">
        <f>_xlfn.TEXTBEFORE(_xlfn.TEXTAFTER(CantoralDB[[#This Row],[index.html]],"&gt;"),"&gt;")&amp;"&gt;"</f>
        <v>&lt;a href="canciones/rosa_cruz/saname_ahora.html"&gt;</v>
      </c>
      <c r="X1681"/>
      <c r="AB1681" s="1"/>
    </row>
    <row r="1682" spans="1:28" x14ac:dyDescent="0.3">
      <c r="A1682" s="1">
        <f>ROW(CantoralDB[[#This Row],[Título]])-1</f>
        <v>1681</v>
      </c>
      <c r="B1682" s="1" t="s">
        <v>2663</v>
      </c>
      <c r="C1682" s="1"/>
      <c r="F1682" s="1">
        <v>288</v>
      </c>
      <c r="J1682" s="1"/>
      <c r="M1682" s="15" t="s">
        <v>2495</v>
      </c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682" s="15" t="str">
        <f>_xlfn.TEXTBEFORE(_xlfn.TEXTAFTER(CantoralDB[[#This Row],[index.html]],"&gt;"),"&gt;")&amp;"&gt;"</f>
        <v>&lt;a href="canciones/rosa_cruz/yo_abrire_una_puerta.html"&gt;</v>
      </c>
      <c r="X1682"/>
      <c r="AB1682" s="1"/>
    </row>
    <row r="1683" spans="1:28" x14ac:dyDescent="0.3">
      <c r="A1683" s="1">
        <f>ROW(CantoralDB[[#This Row],[Título]])-1</f>
        <v>1682</v>
      </c>
      <c r="B1683" s="1" t="s">
        <v>2667</v>
      </c>
      <c r="C1683" s="1"/>
      <c r="F1683" s="1">
        <v>292</v>
      </c>
      <c r="J1683" s="1"/>
      <c r="M1683" s="15" t="s">
        <v>2495</v>
      </c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683" s="15" t="str">
        <f>_xlfn.TEXTBEFORE(_xlfn.TEXTAFTER(CantoralDB[[#This Row],[index.html]],"&gt;"),"&gt;")&amp;"&gt;"</f>
        <v>&lt;a href="canciones/rosa_cruz/zarza_ardiente.html"&gt;</v>
      </c>
      <c r="X1683"/>
      <c r="AB1683" s="1"/>
    </row>
    <row r="1684" spans="1:28" x14ac:dyDescent="0.3">
      <c r="A1684" s="1">
        <f>ROW(CantoralDB[[#This Row],[Título]])-1</f>
        <v>1683</v>
      </c>
      <c r="B1684" s="1" t="s">
        <v>1864</v>
      </c>
      <c r="C1684" s="1"/>
      <c r="H1684" s="1" t="s">
        <v>530</v>
      </c>
      <c r="J1684" s="1" t="s">
        <v>607</v>
      </c>
      <c r="M1684" s="15" t="s">
        <v>1756</v>
      </c>
      <c r="N1684" s="1" t="s">
        <v>1900</v>
      </c>
      <c r="O1684" s="15">
        <v>1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684" s="1"/>
      <c r="T1684" s="1"/>
      <c r="U1684" s="32" t="s">
        <v>3987</v>
      </c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684" s="15" t="str">
        <f>_xlfn.TEXTBEFORE(_xlfn.TEXTAFTER(CantoralDB[[#This Row],[index.html]],"&gt;"),"&gt;")&amp;"&gt;"</f>
        <v>&lt;a href="canciones/ruah/adentrate.html"&gt;</v>
      </c>
      <c r="X1684"/>
      <c r="AB1684" s="1"/>
    </row>
    <row r="1685" spans="1:28" x14ac:dyDescent="0.3">
      <c r="A1685" s="1">
        <f>ROW(CantoralDB[[#This Row],[Título]])-1</f>
        <v>1684</v>
      </c>
      <c r="B1685" s="1" t="s">
        <v>1865</v>
      </c>
      <c r="C1685" s="1"/>
      <c r="H1685" s="1" t="s">
        <v>472</v>
      </c>
      <c r="J1685" s="1" t="s">
        <v>607</v>
      </c>
      <c r="M1685" s="15" t="s">
        <v>1756</v>
      </c>
      <c r="N1685" s="1" t="s">
        <v>1900</v>
      </c>
      <c r="O1685" s="15">
        <v>2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685" s="1"/>
      <c r="T1685" s="1"/>
      <c r="U1685" s="32" t="s">
        <v>3986</v>
      </c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685" s="15" t="str">
        <f>_xlfn.TEXTBEFORE(_xlfn.TEXTAFTER(CantoralDB[[#This Row],[index.html]],"&gt;"),"&gt;")&amp;"&gt;"</f>
        <v>&lt;a href="canciones/ruah/pedid_y_se_os_dara.html"&gt;</v>
      </c>
      <c r="X1685"/>
      <c r="AB1685" s="1"/>
    </row>
    <row r="1686" spans="1:28" x14ac:dyDescent="0.3">
      <c r="A1686" s="1">
        <f>ROW(CantoralDB[[#This Row],[Título]])-1</f>
        <v>1685</v>
      </c>
      <c r="B1686" s="1" t="s">
        <v>1866</v>
      </c>
      <c r="C1686" s="1"/>
      <c r="H1686" s="1" t="s">
        <v>530</v>
      </c>
      <c r="J1686" s="1" t="s">
        <v>607</v>
      </c>
      <c r="M1686" s="15" t="s">
        <v>1756</v>
      </c>
      <c r="N1686" s="1" t="s">
        <v>1900</v>
      </c>
      <c r="O1686" s="15">
        <v>3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686" s="1"/>
      <c r="T1686" s="1"/>
      <c r="U1686" s="32" t="s">
        <v>3985</v>
      </c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686" s="15" t="str">
        <f>_xlfn.TEXTBEFORE(_xlfn.TEXTAFTER(CantoralDB[[#This Row],[index.html]],"&gt;"),"&gt;")&amp;"&gt;"</f>
        <v>&lt;a href="canciones/ruah/cada_mañana.html"&gt;</v>
      </c>
      <c r="X1686"/>
      <c r="AB1686" s="1"/>
    </row>
    <row r="1687" spans="1:28" x14ac:dyDescent="0.3">
      <c r="A1687" s="1">
        <f>ROW(CantoralDB[[#This Row],[Título]])-1</f>
        <v>1686</v>
      </c>
      <c r="B1687" s="1" t="s">
        <v>1867</v>
      </c>
      <c r="C1687" s="1"/>
      <c r="H1687" s="1" t="s">
        <v>1026</v>
      </c>
      <c r="J1687" s="1" t="s">
        <v>607</v>
      </c>
      <c r="M1687" s="15" t="s">
        <v>1756</v>
      </c>
      <c r="N1687" s="1" t="s">
        <v>1900</v>
      </c>
      <c r="O1687" s="15">
        <v>4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687" s="15" t="str">
        <f>_xlfn.TEXTBEFORE(_xlfn.TEXTAFTER(CantoralDB[[#This Row],[index.html]],"&gt;"),"&gt;")&amp;"&gt;"</f>
        <v>&lt;a href="canciones/ruah/fija_en_ti.html"&gt;</v>
      </c>
      <c r="X1687"/>
      <c r="AB1687" s="1"/>
    </row>
    <row r="1688" spans="1:28" x14ac:dyDescent="0.3">
      <c r="A1688" s="1">
        <f>ROW(CantoralDB[[#This Row],[Título]])-1</f>
        <v>1687</v>
      </c>
      <c r="B1688" s="1" t="s">
        <v>1868</v>
      </c>
      <c r="C1688" s="1"/>
      <c r="H1688" s="1" t="s">
        <v>530</v>
      </c>
      <c r="J1688" s="1" t="s">
        <v>607</v>
      </c>
      <c r="M1688" s="15" t="s">
        <v>1756</v>
      </c>
      <c r="N1688" s="1" t="s">
        <v>1900</v>
      </c>
      <c r="O1688" s="15">
        <v>5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688" s="15" t="str">
        <f>_xlfn.TEXTBEFORE(_xlfn.TEXTAFTER(CantoralDB[[#This Row],[index.html]],"&gt;"),"&gt;")&amp;"&gt;"</f>
        <v>&lt;a href="canciones/ruah/tu_y_no_yo.html"&gt;</v>
      </c>
      <c r="X1688"/>
      <c r="AB1688" s="1"/>
    </row>
    <row r="1689" spans="1:28" x14ac:dyDescent="0.3">
      <c r="A1689" s="1">
        <f>ROW(CantoralDB[[#This Row],[Título]])-1</f>
        <v>1688</v>
      </c>
      <c r="B1689" s="1" t="s">
        <v>1538</v>
      </c>
      <c r="C1689" s="1"/>
      <c r="H1689" s="1" t="s">
        <v>1026</v>
      </c>
      <c r="J1689" s="1" t="s">
        <v>607</v>
      </c>
      <c r="M1689" s="15" t="s">
        <v>1756</v>
      </c>
      <c r="N1689" s="1" t="s">
        <v>1900</v>
      </c>
      <c r="O1689" s="15">
        <v>6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689" s="15" t="str">
        <f>_xlfn.TEXTBEFORE(_xlfn.TEXTAFTER(CantoralDB[[#This Row],[index.html]],"&gt;"),"&gt;")&amp;"&gt;"</f>
        <v>&lt;a href="canciones/ruah/tu_me_sondeas.html"&gt;</v>
      </c>
      <c r="X1689"/>
      <c r="AB1689" s="1"/>
    </row>
    <row r="1690" spans="1:28" x14ac:dyDescent="0.3">
      <c r="A1690" s="1">
        <f>ROW(CantoralDB[[#This Row],[Título]])-1</f>
        <v>1689</v>
      </c>
      <c r="B1690" s="1" t="s">
        <v>1869</v>
      </c>
      <c r="C1690" s="1"/>
      <c r="H1690" s="1" t="s">
        <v>1029</v>
      </c>
      <c r="J1690" s="1" t="s">
        <v>607</v>
      </c>
      <c r="M1690" s="15" t="s">
        <v>1756</v>
      </c>
      <c r="N1690" s="1" t="s">
        <v>1900</v>
      </c>
      <c r="O1690" s="15">
        <v>7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690" s="15" t="str">
        <f>_xlfn.TEXTBEFORE(_xlfn.TEXTAFTER(CantoralDB[[#This Row],[index.html]],"&gt;"),"&gt;")&amp;"&gt;"</f>
        <v>&lt;a href="canciones/ruah/ten_compasion.html"&gt;</v>
      </c>
      <c r="X1690"/>
      <c r="AB1690" s="1"/>
    </row>
    <row r="1691" spans="1:28" x14ac:dyDescent="0.3">
      <c r="A1691" s="1">
        <f>ROW(CantoralDB[[#This Row],[Título]])-1</f>
        <v>1690</v>
      </c>
      <c r="B1691" s="1" t="s">
        <v>1870</v>
      </c>
      <c r="C1691" s="1"/>
      <c r="H1691" s="1" t="s">
        <v>530</v>
      </c>
      <c r="J1691" s="1" t="s">
        <v>607</v>
      </c>
      <c r="M1691" s="15" t="s">
        <v>1756</v>
      </c>
      <c r="N1691" s="1" t="s">
        <v>1900</v>
      </c>
      <c r="O1691" s="15">
        <v>8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691" s="1"/>
      <c r="T1691" s="1"/>
      <c r="U1691" s="32" t="s">
        <v>3983</v>
      </c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691" s="15" t="str">
        <f>_xlfn.TEXTBEFORE(_xlfn.TEXTAFTER(CantoralDB[[#This Row],[index.html]],"&gt;"),"&gt;")&amp;"&gt;"</f>
        <v>&lt;a href="canciones/ruah/a_fuego.html"&gt;</v>
      </c>
      <c r="X1691"/>
      <c r="AB1691" s="1"/>
    </row>
    <row r="1692" spans="1:28" x14ac:dyDescent="0.3">
      <c r="A1692" s="1">
        <f>ROW(CantoralDB[[#This Row],[Título]])-1</f>
        <v>1691</v>
      </c>
      <c r="B1692" s="1" t="s">
        <v>1871</v>
      </c>
      <c r="C1692" s="1"/>
      <c r="H1692" s="1" t="s">
        <v>530</v>
      </c>
      <c r="J1692" s="1" t="s">
        <v>607</v>
      </c>
      <c r="M1692" s="15" t="s">
        <v>1756</v>
      </c>
      <c r="N1692" s="1" t="s">
        <v>1900</v>
      </c>
      <c r="O1692" s="15">
        <v>9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692" s="15" t="str">
        <f>_xlfn.TEXTBEFORE(_xlfn.TEXTAFTER(CantoralDB[[#This Row],[index.html]],"&gt;"),"&gt;")&amp;"&gt;"</f>
        <v>&lt;a href="canciones/ruah/aprendiendo.html"&gt;</v>
      </c>
      <c r="X1692"/>
      <c r="AB1692" s="1"/>
    </row>
    <row r="1693" spans="1:28" x14ac:dyDescent="0.3">
      <c r="A1693" s="1">
        <f>ROW(CantoralDB[[#This Row],[Título]])-1</f>
        <v>1692</v>
      </c>
      <c r="B1693" s="1" t="s">
        <v>1872</v>
      </c>
      <c r="C1693" s="1"/>
      <c r="H1693" s="1" t="s">
        <v>530</v>
      </c>
      <c r="J1693" s="1" t="s">
        <v>607</v>
      </c>
      <c r="M1693" s="15" t="s">
        <v>1756</v>
      </c>
      <c r="N1693" s="1" t="s">
        <v>1900</v>
      </c>
      <c r="O1693" s="15">
        <v>10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693" s="15" t="str">
        <f>_xlfn.TEXTBEFORE(_xlfn.TEXTAFTER(CantoralDB[[#This Row],[index.html]],"&gt;"),"&gt;")&amp;"&gt;"</f>
        <v>&lt;a href="canciones/ruah/alianza.html"&gt;</v>
      </c>
      <c r="X1693"/>
      <c r="AB1693" s="1"/>
    </row>
    <row r="1694" spans="1:28" x14ac:dyDescent="0.3">
      <c r="A1694" s="1">
        <f>ROW(CantoralDB[[#This Row],[Título]])-1</f>
        <v>1693</v>
      </c>
      <c r="B1694" s="1" t="s">
        <v>1873</v>
      </c>
      <c r="C1694" s="1"/>
      <c r="H1694" s="1" t="s">
        <v>1026</v>
      </c>
      <c r="J1694" s="1" t="s">
        <v>607</v>
      </c>
      <c r="M1694" s="15" t="s">
        <v>1756</v>
      </c>
      <c r="N1694" s="1" t="s">
        <v>1900</v>
      </c>
      <c r="O1694" s="15">
        <v>11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694" s="15" t="str">
        <f>_xlfn.TEXTBEFORE(_xlfn.TEXTAFTER(CantoralDB[[#This Row],[index.html]],"&gt;"),"&gt;")&amp;"&gt;"</f>
        <v>&lt;a href="canciones/ruah/gracias.html"&gt;</v>
      </c>
      <c r="X1694"/>
      <c r="AB1694" s="1"/>
    </row>
    <row r="1695" spans="1:28" x14ac:dyDescent="0.3">
      <c r="A1695" s="1">
        <f>ROW(CantoralDB[[#This Row],[Título]])-1</f>
        <v>1694</v>
      </c>
      <c r="B1695" s="1" t="s">
        <v>1916</v>
      </c>
      <c r="C1695" s="1"/>
      <c r="H1695" s="1" t="s">
        <v>472</v>
      </c>
      <c r="J1695" s="1" t="s">
        <v>607</v>
      </c>
      <c r="M1695" s="15" t="s">
        <v>1756</v>
      </c>
      <c r="N1695" s="1" t="s">
        <v>1900</v>
      </c>
      <c r="O1695" s="15">
        <v>12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695" s="15" t="str">
        <f>_xlfn.TEXTBEFORE(_xlfn.TEXTAFTER(CantoralDB[[#This Row],[index.html]],"&gt;"),"&gt;")&amp;"&gt;"</f>
        <v>&lt;a href="canciones/ruah/dios_de_la_historia.html"&gt;</v>
      </c>
      <c r="X1695"/>
      <c r="AB1695" s="1"/>
    </row>
    <row r="1696" spans="1:28" x14ac:dyDescent="0.3">
      <c r="A1696" s="1">
        <f>ROW(CantoralDB[[#This Row],[Título]])-1</f>
        <v>1695</v>
      </c>
      <c r="B1696" s="1" t="s">
        <v>1771</v>
      </c>
      <c r="C1696" s="1"/>
      <c r="H1696" s="1" t="s">
        <v>530</v>
      </c>
      <c r="J1696" s="1" t="s">
        <v>607</v>
      </c>
      <c r="M1696" s="15" t="s">
        <v>1756</v>
      </c>
      <c r="N1696" s="1" t="s">
        <v>1900</v>
      </c>
      <c r="O1696" s="15">
        <v>13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696" s="15" t="str">
        <f>_xlfn.TEXTBEFORE(_xlfn.TEXTAFTER(CantoralDB[[#This Row],[index.html]],"&gt;"),"&gt;")&amp;"&gt;"</f>
        <v>&lt;a href="canciones/ruah/para_estar_contigo.html"&gt;</v>
      </c>
      <c r="X1696"/>
      <c r="AB1696" s="1"/>
    </row>
    <row r="1697" spans="1:28" x14ac:dyDescent="0.3">
      <c r="A1697" s="1">
        <f>ROW(CantoralDB[[#This Row],[Título]])-1</f>
        <v>1696</v>
      </c>
      <c r="B1697" s="1" t="s">
        <v>2020</v>
      </c>
      <c r="C1697" s="1"/>
      <c r="H1697" s="1" t="s">
        <v>530</v>
      </c>
      <c r="J1697" s="1" t="s">
        <v>607</v>
      </c>
      <c r="M1697" s="15" t="s">
        <v>1756</v>
      </c>
      <c r="N1697" s="1" t="s">
        <v>1900</v>
      </c>
      <c r="O1697" s="15">
        <v>14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697" s="15" t="str">
        <f>_xlfn.TEXTBEFORE(_xlfn.TEXTAFTER(CantoralDB[[#This Row],[index.html]],"&gt;"),"&gt;")&amp;"&gt;"</f>
        <v>&lt;a href="canciones/ruah/no_lo_notais.html"&gt;</v>
      </c>
      <c r="X1697"/>
      <c r="AB1697" s="1"/>
    </row>
    <row r="1698" spans="1:28" x14ac:dyDescent="0.3">
      <c r="A1698" s="1">
        <f>ROW(CantoralDB[[#This Row],[Título]])-1</f>
        <v>1697</v>
      </c>
      <c r="B1698" s="1" t="s">
        <v>1874</v>
      </c>
      <c r="C1698" s="1"/>
      <c r="H1698" s="1" t="s">
        <v>530</v>
      </c>
      <c r="J1698" s="1" t="s">
        <v>607</v>
      </c>
      <c r="M1698" s="15" t="s">
        <v>1756</v>
      </c>
      <c r="N1698" s="1" t="s">
        <v>1900</v>
      </c>
      <c r="O1698" s="15">
        <v>15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698" s="1"/>
      <c r="T1698" s="1"/>
      <c r="U1698" s="32" t="s">
        <v>3984</v>
      </c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698" s="15" t="str">
        <f>_xlfn.TEXTBEFORE(_xlfn.TEXTAFTER(CantoralDB[[#This Row],[index.html]],"&gt;"),"&gt;")&amp;"&gt;"</f>
        <v>&lt;a href="canciones/ruah/mirame.html"&gt;</v>
      </c>
      <c r="X1698"/>
      <c r="AB1698" s="1"/>
    </row>
    <row r="1699" spans="1:28" x14ac:dyDescent="0.3">
      <c r="A1699" s="1">
        <f>ROW(CantoralDB[[#This Row],[Título]])-1</f>
        <v>1698</v>
      </c>
      <c r="B1699" s="1" t="s">
        <v>1854</v>
      </c>
      <c r="C1699" s="1"/>
      <c r="H1699" s="1" t="s">
        <v>530</v>
      </c>
      <c r="J1699" s="1" t="s">
        <v>607</v>
      </c>
      <c r="M1699" s="15" t="s">
        <v>1756</v>
      </c>
      <c r="N1699" s="1" t="s">
        <v>1899</v>
      </c>
      <c r="O1699" s="15">
        <v>1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699" s="15" t="str">
        <f>_xlfn.TEXTBEFORE(_xlfn.TEXTAFTER(CantoralDB[[#This Row],[index.html]],"&gt;"),"&gt;")&amp;"&gt;"</f>
        <v>&lt;a href="canciones/ruah/suelta_el_timon.html"&gt;</v>
      </c>
      <c r="X1699"/>
      <c r="AB1699" s="1"/>
    </row>
    <row r="1700" spans="1:28" x14ac:dyDescent="0.3">
      <c r="A1700" s="1">
        <f>ROW(CantoralDB[[#This Row],[Título]])-1</f>
        <v>1699</v>
      </c>
      <c r="B1700" s="1" t="s">
        <v>1855</v>
      </c>
      <c r="C1700" s="1"/>
      <c r="H1700" s="1" t="s">
        <v>1029</v>
      </c>
      <c r="I1700" s="1" t="s">
        <v>2953</v>
      </c>
      <c r="J1700" s="1" t="s">
        <v>607</v>
      </c>
      <c r="M1700" s="15" t="s">
        <v>1756</v>
      </c>
      <c r="N1700" s="1" t="s">
        <v>1899</v>
      </c>
      <c r="O1700" s="15">
        <v>2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700" s="15" t="str">
        <f>_xlfn.TEXTBEFORE(_xlfn.TEXTAFTER(CantoralDB[[#This Row],[index.html]],"&gt;"),"&gt;")&amp;"&gt;"</f>
        <v>&lt;a href="canciones/ruah/quiero_confiar.html"&gt;</v>
      </c>
      <c r="X1700"/>
      <c r="AB1700" s="1"/>
    </row>
    <row r="1701" spans="1:28" x14ac:dyDescent="0.3">
      <c r="A1701" s="1">
        <f>ROW(CantoralDB[[#This Row],[Título]])-1</f>
        <v>1700</v>
      </c>
      <c r="B1701" s="1" t="s">
        <v>1856</v>
      </c>
      <c r="C1701" s="1"/>
      <c r="H1701" s="1" t="s">
        <v>1029</v>
      </c>
      <c r="J1701" s="1" t="s">
        <v>607</v>
      </c>
      <c r="M1701" s="15" t="s">
        <v>1756</v>
      </c>
      <c r="N1701" s="1" t="s">
        <v>1899</v>
      </c>
      <c r="O1701" s="15">
        <v>3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701" s="15" t="str">
        <f>_xlfn.TEXTBEFORE(_xlfn.TEXTAFTER(CantoralDB[[#This Row],[index.html]],"&gt;"),"&gt;")&amp;"&gt;"</f>
        <v>&lt;a href="canciones/ruah/soy_de_ti.html"&gt;</v>
      </c>
      <c r="X1701"/>
      <c r="AB1701" s="1"/>
    </row>
    <row r="1702" spans="1:28" x14ac:dyDescent="0.3">
      <c r="A1702" s="1">
        <f>ROW(CantoralDB[[#This Row],[Título]])-1</f>
        <v>1701</v>
      </c>
      <c r="B1702" s="1" t="s">
        <v>1857</v>
      </c>
      <c r="C1702" s="1"/>
      <c r="H1702" s="1" t="s">
        <v>530</v>
      </c>
      <c r="I1702" s="1" t="s">
        <v>2953</v>
      </c>
      <c r="J1702" s="1"/>
      <c r="M1702" s="15" t="s">
        <v>1756</v>
      </c>
      <c r="N1702" s="1" t="s">
        <v>1899</v>
      </c>
      <c r="O1702" s="15">
        <v>4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702" s="15" t="str">
        <f>_xlfn.TEXTBEFORE(_xlfn.TEXTAFTER(CantoralDB[[#This Row],[index.html]],"&gt;"),"&gt;")&amp;"&gt;"</f>
        <v>&lt;a href="canciones/ruah/el_boleto.html"&gt;</v>
      </c>
      <c r="X1702"/>
      <c r="AB1702" s="1"/>
    </row>
    <row r="1703" spans="1:28" x14ac:dyDescent="0.3">
      <c r="A1703" s="1">
        <f>ROW(CantoralDB[[#This Row],[Título]])-1</f>
        <v>1702</v>
      </c>
      <c r="B1703" s="1" t="s">
        <v>489</v>
      </c>
      <c r="C1703" s="1"/>
      <c r="H1703" s="1" t="s">
        <v>1029</v>
      </c>
      <c r="J1703" s="1"/>
      <c r="M1703" s="15" t="s">
        <v>1756</v>
      </c>
      <c r="N1703" s="1" t="s">
        <v>1899</v>
      </c>
      <c r="O1703" s="15">
        <v>5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703" s="15" t="str">
        <f>_xlfn.TEXTBEFORE(_xlfn.TEXTAFTER(CantoralDB[[#This Row],[index.html]],"&gt;"),"&gt;")&amp;"&gt;"</f>
        <v>&lt;a href="canciones/ruah/maranatha.html"&gt;</v>
      </c>
      <c r="X1703"/>
      <c r="AB1703" s="1"/>
    </row>
    <row r="1704" spans="1:28" x14ac:dyDescent="0.3">
      <c r="A1704" s="1">
        <f>ROW(CantoralDB[[#This Row],[Título]])-1</f>
        <v>1703</v>
      </c>
      <c r="B1704" s="1" t="s">
        <v>1858</v>
      </c>
      <c r="C1704" s="1"/>
      <c r="H1704" s="1" t="s">
        <v>530</v>
      </c>
      <c r="I1704" s="1" t="s">
        <v>2954</v>
      </c>
      <c r="J1704" s="1" t="s">
        <v>607</v>
      </c>
      <c r="M1704" s="15" t="s">
        <v>1756</v>
      </c>
      <c r="N1704" s="1" t="s">
        <v>1899</v>
      </c>
      <c r="O1704" s="15">
        <v>6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704" s="15" t="str">
        <f>_xlfn.TEXTBEFORE(_xlfn.TEXTAFTER(CantoralDB[[#This Row],[index.html]],"&gt;"),"&gt;")&amp;"&gt;"</f>
        <v>&lt;a href="canciones/ruah/tuya_y_nueva.html"&gt;</v>
      </c>
      <c r="X1704"/>
      <c r="AB1704" s="1"/>
    </row>
    <row r="1705" spans="1:28" x14ac:dyDescent="0.3">
      <c r="A1705" s="1">
        <f>ROW(CantoralDB[[#This Row],[Título]])-1</f>
        <v>1704</v>
      </c>
      <c r="B1705" s="1" t="s">
        <v>1859</v>
      </c>
      <c r="C1705" s="1"/>
      <c r="H1705" s="1" t="s">
        <v>1029</v>
      </c>
      <c r="J1705" s="1" t="s">
        <v>607</v>
      </c>
      <c r="M1705" s="15" t="s">
        <v>1756</v>
      </c>
      <c r="N1705" s="1" t="s">
        <v>1899</v>
      </c>
      <c r="O1705" s="15">
        <v>7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705" s="15" t="str">
        <f>_xlfn.TEXTBEFORE(_xlfn.TEXTAFTER(CantoralDB[[#This Row],[index.html]],"&gt;"),"&gt;")&amp;"&gt;"</f>
        <v>&lt;a href="canciones/ruah/no_os_preocupeis.html"&gt;</v>
      </c>
      <c r="X1705"/>
      <c r="AB1705" s="1"/>
    </row>
    <row r="1706" spans="1:28" x14ac:dyDescent="0.3">
      <c r="A1706" s="1">
        <f>ROW(CantoralDB[[#This Row],[Título]])-1</f>
        <v>1705</v>
      </c>
      <c r="B1706" s="1" t="s">
        <v>1860</v>
      </c>
      <c r="C1706" s="1"/>
      <c r="H1706" s="1" t="s">
        <v>1027</v>
      </c>
      <c r="J1706" s="1" t="s">
        <v>607</v>
      </c>
      <c r="L1706" s="1" t="s">
        <v>2178</v>
      </c>
      <c r="M1706" s="15" t="s">
        <v>1756</v>
      </c>
      <c r="N1706" s="1" t="s">
        <v>1899</v>
      </c>
      <c r="O1706" s="15">
        <v>8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706" s="15" t="str">
        <f>_xlfn.TEXTBEFORE(_xlfn.TEXTAFTER(CantoralDB[[#This Row],[index.html]],"&gt;"),"&gt;")&amp;"&gt;"</f>
        <v>&lt;a href="canciones/ruah/sabes_bien.html"&gt;</v>
      </c>
      <c r="X1706"/>
      <c r="AB1706" s="1"/>
    </row>
    <row r="1707" spans="1:28" x14ac:dyDescent="0.3">
      <c r="A1707" s="1">
        <f>ROW(CantoralDB[[#This Row],[Título]])-1</f>
        <v>1706</v>
      </c>
      <c r="B1707" s="1" t="s">
        <v>1861</v>
      </c>
      <c r="C1707" s="1"/>
      <c r="H1707" s="1" t="s">
        <v>472</v>
      </c>
      <c r="J1707" s="1" t="s">
        <v>607</v>
      </c>
      <c r="M1707" s="15" t="s">
        <v>1756</v>
      </c>
      <c r="N1707" s="1" t="s">
        <v>1899</v>
      </c>
      <c r="O1707" s="15">
        <v>9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707" s="1"/>
      <c r="T1707" s="1"/>
      <c r="U1707" s="32" t="s">
        <v>4001</v>
      </c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707" s="15" t="str">
        <f>_xlfn.TEXTBEFORE(_xlfn.TEXTAFTER(CantoralDB[[#This Row],[index.html]],"&gt;"),"&gt;")&amp;"&gt;"</f>
        <v>&lt;a href="canciones/ruah/alegraos.html"&gt;</v>
      </c>
      <c r="X1707"/>
      <c r="AB1707" s="1"/>
    </row>
    <row r="1708" spans="1:28" x14ac:dyDescent="0.3">
      <c r="A1708" s="1">
        <f>ROW(CantoralDB[[#This Row],[Título]])-1</f>
        <v>1707</v>
      </c>
      <c r="B1708" s="1" t="s">
        <v>1862</v>
      </c>
      <c r="C1708" s="1"/>
      <c r="H1708" s="1" t="s">
        <v>1026</v>
      </c>
      <c r="J1708" s="1" t="s">
        <v>607</v>
      </c>
      <c r="M1708" s="15" t="s">
        <v>1756</v>
      </c>
      <c r="N1708" s="1" t="s">
        <v>1899</v>
      </c>
      <c r="O1708" s="15">
        <v>10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708" s="1"/>
      <c r="T1708" s="1"/>
      <c r="U1708" s="32" t="s">
        <v>4000</v>
      </c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708" s="15" t="str">
        <f>_xlfn.TEXTBEFORE(_xlfn.TEXTAFTER(CantoralDB[[#This Row],[index.html]],"&gt;"),"&gt;")&amp;"&gt;"</f>
        <v>&lt;a href="canciones/ruah/envianos_sin_miedo.html"&gt;</v>
      </c>
      <c r="X1708"/>
      <c r="AB1708" s="1"/>
    </row>
    <row r="1709" spans="1:28" x14ac:dyDescent="0.3">
      <c r="A1709" s="1">
        <f>ROW(CantoralDB[[#This Row],[Título]])-1</f>
        <v>1708</v>
      </c>
      <c r="B1709" s="1" t="s">
        <v>1863</v>
      </c>
      <c r="C1709" s="1"/>
      <c r="H1709" s="1" t="s">
        <v>1026</v>
      </c>
      <c r="J1709" s="1" t="s">
        <v>607</v>
      </c>
      <c r="M1709" s="15" t="s">
        <v>1756</v>
      </c>
      <c r="N1709" s="1" t="s">
        <v>1899</v>
      </c>
      <c r="O1709" s="15">
        <v>11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709" s="1"/>
      <c r="T1709" s="1"/>
      <c r="U1709" s="32" t="s">
        <v>3999</v>
      </c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709" s="15" t="str">
        <f>_xlfn.TEXTBEFORE(_xlfn.TEXTAFTER(CantoralDB[[#This Row],[index.html]],"&gt;"),"&gt;")&amp;"&gt;"</f>
        <v>&lt;a href="canciones/ruah/aqui_y_ahora.html"&gt;</v>
      </c>
      <c r="X1709"/>
      <c r="AB1709" s="1"/>
    </row>
    <row r="1710" spans="1:28" x14ac:dyDescent="0.3">
      <c r="A1710" s="1">
        <f>ROW(CantoralDB[[#This Row],[Título]])-1</f>
        <v>1709</v>
      </c>
      <c r="B1710" s="1" t="s">
        <v>1888</v>
      </c>
      <c r="C1710" s="1"/>
      <c r="H1710" s="1" t="s">
        <v>530</v>
      </c>
      <c r="I1710" s="1" t="s">
        <v>2953</v>
      </c>
      <c r="J1710" s="1" t="s">
        <v>607</v>
      </c>
      <c r="M1710" s="15" t="s">
        <v>1756</v>
      </c>
      <c r="N1710" s="1" t="s">
        <v>1894</v>
      </c>
      <c r="O1710" s="15">
        <v>1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710" s="15" t="str">
        <f>_xlfn.TEXTBEFORE(_xlfn.TEXTAFTER(CantoralDB[[#This Row],[index.html]],"&gt;"),"&gt;")&amp;"&gt;"</f>
        <v>&lt;a href="canciones/ruah/te_seguire_llamando.html"&gt;</v>
      </c>
      <c r="X1710"/>
      <c r="AB1710" s="1"/>
    </row>
    <row r="1711" spans="1:28" x14ac:dyDescent="0.3">
      <c r="A1711" s="1">
        <f>ROW(CantoralDB[[#This Row],[Título]])-1</f>
        <v>1710</v>
      </c>
      <c r="B1711" s="1" t="s">
        <v>1889</v>
      </c>
      <c r="C1711" s="1"/>
      <c r="H1711" s="1" t="s">
        <v>1029</v>
      </c>
      <c r="I1711" s="1" t="s">
        <v>2951</v>
      </c>
      <c r="J1711" s="1" t="s">
        <v>607</v>
      </c>
      <c r="M1711" s="15" t="s">
        <v>1756</v>
      </c>
      <c r="N1711" s="1" t="s">
        <v>1894</v>
      </c>
      <c r="O1711" s="15">
        <v>2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711" s="15" t="str">
        <f>_xlfn.TEXTBEFORE(_xlfn.TEXTAFTER(CantoralDB[[#This Row],[index.html]],"&gt;"),"&gt;")&amp;"&gt;"</f>
        <v>&lt;a href="canciones/ruah/no_volvera_vacia.html"&gt;</v>
      </c>
      <c r="X1711"/>
      <c r="AB1711" s="1"/>
    </row>
    <row r="1712" spans="1:28" x14ac:dyDescent="0.3">
      <c r="A1712" s="1">
        <f>ROW(CantoralDB[[#This Row],[Título]])-1</f>
        <v>1711</v>
      </c>
      <c r="B1712" s="1" t="s">
        <v>1890</v>
      </c>
      <c r="C1712" s="1"/>
      <c r="H1712" s="1" t="s">
        <v>1029</v>
      </c>
      <c r="J1712" s="1" t="s">
        <v>607</v>
      </c>
      <c r="M1712" s="15" t="s">
        <v>1756</v>
      </c>
      <c r="N1712" s="1" t="s">
        <v>1894</v>
      </c>
      <c r="O1712" s="15">
        <v>3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712" s="15" t="str">
        <f>_xlfn.TEXTBEFORE(_xlfn.TEXTAFTER(CantoralDB[[#This Row],[index.html]],"&gt;"),"&gt;")&amp;"&gt;"</f>
        <v>&lt;a href="canciones/ruah/grietas.html"&gt;</v>
      </c>
      <c r="X1712"/>
      <c r="AB1712" s="1"/>
    </row>
    <row r="1713" spans="1:28" x14ac:dyDescent="0.3">
      <c r="A1713" s="1">
        <f>ROW(CantoralDB[[#This Row],[Título]])-1</f>
        <v>1712</v>
      </c>
      <c r="B1713" s="1" t="s">
        <v>1891</v>
      </c>
      <c r="C1713" s="1"/>
      <c r="H1713" s="1" t="s">
        <v>472</v>
      </c>
      <c r="J1713" s="1" t="s">
        <v>607</v>
      </c>
      <c r="M1713" s="15" t="s">
        <v>1756</v>
      </c>
      <c r="N1713" s="1" t="s">
        <v>1894</v>
      </c>
      <c r="O1713" s="15">
        <v>4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713" s="15" t="str">
        <f>_xlfn.TEXTBEFORE(_xlfn.TEXTAFTER(CantoralDB[[#This Row],[index.html]],"&gt;"),"&gt;")&amp;"&gt;"</f>
        <v>&lt;a href="canciones/ruah/en_parabolas.html"&gt;</v>
      </c>
      <c r="X1713"/>
      <c r="AB1713" s="1"/>
    </row>
    <row r="1714" spans="1:28" x14ac:dyDescent="0.3">
      <c r="A1714" s="1">
        <f>ROW(CantoralDB[[#This Row],[Título]])-1</f>
        <v>1713</v>
      </c>
      <c r="B1714" s="1" t="s">
        <v>1892</v>
      </c>
      <c r="C1714" s="1"/>
      <c r="H1714" s="1" t="s">
        <v>1027</v>
      </c>
      <c r="J1714" s="1" t="s">
        <v>607</v>
      </c>
      <c r="M1714" s="15" t="s">
        <v>1756</v>
      </c>
      <c r="N1714" s="1" t="s">
        <v>1894</v>
      </c>
      <c r="O1714" s="15">
        <v>5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714" s="15" t="str">
        <f>_xlfn.TEXTBEFORE(_xlfn.TEXTAFTER(CantoralDB[[#This Row],[index.html]],"&gt;"),"&gt;")&amp;"&gt;"</f>
        <v>&lt;a href="canciones/ruah/oyeme.html"&gt;</v>
      </c>
      <c r="X1714"/>
      <c r="AB1714" s="1"/>
    </row>
    <row r="1715" spans="1:28" x14ac:dyDescent="0.3">
      <c r="A1715" s="1">
        <f>ROW(CantoralDB[[#This Row],[Título]])-1</f>
        <v>1714</v>
      </c>
      <c r="B1715" s="1" t="s">
        <v>1893</v>
      </c>
      <c r="C1715" s="1"/>
      <c r="H1715" s="1" t="s">
        <v>530</v>
      </c>
      <c r="I1715" s="1" t="s">
        <v>2950</v>
      </c>
      <c r="J1715" s="1" t="s">
        <v>607</v>
      </c>
      <c r="M1715" s="15" t="s">
        <v>1756</v>
      </c>
      <c r="N1715" s="1" t="s">
        <v>1894</v>
      </c>
      <c r="O1715" s="15">
        <v>6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715" s="15" t="str">
        <f>_xlfn.TEXTBEFORE(_xlfn.TEXTAFTER(CantoralDB[[#This Row],[index.html]],"&gt;"),"&gt;")&amp;"&gt;"</f>
        <v>&lt;a href="canciones/ruah/bosque.html"&gt;</v>
      </c>
      <c r="X1715"/>
      <c r="AB1715" s="1"/>
    </row>
    <row r="1716" spans="1:28" x14ac:dyDescent="0.3">
      <c r="A1716" s="1">
        <f>ROW(CantoralDB[[#This Row],[Título]])-1</f>
        <v>1715</v>
      </c>
      <c r="B1716" s="1" t="s">
        <v>1894</v>
      </c>
      <c r="C1716" s="1"/>
      <c r="H1716" s="1" t="s">
        <v>1026</v>
      </c>
      <c r="J1716" s="1" t="s">
        <v>607</v>
      </c>
      <c r="M1716" s="15" t="s">
        <v>1756</v>
      </c>
      <c r="N1716" s="1" t="s">
        <v>1894</v>
      </c>
      <c r="O1716" s="15">
        <v>7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716" s="15" t="str">
        <f>_xlfn.TEXTBEFORE(_xlfn.TEXTAFTER(CantoralDB[[#This Row],[index.html]],"&gt;"),"&gt;")&amp;"&gt;"</f>
        <v>&lt;a href="canciones/ruah/nuestro_lugar.html"&gt;</v>
      </c>
      <c r="X1716"/>
      <c r="AB1716" s="1"/>
    </row>
    <row r="1717" spans="1:28" x14ac:dyDescent="0.3">
      <c r="A1717" s="1">
        <f>ROW(CantoralDB[[#This Row],[Título]])-1</f>
        <v>1716</v>
      </c>
      <c r="B1717" s="1" t="s">
        <v>1895</v>
      </c>
      <c r="C1717" s="1"/>
      <c r="H1717" s="1" t="s">
        <v>1026</v>
      </c>
      <c r="J1717" s="1" t="s">
        <v>607</v>
      </c>
      <c r="M1717" s="15" t="s">
        <v>1756</v>
      </c>
      <c r="N1717" s="1" t="s">
        <v>1894</v>
      </c>
      <c r="O1717" s="15">
        <v>8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717" s="15" t="str">
        <f>_xlfn.TEXTBEFORE(_xlfn.TEXTAFTER(CantoralDB[[#This Row],[index.html]],"&gt;"),"&gt;")&amp;"&gt;"</f>
        <v>&lt;a href="canciones/ruah/a_tu_medida.html"&gt;</v>
      </c>
      <c r="X1717"/>
      <c r="AB1717" s="1"/>
    </row>
    <row r="1718" spans="1:28" x14ac:dyDescent="0.3">
      <c r="A1718" s="1">
        <f>ROW(CantoralDB[[#This Row],[Título]])-1</f>
        <v>1717</v>
      </c>
      <c r="B1718" s="1" t="s">
        <v>1896</v>
      </c>
      <c r="C1718" s="1"/>
      <c r="H1718" s="1" t="s">
        <v>1026</v>
      </c>
      <c r="J1718" s="1" t="s">
        <v>607</v>
      </c>
      <c r="M1718" s="15" t="s">
        <v>1756</v>
      </c>
      <c r="N1718" s="1" t="s">
        <v>1894</v>
      </c>
      <c r="O1718" s="15">
        <v>9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718" s="15" t="str">
        <f>_xlfn.TEXTBEFORE(_xlfn.TEXTAFTER(CantoralDB[[#This Row],[index.html]],"&gt;"),"&gt;")&amp;"&gt;"</f>
        <v>&lt;a href="canciones/ruah/mayor_que_todo.html"&gt;</v>
      </c>
      <c r="X1718"/>
      <c r="AB1718" s="1"/>
    </row>
    <row r="1719" spans="1:28" x14ac:dyDescent="0.3">
      <c r="A1719" s="1">
        <f>ROW(CantoralDB[[#This Row],[Título]])-1</f>
        <v>1718</v>
      </c>
      <c r="B1719" s="1" t="s">
        <v>1897</v>
      </c>
      <c r="C1719" s="1"/>
      <c r="H1719" s="1" t="s">
        <v>1029</v>
      </c>
      <c r="I1719" s="1" t="s">
        <v>2951</v>
      </c>
      <c r="J1719" s="1" t="s">
        <v>607</v>
      </c>
      <c r="M1719" s="15" t="s">
        <v>1756</v>
      </c>
      <c r="N1719" s="1" t="s">
        <v>1894</v>
      </c>
      <c r="O1719" s="15">
        <v>10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719" s="15" t="str">
        <f>_xlfn.TEXTBEFORE(_xlfn.TEXTAFTER(CantoralDB[[#This Row],[index.html]],"&gt;"),"&gt;")&amp;"&gt;"</f>
        <v>&lt;a href="canciones/ruah/seas.html"&gt;</v>
      </c>
      <c r="X1719"/>
      <c r="AB1719" s="1"/>
    </row>
    <row r="1720" spans="1:28" x14ac:dyDescent="0.3">
      <c r="A1720" s="1">
        <f>ROW(CantoralDB[[#This Row],[Título]])-1</f>
        <v>1719</v>
      </c>
      <c r="B1720" s="1" t="s">
        <v>1898</v>
      </c>
      <c r="C1720" s="1"/>
      <c r="H1720" s="1" t="s">
        <v>530</v>
      </c>
      <c r="J1720" s="1" t="s">
        <v>607</v>
      </c>
      <c r="M1720" s="15" t="s">
        <v>1756</v>
      </c>
      <c r="N1720" s="1" t="s">
        <v>1894</v>
      </c>
      <c r="O1720" s="15">
        <v>11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720" s="15" t="str">
        <f>_xlfn.TEXTBEFORE(_xlfn.TEXTAFTER(CantoralDB[[#This Row],[index.html]],"&gt;"),"&gt;")&amp;"&gt;"</f>
        <v>&lt;a href="canciones/ruah/brasas.html"&gt;</v>
      </c>
      <c r="X1720"/>
      <c r="AB1720" s="1"/>
    </row>
    <row r="1721" spans="1:28" x14ac:dyDescent="0.3">
      <c r="A1721" s="1">
        <f>ROW(CantoralDB[[#This Row],[Título]])-1</f>
        <v>1720</v>
      </c>
      <c r="B1721" s="1" t="s">
        <v>4003</v>
      </c>
      <c r="C1721" s="1"/>
      <c r="H1721" s="1" t="s">
        <v>1026</v>
      </c>
      <c r="J1721" s="1"/>
      <c r="M1721" s="15" t="s">
        <v>1756</v>
      </c>
      <c r="N1721" s="1" t="s">
        <v>4002</v>
      </c>
      <c r="O1721" s="15">
        <v>1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S1721" s="1"/>
      <c r="T1721" s="1"/>
      <c r="U1721" s="32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W1721" s="15" t="str">
        <f>_xlfn.TEXTBEFORE(_xlfn.TEXTAFTER(CantoralDB[[#This Row],[index.html]],"&gt;"),"&gt;")&amp;"&gt;"</f>
        <v>&lt;a href="canciones/ruah/de_ida_y_vuelta.html"&gt;</v>
      </c>
      <c r="X1721"/>
      <c r="AB1721" s="1"/>
    </row>
    <row r="1722" spans="1:28" x14ac:dyDescent="0.3">
      <c r="A1722" s="1">
        <f>ROW(CantoralDB[[#This Row],[Título]])-1</f>
        <v>1721</v>
      </c>
      <c r="B1722" s="1" t="s">
        <v>4004</v>
      </c>
      <c r="C1722" s="1"/>
      <c r="H1722" s="1" t="s">
        <v>1028</v>
      </c>
      <c r="J1722" s="1"/>
      <c r="M1722" s="15" t="s">
        <v>1756</v>
      </c>
      <c r="N1722" s="1" t="s">
        <v>4002</v>
      </c>
      <c r="O1722" s="15">
        <v>2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S1722" s="1"/>
      <c r="T1722" s="1"/>
      <c r="U1722" s="32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W1722" s="15" t="str">
        <f>_xlfn.TEXTBEFORE(_xlfn.TEXTAFTER(CantoralDB[[#This Row],[index.html]],"&gt;"),"&gt;")&amp;"&gt;"</f>
        <v>&lt;a href="canciones/ruah/mañana.html"&gt;</v>
      </c>
      <c r="X1722"/>
      <c r="AB1722" s="1"/>
    </row>
    <row r="1723" spans="1:28" x14ac:dyDescent="0.3">
      <c r="A1723" s="1">
        <f>ROW(CantoralDB[[#This Row],[Título]])-1</f>
        <v>1722</v>
      </c>
      <c r="B1723" s="1" t="s">
        <v>4005</v>
      </c>
      <c r="C1723" s="1"/>
      <c r="H1723" s="1" t="s">
        <v>530</v>
      </c>
      <c r="I1723" s="1" t="s">
        <v>2953</v>
      </c>
      <c r="J1723" s="1"/>
      <c r="M1723" s="15" t="s">
        <v>1756</v>
      </c>
      <c r="N1723" s="1" t="s">
        <v>4002</v>
      </c>
      <c r="O1723" s="15">
        <v>3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S1723" s="1"/>
      <c r="T1723" s="1"/>
      <c r="U1723" s="32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W1723" s="15" t="str">
        <f>_xlfn.TEXTBEFORE(_xlfn.TEXTAFTER(CantoralDB[[#This Row],[index.html]],"&gt;"),"&gt;")&amp;"&gt;"</f>
        <v>&lt;a href="canciones/ruah/el_que_amas_esta_enfermo.html"&gt;</v>
      </c>
      <c r="X1723"/>
      <c r="AB1723" s="1"/>
    </row>
    <row r="1724" spans="1:28" x14ac:dyDescent="0.3">
      <c r="A1724" s="1">
        <f>ROW(CantoralDB[[#This Row],[Título]])-1</f>
        <v>1723</v>
      </c>
      <c r="B1724" s="1" t="s">
        <v>4006</v>
      </c>
      <c r="C1724" s="1"/>
      <c r="H1724" s="1" t="s">
        <v>472</v>
      </c>
      <c r="I1724" s="1" t="s">
        <v>2952</v>
      </c>
      <c r="J1724" s="1"/>
      <c r="M1724" s="15" t="s">
        <v>1756</v>
      </c>
      <c r="N1724" s="1" t="s">
        <v>4002</v>
      </c>
      <c r="O1724" s="15">
        <v>4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S1724" s="1"/>
      <c r="T1724" s="1"/>
      <c r="U1724" s="32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W1724" s="15" t="str">
        <f>_xlfn.TEXTBEFORE(_xlfn.TEXTAFTER(CantoralDB[[#This Row],[index.html]],"&gt;"),"&gt;")&amp;"&gt;"</f>
        <v>&lt;a href="canciones/ruah/confia_en_mi.html"&gt;</v>
      </c>
      <c r="X1724"/>
      <c r="AB1724" s="1"/>
    </row>
    <row r="1725" spans="1:28" x14ac:dyDescent="0.3">
      <c r="A1725" s="1">
        <f>ROW(CantoralDB[[#This Row],[Título]])-1</f>
        <v>1724</v>
      </c>
      <c r="B1725" s="1" t="s">
        <v>4007</v>
      </c>
      <c r="C1725" s="1"/>
      <c r="H1725" s="1" t="s">
        <v>530</v>
      </c>
      <c r="I1725" s="1" t="s">
        <v>2953</v>
      </c>
      <c r="J1725" s="1"/>
      <c r="M1725" s="15" t="s">
        <v>1756</v>
      </c>
      <c r="N1725" s="1" t="s">
        <v>4002</v>
      </c>
      <c r="O1725" s="15">
        <v>5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S1725" s="1"/>
      <c r="T1725" s="1"/>
      <c r="U1725" s="32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W1725" s="15" t="str">
        <f>_xlfn.TEXTBEFORE(_xlfn.TEXTAFTER(CantoralDB[[#This Row],[index.html]],"&gt;"),"&gt;")&amp;"&gt;"</f>
        <v>&lt;a href="canciones/ruah/incansable.html"&gt;</v>
      </c>
      <c r="X1725"/>
      <c r="AB1725" s="1"/>
    </row>
    <row r="1726" spans="1:28" x14ac:dyDescent="0.3">
      <c r="A1726" s="1">
        <f>ROW(CantoralDB[[#This Row],[Título]])-1</f>
        <v>1725</v>
      </c>
      <c r="B1726" s="1" t="s">
        <v>4008</v>
      </c>
      <c r="C1726" s="1"/>
      <c r="H1726" s="1" t="s">
        <v>530</v>
      </c>
      <c r="J1726" s="1"/>
      <c r="M1726" s="15" t="s">
        <v>1756</v>
      </c>
      <c r="N1726" s="1" t="s">
        <v>4002</v>
      </c>
      <c r="O1726" s="15">
        <v>6</v>
      </c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S1726" s="1"/>
      <c r="T1726" s="1"/>
      <c r="U1726" s="32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W1726" s="15" t="str">
        <f>_xlfn.TEXTBEFORE(_xlfn.TEXTAFTER(CantoralDB[[#This Row],[index.html]],"&gt;"),"&gt;")&amp;"&gt;"</f>
        <v>&lt;a href="canciones/ruah/rutinas.html"&gt;</v>
      </c>
      <c r="X1726"/>
      <c r="AB1726" s="1"/>
    </row>
    <row r="1727" spans="1:28" x14ac:dyDescent="0.3">
      <c r="A1727" s="1">
        <f>ROW(CantoralDB[[#This Row],[Título]])-1</f>
        <v>1726</v>
      </c>
      <c r="B1727" s="1" t="s">
        <v>4009</v>
      </c>
      <c r="C1727" s="1"/>
      <c r="H1727" s="1" t="s">
        <v>530</v>
      </c>
      <c r="I1727" s="1" t="s">
        <v>2951</v>
      </c>
      <c r="J1727" s="1"/>
      <c r="M1727" s="15" t="s">
        <v>1756</v>
      </c>
      <c r="N1727" s="1" t="s">
        <v>4002</v>
      </c>
      <c r="O1727" s="15">
        <v>7</v>
      </c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S1727" s="1"/>
      <c r="T1727" s="1"/>
      <c r="U1727" s="32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W1727" s="15" t="str">
        <f>_xlfn.TEXTBEFORE(_xlfn.TEXTAFTER(CantoralDB[[#This Row],[index.html]],"&gt;"),"&gt;")&amp;"&gt;"</f>
        <v>&lt;a href="canciones/ruah/montaña.html"&gt;</v>
      </c>
      <c r="X1727"/>
      <c r="AB1727" s="1"/>
    </row>
    <row r="1728" spans="1:28" x14ac:dyDescent="0.3">
      <c r="A1728" s="1">
        <f>ROW(CantoralDB[[#This Row],[Título]])-1</f>
        <v>1727</v>
      </c>
      <c r="B1728" s="1" t="s">
        <v>4010</v>
      </c>
      <c r="C1728" s="1"/>
      <c r="H1728" s="1" t="s">
        <v>530</v>
      </c>
      <c r="J1728" s="1"/>
      <c r="M1728" s="15" t="s">
        <v>1756</v>
      </c>
      <c r="N1728" s="1" t="s">
        <v>4002</v>
      </c>
      <c r="O1728" s="15">
        <v>8</v>
      </c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S1728" s="1"/>
      <c r="T1728" s="1"/>
      <c r="U1728" s="32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W1728" s="15" t="str">
        <f>_xlfn.TEXTBEFORE(_xlfn.TEXTAFTER(CantoralDB[[#This Row],[index.html]],"&gt;"),"&gt;")&amp;"&gt;"</f>
        <v>&lt;a href="canciones/ruah/dragones.html"&gt;</v>
      </c>
      <c r="X1728"/>
      <c r="AB1728" s="1"/>
    </row>
    <row r="1729" spans="1:28" x14ac:dyDescent="0.3">
      <c r="A1729" s="1">
        <f>ROW(CantoralDB[[#This Row],[Título]])-1</f>
        <v>1728</v>
      </c>
      <c r="B1729" s="1" t="s">
        <v>4011</v>
      </c>
      <c r="C1729" s="1"/>
      <c r="H1729" s="1" t="s">
        <v>1026</v>
      </c>
      <c r="J1729" s="1"/>
      <c r="M1729" s="15" t="s">
        <v>1756</v>
      </c>
      <c r="N1729" s="1" t="s">
        <v>4002</v>
      </c>
      <c r="O1729" s="15">
        <v>9</v>
      </c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S1729" s="1"/>
      <c r="T1729" s="1"/>
      <c r="U1729" s="32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W1729" s="15" t="str">
        <f>_xlfn.TEXTBEFORE(_xlfn.TEXTAFTER(CantoralDB[[#This Row],[index.html]],"&gt;"),"&gt;")&amp;"&gt;"</f>
        <v>&lt;a href="canciones/ruah/la_barca_y_el_mar.html"&gt;</v>
      </c>
      <c r="X1729"/>
      <c r="AB1729" s="1"/>
    </row>
    <row r="1730" spans="1:28" x14ac:dyDescent="0.3">
      <c r="A1730" s="1">
        <f>ROW(CantoralDB[[#This Row],[Título]])-1</f>
        <v>1729</v>
      </c>
      <c r="B1730" s="1" t="s">
        <v>4002</v>
      </c>
      <c r="C1730" s="1"/>
      <c r="H1730" s="1" t="s">
        <v>530</v>
      </c>
      <c r="J1730" s="1"/>
      <c r="M1730" s="15" t="s">
        <v>1756</v>
      </c>
      <c r="N1730" s="1" t="s">
        <v>4002</v>
      </c>
      <c r="O1730" s="15">
        <v>10</v>
      </c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S1730" s="1"/>
      <c r="T1730" s="1"/>
      <c r="U1730" s="32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W1730" s="15" t="str">
        <f>_xlfn.TEXTBEFORE(_xlfn.TEXTAFTER(CantoralDB[[#This Row],[index.html]],"&gt;"),"&gt;")&amp;"&gt;"</f>
        <v>&lt;a href="canciones/ruah/nunca_solas.html"&gt;</v>
      </c>
      <c r="X1730"/>
      <c r="AB1730" s="1"/>
    </row>
    <row r="1731" spans="1:28" x14ac:dyDescent="0.3">
      <c r="A1731" s="1">
        <f>ROW(CantoralDB[[#This Row],[Título]])-1</f>
        <v>1730</v>
      </c>
      <c r="B1731" s="1" t="s">
        <v>4012</v>
      </c>
      <c r="C1731" s="1"/>
      <c r="H1731" s="1" t="s">
        <v>530</v>
      </c>
      <c r="J1731" s="1"/>
      <c r="M1731" s="15" t="s">
        <v>1756</v>
      </c>
      <c r="N1731" s="1" t="s">
        <v>4002</v>
      </c>
      <c r="O1731" s="15">
        <v>11</v>
      </c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S1731" s="1"/>
      <c r="T1731" s="1"/>
      <c r="U1731" s="32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W1731" s="15" t="str">
        <f>_xlfn.TEXTBEFORE(_xlfn.TEXTAFTER(CantoralDB[[#This Row],[index.html]],"&gt;"),"&gt;")&amp;"&gt;"</f>
        <v>&lt;a href="canciones/ruah/parece_la_vida.html"&gt;</v>
      </c>
      <c r="X1731"/>
      <c r="AB1731" s="1"/>
    </row>
    <row r="1732" spans="1:28" x14ac:dyDescent="0.3">
      <c r="A1732" s="1">
        <f>ROW(CantoralDB[[#This Row],[Título]])-1</f>
        <v>1731</v>
      </c>
      <c r="B1732" s="1" t="s">
        <v>4013</v>
      </c>
      <c r="C1732" s="1"/>
      <c r="H1732" s="1" t="s">
        <v>1029</v>
      </c>
      <c r="J1732" s="1"/>
      <c r="M1732" s="15" t="s">
        <v>1756</v>
      </c>
      <c r="N1732" s="1" t="s">
        <v>4002</v>
      </c>
      <c r="O1732" s="15">
        <v>12</v>
      </c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S1732" s="1"/>
      <c r="T1732" s="1"/>
      <c r="U1732" s="32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W1732" s="15" t="str">
        <f>_xlfn.TEXTBEFORE(_xlfn.TEXTAFTER(CantoralDB[[#This Row],[index.html]],"&gt;"),"&gt;")&amp;"&gt;"</f>
        <v>&lt;a href="canciones/ruah/tenemos_un_dios.html"&gt;</v>
      </c>
      <c r="X1732"/>
      <c r="AB1732" s="1"/>
    </row>
    <row r="1733" spans="1:28" x14ac:dyDescent="0.3">
      <c r="A1733" s="1">
        <f>ROW(CantoralDB[[#This Row],[Título]])-1</f>
        <v>1732</v>
      </c>
      <c r="B1733" s="1" t="s">
        <v>4014</v>
      </c>
      <c r="C1733" s="1"/>
      <c r="H1733" s="1" t="s">
        <v>530</v>
      </c>
      <c r="I1733" s="1" t="s">
        <v>2953</v>
      </c>
      <c r="J1733" s="1"/>
      <c r="M1733" s="15" t="s">
        <v>1756</v>
      </c>
      <c r="N1733" s="1" t="s">
        <v>4002</v>
      </c>
      <c r="O1733" s="15">
        <v>13</v>
      </c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S1733" s="1"/>
      <c r="T1733" s="1"/>
      <c r="U1733" s="32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W1733" s="15" t="str">
        <f>_xlfn.TEXTBEFORE(_xlfn.TEXTAFTER(CantoralDB[[#This Row],[index.html]],"&gt;"),"&gt;")&amp;"&gt;"</f>
        <v>&lt;a href="canciones/ruah/transformaras.html"&gt;</v>
      </c>
      <c r="X1733"/>
      <c r="AB1733" s="1"/>
    </row>
    <row r="1734" spans="1:28" x14ac:dyDescent="0.3">
      <c r="A1734" s="1">
        <f>ROW(CantoralDB[[#This Row],[Título]])-1</f>
        <v>1733</v>
      </c>
      <c r="B1734" s="1" t="s">
        <v>4015</v>
      </c>
      <c r="C1734" s="1"/>
      <c r="H1734" s="1" t="s">
        <v>1029</v>
      </c>
      <c r="J1734" s="1"/>
      <c r="M1734" s="15" t="s">
        <v>1756</v>
      </c>
      <c r="N1734" s="1" t="s">
        <v>4002</v>
      </c>
      <c r="O1734" s="15">
        <v>14</v>
      </c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S1734" s="1"/>
      <c r="T1734" s="1"/>
      <c r="U1734" s="32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W1734" s="15" t="str">
        <f>_xlfn.TEXTBEFORE(_xlfn.TEXTAFTER(CantoralDB[[#This Row],[index.html]],"&gt;"),"&gt;")&amp;"&gt;"</f>
        <v>&lt;a href="canciones/ruah/tu_casa.html"&gt;</v>
      </c>
      <c r="X1734"/>
      <c r="AB1734" s="1"/>
    </row>
    <row r="1735" spans="1:28" x14ac:dyDescent="0.3">
      <c r="A1735" s="1">
        <f>ROW(CantoralDB[[#This Row],[Título]])-1</f>
        <v>1734</v>
      </c>
      <c r="B1735" s="1" t="s">
        <v>4016</v>
      </c>
      <c r="C1735" s="1"/>
      <c r="H1735" s="1" t="s">
        <v>1029</v>
      </c>
      <c r="I1735" s="1" t="s">
        <v>2953</v>
      </c>
      <c r="J1735" s="1"/>
      <c r="M1735" s="15" t="s">
        <v>1756</v>
      </c>
      <c r="N1735" s="1" t="s">
        <v>4002</v>
      </c>
      <c r="O1735" s="15">
        <v>15</v>
      </c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S1735" s="1"/>
      <c r="T1735" s="1"/>
      <c r="U1735" s="32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W1735" s="15" t="str">
        <f>_xlfn.TEXTBEFORE(_xlfn.TEXTAFTER(CantoralDB[[#This Row],[index.html]],"&gt;"),"&gt;")&amp;"&gt;"</f>
        <v>&lt;a href="canciones/ruah/a_todos_los_idiomas.html"&gt;</v>
      </c>
      <c r="X1735"/>
      <c r="AB1735" s="1"/>
    </row>
    <row r="1736" spans="1:28" x14ac:dyDescent="0.3">
      <c r="A1736" s="1">
        <f>ROW(CantoralDB[[#This Row],[Título]])-1</f>
        <v>1735</v>
      </c>
      <c r="B1736" s="1" t="s">
        <v>1875</v>
      </c>
      <c r="C1736" s="1"/>
      <c r="J1736" s="1"/>
      <c r="M1736" s="15" t="s">
        <v>1756</v>
      </c>
      <c r="N1736" s="1" t="s">
        <v>1901</v>
      </c>
      <c r="O1736" s="15">
        <v>1</v>
      </c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736" s="1"/>
      <c r="T1736" s="1"/>
      <c r="U1736" s="32" t="s">
        <v>3990</v>
      </c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736" s="15" t="str">
        <f>_xlfn.TEXTBEFORE(_xlfn.TEXTAFTER(CantoralDB[[#This Row],[index.html]],"&gt;"),"&gt;")&amp;"&gt;"</f>
        <v>&lt;a href="canciones/ruah/a_buscarme.html"&gt;</v>
      </c>
      <c r="X1736"/>
      <c r="AB1736" s="1"/>
    </row>
    <row r="1737" spans="1:28" x14ac:dyDescent="0.3">
      <c r="A1737" s="1">
        <f>ROW(CantoralDB[[#This Row],[Título]])-1</f>
        <v>1736</v>
      </c>
      <c r="B1737" s="1" t="s">
        <v>1876</v>
      </c>
      <c r="C1737" s="1"/>
      <c r="H1737" s="1" t="s">
        <v>530</v>
      </c>
      <c r="J1737" s="1" t="s">
        <v>607</v>
      </c>
      <c r="M1737" s="15" t="s">
        <v>1756</v>
      </c>
      <c r="N1737" s="1" t="s">
        <v>1901</v>
      </c>
      <c r="O1737" s="15">
        <v>2</v>
      </c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737" s="1"/>
      <c r="T1737" s="1"/>
      <c r="U1737" s="32" t="s">
        <v>3989</v>
      </c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737" s="15" t="str">
        <f>_xlfn.TEXTBEFORE(_xlfn.TEXTAFTER(CantoralDB[[#This Row],[index.html]],"&gt;"),"&gt;")&amp;"&gt;"</f>
        <v>&lt;a href="canciones/ruah/si_tu_quieres.html"&gt;</v>
      </c>
      <c r="X1737"/>
      <c r="AB1737" s="1"/>
    </row>
    <row r="1738" spans="1:28" x14ac:dyDescent="0.3">
      <c r="A1738" s="1">
        <f>ROW(CantoralDB[[#This Row],[Título]])-1</f>
        <v>1737</v>
      </c>
      <c r="B1738" s="1" t="s">
        <v>1877</v>
      </c>
      <c r="C1738" s="1"/>
      <c r="H1738" s="1" t="s">
        <v>1029</v>
      </c>
      <c r="I1738" s="1" t="s">
        <v>2950</v>
      </c>
      <c r="J1738" s="1" t="s">
        <v>607</v>
      </c>
      <c r="M1738" s="15" t="s">
        <v>1756</v>
      </c>
      <c r="N1738" s="1" t="s">
        <v>1901</v>
      </c>
      <c r="O1738" s="15">
        <v>3</v>
      </c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738" s="1"/>
      <c r="T1738" s="1"/>
      <c r="U1738" s="32" t="s">
        <v>3994</v>
      </c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738" s="15" t="str">
        <f>_xlfn.TEXTBEFORE(_xlfn.TEXTAFTER(CantoralDB[[#This Row],[index.html]],"&gt;"),"&gt;")&amp;"&gt;"</f>
        <v>&lt;a href="canciones/ruah/donde.html"&gt;</v>
      </c>
      <c r="X1738"/>
      <c r="AB1738" s="1"/>
    </row>
    <row r="1739" spans="1:28" x14ac:dyDescent="0.3">
      <c r="A1739" s="1">
        <f>ROW(CantoralDB[[#This Row],[Título]])-1</f>
        <v>1738</v>
      </c>
      <c r="B1739" s="1" t="s">
        <v>1878</v>
      </c>
      <c r="C1739" s="1"/>
      <c r="H1739" s="1" t="s">
        <v>472</v>
      </c>
      <c r="J1739" s="1" t="s">
        <v>607</v>
      </c>
      <c r="M1739" s="15" t="s">
        <v>1756</v>
      </c>
      <c r="N1739" s="1" t="s">
        <v>1901</v>
      </c>
      <c r="O1739" s="15">
        <v>4</v>
      </c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739" s="1"/>
      <c r="T1739" s="1"/>
      <c r="U1739" s="32" t="s">
        <v>3993</v>
      </c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739" s="15" t="str">
        <f>_xlfn.TEXTBEFORE(_xlfn.TEXTAFTER(CantoralDB[[#This Row],[index.html]],"&gt;"),"&gt;")&amp;"&gt;"</f>
        <v>&lt;a href="canciones/ruah/escuchame.html"&gt;</v>
      </c>
      <c r="X1739"/>
      <c r="AB1739" s="1"/>
    </row>
    <row r="1740" spans="1:28" x14ac:dyDescent="0.3">
      <c r="A1740" s="1">
        <f>ROW(CantoralDB[[#This Row],[Título]])-1</f>
        <v>1739</v>
      </c>
      <c r="B1740" s="1" t="s">
        <v>1879</v>
      </c>
      <c r="C1740" s="1"/>
      <c r="H1740" s="1" t="s">
        <v>1029</v>
      </c>
      <c r="J1740" s="1" t="s">
        <v>607</v>
      </c>
      <c r="M1740" s="15" t="s">
        <v>1756</v>
      </c>
      <c r="N1740" s="1" t="s">
        <v>1901</v>
      </c>
      <c r="O1740" s="15">
        <v>5</v>
      </c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740" s="1"/>
      <c r="T1740" s="1"/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740" s="15" t="str">
        <f>_xlfn.TEXTBEFORE(_xlfn.TEXTAFTER(CantoralDB[[#This Row],[index.html]],"&gt;"),"&gt;")&amp;"&gt;"</f>
        <v>&lt;a href="canciones/ruah/a_la_puerta.html"&gt;</v>
      </c>
      <c r="X1740"/>
      <c r="AB1740" s="1"/>
    </row>
    <row r="1741" spans="1:28" x14ac:dyDescent="0.3">
      <c r="A1741" s="1">
        <f>ROW(CantoralDB[[#This Row],[Título]])-1</f>
        <v>1740</v>
      </c>
      <c r="B1741" s="1" t="s">
        <v>1880</v>
      </c>
      <c r="C1741" s="1"/>
      <c r="H1741" s="1" t="s">
        <v>1029</v>
      </c>
      <c r="J1741" s="1" t="s">
        <v>607</v>
      </c>
      <c r="M1741" s="15" t="s">
        <v>1756</v>
      </c>
      <c r="N1741" s="1" t="s">
        <v>1901</v>
      </c>
      <c r="O1741" s="15">
        <v>6</v>
      </c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741" s="1"/>
      <c r="T1741" s="1"/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741" s="15" t="str">
        <f>_xlfn.TEXTBEFORE(_xlfn.TEXTAFTER(CantoralDB[[#This Row],[index.html]],"&gt;"),"&gt;")&amp;"&gt;"</f>
        <v>&lt;a href="canciones/ruah/en_quien_si_no.html"&gt;</v>
      </c>
      <c r="X1741"/>
      <c r="AB1741" s="1"/>
    </row>
    <row r="1742" spans="1:28" x14ac:dyDescent="0.3">
      <c r="A1742" s="1">
        <f>ROW(CantoralDB[[#This Row],[Título]])-1</f>
        <v>1741</v>
      </c>
      <c r="B1742" s="1" t="s">
        <v>1881</v>
      </c>
      <c r="C1742" s="1"/>
      <c r="H1742" s="1" t="s">
        <v>530</v>
      </c>
      <c r="I1742" s="1" t="s">
        <v>2953</v>
      </c>
      <c r="J1742" s="1" t="s">
        <v>607</v>
      </c>
      <c r="M1742" s="15" t="s">
        <v>1756</v>
      </c>
      <c r="N1742" s="1" t="s">
        <v>1901</v>
      </c>
      <c r="O1742" s="15">
        <v>7</v>
      </c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742" s="1"/>
      <c r="T1742" s="1"/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742" s="15" t="str">
        <f>_xlfn.TEXTBEFORE(_xlfn.TEXTAFTER(CantoralDB[[#This Row],[index.html]],"&gt;"),"&gt;")&amp;"&gt;"</f>
        <v>&lt;a href="canciones/ruah/silencio.html"&gt;</v>
      </c>
      <c r="X1742"/>
      <c r="AB1742" s="1"/>
    </row>
    <row r="1743" spans="1:28" x14ac:dyDescent="0.3">
      <c r="A1743" s="1">
        <f>ROW(CantoralDB[[#This Row],[Título]])-1</f>
        <v>1742</v>
      </c>
      <c r="B1743" s="1" t="s">
        <v>1882</v>
      </c>
      <c r="C1743" s="1"/>
      <c r="H1743" s="1" t="s">
        <v>1026</v>
      </c>
      <c r="J1743" s="1" t="s">
        <v>607</v>
      </c>
      <c r="M1743" s="15" t="s">
        <v>1756</v>
      </c>
      <c r="N1743" s="1" t="s">
        <v>1901</v>
      </c>
      <c r="O1743" s="15">
        <v>8</v>
      </c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743" s="1"/>
      <c r="T1743" s="1"/>
      <c r="U1743" s="32" t="s">
        <v>3992</v>
      </c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743" s="15" t="str">
        <f>_xlfn.TEXTBEFORE(_xlfn.TEXTAFTER(CantoralDB[[#This Row],[index.html]],"&gt;"),"&gt;")&amp;"&gt;"</f>
        <v>&lt;a href="canciones/ruah/de_repente.html"&gt;</v>
      </c>
      <c r="X1743"/>
      <c r="AB1743" s="1"/>
    </row>
    <row r="1744" spans="1:28" x14ac:dyDescent="0.3">
      <c r="A1744" s="1">
        <f>ROW(CantoralDB[[#This Row],[Título]])-1</f>
        <v>1743</v>
      </c>
      <c r="B1744" s="1" t="s">
        <v>2144</v>
      </c>
      <c r="C1744" s="1"/>
      <c r="H1744" s="1" t="s">
        <v>1029</v>
      </c>
      <c r="I1744" s="1" t="s">
        <v>2954</v>
      </c>
      <c r="J1744" s="1" t="s">
        <v>607</v>
      </c>
      <c r="M1744" s="15" t="s">
        <v>1756</v>
      </c>
      <c r="N1744" s="1" t="s">
        <v>1901</v>
      </c>
      <c r="O1744" s="15">
        <v>9</v>
      </c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744" s="1"/>
      <c r="T1744" s="1"/>
      <c r="U1744" s="32" t="s">
        <v>3998</v>
      </c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744" s="15" t="str">
        <f>_xlfn.TEXTBEFORE(_xlfn.TEXTAFTER(CantoralDB[[#This Row],[index.html]],"&gt;"),"&gt;")&amp;"&gt;"</f>
        <v>&lt;a href="canciones/ruah/quien_amo_primero.html"&gt;</v>
      </c>
      <c r="X1744"/>
      <c r="AB1744" s="1"/>
    </row>
    <row r="1745" spans="1:28" x14ac:dyDescent="0.3">
      <c r="A1745" s="1">
        <f>ROW(CantoralDB[[#This Row],[Título]])-1</f>
        <v>1744</v>
      </c>
      <c r="B1745" s="1" t="s">
        <v>1883</v>
      </c>
      <c r="C1745" s="1"/>
      <c r="H1745" s="1" t="s">
        <v>1029</v>
      </c>
      <c r="I1745" s="1" t="s">
        <v>2952</v>
      </c>
      <c r="J1745" s="1" t="s">
        <v>607</v>
      </c>
      <c r="M1745" s="15" t="s">
        <v>1756</v>
      </c>
      <c r="N1745" s="1" t="s">
        <v>1901</v>
      </c>
      <c r="O1745" s="15">
        <v>10</v>
      </c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745" s="1"/>
      <c r="T1745" s="1"/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745" s="15" t="str">
        <f>_xlfn.TEXTBEFORE(_xlfn.TEXTAFTER(CantoralDB[[#This Row],[index.html]],"&gt;"),"&gt;")&amp;"&gt;"</f>
        <v>&lt;a href="canciones/ruah/alabarte.html"&gt;</v>
      </c>
      <c r="X1745"/>
      <c r="AB1745" s="1"/>
    </row>
    <row r="1746" spans="1:28" x14ac:dyDescent="0.3">
      <c r="A1746" s="1">
        <f>ROW(CantoralDB[[#This Row],[Título]])-1</f>
        <v>1745</v>
      </c>
      <c r="B1746" s="1" t="s">
        <v>1902</v>
      </c>
      <c r="C1746" s="1"/>
      <c r="H1746" s="1" t="s">
        <v>1027</v>
      </c>
      <c r="J1746" s="1" t="s">
        <v>607</v>
      </c>
      <c r="M1746" s="15" t="s">
        <v>1756</v>
      </c>
      <c r="N1746" s="1" t="s">
        <v>1901</v>
      </c>
      <c r="O1746" s="15">
        <v>11</v>
      </c>
      <c r="P1746" s="15" t="str" cm="1">
        <f t="array" ref="P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6" s="15" t="str" cm="1">
        <f t="array" ref="Q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746" s="1"/>
      <c r="T1746" s="1"/>
      <c r="U1746" s="32" t="s">
        <v>3996</v>
      </c>
      <c r="V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746" s="15" t="str">
        <f>_xlfn.TEXTBEFORE(_xlfn.TEXTAFTER(CantoralDB[[#This Row],[index.html]],"&gt;"),"&gt;")&amp;"&gt;"</f>
        <v>&lt;a href="canciones/ruah/bailare.html"&gt;</v>
      </c>
      <c r="X1746"/>
      <c r="AB1746" s="1"/>
    </row>
    <row r="1747" spans="1:28" x14ac:dyDescent="0.3">
      <c r="A1747" s="1">
        <f>ROW(CantoralDB[[#This Row],[Título]])-1</f>
        <v>1746</v>
      </c>
      <c r="B1747" s="1" t="s">
        <v>1915</v>
      </c>
      <c r="C1747" s="1"/>
      <c r="H1747" s="1" t="s">
        <v>530</v>
      </c>
      <c r="I1747" s="1" t="s">
        <v>2953</v>
      </c>
      <c r="J1747" s="1" t="s">
        <v>607</v>
      </c>
      <c r="M1747" s="15" t="s">
        <v>1756</v>
      </c>
      <c r="N1747" s="1" t="s">
        <v>1901</v>
      </c>
      <c r="O1747" s="15">
        <v>12</v>
      </c>
      <c r="P1747" s="15" t="str" cm="1">
        <f t="array" ref="P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7" s="15" t="str" cm="1">
        <f t="array" ref="Q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747" s="1"/>
      <c r="T1747" s="1"/>
      <c r="U1747" s="32" t="s">
        <v>3997</v>
      </c>
      <c r="V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747" s="15" t="str">
        <f>_xlfn.TEXTBEFORE(_xlfn.TEXTAFTER(CantoralDB[[#This Row],[index.html]],"&gt;"),"&gt;")&amp;"&gt;"</f>
        <v>&lt;a href="canciones/ruah/por_ti_jerusalen.html"&gt;</v>
      </c>
      <c r="X1747"/>
      <c r="AB1747" s="1"/>
    </row>
    <row r="1748" spans="1:28" x14ac:dyDescent="0.3">
      <c r="A1748" s="1">
        <f>ROW(CantoralDB[[#This Row],[Título]])-1</f>
        <v>1747</v>
      </c>
      <c r="B1748" s="1" t="s">
        <v>1884</v>
      </c>
      <c r="C1748" s="1"/>
      <c r="H1748" s="1" t="s">
        <v>530</v>
      </c>
      <c r="J1748" s="1" t="s">
        <v>607</v>
      </c>
      <c r="M1748" s="15" t="s">
        <v>1756</v>
      </c>
      <c r="N1748" s="1" t="s">
        <v>1901</v>
      </c>
      <c r="O1748" s="15">
        <v>13</v>
      </c>
      <c r="P1748" s="15" t="str" cm="1">
        <f t="array" ref="P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8" s="15" t="str" cm="1">
        <f t="array" ref="Q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748" s="1"/>
      <c r="T1748" s="1"/>
      <c r="U1748" s="15"/>
      <c r="V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748" s="15" t="str">
        <f>_xlfn.TEXTBEFORE(_xlfn.TEXTAFTER(CantoralDB[[#This Row],[index.html]],"&gt;"),"&gt;")&amp;"&gt;"</f>
        <v>&lt;a href="canciones/ruah/frontera.html"&gt;</v>
      </c>
      <c r="X1748"/>
      <c r="AB1748" s="1"/>
    </row>
    <row r="1749" spans="1:28" x14ac:dyDescent="0.3">
      <c r="A1749" s="1">
        <f>ROW(CantoralDB[[#This Row],[Título]])-1</f>
        <v>1748</v>
      </c>
      <c r="B1749" s="1" t="s">
        <v>1885</v>
      </c>
      <c r="C1749" s="1"/>
      <c r="H1749" s="1" t="s">
        <v>530</v>
      </c>
      <c r="J1749" s="1" t="s">
        <v>607</v>
      </c>
      <c r="M1749" s="15" t="s">
        <v>1756</v>
      </c>
      <c r="N1749" s="1" t="s">
        <v>1901</v>
      </c>
      <c r="O1749" s="15">
        <v>14</v>
      </c>
      <c r="P1749" s="15" t="str" cm="1">
        <f t="array" ref="P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49" s="15" t="str" cm="1">
        <f t="array" ref="Q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749" s="1"/>
      <c r="T1749" s="1"/>
      <c r="U1749" s="32" t="s">
        <v>3991</v>
      </c>
      <c r="V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749" s="15" t="str">
        <f>_xlfn.TEXTBEFORE(_xlfn.TEXTAFTER(CantoralDB[[#This Row],[index.html]],"&gt;"),"&gt;")&amp;"&gt;"</f>
        <v>&lt;a href="canciones/ruah/despierto.html"&gt;</v>
      </c>
      <c r="X1749"/>
      <c r="AB1749" s="1"/>
    </row>
    <row r="1750" spans="1:28" x14ac:dyDescent="0.3">
      <c r="A1750" s="1">
        <f>ROW(CantoralDB[[#This Row],[Título]])-1</f>
        <v>1749</v>
      </c>
      <c r="B1750" s="1" t="s">
        <v>1886</v>
      </c>
      <c r="C1750" s="1"/>
      <c r="H1750" s="1" t="s">
        <v>1026</v>
      </c>
      <c r="I1750" s="1" t="s">
        <v>2953</v>
      </c>
      <c r="J1750" s="1" t="s">
        <v>607</v>
      </c>
      <c r="M1750" s="15" t="s">
        <v>1756</v>
      </c>
      <c r="N1750" s="1" t="s">
        <v>1901</v>
      </c>
      <c r="O1750" s="15">
        <v>15</v>
      </c>
      <c r="P1750" s="15" t="str" cm="1">
        <f t="array" ref="P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0" s="15" t="str" cm="1">
        <f t="array" ref="Q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750" s="1"/>
      <c r="T1750" s="1"/>
      <c r="U1750" s="32" t="s">
        <v>3995</v>
      </c>
      <c r="V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750" s="15" t="str">
        <f>_xlfn.TEXTBEFORE(_xlfn.TEXTAFTER(CantoralDB[[#This Row],[index.html]],"&gt;"),"&gt;")&amp;"&gt;"</f>
        <v>&lt;a href="canciones/ruah/como_niños.html"&gt;</v>
      </c>
      <c r="X1750"/>
      <c r="AB1750" s="1"/>
    </row>
    <row r="1751" spans="1:28" x14ac:dyDescent="0.3">
      <c r="A1751" s="1">
        <f>ROW(CantoralDB[[#This Row],[Título]])-1</f>
        <v>1750</v>
      </c>
      <c r="B1751" s="1" t="s">
        <v>1887</v>
      </c>
      <c r="C1751" s="1"/>
      <c r="H1751" s="1" t="s">
        <v>1026</v>
      </c>
      <c r="J1751" s="1" t="s">
        <v>607</v>
      </c>
      <c r="M1751" s="15" t="s">
        <v>1756</v>
      </c>
      <c r="N1751" s="1" t="s">
        <v>1901</v>
      </c>
      <c r="O1751" s="15">
        <v>16</v>
      </c>
      <c r="P1751" s="15" t="str" cm="1">
        <f t="array" ref="P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51" s="15" t="str" cm="1">
        <f t="array" ref="Q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751" s="1"/>
      <c r="T1751" s="1"/>
      <c r="U1751" s="32" t="s">
        <v>3988</v>
      </c>
      <c r="V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751" s="15" t="str">
        <f>_xlfn.TEXTBEFORE(_xlfn.TEXTAFTER(CantoralDB[[#This Row],[index.html]],"&gt;"),"&gt;")&amp;"&gt;"</f>
        <v>&lt;a href="canciones/ruah/vivir.html"&gt;</v>
      </c>
      <c r="X1751"/>
      <c r="AB1751" s="1"/>
    </row>
    <row r="1752" spans="1:28" x14ac:dyDescent="0.3">
      <c r="A1752" s="1">
        <f>ROW(CantoralDB[[#This Row],[Título]])-1</f>
        <v>1751</v>
      </c>
      <c r="B1752" s="1" t="s">
        <v>39</v>
      </c>
      <c r="C1752" s="1" t="s">
        <v>992</v>
      </c>
      <c r="D1752" s="1" t="s">
        <v>689</v>
      </c>
      <c r="E1752" s="1">
        <v>65</v>
      </c>
      <c r="G1752" s="1" t="s">
        <v>208</v>
      </c>
      <c r="H1752" s="1" t="s">
        <v>472</v>
      </c>
      <c r="I1752" s="1" t="s">
        <v>2950</v>
      </c>
      <c r="J1752" s="1" t="s">
        <v>607</v>
      </c>
      <c r="M1752" s="15" t="s">
        <v>267</v>
      </c>
      <c r="O1752" s="15"/>
      <c r="P1752" s="15" t="str" cm="1">
        <f t="array" ref="P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2" s="15" t="str" cm="1">
        <f t="array" ref="Q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752" s="1"/>
      <c r="T1752" s="1"/>
      <c r="U1752" s="15"/>
      <c r="V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752" s="15" t="str">
        <f>_xlfn.TEXTBEFORE(_xlfn.TEXTAFTER(CantoralDB[[#This Row],[index.html]],"&gt;"),"&gt;")&amp;"&gt;"</f>
        <v>&lt;a href="canciones/taize/cristo_ha_resucitado.html"&gt;</v>
      </c>
      <c r="X1752"/>
      <c r="AB1752" s="1"/>
    </row>
    <row r="1753" spans="1:28" x14ac:dyDescent="0.3">
      <c r="A1753" s="1">
        <f>ROW(CantoralDB[[#This Row],[Título]])-1</f>
        <v>1752</v>
      </c>
      <c r="B1753" s="1" t="s">
        <v>2809</v>
      </c>
      <c r="C1753" s="1"/>
      <c r="F1753" s="1">
        <v>421</v>
      </c>
      <c r="J1753" s="1"/>
      <c r="M1753" s="15" t="s">
        <v>267</v>
      </c>
      <c r="O1753" s="15"/>
      <c r="P1753" s="15" t="str" cm="1">
        <f t="array" ref="P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3" s="15" t="str" cm="1">
        <f t="array" ref="Q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753" s="1"/>
      <c r="T1753" s="1"/>
      <c r="U1753" s="15"/>
      <c r="V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753" s="15" t="str">
        <f>_xlfn.TEXTBEFORE(_xlfn.TEXTAFTER(CantoralDB[[#This Row],[index.html]],"&gt;"),"&gt;")&amp;"&gt;"</f>
        <v>&lt;a href="canciones/taize/oh_pobreza.html"&gt;</v>
      </c>
      <c r="X1753"/>
      <c r="AB1753" s="1"/>
    </row>
    <row r="1754" spans="1:28" x14ac:dyDescent="0.3">
      <c r="A1754" s="1">
        <f>ROW(CantoralDB[[#This Row],[Título]])-1</f>
        <v>1753</v>
      </c>
      <c r="B1754" s="1" t="s">
        <v>986</v>
      </c>
      <c r="C1754" s="1" t="s">
        <v>1020</v>
      </c>
      <c r="D1754" s="1" t="s">
        <v>1069</v>
      </c>
      <c r="H1754" s="1" t="s">
        <v>530</v>
      </c>
      <c r="I1754" s="1" t="s">
        <v>2953</v>
      </c>
      <c r="J1754" s="1" t="s">
        <v>607</v>
      </c>
      <c r="M1754" s="15" t="s">
        <v>1938</v>
      </c>
      <c r="N1754" s="1" t="s">
        <v>379</v>
      </c>
      <c r="O1754" s="15">
        <v>16</v>
      </c>
      <c r="P1754" s="15" t="str" cm="1">
        <f t="array" ref="P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4" s="15" t="str" cm="1">
        <f t="array" ref="Q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754" s="1" t="s">
        <v>987</v>
      </c>
      <c r="T1754" s="1" t="s">
        <v>471</v>
      </c>
      <c r="U1754" s="15" t="s">
        <v>4110</v>
      </c>
      <c r="V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754" s="15" t="str">
        <f>_xlfn.TEXTBEFORE(_xlfn.TEXTAFTER(CantoralDB[[#This Row],[index.html]],"&gt;"),"&gt;")&amp;"&gt;"</f>
        <v>&lt;a href="canciones/taize/zu_wem_sollen_wir_gehen.html"&gt;</v>
      </c>
      <c r="X1754"/>
      <c r="AB1754" s="1"/>
    </row>
    <row r="1755" spans="1:28" x14ac:dyDescent="0.3">
      <c r="A1755" s="1">
        <f>ROW(CantoralDB[[#This Row],[Título]])-1</f>
        <v>1754</v>
      </c>
      <c r="B1755" s="1" t="s">
        <v>919</v>
      </c>
      <c r="C1755" s="1" t="s">
        <v>1020</v>
      </c>
      <c r="D1755" s="1" t="s">
        <v>1073</v>
      </c>
      <c r="H1755" s="1" t="s">
        <v>1026</v>
      </c>
      <c r="I1755" s="1" t="s">
        <v>2952</v>
      </c>
      <c r="J1755" s="1" t="s">
        <v>607</v>
      </c>
      <c r="M1755" s="15" t="s">
        <v>1938</v>
      </c>
      <c r="N1755" s="1" t="s">
        <v>455</v>
      </c>
      <c r="O1755" s="15">
        <v>16</v>
      </c>
      <c r="P1755" s="15" t="str" cm="1">
        <f t="array" ref="P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5" s="15" t="str" cm="1">
        <f t="array" ref="Q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755" s="1" t="s">
        <v>971</v>
      </c>
      <c r="T1755" s="1" t="s">
        <v>382</v>
      </c>
      <c r="U1755" s="15" t="s">
        <v>4196</v>
      </c>
      <c r="V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755" s="15" t="str">
        <f>_xlfn.TEXTBEFORE(_xlfn.TEXTAFTER(CantoralDB[[#This Row],[index.html]],"&gt;"),"&gt;")&amp;"&gt;"</f>
        <v>&lt;a href="canciones/taize/jubilate_deo.html"&gt;</v>
      </c>
      <c r="X1755"/>
      <c r="AB1755" s="1"/>
    </row>
    <row r="1756" spans="1:28" x14ac:dyDescent="0.3">
      <c r="A1756" s="1">
        <f>ROW(CantoralDB[[#This Row],[Título]])-1</f>
        <v>1755</v>
      </c>
      <c r="B1756" s="1" t="s">
        <v>944</v>
      </c>
      <c r="C1756" s="1" t="s">
        <v>1020</v>
      </c>
      <c r="D1756" s="1" t="s">
        <v>1074</v>
      </c>
      <c r="H1756" s="1" t="s">
        <v>1026</v>
      </c>
      <c r="I1756" s="1" t="s">
        <v>2953</v>
      </c>
      <c r="J1756" s="1" t="s">
        <v>607</v>
      </c>
      <c r="M1756" s="15" t="s">
        <v>1938</v>
      </c>
      <c r="N1756" s="1" t="s">
        <v>4043</v>
      </c>
      <c r="O1756" s="15">
        <v>19</v>
      </c>
      <c r="P1756" s="15" t="str" cm="1">
        <f t="array" ref="P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6" s="15" t="str" cm="1">
        <f t="array" ref="Q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756" s="1"/>
      <c r="T1756" s="1" t="s">
        <v>470</v>
      </c>
      <c r="U1756" s="15" t="s">
        <v>4235</v>
      </c>
      <c r="V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756" s="15" t="str">
        <f>_xlfn.TEXTBEFORE(_xlfn.TEXTAFTER(CantoralDB[[#This Row],[index.html]],"&gt;"),"&gt;")&amp;"&gt;"</f>
        <v>&lt;a href="canciones/taize/wysławiajcie_pana.html"&gt;</v>
      </c>
      <c r="X1756"/>
      <c r="AB1756" s="1"/>
    </row>
    <row r="1757" spans="1:28" x14ac:dyDescent="0.3">
      <c r="A1757" s="1">
        <f>ROW(CantoralDB[[#This Row],[Título]])-1</f>
        <v>1756</v>
      </c>
      <c r="B1757" s="1" t="s">
        <v>917</v>
      </c>
      <c r="C1757" s="1" t="s">
        <v>1020</v>
      </c>
      <c r="D1757" s="1" t="s">
        <v>1075</v>
      </c>
      <c r="H1757" s="1" t="s">
        <v>472</v>
      </c>
      <c r="J1757" s="1" t="s">
        <v>607</v>
      </c>
      <c r="M1757" s="15" t="s">
        <v>1938</v>
      </c>
      <c r="N1757" s="1" t="s">
        <v>4060</v>
      </c>
      <c r="O1757" s="15">
        <v>3</v>
      </c>
      <c r="P1757" s="15" t="str" cm="1">
        <f t="array" ref="P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7" s="15" t="str" cm="1">
        <f t="array" ref="Q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757" s="1" t="s">
        <v>970</v>
      </c>
      <c r="T1757" s="1" t="s">
        <v>379</v>
      </c>
      <c r="U1757" s="15" t="s">
        <v>4128</v>
      </c>
      <c r="V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757" s="15" t="str">
        <f>_xlfn.TEXTBEFORE(_xlfn.TEXTAFTER(CantoralDB[[#This Row],[index.html]],"&gt;"),"&gt;")&amp;"&gt;"</f>
        <v>&lt;a href="canciones/taize/jubelt_und_freut_euch.html"&gt;</v>
      </c>
      <c r="X1757"/>
      <c r="AB1757" s="1"/>
    </row>
    <row r="1758" spans="1:28" x14ac:dyDescent="0.3">
      <c r="A1758" s="1">
        <f>ROW(CantoralDB[[#This Row],[Título]])-1</f>
        <v>1757</v>
      </c>
      <c r="B1758" s="1" t="s">
        <v>913</v>
      </c>
      <c r="C1758" s="1" t="s">
        <v>1020</v>
      </c>
      <c r="D1758" s="1" t="s">
        <v>1076</v>
      </c>
      <c r="H1758" s="1" t="s">
        <v>530</v>
      </c>
      <c r="I1758" s="1" t="s">
        <v>2953</v>
      </c>
      <c r="J1758" s="1" t="s">
        <v>607</v>
      </c>
      <c r="M1758" s="15" t="s">
        <v>1938</v>
      </c>
      <c r="N1758" s="1" t="s">
        <v>4043</v>
      </c>
      <c r="O1758" s="15">
        <v>12</v>
      </c>
      <c r="P1758" s="15" t="str" cm="1">
        <f t="array" ref="P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8" s="15" t="str" cm="1">
        <f t="array" ref="Q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758" s="1"/>
      <c r="T1758" s="1" t="s">
        <v>370</v>
      </c>
      <c r="U1758" s="15" t="s">
        <v>4228</v>
      </c>
      <c r="V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758" s="15" t="str">
        <f>_xlfn.TEXTBEFORE(_xlfn.TEXTAFTER(CantoralDB[[#This Row],[index.html]],"&gt;"),"&gt;")&amp;"&gt;"</f>
        <v>&lt;a href="canciones/taize/in_resurrectione_tua.html"&gt;</v>
      </c>
      <c r="X1758"/>
      <c r="AB1758" s="1"/>
    </row>
    <row r="1759" spans="1:28" x14ac:dyDescent="0.3">
      <c r="A1759" s="1">
        <f>ROW(CantoralDB[[#This Row],[Título]])-1</f>
        <v>1758</v>
      </c>
      <c r="B1759" s="1" t="s">
        <v>874</v>
      </c>
      <c r="C1759" s="1" t="s">
        <v>1020</v>
      </c>
      <c r="D1759" s="1" t="s">
        <v>1077</v>
      </c>
      <c r="H1759" s="1" t="s">
        <v>1029</v>
      </c>
      <c r="I1759" s="1" t="s">
        <v>2950</v>
      </c>
      <c r="J1759" s="1" t="s">
        <v>607</v>
      </c>
      <c r="M1759" s="15" t="s">
        <v>1938</v>
      </c>
      <c r="N1759" s="1" t="s">
        <v>4023</v>
      </c>
      <c r="O1759" s="15">
        <v>2</v>
      </c>
      <c r="P1759" s="15" t="str" cm="1">
        <f t="array" ref="P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9" s="15" t="str" cm="1">
        <f t="array" ref="Q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759" s="1"/>
      <c r="T1759" s="1" t="s">
        <v>296</v>
      </c>
      <c r="U1759" s="15" t="s">
        <v>4070</v>
      </c>
      <c r="V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759" s="15" t="str">
        <f>_xlfn.TEXTBEFORE(_xlfn.TEXTAFTER(CantoralDB[[#This Row],[index.html]],"&gt;"),"&gt;")&amp;"&gt;"</f>
        <v>&lt;a href="canciones/taize/alleluia_11.html"&gt;</v>
      </c>
      <c r="X1759"/>
      <c r="AB1759" s="1"/>
    </row>
    <row r="1760" spans="1:28" x14ac:dyDescent="0.3">
      <c r="A1760" s="1">
        <f>ROW(CantoralDB[[#This Row],[Título]])-1</f>
        <v>1759</v>
      </c>
      <c r="B1760" s="1" t="s">
        <v>875</v>
      </c>
      <c r="C1760" s="1" t="s">
        <v>1020</v>
      </c>
      <c r="D1760" s="1" t="s">
        <v>1078</v>
      </c>
      <c r="H1760" s="1" t="s">
        <v>1029</v>
      </c>
      <c r="I1760" s="1" t="s">
        <v>2953</v>
      </c>
      <c r="J1760" s="1" t="s">
        <v>607</v>
      </c>
      <c r="M1760" s="15" t="s">
        <v>1938</v>
      </c>
      <c r="N1760" s="1" t="s">
        <v>4054</v>
      </c>
      <c r="O1760" s="15">
        <v>2</v>
      </c>
      <c r="P1760" s="15" t="str" cm="1">
        <f t="array" ref="P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0" s="15" t="str" cm="1">
        <f t="array" ref="Q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760" s="1"/>
      <c r="T1760" s="1" t="s">
        <v>298</v>
      </c>
      <c r="U1760" s="15" t="s">
        <v>4164</v>
      </c>
      <c r="V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760" s="15" t="str">
        <f>_xlfn.TEXTBEFORE(_xlfn.TEXTAFTER(CantoralDB[[#This Row],[index.html]],"&gt;"),"&gt;")&amp;"&gt;"</f>
        <v>&lt;a href="canciones/taize/alleluia_17.html"&gt;</v>
      </c>
      <c r="X1760"/>
      <c r="AB1760" s="1"/>
    </row>
    <row r="1761" spans="1:28" x14ac:dyDescent="0.3">
      <c r="A1761" s="1">
        <f>ROW(CantoralDB[[#This Row],[Título]])-1</f>
        <v>1760</v>
      </c>
      <c r="B1761" s="1" t="s">
        <v>876</v>
      </c>
      <c r="C1761" s="1" t="s">
        <v>1020</v>
      </c>
      <c r="D1761" s="1" t="s">
        <v>1079</v>
      </c>
      <c r="H1761" s="1" t="s">
        <v>472</v>
      </c>
      <c r="I1761" s="1" t="s">
        <v>2952</v>
      </c>
      <c r="J1761" s="1" t="s">
        <v>607</v>
      </c>
      <c r="M1761" s="15" t="s">
        <v>1938</v>
      </c>
      <c r="N1761" s="1" t="s">
        <v>411</v>
      </c>
      <c r="O1761" s="15">
        <v>3</v>
      </c>
      <c r="P1761" s="15" t="str" cm="1">
        <f t="array" ref="P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1" s="15" t="str" cm="1">
        <f t="array" ref="Q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761" s="1"/>
      <c r="T1761" s="1" t="s">
        <v>302</v>
      </c>
      <c r="U1761" s="15" t="s">
        <v>4147</v>
      </c>
      <c r="V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761" s="15" t="str">
        <f>_xlfn.TEXTBEFORE(_xlfn.TEXTAFTER(CantoralDB[[#This Row],[index.html]],"&gt;"),"&gt;")&amp;"&gt;"</f>
        <v>&lt;a href="canciones/taize/alleluia_22.html"&gt;</v>
      </c>
      <c r="X1761"/>
      <c r="AB1761" s="1"/>
    </row>
    <row r="1762" spans="1:28" x14ac:dyDescent="0.3">
      <c r="A1762" s="1">
        <f>ROW(CantoralDB[[#This Row],[Título]])-1</f>
        <v>1761</v>
      </c>
      <c r="B1762" s="1" t="s">
        <v>877</v>
      </c>
      <c r="C1762" s="1" t="s">
        <v>1020</v>
      </c>
      <c r="D1762" s="1" t="s">
        <v>1080</v>
      </c>
      <c r="H1762" s="1" t="s">
        <v>1027</v>
      </c>
      <c r="J1762" s="1" t="s">
        <v>607</v>
      </c>
      <c r="M1762" s="15" t="s">
        <v>1938</v>
      </c>
      <c r="N1762" s="1" t="s">
        <v>4018</v>
      </c>
      <c r="O1762" s="15">
        <v>12</v>
      </c>
      <c r="P1762" s="15" t="str" cm="1">
        <f t="array" ref="P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2" s="15" t="str" cm="1">
        <f t="array" ref="Q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762" s="1"/>
      <c r="T1762" s="1" t="s">
        <v>293</v>
      </c>
      <c r="U1762" s="15" t="s">
        <v>4182</v>
      </c>
      <c r="V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762" s="15" t="str">
        <f>_xlfn.TEXTBEFORE(_xlfn.TEXTAFTER(CantoralDB[[#This Row],[index.html]],"&gt;"),"&gt;")&amp;"&gt;"</f>
        <v>&lt;a href="canciones/taize/alleluia_7.html"&gt;</v>
      </c>
      <c r="X1762"/>
      <c r="AB1762" s="1"/>
    </row>
    <row r="1763" spans="1:28" x14ac:dyDescent="0.3">
      <c r="A1763" s="1">
        <f>ROW(CantoralDB[[#This Row],[Título]])-1</f>
        <v>1762</v>
      </c>
      <c r="B1763" s="1" t="s">
        <v>878</v>
      </c>
      <c r="C1763" s="1" t="s">
        <v>1020</v>
      </c>
      <c r="D1763" s="1" t="s">
        <v>1081</v>
      </c>
      <c r="H1763" s="1" t="s">
        <v>472</v>
      </c>
      <c r="I1763" s="1" t="s">
        <v>2950</v>
      </c>
      <c r="J1763" s="1" t="s">
        <v>607</v>
      </c>
      <c r="M1763" s="15" t="s">
        <v>1938</v>
      </c>
      <c r="O1763" s="15"/>
      <c r="P1763" s="15" t="str" cm="1">
        <f t="array" ref="P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3" s="15" t="str" cm="1">
        <f t="array" ref="Q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763" s="1"/>
      <c r="T1763" s="1" t="s">
        <v>785</v>
      </c>
      <c r="U1763" s="15" t="s">
        <v>4236</v>
      </c>
      <c r="V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763" s="15" t="str">
        <f>_xlfn.TEXTBEFORE(_xlfn.TEXTAFTER(CantoralDB[[#This Row],[index.html]],"&gt;"),"&gt;")&amp;"&gt;"</f>
        <v>&lt;a href="canciones/taize/alleluia_94.html"&gt;</v>
      </c>
      <c r="X1763"/>
      <c r="AB1763" s="1"/>
    </row>
    <row r="1764" spans="1:28" x14ac:dyDescent="0.3">
      <c r="A1764" s="1">
        <f>ROW(CantoralDB[[#This Row],[Título]])-1</f>
        <v>1763</v>
      </c>
      <c r="B1764" s="1" t="s">
        <v>879</v>
      </c>
      <c r="C1764" s="1" t="s">
        <v>1020</v>
      </c>
      <c r="D1764" s="1" t="s">
        <v>1082</v>
      </c>
      <c r="H1764" s="1" t="s">
        <v>1029</v>
      </c>
      <c r="J1764" s="1" t="s">
        <v>607</v>
      </c>
      <c r="M1764" s="15" t="s">
        <v>1938</v>
      </c>
      <c r="N1764" s="1" t="s">
        <v>4043</v>
      </c>
      <c r="O1764" s="15">
        <v>18</v>
      </c>
      <c r="P1764" s="15" t="str" cm="1">
        <f t="array" ref="P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4" s="15" t="str" cm="1">
        <f t="array" ref="Q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764" s="1"/>
      <c r="T1764" s="1" t="s">
        <v>786</v>
      </c>
      <c r="U1764" s="15" t="s">
        <v>4234</v>
      </c>
      <c r="V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764" s="15" t="str">
        <f>_xlfn.TEXTBEFORE(_xlfn.TEXTAFTER(CantoralDB[[#This Row],[index.html]],"&gt;"),"&gt;")&amp;"&gt;"</f>
        <v>&lt;a href="canciones/taize/alleluia_96.html"&gt;</v>
      </c>
      <c r="X1764"/>
      <c r="AB1764" s="1"/>
    </row>
    <row r="1765" spans="1:28" x14ac:dyDescent="0.3">
      <c r="A1765" s="1">
        <f>ROW(CantoralDB[[#This Row],[Título]])-1</f>
        <v>1764</v>
      </c>
      <c r="B1765" s="1" t="s">
        <v>880</v>
      </c>
      <c r="C1765" s="1" t="s">
        <v>1020</v>
      </c>
      <c r="D1765" s="1" t="s">
        <v>1083</v>
      </c>
      <c r="H1765" s="1" t="s">
        <v>1029</v>
      </c>
      <c r="I1765" s="1" t="s">
        <v>2952</v>
      </c>
      <c r="J1765" s="1" t="s">
        <v>607</v>
      </c>
      <c r="M1765" s="15" t="s">
        <v>1938</v>
      </c>
      <c r="O1765" s="15"/>
      <c r="P1765" s="15" t="str" cm="1">
        <f t="array" ref="P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5" s="15" t="str" cm="1">
        <f t="array" ref="Q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765" s="1"/>
      <c r="T1765" s="1" t="s">
        <v>787</v>
      </c>
      <c r="U1765" s="15" t="s">
        <v>4237</v>
      </c>
      <c r="V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765" s="15" t="str">
        <f>_xlfn.TEXTBEFORE(_xlfn.TEXTAFTER(CantoralDB[[#This Row],[index.html]],"&gt;"),"&gt;")&amp;"&gt;"</f>
        <v>&lt;a href="canciones/taize/alleluia_97.html"&gt;</v>
      </c>
      <c r="X1765"/>
      <c r="AB1765" s="1"/>
    </row>
    <row r="1766" spans="1:28" x14ac:dyDescent="0.3">
      <c r="A1766" s="1">
        <f>ROW(CantoralDB[[#This Row],[Título]])-1</f>
        <v>1765</v>
      </c>
      <c r="B1766" s="1" t="s">
        <v>884</v>
      </c>
      <c r="C1766" s="1" t="s">
        <v>1020</v>
      </c>
      <c r="D1766" s="1" t="s">
        <v>1086</v>
      </c>
      <c r="H1766" s="1" t="s">
        <v>530</v>
      </c>
      <c r="I1766" s="1" t="s">
        <v>2953</v>
      </c>
      <c r="J1766" s="1" t="s">
        <v>607</v>
      </c>
      <c r="M1766" s="15" t="s">
        <v>1938</v>
      </c>
      <c r="N1766" s="1" t="s">
        <v>4026</v>
      </c>
      <c r="O1766" s="15">
        <v>9</v>
      </c>
      <c r="P1766" s="15" t="str" cm="1">
        <f t="array" ref="P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6" s="15" t="str" cm="1">
        <f t="array" ref="Q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766" s="1" t="s">
        <v>950</v>
      </c>
      <c r="T1766" s="1" t="s">
        <v>315</v>
      </c>
      <c r="U1766" s="15" t="s">
        <v>4119</v>
      </c>
      <c r="V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766" s="15" t="str">
        <f>_xlfn.TEXTBEFORE(_xlfn.TEXTAFTER(CantoralDB[[#This Row],[index.html]],"&gt;"),"&gt;")&amp;"&gt;"</f>
        <v>&lt;a href="canciones/taize/benissez_le_seigneur.html"&gt;</v>
      </c>
      <c r="X1766"/>
      <c r="AB1766" s="1"/>
    </row>
    <row r="1767" spans="1:28" x14ac:dyDescent="0.3">
      <c r="A1767" s="1">
        <f>ROW(CantoralDB[[#This Row],[Título]])-1</f>
        <v>1766</v>
      </c>
      <c r="B1767" s="1" t="s">
        <v>883</v>
      </c>
      <c r="C1767" s="1" t="s">
        <v>1020</v>
      </c>
      <c r="D1767" s="1" t="s">
        <v>1087</v>
      </c>
      <c r="H1767" s="1" t="s">
        <v>1027</v>
      </c>
      <c r="I1767" s="1" t="s">
        <v>2953</v>
      </c>
      <c r="J1767" s="1" t="s">
        <v>607</v>
      </c>
      <c r="M1767" s="15" t="s">
        <v>1938</v>
      </c>
      <c r="N1767" s="1" t="s">
        <v>784</v>
      </c>
      <c r="O1767" s="15">
        <v>18</v>
      </c>
      <c r="P1767" s="15" t="str" cm="1">
        <f t="array" ref="P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7" s="15" t="str" cm="1">
        <f t="array" ref="Q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767" s="1" t="s">
        <v>949</v>
      </c>
      <c r="T1767" s="1" t="s">
        <v>313</v>
      </c>
      <c r="U1767" s="15" t="s">
        <v>4143</v>
      </c>
      <c r="V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767" s="15" t="str">
        <f>_xlfn.TEXTBEFORE(_xlfn.TEXTAFTER(CantoralDB[[#This Row],[index.html]],"&gt;"),"&gt;")&amp;"&gt;"</f>
        <v>&lt;a href="canciones/taize/benedictus_qui_venit_(canon).html"&gt;</v>
      </c>
      <c r="X1767"/>
      <c r="AB1767" s="1"/>
    </row>
    <row r="1768" spans="1:28" x14ac:dyDescent="0.3">
      <c r="A1768" s="1">
        <f>ROW(CantoralDB[[#This Row],[Título]])-1</f>
        <v>1767</v>
      </c>
      <c r="B1768" s="1" t="s">
        <v>890</v>
      </c>
      <c r="C1768" s="1" t="s">
        <v>1020</v>
      </c>
      <c r="D1768" s="1" t="s">
        <v>1093</v>
      </c>
      <c r="H1768" s="1" t="s">
        <v>1029</v>
      </c>
      <c r="J1768" s="1" t="s">
        <v>607</v>
      </c>
      <c r="M1768" s="15" t="s">
        <v>1938</v>
      </c>
      <c r="N1768" s="1" t="s">
        <v>4048</v>
      </c>
      <c r="O1768" s="15">
        <v>2</v>
      </c>
      <c r="P1768" s="15" t="str" cm="1">
        <f t="array" ref="P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8" s="15" t="str" cm="1">
        <f t="array" ref="Q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768" s="1" t="s">
        <v>954</v>
      </c>
      <c r="T1768" s="1" t="s">
        <v>324</v>
      </c>
      <c r="U1768" s="15" t="s">
        <v>4084</v>
      </c>
      <c r="V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768" s="15" t="str">
        <f>_xlfn.TEXTBEFORE(_xlfn.TEXTAFTER(CantoralDB[[#This Row],[index.html]],"&gt;"),"&gt;")&amp;"&gt;"</f>
        <v>&lt;a href="canciones/taize/cantarei_ao_senhor.html"&gt;</v>
      </c>
      <c r="X1768"/>
      <c r="AB1768" s="1"/>
    </row>
    <row r="1769" spans="1:28" x14ac:dyDescent="0.3">
      <c r="A1769" s="1">
        <f>ROW(CantoralDB[[#This Row],[Título]])-1</f>
        <v>1768</v>
      </c>
      <c r="B1769" s="1" t="s">
        <v>904</v>
      </c>
      <c r="C1769" s="1" t="s">
        <v>1020</v>
      </c>
      <c r="D1769" s="1" t="s">
        <v>1097</v>
      </c>
      <c r="H1769" s="1" t="s">
        <v>1027</v>
      </c>
      <c r="I1769" s="1" t="s">
        <v>2953</v>
      </c>
      <c r="J1769" s="1" t="s">
        <v>607</v>
      </c>
      <c r="M1769" s="15" t="s">
        <v>1938</v>
      </c>
      <c r="N1769" s="1" t="s">
        <v>411</v>
      </c>
      <c r="O1769" s="15">
        <v>14</v>
      </c>
      <c r="P1769" s="15" t="str" cm="1">
        <f t="array" ref="P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9" s="15" t="str" cm="1">
        <f t="array" ref="Q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769" s="1" t="s">
        <v>868</v>
      </c>
      <c r="T1769" s="1" t="s">
        <v>344</v>
      </c>
      <c r="U1769" s="15" t="s">
        <v>4157</v>
      </c>
      <c r="V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769" s="15" t="str">
        <f>_xlfn.TEXTBEFORE(_xlfn.TEXTAFTER(CantoralDB[[#This Row],[index.html]],"&gt;"),"&gt;")&amp;"&gt;"</f>
        <v>&lt;a href="canciones/taize/eat_this_bread.html"&gt;</v>
      </c>
      <c r="X1769"/>
      <c r="AB1769" s="1"/>
    </row>
    <row r="1770" spans="1:28" x14ac:dyDescent="0.3">
      <c r="A1770" s="1">
        <f>ROW(CantoralDB[[#This Row],[Título]])-1</f>
        <v>1769</v>
      </c>
      <c r="B1770" s="1" t="s">
        <v>901</v>
      </c>
      <c r="C1770" s="1" t="s">
        <v>1020</v>
      </c>
      <c r="D1770" s="1" t="s">
        <v>1099</v>
      </c>
      <c r="H1770" s="1" t="s">
        <v>530</v>
      </c>
      <c r="J1770" s="1" t="s">
        <v>607</v>
      </c>
      <c r="M1770" s="15" t="s">
        <v>1938</v>
      </c>
      <c r="N1770" s="1" t="s">
        <v>4048</v>
      </c>
      <c r="O1770" s="15">
        <v>14</v>
      </c>
      <c r="P1770" s="15" t="str" cm="1">
        <f t="array" ref="P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0" s="15" t="str" cm="1">
        <f t="array" ref="Q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770" s="1" t="s">
        <v>960</v>
      </c>
      <c r="T1770" s="1" t="s">
        <v>341</v>
      </c>
      <c r="U1770" s="15" t="s">
        <v>4096</v>
      </c>
      <c r="V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770" s="15" t="str">
        <f>_xlfn.TEXTBEFORE(_xlfn.TEXTAFTER(CantoralDB[[#This Row],[index.html]],"&gt;"),"&gt;")&amp;"&gt;"</f>
        <v>&lt;a href="canciones/taize/dominus_spiritus_est.html"&gt;</v>
      </c>
      <c r="X1770"/>
      <c r="AB1770" s="1"/>
    </row>
    <row r="1771" spans="1:28" x14ac:dyDescent="0.3">
      <c r="A1771" s="1">
        <f>ROW(CantoralDB[[#This Row],[Título]])-1</f>
        <v>1770</v>
      </c>
      <c r="B1771" s="1" t="s">
        <v>936</v>
      </c>
      <c r="C1771" s="1" t="s">
        <v>1020</v>
      </c>
      <c r="D1771" s="1" t="s">
        <v>1100</v>
      </c>
      <c r="H1771" s="1" t="s">
        <v>530</v>
      </c>
      <c r="I1771" s="1" t="s">
        <v>2953</v>
      </c>
      <c r="J1771" s="1" t="s">
        <v>607</v>
      </c>
      <c r="M1771" s="15" t="s">
        <v>1938</v>
      </c>
      <c r="N1771" s="1" t="s">
        <v>4018</v>
      </c>
      <c r="O1771" s="15">
        <v>8</v>
      </c>
      <c r="P1771" s="15" t="str" cm="1">
        <f t="array" ref="P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1" s="15" t="str" cm="1">
        <f t="array" ref="Q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771" s="1"/>
      <c r="T1771" s="1" t="s">
        <v>443</v>
      </c>
      <c r="U1771" s="15" t="s">
        <v>4178</v>
      </c>
      <c r="V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771" s="15" t="str">
        <f>_xlfn.TEXTBEFORE(_xlfn.TEXTAFTER(CantoralDB[[#This Row],[index.html]],"&gt;"),"&gt;")&amp;"&gt;"</f>
        <v>&lt;a href="canciones/taize/surrexit_christus.html"&gt;</v>
      </c>
      <c r="X1771"/>
      <c r="AB1771" s="1"/>
    </row>
    <row r="1772" spans="1:28" x14ac:dyDescent="0.3">
      <c r="A1772" s="1">
        <f>ROW(CantoralDB[[#This Row],[Título]])-1</f>
        <v>1771</v>
      </c>
      <c r="B1772" s="1" t="s">
        <v>937</v>
      </c>
      <c r="C1772" s="1" t="s">
        <v>1020</v>
      </c>
      <c r="D1772" s="1" t="s">
        <v>1101</v>
      </c>
      <c r="H1772" s="1" t="s">
        <v>472</v>
      </c>
      <c r="I1772" s="1" t="s">
        <v>2952</v>
      </c>
      <c r="J1772" s="1" t="s">
        <v>607</v>
      </c>
      <c r="M1772" s="15" t="s">
        <v>1938</v>
      </c>
      <c r="N1772" s="1" t="s">
        <v>784</v>
      </c>
      <c r="O1772" s="15">
        <v>8</v>
      </c>
      <c r="P1772" s="15" t="str" cm="1">
        <f t="array" ref="P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2" s="15" t="str" cm="1">
        <f t="array" ref="Q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772" s="1" t="s">
        <v>983</v>
      </c>
      <c r="T1772" s="1" t="s">
        <v>444</v>
      </c>
      <c r="U1772" s="15" t="s">
        <v>4140</v>
      </c>
      <c r="V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772" s="15" t="str">
        <f>_xlfn.TEXTBEFORE(_xlfn.TEXTAFTER(CantoralDB[[#This Row],[index.html]],"&gt;"),"&gt;")&amp;"&gt;"</f>
        <v>&lt;a href="canciones/taize/surrexit_dominus_vere_(canon).html"&gt;</v>
      </c>
      <c r="X1772"/>
      <c r="AB1772" s="1"/>
    </row>
    <row r="1773" spans="1:28" x14ac:dyDescent="0.3">
      <c r="A1773" s="1">
        <f>ROW(CantoralDB[[#This Row],[Título]])-1</f>
        <v>1772</v>
      </c>
      <c r="B1773" s="1" t="s">
        <v>914</v>
      </c>
      <c r="C1773" s="1" t="s">
        <v>1020</v>
      </c>
      <c r="D1773" s="1" t="s">
        <v>1102</v>
      </c>
      <c r="H1773" s="1" t="s">
        <v>530</v>
      </c>
      <c r="I1773" s="1" t="s">
        <v>2953</v>
      </c>
      <c r="J1773" s="1" t="s">
        <v>607</v>
      </c>
      <c r="M1773" s="15" t="s">
        <v>1938</v>
      </c>
      <c r="N1773" s="1" t="s">
        <v>4026</v>
      </c>
      <c r="O1773" s="15">
        <v>7</v>
      </c>
      <c r="P1773" s="15" t="str" cm="1">
        <f t="array" ref="P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3" s="15" t="str" cm="1">
        <f t="array" ref="Q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773" s="1"/>
      <c r="T1773" s="1" t="s">
        <v>376</v>
      </c>
      <c r="U1773" s="15" t="s">
        <v>4117</v>
      </c>
      <c r="V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773" s="15" t="str">
        <f>_xlfn.TEXTBEFORE(_xlfn.TEXTAFTER(CantoralDB[[#This Row],[index.html]],"&gt;"),"&gt;")&amp;"&gt;"</f>
        <v>&lt;a href="canciones/taize/jesus_le_christ.html"&gt;</v>
      </c>
      <c r="X1773"/>
      <c r="AB1773" s="1"/>
    </row>
    <row r="1774" spans="1:28" x14ac:dyDescent="0.3">
      <c r="A1774" s="1">
        <f>ROW(CantoralDB[[#This Row],[Título]])-1</f>
        <v>1773</v>
      </c>
      <c r="B1774" s="1" t="s">
        <v>903</v>
      </c>
      <c r="C1774" s="1" t="s">
        <v>1020</v>
      </c>
      <c r="D1774" s="1" t="s">
        <v>1106</v>
      </c>
      <c r="H1774" s="1" t="s">
        <v>1029</v>
      </c>
      <c r="I1774" s="1" t="s">
        <v>2951</v>
      </c>
      <c r="J1774" s="1" t="s">
        <v>607</v>
      </c>
      <c r="M1774" s="15" t="s">
        <v>1938</v>
      </c>
      <c r="N1774" s="1" t="s">
        <v>4018</v>
      </c>
      <c r="O1774" s="15">
        <v>13</v>
      </c>
      <c r="P1774" s="15" t="str" cm="1">
        <f t="array" ref="P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4" s="15" t="str" cm="1">
        <f t="array" ref="Q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774" s="1"/>
      <c r="T1774" s="1" t="s">
        <v>343</v>
      </c>
      <c r="U1774" s="15" t="s">
        <v>4183</v>
      </c>
      <c r="V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774" s="15" t="str">
        <f>_xlfn.TEXTBEFORE(_xlfn.TEXTAFTER(CantoralDB[[#This Row],[index.html]],"&gt;"),"&gt;")&amp;"&gt;"</f>
        <v>&lt;a href="canciones/taize/dona_nobis_pacem.html"&gt;</v>
      </c>
      <c r="X1774"/>
      <c r="AB1774" s="1"/>
    </row>
    <row r="1775" spans="1:28" x14ac:dyDescent="0.3">
      <c r="A1775" s="1">
        <f>ROW(CantoralDB[[#This Row],[Título]])-1</f>
        <v>1774</v>
      </c>
      <c r="B1775" s="1" t="s">
        <v>902</v>
      </c>
      <c r="C1775" s="1" t="s">
        <v>1020</v>
      </c>
      <c r="D1775" s="1" t="s">
        <v>1107</v>
      </c>
      <c r="H1775" s="1" t="s">
        <v>1029</v>
      </c>
      <c r="I1775" s="1" t="s">
        <v>2951</v>
      </c>
      <c r="J1775" s="1" t="s">
        <v>607</v>
      </c>
      <c r="M1775" s="15" t="s">
        <v>1938</v>
      </c>
      <c r="N1775" s="1" t="s">
        <v>4018</v>
      </c>
      <c r="O1775" s="15">
        <v>5</v>
      </c>
      <c r="P1775" s="15" t="str" cm="1">
        <f t="array" ref="P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5" s="15" t="str" cm="1">
        <f t="array" ref="Q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775" s="1"/>
      <c r="T1775" s="1" t="s">
        <v>342</v>
      </c>
      <c r="U1775" s="15" t="s">
        <v>4175</v>
      </c>
      <c r="V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775" s="15" t="str">
        <f>_xlfn.TEXTBEFORE(_xlfn.TEXTAFTER(CantoralDB[[#This Row],[index.html]],"&gt;"),"&gt;")&amp;"&gt;"</f>
        <v>&lt;a href="canciones/taize/dona_la_pace.html"&gt;</v>
      </c>
      <c r="X1775"/>
      <c r="AB1775" s="1"/>
    </row>
    <row r="1776" spans="1:28" x14ac:dyDescent="0.3">
      <c r="A1776" s="1">
        <f>ROW(CantoralDB[[#This Row],[Título]])-1</f>
        <v>1775</v>
      </c>
      <c r="B1776" s="1" t="s">
        <v>897</v>
      </c>
      <c r="C1776" s="1" t="s">
        <v>1020</v>
      </c>
      <c r="D1776" s="1" t="s">
        <v>1105</v>
      </c>
      <c r="H1776" s="1" t="s">
        <v>1028</v>
      </c>
      <c r="I1776" s="1" t="s">
        <v>2952</v>
      </c>
      <c r="J1776" s="1" t="s">
        <v>607</v>
      </c>
      <c r="M1776" s="15" t="s">
        <v>1938</v>
      </c>
      <c r="N1776" s="1" t="s">
        <v>463</v>
      </c>
      <c r="O1776" s="15">
        <v>5</v>
      </c>
      <c r="P1776" s="15" t="str" cm="1">
        <f t="array" ref="P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6" s="15" t="str" cm="1">
        <f t="array" ref="Q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776" s="1" t="s">
        <v>957</v>
      </c>
      <c r="T1776" s="1" t="s">
        <v>334</v>
      </c>
      <c r="U1776" s="15" t="s">
        <v>4204</v>
      </c>
      <c r="V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776" s="15" t="str">
        <f>_xlfn.TEXTBEFORE(_xlfn.TEXTAFTER(CantoralDB[[#This Row],[index.html]],"&gt;"),"&gt;")&amp;"&gt;"</f>
        <v>&lt;a href="canciones/taize/da_pacem..._in_diebus.html"&gt;</v>
      </c>
      <c r="X1776"/>
      <c r="AB1776" s="1"/>
    </row>
    <row r="1777" spans="1:28" x14ac:dyDescent="0.3">
      <c r="A1777" s="1">
        <f>ROW(CantoralDB[[#This Row],[Título]])-1</f>
        <v>1776</v>
      </c>
      <c r="B1777" s="1" t="s">
        <v>896</v>
      </c>
      <c r="C1777" s="1" t="s">
        <v>1020</v>
      </c>
      <c r="D1777" s="1" t="s">
        <v>1104</v>
      </c>
      <c r="H1777" s="1" t="s">
        <v>530</v>
      </c>
      <c r="I1777" s="1" t="s">
        <v>2952</v>
      </c>
      <c r="J1777" s="1" t="s">
        <v>607</v>
      </c>
      <c r="M1777" s="15" t="s">
        <v>1938</v>
      </c>
      <c r="N1777" s="1" t="s">
        <v>455</v>
      </c>
      <c r="O1777" s="15">
        <v>7</v>
      </c>
      <c r="P1777" s="15" t="str" cm="1">
        <f t="array" ref="P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7" s="15" t="str" cm="1">
        <f t="array" ref="Q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777" s="1"/>
      <c r="T1777" s="1" t="s">
        <v>333</v>
      </c>
      <c r="U1777" s="15" t="s">
        <v>4191</v>
      </c>
      <c r="V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777" s="15" t="str">
        <f>_xlfn.TEXTBEFORE(_xlfn.TEXTAFTER(CantoralDB[[#This Row],[index.html]],"&gt;"),"&gt;")&amp;"&gt;"</f>
        <v>&lt;a href="canciones/taize/da_pacem_cordium_(canon).html"&gt;</v>
      </c>
      <c r="X1777"/>
      <c r="AB1777" s="1"/>
    </row>
    <row r="1778" spans="1:28" x14ac:dyDescent="0.3">
      <c r="A1778" s="1">
        <f>ROW(CantoralDB[[#This Row],[Título]])-1</f>
        <v>1777</v>
      </c>
      <c r="B1778" s="1" t="s">
        <v>929</v>
      </c>
      <c r="C1778" s="1" t="s">
        <v>1020</v>
      </c>
      <c r="D1778" s="1" t="s">
        <v>1110</v>
      </c>
      <c r="H1778" s="1" t="s">
        <v>1029</v>
      </c>
      <c r="J1778" s="1" t="s">
        <v>607</v>
      </c>
      <c r="M1778" s="15" t="s">
        <v>1938</v>
      </c>
      <c r="N1778" s="1" t="s">
        <v>784</v>
      </c>
      <c r="O1778" s="15">
        <v>19</v>
      </c>
      <c r="P1778" s="15" t="str" cm="1">
        <f t="array" ref="P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8" s="15" t="str" cm="1">
        <f t="array" ref="Q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778" s="1" t="s">
        <v>978</v>
      </c>
      <c r="T1778" s="1" t="s">
        <v>419</v>
      </c>
      <c r="U1778" s="15" t="s">
        <v>4144</v>
      </c>
      <c r="V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778" s="15" t="str">
        <f>_xlfn.TEXTBEFORE(_xlfn.TEXTAFTER(CantoralDB[[#This Row],[index.html]],"&gt;"),"&gt;")&amp;"&gt;"</f>
        <v>&lt;a href="canciones/taize/nunc_dimittis.html"&gt;</v>
      </c>
      <c r="X1778"/>
      <c r="AB1778" s="1"/>
    </row>
    <row r="1779" spans="1:28" x14ac:dyDescent="0.3">
      <c r="A1779" s="1">
        <f>ROW(CantoralDB[[#This Row],[Título]])-1</f>
        <v>1778</v>
      </c>
      <c r="B1779" s="1" t="s">
        <v>1024</v>
      </c>
      <c r="C1779" s="1" t="s">
        <v>1020</v>
      </c>
      <c r="D1779" s="1" t="s">
        <v>1111</v>
      </c>
      <c r="H1779" s="1" t="s">
        <v>1026</v>
      </c>
      <c r="I1779" s="1" t="s">
        <v>2953</v>
      </c>
      <c r="J1779" s="1" t="s">
        <v>607</v>
      </c>
      <c r="M1779" s="15" t="s">
        <v>1938</v>
      </c>
      <c r="N1779" s="1" t="s">
        <v>343</v>
      </c>
      <c r="O1779" s="15">
        <v>13</v>
      </c>
      <c r="P1779" s="15" t="str" cm="1">
        <f t="array" ref="P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9" s="15" t="str" cm="1">
        <f t="array" ref="Q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779" s="1"/>
      <c r="T1779" s="1" t="s">
        <v>1025</v>
      </c>
      <c r="U1779" s="15" t="s">
        <v>4105</v>
      </c>
      <c r="V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779" s="15" t="str">
        <f>_xlfn.TEXTBEFORE(_xlfn.TEXTAFTER(CantoralDB[[#This Row],[index.html]],"&gt;"),"&gt;")&amp;"&gt;"</f>
        <v>&lt;a href="canciones/taize/v_tebi_je_izvir_življenja.html"&gt;</v>
      </c>
      <c r="X1779"/>
      <c r="AB1779" s="1"/>
    </row>
    <row r="1780" spans="1:28" x14ac:dyDescent="0.3">
      <c r="A1780" s="1">
        <f>ROW(CantoralDB[[#This Row],[Título]])-1</f>
        <v>1779</v>
      </c>
      <c r="B1780" s="1" t="s">
        <v>881</v>
      </c>
      <c r="C1780" s="1" t="s">
        <v>1020</v>
      </c>
      <c r="D1780" s="1" t="s">
        <v>1084</v>
      </c>
      <c r="H1780" s="1" t="s">
        <v>472</v>
      </c>
      <c r="I1780" s="1" t="s">
        <v>2952</v>
      </c>
      <c r="J1780" s="1" t="s">
        <v>607</v>
      </c>
      <c r="M1780" s="15" t="s">
        <v>1938</v>
      </c>
      <c r="N1780" s="1" t="s">
        <v>4043</v>
      </c>
      <c r="O1780" s="15">
        <v>7</v>
      </c>
      <c r="P1780" s="15" t="str" cm="1">
        <f t="array" ref="P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0" s="15" t="str" cm="1">
        <f t="array" ref="Q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780" s="1" t="s">
        <v>947</v>
      </c>
      <c r="T1780" s="1" t="s">
        <v>309</v>
      </c>
      <c r="U1780" s="15" t="s">
        <v>4223</v>
      </c>
      <c r="V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780" s="15" t="str">
        <f>_xlfn.TEXTBEFORE(_xlfn.TEXTAFTER(CantoralDB[[#This Row],[index.html]],"&gt;"),"&gt;")&amp;"&gt;"</f>
        <v>&lt;a href="canciones/taize/beati_voi_poveri.html"&gt;</v>
      </c>
      <c r="X1780"/>
      <c r="AB1780" s="1"/>
    </row>
    <row r="1781" spans="1:28" x14ac:dyDescent="0.3">
      <c r="A1781" s="1">
        <f>ROW(CantoralDB[[#This Row],[Título]])-1</f>
        <v>1780</v>
      </c>
      <c r="B1781" s="1" t="s">
        <v>892</v>
      </c>
      <c r="C1781" s="1" t="s">
        <v>1020</v>
      </c>
      <c r="D1781" s="1" t="s">
        <v>1095</v>
      </c>
      <c r="H1781" s="1" t="s">
        <v>530</v>
      </c>
      <c r="I1781" s="1" t="s">
        <v>2952</v>
      </c>
      <c r="J1781" s="1" t="s">
        <v>607</v>
      </c>
      <c r="M1781" s="15" t="s">
        <v>1938</v>
      </c>
      <c r="N1781" s="1" t="s">
        <v>784</v>
      </c>
      <c r="O1781" s="15">
        <v>17</v>
      </c>
      <c r="P1781" s="15" t="str" cm="1">
        <f t="array" ref="P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1" s="15" t="str" cm="1">
        <f t="array" ref="Q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781" s="1"/>
      <c r="T1781" s="1" t="s">
        <v>329</v>
      </c>
      <c r="U1781" s="15" t="s">
        <v>4142</v>
      </c>
      <c r="V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781" s="15" t="str">
        <f>_xlfn.TEXTBEFORE(_xlfn.TEXTAFTER(CantoralDB[[#This Row],[index.html]],"&gt;"),"&gt;")&amp;"&gt;"</f>
        <v>&lt;a href="canciones/taize/christe_salvator.html"&gt;</v>
      </c>
      <c r="X1781"/>
      <c r="AB1781" s="1"/>
    </row>
    <row r="1782" spans="1:28" x14ac:dyDescent="0.3">
      <c r="A1782" s="1">
        <f>ROW(CantoralDB[[#This Row],[Título]])-1</f>
        <v>1781</v>
      </c>
      <c r="B1782" s="1" t="s">
        <v>887</v>
      </c>
      <c r="C1782" s="1" t="s">
        <v>1020</v>
      </c>
      <c r="D1782" s="1" t="s">
        <v>1090</v>
      </c>
      <c r="H1782" s="1" t="s">
        <v>1029</v>
      </c>
      <c r="I1782" s="1" t="s">
        <v>2953</v>
      </c>
      <c r="J1782" s="1" t="s">
        <v>607</v>
      </c>
      <c r="M1782" s="15" t="s">
        <v>1938</v>
      </c>
      <c r="N1782" s="1" t="s">
        <v>4043</v>
      </c>
      <c r="O1782" s="15">
        <v>5</v>
      </c>
      <c r="P1782" s="15" t="str" cm="1">
        <f t="array" ref="P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2" s="15" t="str" cm="1">
        <f t="array" ref="Q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782" s="1"/>
      <c r="T1782" s="1" t="s">
        <v>319</v>
      </c>
      <c r="U1782" s="15" t="s">
        <v>4221</v>
      </c>
      <c r="V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782" s="15" t="str">
        <f>_xlfn.TEXTBEFORE(_xlfn.TEXTAFTER(CantoralDB[[#This Row],[index.html]],"&gt;"),"&gt;")&amp;"&gt;"</f>
        <v>&lt;a href="canciones/taize/bog_jest_miłością.html"&gt;</v>
      </c>
      <c r="X1782"/>
      <c r="AB1782" s="1"/>
    </row>
    <row r="1783" spans="1:28" x14ac:dyDescent="0.3">
      <c r="A1783" s="1">
        <f>ROW(CantoralDB[[#This Row],[Título]])-1</f>
        <v>1782</v>
      </c>
      <c r="B1783" s="1" t="s">
        <v>888</v>
      </c>
      <c r="C1783" s="1" t="s">
        <v>1020</v>
      </c>
      <c r="D1783" s="1" t="s">
        <v>1091</v>
      </c>
      <c r="H1783" s="1" t="s">
        <v>1029</v>
      </c>
      <c r="J1783" s="1" t="s">
        <v>607</v>
      </c>
      <c r="M1783" s="15" t="s">
        <v>1938</v>
      </c>
      <c r="N1783" s="1" t="s">
        <v>4043</v>
      </c>
      <c r="O1783" s="15">
        <v>6</v>
      </c>
      <c r="P1783" s="15" t="str" cm="1">
        <f t="array" ref="P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3" s="15" t="str" cm="1">
        <f t="array" ref="Q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783" s="1"/>
      <c r="T1783" s="1" t="s">
        <v>320</v>
      </c>
      <c r="U1783" s="15" t="s">
        <v>4222</v>
      </c>
      <c r="V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783" s="15" t="str">
        <f>_xlfn.TEXTBEFORE(_xlfn.TEXTAFTER(CantoralDB[[#This Row],[index.html]],"&gt;"),"&gt;")&amp;"&gt;"</f>
        <v>&lt;a href="canciones/taize/bogoroditse_dievo_1.html"&gt;</v>
      </c>
      <c r="X1783"/>
      <c r="AB1783" s="1"/>
    </row>
    <row r="1784" spans="1:28" x14ac:dyDescent="0.3">
      <c r="A1784" s="1">
        <f>ROW(CantoralDB[[#This Row],[Título]])-1</f>
        <v>1783</v>
      </c>
      <c r="B1784" s="1" t="s">
        <v>907</v>
      </c>
      <c r="C1784" s="1" t="s">
        <v>1020</v>
      </c>
      <c r="D1784" s="1" t="s">
        <v>1115</v>
      </c>
      <c r="H1784" s="1" t="s">
        <v>1029</v>
      </c>
      <c r="J1784" s="1" t="s">
        <v>607</v>
      </c>
      <c r="M1784" s="15" t="s">
        <v>1938</v>
      </c>
      <c r="N1784" s="1" t="s">
        <v>343</v>
      </c>
      <c r="O1784" s="15">
        <v>8</v>
      </c>
      <c r="P1784" s="15" t="str" cm="1">
        <f t="array" ref="P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4" s="15" t="str" cm="1">
        <f t="array" ref="Q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784" s="1" t="s">
        <v>963</v>
      </c>
      <c r="T1784" s="1" t="s">
        <v>275</v>
      </c>
      <c r="U1784" s="15" t="s">
        <v>4101</v>
      </c>
      <c r="V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784" s="15" t="str">
        <f>_xlfn.TEXTBEFORE(_xlfn.TEXTAFTER(CantoralDB[[#This Row],[index.html]],"&gt;"),"&gt;")&amp;"&gt;"</f>
        <v>&lt;a href="canciones/taize/herre_visa_mig_vägen.html"&gt;</v>
      </c>
      <c r="X1784"/>
      <c r="AB1784" s="1"/>
    </row>
    <row r="1785" spans="1:28" x14ac:dyDescent="0.3">
      <c r="A1785" s="1">
        <f>ROW(CantoralDB[[#This Row],[Título]])-1</f>
        <v>1784</v>
      </c>
      <c r="B1785" s="1" t="s">
        <v>900</v>
      </c>
      <c r="C1785" s="1" t="s">
        <v>1020</v>
      </c>
      <c r="D1785" s="1" t="s">
        <v>1114</v>
      </c>
      <c r="H1785" s="1" t="s">
        <v>530</v>
      </c>
      <c r="I1785" s="1" t="s">
        <v>2953</v>
      </c>
      <c r="J1785" s="1" t="s">
        <v>607</v>
      </c>
      <c r="M1785" s="15" t="s">
        <v>1938</v>
      </c>
      <c r="N1785" s="1" t="s">
        <v>4037</v>
      </c>
      <c r="O1785" s="15">
        <v>7</v>
      </c>
      <c r="P1785" s="15" t="str" cm="1">
        <f t="array" ref="P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5" s="15" t="str" cm="1">
        <f t="array" ref="Q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785" s="1"/>
      <c r="T1785" s="1" t="s">
        <v>339</v>
      </c>
      <c r="U1785" s="15" t="s">
        <v>4186</v>
      </c>
      <c r="V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785" s="15" t="str">
        <f>_xlfn.TEXTBEFORE(_xlfn.TEXTAFTER(CantoralDB[[#This Row],[index.html]],"&gt;"),"&gt;")&amp;"&gt;"</f>
        <v>&lt;a href="canciones/taize/dieu_ne_peut_que_donner.html"&gt;</v>
      </c>
      <c r="X1785"/>
      <c r="AB1785" s="1"/>
    </row>
    <row r="1786" spans="1:28" x14ac:dyDescent="0.3">
      <c r="A1786" s="1">
        <f>ROW(CantoralDB[[#This Row],[Título]])-1</f>
        <v>1785</v>
      </c>
      <c r="B1786" s="1" t="s">
        <v>941</v>
      </c>
      <c r="C1786" s="1" t="s">
        <v>1020</v>
      </c>
      <c r="D1786" s="1" t="s">
        <v>1116</v>
      </c>
      <c r="E1786" s="1">
        <v>466</v>
      </c>
      <c r="H1786" s="1" t="s">
        <v>530</v>
      </c>
      <c r="I1786" s="1" t="s">
        <v>2951</v>
      </c>
      <c r="J1786" s="1" t="s">
        <v>607</v>
      </c>
      <c r="M1786" s="15" t="s">
        <v>1938</v>
      </c>
      <c r="N1786" s="1" t="s">
        <v>784</v>
      </c>
      <c r="O1786" s="15">
        <v>6</v>
      </c>
      <c r="P1786" s="15" t="str" cm="1">
        <f t="array" ref="P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6" s="15" t="str" cm="1">
        <f t="array" ref="Q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786" s="1"/>
      <c r="T1786" s="1" t="s">
        <v>455</v>
      </c>
      <c r="U1786" s="15" t="s">
        <v>4139</v>
      </c>
      <c r="V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786" s="15" t="str">
        <f>_xlfn.TEXTBEFORE(_xlfn.TEXTAFTER(CantoralDB[[#This Row],[index.html]],"&gt;"),"&gt;")&amp;"&gt;"</f>
        <v>&lt;a href="canciones/taize/ubi_caritas.html"&gt;</v>
      </c>
      <c r="X1786"/>
      <c r="AB1786" s="1"/>
    </row>
    <row r="1787" spans="1:28" x14ac:dyDescent="0.3">
      <c r="A1787" s="1">
        <f>ROW(CantoralDB[[#This Row],[Título]])-1</f>
        <v>1786</v>
      </c>
      <c r="B1787" s="1" t="s">
        <v>938</v>
      </c>
      <c r="C1787" s="1" t="s">
        <v>1020</v>
      </c>
      <c r="D1787" s="1" t="s">
        <v>1118</v>
      </c>
      <c r="H1787" s="1" t="s">
        <v>1027</v>
      </c>
      <c r="I1787" s="1" t="s">
        <v>2953</v>
      </c>
      <c r="J1787" s="1" t="s">
        <v>607</v>
      </c>
      <c r="M1787" s="15" t="s">
        <v>1938</v>
      </c>
      <c r="N1787" s="1" t="s">
        <v>4043</v>
      </c>
      <c r="O1787" s="15">
        <v>3</v>
      </c>
      <c r="P1787" s="15" t="str" cm="1">
        <f t="array" ref="P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7" s="15" t="str" cm="1">
        <f t="array" ref="Q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787" s="1" t="s">
        <v>805</v>
      </c>
      <c r="T1787" s="1" t="s">
        <v>448</v>
      </c>
      <c r="U1787" s="15" t="s">
        <v>4219</v>
      </c>
      <c r="V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787" s="15" t="str">
        <f>_xlfn.TEXTBEFORE(_xlfn.TEXTAFTER(CantoralDB[[#This Row],[index.html]],"&gt;"),"&gt;")&amp;"&gt;"</f>
        <v>&lt;a href="canciones/taize/the_kingdom_of_god.html"&gt;</v>
      </c>
      <c r="X1787"/>
      <c r="AB1787" s="1"/>
    </row>
    <row r="1788" spans="1:28" x14ac:dyDescent="0.3">
      <c r="A1788" s="1">
        <f>ROW(CantoralDB[[#This Row],[Título]])-1</f>
        <v>1787</v>
      </c>
      <c r="B1788" s="1" t="s">
        <v>905</v>
      </c>
      <c r="C1788" s="1" t="s">
        <v>1020</v>
      </c>
      <c r="D1788" s="1" t="s">
        <v>1119</v>
      </c>
      <c r="H1788" s="1" t="s">
        <v>530</v>
      </c>
      <c r="I1788" s="1" t="s">
        <v>2951</v>
      </c>
      <c r="J1788" s="1" t="s">
        <v>607</v>
      </c>
      <c r="M1788" s="15" t="s">
        <v>1938</v>
      </c>
      <c r="N1788" s="1" t="s">
        <v>4023</v>
      </c>
      <c r="O1788" s="15">
        <v>13</v>
      </c>
      <c r="P1788" s="15" t="str" cm="1">
        <f t="array" ref="P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8" s="15" t="str" cm="1">
        <f t="array" ref="Q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788" s="1" t="s">
        <v>962</v>
      </c>
      <c r="T1788" s="1" t="s">
        <v>346</v>
      </c>
      <c r="U1788" s="15" t="s">
        <v>4080</v>
      </c>
      <c r="V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788" s="15" t="str">
        <f>_xlfn.TEXTBEFORE(_xlfn.TEXTAFTER(CantoralDB[[#This Row],[index.html]],"&gt;"),"&gt;")&amp;"&gt;"</f>
        <v>&lt;a href="canciones/taize/el_senyor.html"&gt;</v>
      </c>
      <c r="X1788"/>
      <c r="AB1788" s="1"/>
    </row>
    <row r="1789" spans="1:28" x14ac:dyDescent="0.3">
      <c r="A1789" s="1">
        <f>ROW(CantoralDB[[#This Row],[Título]])-1</f>
        <v>1788</v>
      </c>
      <c r="B1789" s="1" t="s">
        <v>911</v>
      </c>
      <c r="C1789" s="1" t="s">
        <v>1020</v>
      </c>
      <c r="D1789" s="1" t="s">
        <v>1120</v>
      </c>
      <c r="H1789" s="1" t="s">
        <v>1026</v>
      </c>
      <c r="I1789" s="1" t="s">
        <v>2953</v>
      </c>
      <c r="J1789" s="1" t="s">
        <v>607</v>
      </c>
      <c r="M1789" s="15" t="s">
        <v>1938</v>
      </c>
      <c r="N1789" s="1" t="s">
        <v>411</v>
      </c>
      <c r="O1789" s="15">
        <v>2</v>
      </c>
      <c r="P1789" s="15" t="str" cm="1">
        <f t="array" ref="P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9" s="15" t="str" cm="1">
        <f t="array" ref="Q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789" s="1" t="s">
        <v>967</v>
      </c>
      <c r="T1789" s="1" t="s">
        <v>368</v>
      </c>
      <c r="U1789" s="15" t="s">
        <v>4146</v>
      </c>
      <c r="V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789" s="15" t="str">
        <f>_xlfn.TEXTBEFORE(_xlfn.TEXTAFTER(CantoralDB[[#This Row],[index.html]],"&gt;"),"&gt;")&amp;"&gt;"</f>
        <v>&lt;a href="canciones/taize/il_signore_ti_ristora.html"&gt;</v>
      </c>
      <c r="X1789"/>
      <c r="AB1789" s="1"/>
    </row>
    <row r="1790" spans="1:28" x14ac:dyDescent="0.3">
      <c r="A1790" s="1">
        <f>ROW(CantoralDB[[#This Row],[Título]])-1</f>
        <v>1789</v>
      </c>
      <c r="B1790" s="1" t="s">
        <v>943</v>
      </c>
      <c r="C1790" s="1" t="s">
        <v>1020</v>
      </c>
      <c r="D1790" s="1" t="s">
        <v>1121</v>
      </c>
      <c r="H1790" s="1" t="s">
        <v>530</v>
      </c>
      <c r="I1790" s="1" t="s">
        <v>2952</v>
      </c>
      <c r="J1790" s="1" t="s">
        <v>607</v>
      </c>
      <c r="M1790" s="15" t="s">
        <v>1938</v>
      </c>
      <c r="N1790" s="1" t="s">
        <v>4060</v>
      </c>
      <c r="O1790" s="15">
        <v>14</v>
      </c>
      <c r="P1790" s="15" t="str" cm="1">
        <f t="array" ref="P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0" s="15" t="str" cm="1">
        <f t="array" ref="Q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790" s="1" t="s">
        <v>985</v>
      </c>
      <c r="T1790" s="1" t="s">
        <v>467</v>
      </c>
      <c r="U1790" s="15" t="s">
        <v>4137</v>
      </c>
      <c r="V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790" s="15" t="str">
        <f>_xlfn.TEXTBEFORE(_xlfn.TEXTAFTER(CantoralDB[[#This Row],[index.html]],"&gt;"),"&gt;")&amp;"&gt;"</f>
        <v>&lt;a href="canciones/taize/voici_dieu_qui_vient_à_mon_secours.html"&gt;</v>
      </c>
      <c r="X1790"/>
      <c r="AB1790" s="1"/>
    </row>
    <row r="1791" spans="1:28" x14ac:dyDescent="0.3">
      <c r="A1791" s="1">
        <f>ROW(CantoralDB[[#This Row],[Título]])-1</f>
        <v>1790</v>
      </c>
      <c r="B1791" s="1" t="s">
        <v>898</v>
      </c>
      <c r="C1791" s="1" t="s">
        <v>1020</v>
      </c>
      <c r="D1791" s="1" t="s">
        <v>1108</v>
      </c>
      <c r="H1791" s="1" t="s">
        <v>472</v>
      </c>
      <c r="I1791" s="1" t="s">
        <v>2953</v>
      </c>
      <c r="J1791" s="1" t="s">
        <v>607</v>
      </c>
      <c r="M1791" s="15" t="s">
        <v>1938</v>
      </c>
      <c r="N1791" s="1" t="s">
        <v>4023</v>
      </c>
      <c r="O1791" s="15">
        <v>3</v>
      </c>
      <c r="P1791" s="15" t="str" cm="1">
        <f t="array" ref="P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1" s="15" t="str" cm="1">
        <f t="array" ref="Q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791" s="1"/>
      <c r="T1791" s="1" t="s">
        <v>335</v>
      </c>
      <c r="U1791" s="15" t="s">
        <v>4071</v>
      </c>
      <c r="V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791" s="15" t="str">
        <f>_xlfn.TEXTBEFORE(_xlfn.TEXTAFTER(CantoralDB[[#This Row],[index.html]],"&gt;"),"&gt;")&amp;"&gt;"</f>
        <v>&lt;a href="canciones/taize/dans_nos_obscurites.html"&gt;</v>
      </c>
      <c r="X1791"/>
      <c r="AB1791" s="1"/>
    </row>
    <row r="1792" spans="1:28" x14ac:dyDescent="0.3">
      <c r="A1792" s="1">
        <f>ROW(CantoralDB[[#This Row],[Título]])-1</f>
        <v>1791</v>
      </c>
      <c r="B1792" s="1" t="s">
        <v>934</v>
      </c>
      <c r="C1792" s="1" t="s">
        <v>1020</v>
      </c>
      <c r="D1792" s="1" t="s">
        <v>1122</v>
      </c>
      <c r="H1792" s="1" t="s">
        <v>1027</v>
      </c>
      <c r="I1792" s="1" t="s">
        <v>2951</v>
      </c>
      <c r="J1792" s="1" t="s">
        <v>607</v>
      </c>
      <c r="M1792" s="15" t="s">
        <v>1938</v>
      </c>
      <c r="N1792" s="1" t="s">
        <v>463</v>
      </c>
      <c r="O1792" s="15">
        <v>15</v>
      </c>
      <c r="P1792" s="15" t="str" cm="1">
        <f t="array" ref="P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2" s="15" t="str" cm="1">
        <f t="array" ref="Q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792" s="1"/>
      <c r="T1792" s="1" t="s">
        <v>441</v>
      </c>
      <c r="U1792" s="15" t="s">
        <v>4214</v>
      </c>
      <c r="V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792" s="15" t="str">
        <f>_xlfn.TEXTBEFORE(_xlfn.TEXTAFTER(CantoralDB[[#This Row],[index.html]],"&gt;"),"&gt;")&amp;"&gt;"</f>
        <v>&lt;a href="canciones/taize/spiritus_jesu_christi.html"&gt;</v>
      </c>
      <c r="X1792"/>
      <c r="AB1792" s="1"/>
    </row>
    <row r="1793" spans="1:28" x14ac:dyDescent="0.3">
      <c r="A1793" s="1">
        <f>ROW(CantoralDB[[#This Row],[Título]])-1</f>
        <v>1792</v>
      </c>
      <c r="B1793" s="1" t="s">
        <v>2122</v>
      </c>
      <c r="C1793" s="1" t="s">
        <v>1020</v>
      </c>
      <c r="D1793" s="1" t="s">
        <v>1124</v>
      </c>
      <c r="H1793" s="1" t="s">
        <v>1029</v>
      </c>
      <c r="I1793" s="1" t="s">
        <v>2952</v>
      </c>
      <c r="J1793" s="1" t="s">
        <v>607</v>
      </c>
      <c r="M1793" s="15" t="s">
        <v>1938</v>
      </c>
      <c r="N1793" s="1" t="s">
        <v>4018</v>
      </c>
      <c r="O1793" s="15">
        <v>14</v>
      </c>
      <c r="P1793" s="15" t="str" cm="1">
        <f t="array" ref="P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3" s="15" t="str" cm="1">
        <f t="array" ref="Q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793" s="1" t="s">
        <v>979</v>
      </c>
      <c r="T1793" s="1" t="s">
        <v>427</v>
      </c>
      <c r="U1793" s="15" t="s">
        <v>4184</v>
      </c>
      <c r="V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793" s="15" t="str">
        <f>_xlfn.TEXTBEFORE(_xlfn.TEXTAFTER(CantoralDB[[#This Row],[index.html]],"&gt;"),"&gt;")&amp;"&gt;"</f>
        <v>&lt;a href="canciones/taize/psallite_deo.html"&gt;</v>
      </c>
      <c r="X1793"/>
      <c r="AB1793" s="1"/>
    </row>
    <row r="1794" spans="1:28" x14ac:dyDescent="0.3">
      <c r="A1794" s="1">
        <f>ROW(CantoralDB[[#This Row],[Título]])-1</f>
        <v>1793</v>
      </c>
      <c r="B1794" s="1" t="s">
        <v>908</v>
      </c>
      <c r="C1794" s="1" t="s">
        <v>1020</v>
      </c>
      <c r="D1794" s="1" t="s">
        <v>1125</v>
      </c>
      <c r="H1794" s="1" t="s">
        <v>1029</v>
      </c>
      <c r="I1794" s="1" t="s">
        <v>2951</v>
      </c>
      <c r="J1794" s="1" t="s">
        <v>607</v>
      </c>
      <c r="M1794" s="15" t="s">
        <v>1938</v>
      </c>
      <c r="N1794" s="1" t="s">
        <v>4060</v>
      </c>
      <c r="O1794" s="15">
        <v>11</v>
      </c>
      <c r="P1794" s="15" t="str" cm="1">
        <f t="array" ref="P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4" s="15" t="str" cm="1">
        <f t="array" ref="Q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794" s="1" t="s">
        <v>964</v>
      </c>
      <c r="T1794" s="1" t="s">
        <v>362</v>
      </c>
      <c r="U1794" s="15" t="s">
        <v>4134</v>
      </c>
      <c r="V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794" s="15" t="str">
        <f>_xlfn.TEXTBEFORE(_xlfn.TEXTAFTER(CantoralDB[[#This Row],[index.html]],"&gt;"),"&gt;")&amp;"&gt;"</f>
        <v>&lt;a href="canciones/taize/heureux_qui_s’abandonne_à_toi.html"&gt;</v>
      </c>
      <c r="X1794"/>
      <c r="AB1794" s="1"/>
    </row>
    <row r="1795" spans="1:28" x14ac:dyDescent="0.3">
      <c r="A1795" s="1">
        <f>ROW(CantoralDB[[#This Row],[Título]])-1</f>
        <v>1794</v>
      </c>
      <c r="B1795" s="1" t="s">
        <v>916</v>
      </c>
      <c r="C1795" s="1" t="s">
        <v>1020</v>
      </c>
      <c r="D1795" s="1" t="s">
        <v>1129</v>
      </c>
      <c r="H1795" s="1" t="s">
        <v>530</v>
      </c>
      <c r="I1795" s="1" t="s">
        <v>2952</v>
      </c>
      <c r="J1795" s="1" t="s">
        <v>607</v>
      </c>
      <c r="M1795" s="15" t="s">
        <v>1938</v>
      </c>
      <c r="N1795" s="1" t="s">
        <v>4026</v>
      </c>
      <c r="O1795" s="15">
        <v>16</v>
      </c>
      <c r="P1795" s="15" t="str" cm="1">
        <f t="array" ref="P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5" s="15" t="str" cm="1">
        <f t="array" ref="Q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795" s="1" t="s">
        <v>969</v>
      </c>
      <c r="T1795" s="1" t="s">
        <v>378</v>
      </c>
      <c r="U1795" s="15" t="s">
        <v>4126</v>
      </c>
      <c r="V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795" s="15" t="str">
        <f>_xlfn.TEXTBEFORE(_xlfn.TEXTAFTER(CantoralDB[[#This Row],[index.html]],"&gt;"),"&gt;")&amp;"&gt;"</f>
        <v>&lt;a href="canciones/taize/jesus_remember_me.html"&gt;</v>
      </c>
      <c r="X1795"/>
      <c r="AB1795" s="1"/>
    </row>
    <row r="1796" spans="1:28" x14ac:dyDescent="0.3">
      <c r="A1796" s="1">
        <f>ROW(CantoralDB[[#This Row],[Título]])-1</f>
        <v>1795</v>
      </c>
      <c r="B1796" s="1" t="s">
        <v>915</v>
      </c>
      <c r="C1796" s="1" t="s">
        <v>1020</v>
      </c>
      <c r="D1796" s="1" t="s">
        <v>1130</v>
      </c>
      <c r="H1796" s="1" t="s">
        <v>1029</v>
      </c>
      <c r="J1796" s="1" t="s">
        <v>607</v>
      </c>
      <c r="M1796" s="15" t="s">
        <v>1938</v>
      </c>
      <c r="N1796" s="1" t="s">
        <v>4054</v>
      </c>
      <c r="O1796" s="15">
        <v>14</v>
      </c>
      <c r="P1796" s="15" t="str" cm="1">
        <f t="array" ref="P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6" s="15" t="str" cm="1">
        <f t="array" ref="Q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796" s="1"/>
      <c r="T1796" s="1" t="s">
        <v>377</v>
      </c>
      <c r="U1796" s="15" t="s">
        <v>4167</v>
      </c>
      <c r="V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796" s="15" t="str">
        <f>_xlfn.TEXTBEFORE(_xlfn.TEXTAFTER(CantoralDB[[#This Row],[index.html]],"&gt;"),"&gt;")&amp;"&gt;"</f>
        <v>&lt;a href="canciones/taize/jesus_ma_joie.html"&gt;</v>
      </c>
      <c r="X1796"/>
      <c r="AB1796" s="1"/>
    </row>
    <row r="1797" spans="1:28" x14ac:dyDescent="0.3">
      <c r="A1797" s="1">
        <f>ROW(CantoralDB[[#This Row],[Título]])-1</f>
        <v>1796</v>
      </c>
      <c r="B1797" s="1" t="s">
        <v>918</v>
      </c>
      <c r="C1797" s="1" t="s">
        <v>1020</v>
      </c>
      <c r="D1797" s="1" t="s">
        <v>1131</v>
      </c>
      <c r="H1797" s="1" t="s">
        <v>530</v>
      </c>
      <c r="I1797" s="1" t="s">
        <v>2953</v>
      </c>
      <c r="J1797" s="1" t="s">
        <v>607</v>
      </c>
      <c r="M1797" s="15" t="s">
        <v>1938</v>
      </c>
      <c r="N1797" s="1" t="s">
        <v>463</v>
      </c>
      <c r="O1797" s="15">
        <v>16</v>
      </c>
      <c r="P1797" s="15" t="str" cm="1">
        <f t="array" ref="P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7" s="15" t="str" cm="1">
        <f t="array" ref="Q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797" s="1"/>
      <c r="T1797" s="1" t="s">
        <v>381</v>
      </c>
      <c r="U1797" s="15" t="s">
        <v>4215</v>
      </c>
      <c r="V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797" s="15" t="str">
        <f>_xlfn.TEXTBEFORE(_xlfn.TEXTAFTER(CantoralDB[[#This Row],[index.html]],"&gt;"),"&gt;")&amp;"&gt;"</f>
        <v>&lt;a href="canciones/taize/jubilate_coeli_(canon).html"&gt;</v>
      </c>
      <c r="X1797"/>
      <c r="AB1797" s="1"/>
    </row>
    <row r="1798" spans="1:28" x14ac:dyDescent="0.3">
      <c r="A1798" s="1">
        <f>ROW(CantoralDB[[#This Row],[Título]])-1</f>
        <v>1797</v>
      </c>
      <c r="B1798" s="1" t="s">
        <v>924</v>
      </c>
      <c r="C1798" s="1" t="s">
        <v>1020</v>
      </c>
      <c r="D1798" s="1" t="s">
        <v>1136</v>
      </c>
      <c r="H1798" s="1" t="s">
        <v>1028</v>
      </c>
      <c r="I1798" s="1" t="s">
        <v>2952</v>
      </c>
      <c r="J1798" s="1" t="s">
        <v>607</v>
      </c>
      <c r="M1798" s="15" t="s">
        <v>1938</v>
      </c>
      <c r="N1798" s="1" t="s">
        <v>4043</v>
      </c>
      <c r="O1798" s="15">
        <v>16</v>
      </c>
      <c r="P1798" s="15" t="str" cm="1">
        <f t="array" ref="P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8" s="15" t="str" cm="1">
        <f t="array" ref="Q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798" s="1" t="s">
        <v>972</v>
      </c>
      <c r="T1798" s="1" t="s">
        <v>400</v>
      </c>
      <c r="U1798" s="15" t="s">
        <v>4232</v>
      </c>
      <c r="V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798" s="15" t="str">
        <f>_xlfn.TEXTBEFORE(_xlfn.TEXTAFTER(CantoralDB[[#This Row],[index.html]],"&gt;"),"&gt;")&amp;"&gt;"</f>
        <v>&lt;a href="canciones/taize/l’ajuda_em_vindrà.html"&gt;</v>
      </c>
      <c r="X1798"/>
      <c r="AB1798" s="1"/>
    </row>
    <row r="1799" spans="1:28" x14ac:dyDescent="0.3">
      <c r="A1799" s="1">
        <f>ROW(CantoralDB[[#This Row],[Título]])-1</f>
        <v>1798</v>
      </c>
      <c r="B1799" s="1" t="s">
        <v>928</v>
      </c>
      <c r="C1799" s="1" t="s">
        <v>1020</v>
      </c>
      <c r="D1799" s="1" t="s">
        <v>1137</v>
      </c>
      <c r="E1799" s="1">
        <v>157</v>
      </c>
      <c r="H1799" s="1" t="s">
        <v>530</v>
      </c>
      <c r="I1799" s="1" t="s">
        <v>2951</v>
      </c>
      <c r="J1799" s="1" t="s">
        <v>607</v>
      </c>
      <c r="M1799" s="15" t="s">
        <v>1938</v>
      </c>
      <c r="N1799" s="1" t="s">
        <v>463</v>
      </c>
      <c r="O1799" s="15">
        <v>6</v>
      </c>
      <c r="P1799" s="15" t="str" cm="1">
        <f t="array" ref="P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9" s="15" t="str" cm="1">
        <f t="array" ref="Q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799" s="1" t="s">
        <v>976</v>
      </c>
      <c r="T1799" s="1" t="s">
        <v>412</v>
      </c>
      <c r="U1799" s="15" t="s">
        <v>4205</v>
      </c>
      <c r="V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799" s="15" t="str">
        <f>_xlfn.TEXTBEFORE(_xlfn.TEXTAFTER(CantoralDB[[#This Row],[index.html]],"&gt;"),"&gt;")&amp;"&gt;"</f>
        <v>&lt;a href="canciones/taize/misericordias_domini.html"&gt;</v>
      </c>
      <c r="X1799"/>
      <c r="AB1799" s="1"/>
    </row>
    <row r="1800" spans="1:28" x14ac:dyDescent="0.3">
      <c r="A1800" s="1">
        <f>ROW(CantoralDB[[#This Row],[Título]])-1</f>
        <v>1799</v>
      </c>
      <c r="B1800" s="1" t="s">
        <v>873</v>
      </c>
      <c r="C1800" s="1" t="s">
        <v>1020</v>
      </c>
      <c r="D1800" s="1" t="s">
        <v>1071</v>
      </c>
      <c r="H1800" s="1" t="s">
        <v>1042</v>
      </c>
      <c r="I1800" s="1" t="s">
        <v>2953</v>
      </c>
      <c r="J1800" s="1" t="s">
        <v>607</v>
      </c>
      <c r="M1800" s="15" t="s">
        <v>1938</v>
      </c>
      <c r="N1800" s="1" t="s">
        <v>411</v>
      </c>
      <c r="O1800" s="15">
        <v>1</v>
      </c>
      <c r="P1800" s="15" t="str" cm="1">
        <f t="array" ref="P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0" s="15" t="str" cm="1">
        <f t="array" ref="Q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800" s="1" t="s">
        <v>946</v>
      </c>
      <c r="T1800" s="1" t="s">
        <v>277</v>
      </c>
      <c r="U1800" s="15" t="s">
        <v>4145</v>
      </c>
      <c r="V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800" s="15" t="str">
        <f>_xlfn.TEXTBEFORE(_xlfn.TEXTAFTER(CantoralDB[[#This Row],[index.html]],"&gt;"),"&gt;")&amp;"&gt;"</f>
        <v>&lt;a href="canciones/taize/ad_te_jesu_christe.html"&gt;</v>
      </c>
      <c r="X1800"/>
      <c r="AB1800" s="1"/>
    </row>
    <row r="1801" spans="1:28" x14ac:dyDescent="0.3">
      <c r="A1801" s="1">
        <f>ROW(CantoralDB[[#This Row],[Título]])-1</f>
        <v>1800</v>
      </c>
      <c r="B1801" s="1" t="s">
        <v>894</v>
      </c>
      <c r="C1801" s="1" t="s">
        <v>1020</v>
      </c>
      <c r="D1801" s="1" t="s">
        <v>1098</v>
      </c>
      <c r="F1801" s="1">
        <v>423</v>
      </c>
      <c r="H1801" s="1" t="s">
        <v>530</v>
      </c>
      <c r="I1801" s="1" t="s">
        <v>2953</v>
      </c>
      <c r="J1801" s="1" t="s">
        <v>607</v>
      </c>
      <c r="M1801" s="15" t="s">
        <v>1938</v>
      </c>
      <c r="N1801" s="1" t="s">
        <v>4023</v>
      </c>
      <c r="O1801" s="15">
        <v>4</v>
      </c>
      <c r="P1801" s="15" t="str" cm="1">
        <f t="array" ref="P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1" s="15" t="str" cm="1">
        <f t="array" ref="Q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801" s="1" t="s">
        <v>956</v>
      </c>
      <c r="T1801" s="1" t="s">
        <v>331</v>
      </c>
      <c r="U1801" s="15" t="s">
        <v>4072</v>
      </c>
      <c r="V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801" s="15" t="str">
        <f>_xlfn.TEXTBEFORE(_xlfn.TEXTAFTER(CantoralDB[[#This Row],[index.html]],"&gt;"),"&gt;")&amp;"&gt;"</f>
        <v>&lt;a href="canciones/taize/confitemini_domino.html"&gt;</v>
      </c>
      <c r="X1801"/>
      <c r="AB1801" s="1"/>
    </row>
    <row r="1802" spans="1:28" x14ac:dyDescent="0.3">
      <c r="A1802" s="1">
        <f>ROW(CantoralDB[[#This Row],[Título]])-1</f>
        <v>1801</v>
      </c>
      <c r="B1802" s="1" t="s">
        <v>408</v>
      </c>
      <c r="C1802" s="1" t="s">
        <v>1020</v>
      </c>
      <c r="D1802" s="1" t="s">
        <v>1141</v>
      </c>
      <c r="F1802" s="1">
        <v>68</v>
      </c>
      <c r="H1802" s="1" t="s">
        <v>1029</v>
      </c>
      <c r="J1802" s="1" t="s">
        <v>607</v>
      </c>
      <c r="M1802" s="15" t="s">
        <v>1938</v>
      </c>
      <c r="N1802" s="1" t="s">
        <v>4023</v>
      </c>
      <c r="O1802" s="15">
        <v>6</v>
      </c>
      <c r="P1802" s="15" t="str" cm="1">
        <f t="array" ref="P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2" s="15" t="str" cm="1">
        <f t="array" ref="Q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802" s="1" t="s">
        <v>975</v>
      </c>
      <c r="T1802" s="1" t="s">
        <v>408</v>
      </c>
      <c r="U1802" s="32" t="s">
        <v>4074</v>
      </c>
      <c r="V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802" s="15" t="str">
        <f>_xlfn.TEXTBEFORE(_xlfn.TEXTAFTER(CantoralDB[[#This Row],[index.html]],"&gt;"),"&gt;")&amp;"&gt;"</f>
        <v>&lt;a href="canciones/taize/magnificat_(canon).html"&gt;</v>
      </c>
      <c r="X1802"/>
      <c r="AB1802" s="1"/>
    </row>
    <row r="1803" spans="1:28" x14ac:dyDescent="0.3">
      <c r="A1803" s="1">
        <f>ROW(CantoralDB[[#This Row],[Título]])-1</f>
        <v>1802</v>
      </c>
      <c r="B1803" s="1" t="s">
        <v>871</v>
      </c>
      <c r="C1803" s="1" t="s">
        <v>1020</v>
      </c>
      <c r="D1803" s="1" t="s">
        <v>1070</v>
      </c>
      <c r="H1803" s="1" t="s">
        <v>530</v>
      </c>
      <c r="I1803" s="1" t="s">
        <v>2954</v>
      </c>
      <c r="J1803" s="1" t="s">
        <v>607</v>
      </c>
      <c r="M1803" s="15" t="s">
        <v>1938</v>
      </c>
      <c r="N1803" s="1" t="s">
        <v>411</v>
      </c>
      <c r="O1803" s="15">
        <v>11</v>
      </c>
      <c r="P1803" s="15" t="str" cm="1">
        <f t="array" ref="P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3" s="15" t="str" cm="1">
        <f t="array" ref="Q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803" s="1" t="s">
        <v>945</v>
      </c>
      <c r="T1803" s="1" t="s">
        <v>276</v>
      </c>
      <c r="U1803" s="15" t="s">
        <v>4154</v>
      </c>
      <c r="V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803" s="15" t="str">
        <f>_xlfn.TEXTBEFORE(_xlfn.TEXTAFTER(CantoralDB[[#This Row],[index.html]],"&gt;"),"&gt;")&amp;"&gt;"</f>
        <v>&lt;a href="canciones/taize/aber_du_weisst_den_weg_für_mich.html"&gt;</v>
      </c>
      <c r="X1803"/>
      <c r="AB1803" s="1"/>
    </row>
    <row r="1804" spans="1:28" x14ac:dyDescent="0.3">
      <c r="A1804" s="1">
        <f>ROW(CantoralDB[[#This Row],[Título]])-1</f>
        <v>1803</v>
      </c>
      <c r="B1804" s="1" t="s">
        <v>910</v>
      </c>
      <c r="C1804" s="1" t="s">
        <v>1020</v>
      </c>
      <c r="D1804" s="1" t="s">
        <v>1127</v>
      </c>
      <c r="H1804" s="1" t="s">
        <v>1027</v>
      </c>
      <c r="I1804" s="1" t="s">
        <v>2953</v>
      </c>
      <c r="J1804" s="1" t="s">
        <v>607</v>
      </c>
      <c r="M1804" s="15" t="s">
        <v>1938</v>
      </c>
      <c r="N1804" s="1" t="s">
        <v>411</v>
      </c>
      <c r="O1804" s="15">
        <v>6</v>
      </c>
      <c r="P1804" s="15" t="str" cm="1">
        <f t="array" ref="P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4" s="15" t="str" cm="1">
        <f t="array" ref="Q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804" s="1" t="s">
        <v>966</v>
      </c>
      <c r="T1804" s="1" t="s">
        <v>367</v>
      </c>
      <c r="U1804" s="15" t="s">
        <v>4150</v>
      </c>
      <c r="V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804" s="15" t="str">
        <f>_xlfn.TEXTBEFORE(_xlfn.TEXTAFTER(CantoralDB[[#This Row],[index.html]],"&gt;"),"&gt;")&amp;"&gt;"</f>
        <v>&lt;a href="canciones/taize/iedere_nacht_verlang_ik.html"&gt;</v>
      </c>
      <c r="X1804"/>
      <c r="AB1804" s="1"/>
    </row>
    <row r="1805" spans="1:28" x14ac:dyDescent="0.3">
      <c r="A1805" s="1">
        <f>ROW(CantoralDB[[#This Row],[Título]])-1</f>
        <v>1804</v>
      </c>
      <c r="B1805" s="1" t="s">
        <v>906</v>
      </c>
      <c r="C1805" s="1" t="s">
        <v>1020</v>
      </c>
      <c r="D1805" s="1" t="s">
        <v>1123</v>
      </c>
      <c r="H1805" s="1" t="s">
        <v>1029</v>
      </c>
      <c r="J1805" s="1" t="s">
        <v>607</v>
      </c>
      <c r="M1805" s="15" t="s">
        <v>1938</v>
      </c>
      <c r="N1805" s="1" t="s">
        <v>411</v>
      </c>
      <c r="O1805" s="15">
        <v>17</v>
      </c>
      <c r="P1805" s="15" t="str" cm="1">
        <f t="array" ref="P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5" s="15" t="str" cm="1">
        <f t="array" ref="Q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805" s="1"/>
      <c r="T1805" s="1" t="s">
        <v>348</v>
      </c>
      <c r="U1805" s="15" t="s">
        <v>4160</v>
      </c>
      <c r="V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805" s="15" t="str">
        <f>_xlfn.TEXTBEFORE(_xlfn.TEXTAFTER(CantoralDB[[#This Row],[index.html]],"&gt;"),"&gt;")&amp;"&gt;"</f>
        <v>&lt;a href="canciones/taize/esprit_consolateur.html"&gt;</v>
      </c>
      <c r="X1805"/>
      <c r="AB1805" s="1"/>
    </row>
    <row r="1806" spans="1:28" x14ac:dyDescent="0.3">
      <c r="A1806" s="1">
        <f>ROW(CantoralDB[[#This Row],[Título]])-1</f>
        <v>1805</v>
      </c>
      <c r="B1806" s="1" t="s">
        <v>899</v>
      </c>
      <c r="C1806" s="1" t="s">
        <v>1020</v>
      </c>
      <c r="D1806" s="1" t="s">
        <v>1113</v>
      </c>
      <c r="H1806" s="1" t="s">
        <v>1029</v>
      </c>
      <c r="I1806" s="1" t="s">
        <v>2950</v>
      </c>
      <c r="J1806" s="1" t="s">
        <v>607</v>
      </c>
      <c r="M1806" s="15" t="s">
        <v>1938</v>
      </c>
      <c r="N1806" s="1" t="s">
        <v>343</v>
      </c>
      <c r="O1806" s="15">
        <v>12</v>
      </c>
      <c r="P1806" s="15" t="str" cm="1">
        <f t="array" ref="P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6" s="15" t="str" cm="1">
        <f t="array" ref="Q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806" s="1" t="s">
        <v>961</v>
      </c>
      <c r="T1806" s="1" t="s">
        <v>338</v>
      </c>
      <c r="U1806" s="15" t="s">
        <v>4104</v>
      </c>
      <c r="V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806" s="15" t="str">
        <f>_xlfn.TEXTBEFORE(_xlfn.TEXTAFTER(CantoralDB[[#This Row],[index.html]],"&gt;"),"&gt;")&amp;"&gt;"</f>
        <v>&lt;a href="canciones/taize/deus_deus_meus_(canon).html"&gt;</v>
      </c>
      <c r="X1806"/>
      <c r="AB1806" s="1"/>
    </row>
    <row r="1807" spans="1:28" x14ac:dyDescent="0.3">
      <c r="A1807" s="1">
        <f>ROW(CantoralDB[[#This Row],[Título]])-1</f>
        <v>1806</v>
      </c>
      <c r="B1807" s="1" t="s">
        <v>912</v>
      </c>
      <c r="C1807" s="1" t="s">
        <v>1020</v>
      </c>
      <c r="D1807" s="1" t="s">
        <v>1128</v>
      </c>
      <c r="H1807" s="1" t="s">
        <v>530</v>
      </c>
      <c r="I1807" s="1" t="s">
        <v>2953</v>
      </c>
      <c r="J1807" s="1" t="s">
        <v>607</v>
      </c>
      <c r="M1807" s="15" t="s">
        <v>1938</v>
      </c>
      <c r="N1807" s="1" t="s">
        <v>4043</v>
      </c>
      <c r="O1807" s="15">
        <v>10</v>
      </c>
      <c r="P1807" s="15" t="str" cm="1">
        <f t="array" ref="P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7" s="15" t="str" cm="1">
        <f t="array" ref="Q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807" s="1" t="s">
        <v>968</v>
      </c>
      <c r="T1807" s="1" t="s">
        <v>369</v>
      </c>
      <c r="U1807" s="15" t="s">
        <v>4226</v>
      </c>
      <c r="V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807" s="15" t="str">
        <f>_xlfn.TEXTBEFORE(_xlfn.TEXTAFTER(CantoralDB[[#This Row],[index.html]],"&gt;"),"&gt;")&amp;"&gt;"</f>
        <v>&lt;a href="canciones/taize/in_manus_tuas.html"&gt;</v>
      </c>
      <c r="X1807"/>
      <c r="AB1807" s="1"/>
    </row>
    <row r="1808" spans="1:28" x14ac:dyDescent="0.3">
      <c r="A1808" s="1">
        <f>ROW(CantoralDB[[#This Row],[Título]])-1</f>
        <v>1807</v>
      </c>
      <c r="B1808" s="1" t="s">
        <v>930</v>
      </c>
      <c r="C1808" s="1" t="s">
        <v>1020</v>
      </c>
      <c r="D1808" s="1" t="s">
        <v>1143</v>
      </c>
      <c r="H1808" s="1" t="s">
        <v>530</v>
      </c>
      <c r="J1808" s="1" t="s">
        <v>607</v>
      </c>
      <c r="M1808" s="15" t="s">
        <v>1938</v>
      </c>
      <c r="O1808" s="15"/>
      <c r="P1808" s="15" t="str" cm="1">
        <f t="array" ref="P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8" s="15" t="str" cm="1">
        <f t="array" ref="Q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808" s="1"/>
      <c r="T1808" s="1" t="s">
        <v>424</v>
      </c>
      <c r="U1808" s="15" t="s">
        <v>4240</v>
      </c>
      <c r="V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808" s="15" t="str">
        <f>_xlfn.TEXTBEFORE(_xlfn.TEXTAFTER(CantoralDB[[#This Row],[index.html]],"&gt;"),"&gt;")&amp;"&gt;"</f>
        <v>&lt;a href="canciones/taize/para_mim_ser_feliz.html"&gt;</v>
      </c>
      <c r="X1808"/>
      <c r="AB1808" s="1"/>
    </row>
    <row r="1809" spans="1:28" x14ac:dyDescent="0.3">
      <c r="A1809" s="1">
        <f>ROW(CantoralDB[[#This Row],[Título]])-1</f>
        <v>1808</v>
      </c>
      <c r="B1809" s="1" t="s">
        <v>885</v>
      </c>
      <c r="C1809" s="1" t="s">
        <v>1020</v>
      </c>
      <c r="D1809" s="1" t="s">
        <v>1088</v>
      </c>
      <c r="H1809" s="1" t="s">
        <v>530</v>
      </c>
      <c r="I1809" s="1" t="s">
        <v>2951</v>
      </c>
      <c r="J1809" s="1" t="s">
        <v>607</v>
      </c>
      <c r="M1809" s="15" t="s">
        <v>1938</v>
      </c>
      <c r="N1809" s="1" t="s">
        <v>4018</v>
      </c>
      <c r="O1809" s="15">
        <v>7</v>
      </c>
      <c r="P1809" s="15" t="str" cm="1">
        <f t="array" ref="P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9" s="15" t="str" cm="1">
        <f t="array" ref="Q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809" s="1" t="s">
        <v>951</v>
      </c>
      <c r="T1809" s="1" t="s">
        <v>317</v>
      </c>
      <c r="U1809" s="15" t="s">
        <v>4177</v>
      </c>
      <c r="V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809" s="15" t="str">
        <f>_xlfn.TEXTBEFORE(_xlfn.TEXTAFTER(CantoralDB[[#This Row],[index.html]],"&gt;"),"&gt;")&amp;"&gt;"</f>
        <v>&lt;a href="canciones/taize/bleibet_hier.html"&gt;</v>
      </c>
      <c r="X1809"/>
      <c r="AB1809" s="1"/>
    </row>
    <row r="1810" spans="1:28" x14ac:dyDescent="0.3">
      <c r="A1810" s="1">
        <f>ROW(CantoralDB[[#This Row],[Título]])-1</f>
        <v>1809</v>
      </c>
      <c r="B1810" s="1" t="s">
        <v>931</v>
      </c>
      <c r="C1810" s="1" t="s">
        <v>1020</v>
      </c>
      <c r="D1810" s="1" t="s">
        <v>1144</v>
      </c>
      <c r="H1810" s="1" t="s">
        <v>530</v>
      </c>
      <c r="I1810" s="1" t="s">
        <v>2951</v>
      </c>
      <c r="J1810" s="1" t="s">
        <v>607</v>
      </c>
      <c r="M1810" s="15" t="s">
        <v>1938</v>
      </c>
      <c r="N1810" s="1" t="s">
        <v>4023</v>
      </c>
      <c r="O1810" s="15">
        <v>11</v>
      </c>
      <c r="P1810" s="15" t="str" cm="1">
        <f t="array" ref="P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0" s="15" t="str" cm="1">
        <f t="array" ref="Q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810" s="1"/>
      <c r="T1810" s="1" t="s">
        <v>425</v>
      </c>
      <c r="U1810" s="15" t="s">
        <v>4078</v>
      </c>
      <c r="V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810" s="15" t="str">
        <f>_xlfn.TEXTBEFORE(_xlfn.TEXTAFTER(CantoralDB[[#This Row],[index.html]],"&gt;"),"&gt;")&amp;"&gt;"</f>
        <v>&lt;a href="canciones/taize/per_crucem.html"&gt;</v>
      </c>
      <c r="X1810"/>
      <c r="AB1810" s="1"/>
    </row>
    <row r="1811" spans="1:28" x14ac:dyDescent="0.3">
      <c r="A1811" s="1">
        <f>ROW(CantoralDB[[#This Row],[Título]])-1</f>
        <v>1810</v>
      </c>
      <c r="B1811" s="1" t="s">
        <v>882</v>
      </c>
      <c r="C1811" s="1" t="s">
        <v>1020</v>
      </c>
      <c r="D1811" s="1" t="s">
        <v>1085</v>
      </c>
      <c r="H1811" s="1" t="s">
        <v>530</v>
      </c>
      <c r="I1811" s="1" t="s">
        <v>2952</v>
      </c>
      <c r="J1811" s="1" t="s">
        <v>607</v>
      </c>
      <c r="M1811" s="15" t="s">
        <v>1938</v>
      </c>
      <c r="N1811" s="1" t="s">
        <v>4048</v>
      </c>
      <c r="O1811" s="15">
        <v>3</v>
      </c>
      <c r="P1811" s="15" t="str" cm="1">
        <f t="array" ref="P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1" s="15" t="str" cm="1">
        <f t="array" ref="Q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811" s="1" t="s">
        <v>948</v>
      </c>
      <c r="T1811" s="1" t="s">
        <v>311</v>
      </c>
      <c r="U1811" s="15" t="s">
        <v>4085</v>
      </c>
      <c r="V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811" s="15" t="str">
        <f>_xlfn.TEXTBEFORE(_xlfn.TEXTAFTER(CantoralDB[[#This Row],[index.html]],"&gt;"),"&gt;")&amp;"&gt;"</f>
        <v>&lt;a href="canciones/taize/behüte_mich_gott.html"&gt;</v>
      </c>
      <c r="X1811"/>
      <c r="AB1811" s="1"/>
    </row>
    <row r="1812" spans="1:28" x14ac:dyDescent="0.3">
      <c r="A1812" s="1">
        <f>ROW(CantoralDB[[#This Row],[Título]])-1</f>
        <v>1811</v>
      </c>
      <c r="B1812" s="1" t="s">
        <v>925</v>
      </c>
      <c r="C1812" s="1" t="s">
        <v>1020</v>
      </c>
      <c r="D1812" s="1" t="s">
        <v>1138</v>
      </c>
      <c r="H1812" s="1" t="s">
        <v>1029</v>
      </c>
      <c r="I1812" s="1" t="s">
        <v>2952</v>
      </c>
      <c r="J1812" s="1" t="s">
        <v>607</v>
      </c>
      <c r="M1812" s="15" t="s">
        <v>1938</v>
      </c>
      <c r="N1812" s="1" t="s">
        <v>4026</v>
      </c>
      <c r="O1812" s="15">
        <v>8</v>
      </c>
      <c r="P1812" s="15" t="str" cm="1">
        <f t="array" ref="P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2" s="15" t="str" cm="1">
        <f t="array" ref="Q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812" s="1" t="s">
        <v>973</v>
      </c>
      <c r="T1812" s="1" t="s">
        <v>783</v>
      </c>
      <c r="U1812" s="15" t="s">
        <v>4118</v>
      </c>
      <c r="V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812" s="15" t="str">
        <f>_xlfn.TEXTBEFORE(_xlfn.TEXTAFTER(CantoralDB[[#This Row],[index.html]],"&gt;"),"&gt;")&amp;"&gt;"</f>
        <v>&lt;a href="canciones/taize/laudate_dominum.html"&gt;</v>
      </c>
      <c r="X1812"/>
      <c r="AB1812" s="1"/>
    </row>
    <row r="1813" spans="1:28" x14ac:dyDescent="0.3">
      <c r="A1813" s="1">
        <f>ROW(CantoralDB[[#This Row],[Título]])-1</f>
        <v>1812</v>
      </c>
      <c r="B1813" s="1" t="s">
        <v>889</v>
      </c>
      <c r="C1813" s="1" t="s">
        <v>1020</v>
      </c>
      <c r="D1813" s="1" t="s">
        <v>1092</v>
      </c>
      <c r="H1813" s="1" t="s">
        <v>530</v>
      </c>
      <c r="I1813" s="1" t="s">
        <v>2951</v>
      </c>
      <c r="J1813" s="1" t="s">
        <v>607</v>
      </c>
      <c r="M1813" s="15" t="s">
        <v>1938</v>
      </c>
      <c r="N1813" s="1" t="s">
        <v>4026</v>
      </c>
      <c r="O1813" s="15">
        <v>13</v>
      </c>
      <c r="P1813" s="15" t="str" cm="1">
        <f t="array" ref="P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3" s="15" t="str" cm="1">
        <f t="array" ref="Q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813" s="1" t="s">
        <v>953</v>
      </c>
      <c r="T1813" s="1" t="s">
        <v>322</v>
      </c>
      <c r="U1813" s="15" t="s">
        <v>4123</v>
      </c>
      <c r="V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813" s="15" t="str">
        <f>_xlfn.TEXTBEFORE(_xlfn.TEXTAFTER(CantoralDB[[#This Row],[index.html]],"&gt;"),"&gt;")&amp;"&gt;"</f>
        <v>&lt;a href="canciones/taize/bonum_est_confidere.html"&gt;</v>
      </c>
      <c r="X1813"/>
      <c r="AB1813" s="1"/>
    </row>
    <row r="1814" spans="1:28" x14ac:dyDescent="0.3">
      <c r="A1814" s="1">
        <f>ROW(CantoralDB[[#This Row],[Título]])-1</f>
        <v>1813</v>
      </c>
      <c r="B1814" s="1" t="s">
        <v>926</v>
      </c>
      <c r="C1814" s="1" t="s">
        <v>1020</v>
      </c>
      <c r="D1814" s="1" t="s">
        <v>1139</v>
      </c>
      <c r="F1814" s="1">
        <v>429</v>
      </c>
      <c r="H1814" s="1" t="s">
        <v>530</v>
      </c>
      <c r="I1814" s="1" t="s">
        <v>2952</v>
      </c>
      <c r="J1814" s="1" t="s">
        <v>607</v>
      </c>
      <c r="M1814" s="15" t="s">
        <v>1938</v>
      </c>
      <c r="N1814" s="1" t="s">
        <v>4023</v>
      </c>
      <c r="O1814" s="15">
        <v>12</v>
      </c>
      <c r="P1814" s="15" t="str" cm="1">
        <f t="array" ref="P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4" s="15" t="str" cm="1">
        <f t="array" ref="Q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14" s="1" t="s">
        <v>973</v>
      </c>
      <c r="T1814" s="1" t="s">
        <v>784</v>
      </c>
      <c r="U1814" s="15" t="s">
        <v>4079</v>
      </c>
      <c r="V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814" s="15" t="str">
        <f>_xlfn.TEXTBEFORE(_xlfn.TEXTAFTER(CantoralDB[[#This Row],[index.html]],"&gt;"),"&gt;")&amp;"&gt;"</f>
        <v>&lt;a href="canciones/taize/laudate_omnes_gentes.html"&gt;</v>
      </c>
      <c r="X1814"/>
      <c r="AB1814" s="1"/>
    </row>
    <row r="1815" spans="1:28" x14ac:dyDescent="0.3">
      <c r="A1815" s="1">
        <f>ROW(CantoralDB[[#This Row],[Título]])-1</f>
        <v>1814</v>
      </c>
      <c r="B1815" s="1" t="s">
        <v>927</v>
      </c>
      <c r="C1815" s="1" t="s">
        <v>1020</v>
      </c>
      <c r="D1815" s="1" t="s">
        <v>1140</v>
      </c>
      <c r="H1815" s="1" t="s">
        <v>530</v>
      </c>
      <c r="I1815" s="1" t="s">
        <v>2953</v>
      </c>
      <c r="J1815" s="1" t="s">
        <v>607</v>
      </c>
      <c r="M1815" s="15" t="s">
        <v>1938</v>
      </c>
      <c r="N1815" s="1" t="s">
        <v>4058</v>
      </c>
      <c r="O1815" s="15">
        <v>19</v>
      </c>
      <c r="P1815" s="15" t="str" cm="1">
        <f t="array" ref="P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5" s="15" t="str" cm="1">
        <f t="array" ref="Q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15" s="1" t="s">
        <v>974</v>
      </c>
      <c r="T1815" s="1" t="s">
        <v>407</v>
      </c>
      <c r="U1815" s="15" t="s">
        <v>4163</v>
      </c>
      <c r="V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815" s="15" t="str">
        <f>_xlfn.TEXTBEFORE(_xlfn.TEXTAFTER(CantoralDB[[#This Row],[index.html]],"&gt;"),"&gt;")&amp;"&gt;"</f>
        <v>&lt;a href="canciones/taize/let_all_who_are_thirsty_come.html"&gt;</v>
      </c>
      <c r="X1815"/>
      <c r="AB1815" s="1"/>
    </row>
    <row r="1816" spans="1:28" x14ac:dyDescent="0.3">
      <c r="A1816" s="1">
        <f>ROW(CantoralDB[[#This Row],[Título]])-1</f>
        <v>1815</v>
      </c>
      <c r="B1816" s="1" t="s">
        <v>935</v>
      </c>
      <c r="C1816" s="1" t="s">
        <v>1020</v>
      </c>
      <c r="D1816" s="1" t="s">
        <v>1146</v>
      </c>
      <c r="H1816" s="1" t="s">
        <v>472</v>
      </c>
      <c r="I1816" s="1" t="s">
        <v>2951</v>
      </c>
      <c r="J1816" s="1" t="s">
        <v>607</v>
      </c>
      <c r="M1816" s="15" t="s">
        <v>1938</v>
      </c>
      <c r="N1816" s="1" t="s">
        <v>4060</v>
      </c>
      <c r="O1816" s="15">
        <v>16</v>
      </c>
      <c r="P1816" s="15" t="str" cm="1">
        <f t="array" ref="P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6" s="15" t="str" cm="1">
        <f t="array" ref="Q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16" s="1" t="s">
        <v>982</v>
      </c>
      <c r="T1816" s="1" t="s">
        <v>442</v>
      </c>
      <c r="U1816" s="15" t="s">
        <v>4138</v>
      </c>
      <c r="V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816" s="15" t="str">
        <f>_xlfn.TEXTBEFORE(_xlfn.TEXTAFTER(CantoralDB[[#This Row],[index.html]],"&gt;"),"&gt;")&amp;"&gt;"</f>
        <v>&lt;a href="canciones/taize/staňte_se_soli.html"&gt;</v>
      </c>
      <c r="X1816"/>
      <c r="AB1816" s="1"/>
    </row>
    <row r="1817" spans="1:28" x14ac:dyDescent="0.3">
      <c r="A1817" s="1">
        <f>ROW(CantoralDB[[#This Row],[Título]])-1</f>
        <v>1816</v>
      </c>
      <c r="B1817" s="1" t="s">
        <v>872</v>
      </c>
      <c r="C1817" s="1" t="s">
        <v>1020</v>
      </c>
      <c r="D1817" s="1" t="s">
        <v>1072</v>
      </c>
      <c r="H1817" s="1" t="s">
        <v>1027</v>
      </c>
      <c r="I1817" s="1" t="s">
        <v>2953</v>
      </c>
      <c r="J1817" s="1" t="s">
        <v>607</v>
      </c>
      <c r="M1817" s="15" t="s">
        <v>1938</v>
      </c>
      <c r="N1817" s="1" t="s">
        <v>4067</v>
      </c>
      <c r="O1817" s="15">
        <v>2</v>
      </c>
      <c r="P1817" s="15" t="str" cm="1">
        <f t="array" ref="P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7" s="15" t="str" cm="1">
        <f t="array" ref="Q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17" s="1"/>
      <c r="T1817" s="1" t="s">
        <v>280</v>
      </c>
      <c r="U1817" s="15" t="s">
        <v>4082</v>
      </c>
      <c r="V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817" s="15" t="str">
        <f>_xlfn.TEXTBEFORE(_xlfn.TEXTAFTER(CantoralDB[[#This Row],[index.html]],"&gt;"),"&gt;")&amp;"&gt;"</f>
        <v>&lt;a href="canciones/taize/adoramus_te_o_christe.html"&gt;</v>
      </c>
      <c r="X1817"/>
      <c r="AB1817" s="1"/>
    </row>
    <row r="1818" spans="1:28" x14ac:dyDescent="0.3">
      <c r="A1818" s="1">
        <f>ROW(CantoralDB[[#This Row],[Título]])-1</f>
        <v>1817</v>
      </c>
      <c r="B1818" s="1" t="s">
        <v>920</v>
      </c>
      <c r="C1818" s="1" t="s">
        <v>1020</v>
      </c>
      <c r="D1818" s="1" t="s">
        <v>1132</v>
      </c>
      <c r="H1818" s="1" t="s">
        <v>1029</v>
      </c>
      <c r="J1818" s="1" t="s">
        <v>607</v>
      </c>
      <c r="M1818" s="15" t="s">
        <v>1938</v>
      </c>
      <c r="O1818" s="15"/>
      <c r="P1818" s="15" t="str" cm="1">
        <f t="array" ref="P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8" s="15" t="str" cm="1">
        <f t="array" ref="Q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18" s="1"/>
      <c r="T1818" s="1" t="s">
        <v>385</v>
      </c>
      <c r="U1818" s="15" t="s">
        <v>4238</v>
      </c>
      <c r="V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818" s="15" t="str">
        <f>_xlfn.TEXTBEFORE(_xlfn.TEXTAFTER(CantoralDB[[#This Row],[index.html]],"&gt;"),"&gt;")&amp;"&gt;"</f>
        <v>&lt;a href="canciones/taize/kyrie_1.html"&gt;</v>
      </c>
      <c r="X1818"/>
      <c r="AB1818" s="1"/>
    </row>
    <row r="1819" spans="1:28" x14ac:dyDescent="0.3">
      <c r="A1819" s="1">
        <f>ROW(CantoralDB[[#This Row],[Título]])-1</f>
        <v>1818</v>
      </c>
      <c r="B1819" s="1" t="s">
        <v>921</v>
      </c>
      <c r="C1819" s="1" t="s">
        <v>1020</v>
      </c>
      <c r="D1819" s="1" t="s">
        <v>1133</v>
      </c>
      <c r="H1819" s="1" t="s">
        <v>530</v>
      </c>
      <c r="I1819" s="1" t="s">
        <v>2952</v>
      </c>
      <c r="J1819" s="1" t="s">
        <v>607</v>
      </c>
      <c r="M1819" s="15" t="s">
        <v>1938</v>
      </c>
      <c r="N1819" s="1" t="s">
        <v>4048</v>
      </c>
      <c r="O1819" s="15">
        <v>10</v>
      </c>
      <c r="P1819" s="15" t="str" cm="1">
        <f t="array" ref="P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9" s="15" t="str" cm="1">
        <f t="array" ref="Q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19" s="1"/>
      <c r="T1819" s="1" t="s">
        <v>398</v>
      </c>
      <c r="U1819" s="15" t="s">
        <v>4092</v>
      </c>
      <c r="V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819" s="15" t="str">
        <f>_xlfn.TEXTBEFORE(_xlfn.TEXTAFTER(CantoralDB[[#This Row],[index.html]],"&gt;"),"&gt;")&amp;"&gt;"</f>
        <v>&lt;a href="canciones/taize/kyrie_20.html"&gt;</v>
      </c>
      <c r="X1819"/>
      <c r="AB1819" s="1"/>
    </row>
    <row r="1820" spans="1:28" x14ac:dyDescent="0.3">
      <c r="A1820" s="1">
        <f>ROW(CantoralDB[[#This Row],[Título]])-1</f>
        <v>1819</v>
      </c>
      <c r="B1820" s="1" t="s">
        <v>922</v>
      </c>
      <c r="C1820" s="1" t="s">
        <v>1020</v>
      </c>
      <c r="D1820" s="1" t="s">
        <v>1134</v>
      </c>
      <c r="H1820" s="1" t="s">
        <v>1029</v>
      </c>
      <c r="I1820" s="1" t="s">
        <v>2950</v>
      </c>
      <c r="J1820" s="1" t="s">
        <v>607</v>
      </c>
      <c r="M1820" s="15" t="s">
        <v>1938</v>
      </c>
      <c r="N1820" s="1" t="s">
        <v>4054</v>
      </c>
      <c r="O1820" s="15">
        <v>16</v>
      </c>
      <c r="P1820" s="15" t="str" cm="1">
        <f t="array" ref="P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0" s="15" t="str" cm="1">
        <f t="array" ref="Q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20" s="1"/>
      <c r="T1820" s="1" t="s">
        <v>387</v>
      </c>
      <c r="U1820" s="15" t="s">
        <v>4168</v>
      </c>
      <c r="V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820" s="15" t="str">
        <f>_xlfn.TEXTBEFORE(_xlfn.TEXTAFTER(CantoralDB[[#This Row],[index.html]],"&gt;"),"&gt;")&amp;"&gt;"</f>
        <v>&lt;a href="canciones/taize/kyrie_6.html"&gt;</v>
      </c>
      <c r="X1820"/>
      <c r="AB1820" s="1"/>
    </row>
    <row r="1821" spans="1:28" x14ac:dyDescent="0.3">
      <c r="A1821" s="1">
        <f>ROW(CantoralDB[[#This Row],[Título]])-1</f>
        <v>1820</v>
      </c>
      <c r="B1821" s="1" t="s">
        <v>923</v>
      </c>
      <c r="C1821" s="1" t="s">
        <v>1020</v>
      </c>
      <c r="D1821" s="1" t="s">
        <v>1135</v>
      </c>
      <c r="H1821" s="1" t="s">
        <v>530</v>
      </c>
      <c r="I1821" s="1" t="s">
        <v>2953</v>
      </c>
      <c r="J1821" s="1" t="s">
        <v>607</v>
      </c>
      <c r="M1821" s="15" t="s">
        <v>1938</v>
      </c>
      <c r="O1821" s="15"/>
      <c r="P1821" s="15" t="str" cm="1">
        <f t="array" ref="P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1" s="15" t="str" cm="1">
        <f t="array" ref="Q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21" s="1"/>
      <c r="T1821" s="1" t="s">
        <v>389</v>
      </c>
      <c r="U1821" s="15" t="s">
        <v>4239</v>
      </c>
      <c r="V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821" s="15" t="str">
        <f>_xlfn.TEXTBEFORE(_xlfn.TEXTAFTER(CantoralDB[[#This Row],[index.html]],"&gt;"),"&gt;")&amp;"&gt;"</f>
        <v>&lt;a href="canciones/taize/kyrie_8.html"&gt;</v>
      </c>
      <c r="X1821"/>
      <c r="AB1821" s="1"/>
    </row>
    <row r="1822" spans="1:28" x14ac:dyDescent="0.3">
      <c r="A1822" s="1">
        <f>ROW(CantoralDB[[#This Row],[Título]])-1</f>
        <v>1821</v>
      </c>
      <c r="B1822" s="1" t="s">
        <v>886</v>
      </c>
      <c r="C1822" s="1" t="s">
        <v>1020</v>
      </c>
      <c r="D1822" s="1" t="s">
        <v>1089</v>
      </c>
      <c r="H1822" s="1" t="s">
        <v>530</v>
      </c>
      <c r="I1822" s="1" t="s">
        <v>2951</v>
      </c>
      <c r="J1822" s="1" t="s">
        <v>607</v>
      </c>
      <c r="M1822" s="15" t="s">
        <v>1938</v>
      </c>
      <c r="N1822" s="1" t="s">
        <v>4023</v>
      </c>
      <c r="O1822" s="15">
        <v>1</v>
      </c>
      <c r="P1822" s="15" t="str" cm="1">
        <f t="array" ref="P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2" s="15" t="str" cm="1">
        <f t="array" ref="Q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22" s="1" t="s">
        <v>952</v>
      </c>
      <c r="T1822" s="1" t="s">
        <v>318</v>
      </c>
      <c r="U1822" s="15" t="s">
        <v>4069</v>
      </c>
      <c r="V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822" s="15" t="str">
        <f>_xlfn.TEXTBEFORE(_xlfn.TEXTAFTER(CantoralDB[[#This Row],[index.html]],"&gt;"),"&gt;")&amp;"&gt;"</f>
        <v>&lt;a href="canciones/taize/bless_the_lord.html"&gt;</v>
      </c>
      <c r="X1822"/>
      <c r="AB1822" s="1"/>
    </row>
    <row r="1823" spans="1:28" x14ac:dyDescent="0.3">
      <c r="A1823" s="1">
        <f>ROW(CantoralDB[[#This Row],[Título]])-1</f>
        <v>1822</v>
      </c>
      <c r="B1823" s="1" t="s">
        <v>939</v>
      </c>
      <c r="C1823" s="1" t="s">
        <v>1020</v>
      </c>
      <c r="D1823" s="1" t="s">
        <v>1148</v>
      </c>
      <c r="H1823" s="1" t="s">
        <v>530</v>
      </c>
      <c r="I1823" s="1" t="s">
        <v>2952</v>
      </c>
      <c r="J1823" s="1" t="s">
        <v>607</v>
      </c>
      <c r="M1823" s="15" t="s">
        <v>1938</v>
      </c>
      <c r="N1823" s="1" t="s">
        <v>4043</v>
      </c>
      <c r="O1823" s="15">
        <v>13</v>
      </c>
      <c r="P1823" s="15" t="str" cm="1">
        <f t="array" ref="P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3" s="15" t="str" cm="1">
        <f t="array" ref="Q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23" s="1"/>
      <c r="T1823" s="1" t="s">
        <v>453</v>
      </c>
      <c r="U1823" s="15" t="s">
        <v>4229</v>
      </c>
      <c r="V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823" s="15" t="str">
        <f>_xlfn.TEXTBEFORE(_xlfn.TEXTAFTER(CantoralDB[[#This Row],[index.html]],"&gt;"),"&gt;")&amp;"&gt;"</f>
        <v>&lt;a href="canciones/taize/tu_sei_sorgente_viva.html"&gt;</v>
      </c>
      <c r="X1823"/>
      <c r="AB1823" s="1"/>
    </row>
    <row r="1824" spans="1:28" x14ac:dyDescent="0.3">
      <c r="A1824" s="1">
        <f>ROW(CantoralDB[[#This Row],[Título]])-1</f>
        <v>1823</v>
      </c>
      <c r="B1824" s="1" t="s">
        <v>933</v>
      </c>
      <c r="C1824" s="1" t="s">
        <v>1020</v>
      </c>
      <c r="D1824" s="1" t="s">
        <v>1145</v>
      </c>
      <c r="H1824" s="1" t="s">
        <v>530</v>
      </c>
      <c r="I1824" s="1" t="s">
        <v>2951</v>
      </c>
      <c r="J1824" s="1" t="s">
        <v>607</v>
      </c>
      <c r="M1824" s="15" t="s">
        <v>1938</v>
      </c>
      <c r="N1824" s="1" t="s">
        <v>4060</v>
      </c>
      <c r="O1824" s="15">
        <v>4</v>
      </c>
      <c r="P1824" s="15" t="str" cm="1">
        <f t="array" ref="P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4" s="15" t="str" cm="1">
        <f t="array" ref="Q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24" s="1" t="s">
        <v>980</v>
      </c>
      <c r="T1824" s="1" t="s">
        <v>432</v>
      </c>
      <c r="U1824" s="15" t="s">
        <v>4129</v>
      </c>
      <c r="V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824" s="15" t="str">
        <f>_xlfn.TEXTBEFORE(_xlfn.TEXTAFTER(CantoralDB[[#This Row],[index.html]],"&gt;"),"&gt;")&amp;"&gt;"</f>
        <v>&lt;a href="canciones/taize/sanasi_on_lamppu.html"&gt;</v>
      </c>
      <c r="X1824"/>
      <c r="AB1824" s="1"/>
    </row>
    <row r="1825" spans="1:28" x14ac:dyDescent="0.3">
      <c r="A1825" s="1">
        <f>ROW(CantoralDB[[#This Row],[Título]])-1</f>
        <v>1824</v>
      </c>
      <c r="B1825" s="1" t="s">
        <v>895</v>
      </c>
      <c r="C1825" s="1" t="s">
        <v>1020</v>
      </c>
      <c r="D1825" s="1" t="s">
        <v>1103</v>
      </c>
      <c r="H1825" s="1" t="s">
        <v>1027</v>
      </c>
      <c r="I1825" s="1" t="s">
        <v>2953</v>
      </c>
      <c r="J1825" s="1" t="s">
        <v>607</v>
      </c>
      <c r="M1825" s="15" t="s">
        <v>1938</v>
      </c>
      <c r="N1825" s="1" t="s">
        <v>463</v>
      </c>
      <c r="O1825" s="15">
        <v>8</v>
      </c>
      <c r="P1825" s="15" t="str" cm="1">
        <f t="array" ref="P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5" s="15" t="str" cm="1">
        <f t="array" ref="Q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25" s="1"/>
      <c r="T1825" s="1" t="s">
        <v>332</v>
      </c>
      <c r="U1825" s="15" t="s">
        <v>4207</v>
      </c>
      <c r="V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825" s="15" t="str">
        <f>_xlfn.TEXTBEFORE(_xlfn.TEXTAFTER(CantoralDB[[#This Row],[index.html]],"&gt;"),"&gt;")&amp;"&gt;"</f>
        <v>&lt;a href="canciones/taize/crucem_tuam.html"&gt;</v>
      </c>
      <c r="X1825"/>
      <c r="AB1825" s="1"/>
    </row>
    <row r="1826" spans="1:28" x14ac:dyDescent="0.3">
      <c r="A1826" s="1">
        <f>ROW(CantoralDB[[#This Row],[Título]])-1</f>
        <v>1825</v>
      </c>
      <c r="B1826" s="1" t="s">
        <v>2856</v>
      </c>
      <c r="C1826" s="1" t="s">
        <v>1020</v>
      </c>
      <c r="E1826" s="1">
        <v>187</v>
      </c>
      <c r="H1826" s="1" t="s">
        <v>1026</v>
      </c>
      <c r="J1826" s="1" t="s">
        <v>607</v>
      </c>
      <c r="M1826" s="15" t="s">
        <v>1938</v>
      </c>
      <c r="N1826" s="1" t="s">
        <v>4018</v>
      </c>
      <c r="O1826" s="15">
        <v>10</v>
      </c>
      <c r="P1826" s="15" t="str" cm="1">
        <f t="array" ref="P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6" s="15" t="str" cm="1">
        <f t="array" ref="Q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826" s="1"/>
      <c r="T1826" s="1" t="s">
        <v>420</v>
      </c>
      <c r="U1826" s="15" t="s">
        <v>4180</v>
      </c>
      <c r="V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826" s="15" t="str">
        <f>_xlfn.TEXTBEFORE(_xlfn.TEXTAFTER(CantoralDB[[#This Row],[index.html]],"&gt;"),"&gt;")&amp;"&gt;"</f>
        <v>&lt;a href="canciones/taize/o_christe_domine_jesu.html"&gt;</v>
      </c>
      <c r="X1826"/>
      <c r="AB1826" s="1"/>
    </row>
    <row r="1827" spans="1:28" x14ac:dyDescent="0.3">
      <c r="A1827" s="1">
        <f>ROW(CantoralDB[[#This Row],[Título]])-1</f>
        <v>1826</v>
      </c>
      <c r="B1827" s="1" t="s">
        <v>893</v>
      </c>
      <c r="C1827" s="1" t="s">
        <v>1020</v>
      </c>
      <c r="D1827" s="1" t="s">
        <v>1096</v>
      </c>
      <c r="H1827" s="1" t="s">
        <v>1026</v>
      </c>
      <c r="I1827" s="1" t="s">
        <v>2952</v>
      </c>
      <c r="J1827" s="1" t="s">
        <v>607</v>
      </c>
      <c r="M1827" s="15" t="s">
        <v>1938</v>
      </c>
      <c r="N1827" s="1" t="s">
        <v>4048</v>
      </c>
      <c r="O1827" s="15">
        <v>13</v>
      </c>
      <c r="P1827" s="15" t="str" cm="1">
        <f t="array" ref="P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7" s="15" t="str" cm="1">
        <f t="array" ref="Q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27" s="1" t="s">
        <v>869</v>
      </c>
      <c r="T1827" s="1" t="s">
        <v>328</v>
      </c>
      <c r="U1827" s="15" t="s">
        <v>4095</v>
      </c>
      <c r="V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827" s="15" t="str">
        <f>_xlfn.TEXTBEFORE(_xlfn.TEXTAFTER(CantoralDB[[#This Row],[index.html]],"&gt;"),"&gt;")&amp;"&gt;"</f>
        <v>&lt;a href="canciones/taize/christe_lux_mundi.html"&gt;</v>
      </c>
      <c r="X1827"/>
      <c r="AB1827" s="1"/>
    </row>
    <row r="1828" spans="1:28" x14ac:dyDescent="0.3">
      <c r="A1828" s="1">
        <f>ROW(CantoralDB[[#This Row],[Título]])-1</f>
        <v>1827</v>
      </c>
      <c r="B1828" s="1" t="s">
        <v>891</v>
      </c>
      <c r="C1828" s="1" t="s">
        <v>1020</v>
      </c>
      <c r="D1828" s="1" t="s">
        <v>1094</v>
      </c>
      <c r="H1828" s="1" t="s">
        <v>1029</v>
      </c>
      <c r="J1828" s="1" t="s">
        <v>607</v>
      </c>
      <c r="M1828" s="15" t="s">
        <v>1938</v>
      </c>
      <c r="N1828" s="1" t="s">
        <v>4048</v>
      </c>
      <c r="O1828" s="15">
        <v>9</v>
      </c>
      <c r="P1828" s="15" t="str" cm="1">
        <f t="array" ref="P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8" s="15" t="str" cm="1">
        <f t="array" ref="Q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28" s="1" t="s">
        <v>955</v>
      </c>
      <c r="T1828" s="1" t="s">
        <v>326</v>
      </c>
      <c r="U1828" s="15" t="s">
        <v>4091</v>
      </c>
      <c r="V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828" s="15" t="str">
        <f>_xlfn.TEXTBEFORE(_xlfn.TEXTAFTER(CantoralDB[[#This Row],[index.html]],"&gt;"),"&gt;")&amp;"&gt;"</f>
        <v>&lt;a href="canciones/taize/cantate_domino_canticum_novum.html"&gt;</v>
      </c>
      <c r="X1828"/>
      <c r="AB1828" s="1"/>
    </row>
    <row r="1829" spans="1:28" x14ac:dyDescent="0.3">
      <c r="A1829" s="1">
        <f>ROW(CantoralDB[[#This Row],[Título]])-1</f>
        <v>1828</v>
      </c>
      <c r="B1829" s="1" t="s">
        <v>942</v>
      </c>
      <c r="C1829" s="1" t="s">
        <v>1020</v>
      </c>
      <c r="D1829" s="1" t="s">
        <v>1151</v>
      </c>
      <c r="H1829" s="1" t="s">
        <v>1026</v>
      </c>
      <c r="I1829" s="1" t="s">
        <v>2953</v>
      </c>
      <c r="J1829" s="1" t="s">
        <v>607</v>
      </c>
      <c r="M1829" s="15" t="s">
        <v>1938</v>
      </c>
      <c r="N1829" s="1" t="s">
        <v>343</v>
      </c>
      <c r="O1829" s="15">
        <v>9</v>
      </c>
      <c r="P1829" s="15" t="str" cm="1">
        <f t="array" ref="P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9" s="15" t="str" cm="1">
        <f t="array" ref="Q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29" s="1"/>
      <c r="T1829" s="1" t="s">
        <v>465</v>
      </c>
      <c r="U1829" s="15" t="s">
        <v>4102</v>
      </c>
      <c r="V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829" s="15" t="str">
        <f>_xlfn.TEXTBEFORE(_xlfn.TEXTAFTER(CantoralDB[[#This Row],[index.html]],"&gt;"),"&gt;")&amp;"&gt;"</f>
        <v>&lt;a href="canciones/taize/vieni_spirito_creatore_(canon).html"&gt;</v>
      </c>
      <c r="X1829"/>
      <c r="AB1829" s="1"/>
    </row>
    <row r="1830" spans="1:28" x14ac:dyDescent="0.3">
      <c r="A1830" s="1">
        <f>ROW(CantoralDB[[#This Row],[Título]])-1</f>
        <v>1829</v>
      </c>
      <c r="B1830" s="1" t="s">
        <v>940</v>
      </c>
      <c r="C1830" s="1" t="s">
        <v>1020</v>
      </c>
      <c r="D1830" s="1" t="s">
        <v>1150</v>
      </c>
      <c r="H1830" s="1" t="s">
        <v>1027</v>
      </c>
      <c r="I1830" s="1" t="s">
        <v>2953</v>
      </c>
      <c r="J1830" s="1" t="s">
        <v>607</v>
      </c>
      <c r="M1830" s="15" t="s">
        <v>1938</v>
      </c>
      <c r="N1830" s="1" t="s">
        <v>463</v>
      </c>
      <c r="O1830" s="15">
        <v>4</v>
      </c>
      <c r="P1830" s="15" t="str" cm="1">
        <f t="array" ref="P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0" s="15" t="str" cm="1">
        <f t="array" ref="Q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30" s="1"/>
      <c r="T1830" s="1" t="s">
        <v>454</v>
      </c>
      <c r="U1830" s="15" t="s">
        <v>4203</v>
      </c>
      <c r="V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830" s="15" t="str">
        <f>_xlfn.TEXTBEFORE(_xlfn.TEXTAFTER(CantoralDB[[#This Row],[index.html]],"&gt;"),"&gt;")&amp;"&gt;"</f>
        <v>&lt;a href="canciones/taize/tui_amoris.html"&gt;</v>
      </c>
      <c r="X1830"/>
      <c r="AB1830" s="1"/>
    </row>
    <row r="1831" spans="1:28" x14ac:dyDescent="0.3">
      <c r="A1831" s="1">
        <f>ROW(CantoralDB[[#This Row],[Título]])-1</f>
        <v>1830</v>
      </c>
      <c r="B1831" s="1" t="s">
        <v>909</v>
      </c>
      <c r="C1831" s="1" t="s">
        <v>1020</v>
      </c>
      <c r="D1831" s="1" t="s">
        <v>1126</v>
      </c>
      <c r="H1831" s="1" t="s">
        <v>1026</v>
      </c>
      <c r="I1831" s="1" t="s">
        <v>2953</v>
      </c>
      <c r="J1831" s="1" t="s">
        <v>607</v>
      </c>
      <c r="M1831" s="15" t="s">
        <v>1938</v>
      </c>
      <c r="N1831" s="1" t="s">
        <v>4048</v>
      </c>
      <c r="O1831" s="15">
        <v>5</v>
      </c>
      <c r="P1831" s="15" t="str" cm="1">
        <f t="array" ref="P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1" s="15" t="str" cm="1">
        <f t="array" ref="Q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31" s="1" t="s">
        <v>965</v>
      </c>
      <c r="T1831" s="1" t="s">
        <v>366</v>
      </c>
      <c r="U1831" s="15" t="s">
        <v>4087</v>
      </c>
      <c r="V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831" s="15" t="str">
        <f>_xlfn.TEXTBEFORE(_xlfn.TEXTAFTER(CantoralDB[[#This Row],[index.html]],"&gt;"),"&gt;")&amp;"&gt;"</f>
        <v>&lt;a href="canciones/taize/i_am_sure_i_shall_see.html"&gt;</v>
      </c>
      <c r="X1831"/>
      <c r="AB1831" s="1"/>
    </row>
    <row r="1832" spans="1:28" x14ac:dyDescent="0.3">
      <c r="A1832" s="1">
        <f>ROW(CantoralDB[[#This Row],[Título]])-1</f>
        <v>1831</v>
      </c>
      <c r="B1832" s="1" t="s">
        <v>318</v>
      </c>
      <c r="C1832" s="1" t="s">
        <v>1021</v>
      </c>
      <c r="D1832" s="1" t="s">
        <v>1089</v>
      </c>
      <c r="H1832" s="1" t="s">
        <v>530</v>
      </c>
      <c r="I1832" s="1" t="s">
        <v>2951</v>
      </c>
      <c r="J1832" s="1" t="s">
        <v>607</v>
      </c>
      <c r="M1832" s="15" t="s">
        <v>2134</v>
      </c>
      <c r="N1832" s="1" t="s">
        <v>4023</v>
      </c>
      <c r="O1832" s="15">
        <v>1</v>
      </c>
      <c r="P1832" s="15" t="str" cm="1">
        <f t="array" ref="P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2" s="15" t="str" cm="1">
        <f t="array" ref="Q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32" s="1"/>
      <c r="T1832" s="1"/>
      <c r="U1832" s="32" t="s">
        <v>4069</v>
      </c>
      <c r="V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832" s="15" t="str">
        <f>_xlfn.TEXTBEFORE(_xlfn.TEXTAFTER(CantoralDB[[#This Row],[index.html]],"&gt;"),"&gt;")&amp;"&gt;"</f>
        <v>&lt;a href="canciones/taize/bless_the_lord.html"&gt;</v>
      </c>
      <c r="X1832"/>
      <c r="AB1832" s="1"/>
    </row>
    <row r="1833" spans="1:28" x14ac:dyDescent="0.3">
      <c r="A1833" s="1">
        <f>ROW(CantoralDB[[#This Row],[Título]])-1</f>
        <v>1832</v>
      </c>
      <c r="B1833" s="1" t="s">
        <v>296</v>
      </c>
      <c r="C1833" s="1" t="s">
        <v>1021</v>
      </c>
      <c r="D1833" s="1" t="s">
        <v>1077</v>
      </c>
      <c r="H1833" s="1" t="s">
        <v>1029</v>
      </c>
      <c r="I1833" s="1" t="s">
        <v>2950</v>
      </c>
      <c r="J1833" s="1" t="s">
        <v>607</v>
      </c>
      <c r="M1833" s="15" t="s">
        <v>2134</v>
      </c>
      <c r="N1833" s="1" t="s">
        <v>4023</v>
      </c>
      <c r="O1833" s="15">
        <v>2</v>
      </c>
      <c r="P1833" s="15" t="str" cm="1">
        <f t="array" ref="P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3" s="15" t="str" cm="1">
        <f t="array" ref="Q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833" s="1"/>
      <c r="T1833" s="1"/>
      <c r="U1833" s="32" t="s">
        <v>4070</v>
      </c>
      <c r="V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833" s="15" t="str">
        <f>_xlfn.TEXTBEFORE(_xlfn.TEXTAFTER(CantoralDB[[#This Row],[index.html]],"&gt;"),"&gt;")&amp;"&gt;"</f>
        <v>&lt;a href="canciones/taize/alleluia_11.html"&gt;</v>
      </c>
      <c r="X1833"/>
      <c r="AB1833" s="1"/>
    </row>
    <row r="1834" spans="1:28" x14ac:dyDescent="0.3">
      <c r="A1834" s="1">
        <f>ROW(CantoralDB[[#This Row],[Título]])-1</f>
        <v>1833</v>
      </c>
      <c r="B1834" s="1" t="s">
        <v>335</v>
      </c>
      <c r="C1834" s="1" t="s">
        <v>1021</v>
      </c>
      <c r="D1834" s="1" t="s">
        <v>1108</v>
      </c>
      <c r="H1834" s="1" t="s">
        <v>472</v>
      </c>
      <c r="I1834" s="1" t="s">
        <v>2953</v>
      </c>
      <c r="J1834" s="1" t="s">
        <v>607</v>
      </c>
      <c r="M1834" s="15" t="s">
        <v>2134</v>
      </c>
      <c r="N1834" s="1" t="s">
        <v>4023</v>
      </c>
      <c r="O1834" s="15">
        <v>3</v>
      </c>
      <c r="P1834" s="15" t="str" cm="1">
        <f t="array" ref="P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4" s="15" t="str" cm="1">
        <f t="array" ref="Q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834" s="1"/>
      <c r="T1834" s="1"/>
      <c r="U1834" s="32" t="s">
        <v>4071</v>
      </c>
      <c r="V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834" s="15" t="str">
        <f>_xlfn.TEXTBEFORE(_xlfn.TEXTAFTER(CantoralDB[[#This Row],[index.html]],"&gt;"),"&gt;")&amp;"&gt;"</f>
        <v>&lt;a href="canciones/taize/dans_nos_obscurites.html"&gt;</v>
      </c>
      <c r="X1834"/>
      <c r="AB1834" s="1"/>
    </row>
    <row r="1835" spans="1:28" x14ac:dyDescent="0.3">
      <c r="A1835" s="1">
        <f>ROW(CantoralDB[[#This Row],[Título]])-1</f>
        <v>1834</v>
      </c>
      <c r="B1835" s="1" t="s">
        <v>331</v>
      </c>
      <c r="C1835" s="1" t="s">
        <v>1021</v>
      </c>
      <c r="D1835" s="1" t="s">
        <v>1098</v>
      </c>
      <c r="F1835" s="1">
        <v>423</v>
      </c>
      <c r="H1835" s="1" t="s">
        <v>530</v>
      </c>
      <c r="I1835" s="1" t="s">
        <v>2953</v>
      </c>
      <c r="J1835" s="1" t="s">
        <v>607</v>
      </c>
      <c r="M1835" s="15" t="s">
        <v>2134</v>
      </c>
      <c r="N1835" s="1" t="s">
        <v>4023</v>
      </c>
      <c r="O1835" s="15">
        <v>4</v>
      </c>
      <c r="P1835" s="15" t="str" cm="1">
        <f t="array" ref="P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5" s="15" t="str" cm="1">
        <f t="array" ref="Q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835" s="1"/>
      <c r="T1835" s="1"/>
      <c r="U1835" s="32" t="s">
        <v>4072</v>
      </c>
      <c r="V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835" s="15" t="str">
        <f>_xlfn.TEXTBEFORE(_xlfn.TEXTAFTER(CantoralDB[[#This Row],[index.html]],"&gt;"),"&gt;")&amp;"&gt;"</f>
        <v>&lt;a href="canciones/taize/confitemini_domino.html"&gt;</v>
      </c>
      <c r="X1835"/>
      <c r="AB1835" s="1"/>
    </row>
    <row r="1836" spans="1:28" x14ac:dyDescent="0.3">
      <c r="A1836" s="1">
        <f>ROW(CantoralDB[[#This Row],[Título]])-1</f>
        <v>1835</v>
      </c>
      <c r="B1836" s="1" t="s">
        <v>4024</v>
      </c>
      <c r="C1836" s="1"/>
      <c r="J1836" s="1"/>
      <c r="M1836" s="15" t="s">
        <v>2134</v>
      </c>
      <c r="N1836" s="1" t="s">
        <v>4023</v>
      </c>
      <c r="O1836" s="15">
        <v>5</v>
      </c>
      <c r="P1836" s="15" t="str" cm="1">
        <f t="array" ref="P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6" s="15" t="str" cm="1">
        <f t="array" ref="Q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S1836" s="1"/>
      <c r="T1836" s="1"/>
      <c r="U1836" s="32" t="s">
        <v>4073</v>
      </c>
      <c r="V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W1836" s="15" t="str">
        <f>_xlfn.TEXTBEFORE(_xlfn.TEXTAFTER(CantoralDB[[#This Row],[index.html]],"&gt;"),"&gt;")&amp;"&gt;"</f>
        <v>&lt;a href="canciones/taize/exaltabo_te.html"&gt;</v>
      </c>
      <c r="X1836"/>
      <c r="AB1836" s="1"/>
    </row>
    <row r="1837" spans="1:28" x14ac:dyDescent="0.3">
      <c r="A1837" s="1">
        <f>ROW(CantoralDB[[#This Row],[Título]])-1</f>
        <v>1836</v>
      </c>
      <c r="B1837" s="1" t="s">
        <v>408</v>
      </c>
      <c r="C1837" s="1" t="s">
        <v>1021</v>
      </c>
      <c r="D1837" s="1" t="s">
        <v>1141</v>
      </c>
      <c r="F1837" s="1">
        <v>68</v>
      </c>
      <c r="H1837" s="1" t="s">
        <v>1029</v>
      </c>
      <c r="J1837" s="1" t="s">
        <v>607</v>
      </c>
      <c r="M1837" s="15" t="s">
        <v>2134</v>
      </c>
      <c r="N1837" s="1" t="s">
        <v>4023</v>
      </c>
      <c r="O1837" s="15">
        <v>6</v>
      </c>
      <c r="P1837" s="15" t="str" cm="1">
        <f t="array" ref="P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7" s="15" t="str" cm="1">
        <f t="array" ref="Q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837" s="1"/>
      <c r="T1837" s="1"/>
      <c r="U1837" s="32" t="s">
        <v>4074</v>
      </c>
      <c r="V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837" s="15" t="str">
        <f>_xlfn.TEXTBEFORE(_xlfn.TEXTAFTER(CantoralDB[[#This Row],[index.html]],"&gt;"),"&gt;")&amp;"&gt;"</f>
        <v>&lt;a href="canciones/taize/magnificat_(canon).html"&gt;</v>
      </c>
      <c r="X1837"/>
      <c r="AB1837" s="1"/>
    </row>
    <row r="1838" spans="1:28" x14ac:dyDescent="0.3">
      <c r="A1838" s="1">
        <f>ROW(CantoralDB[[#This Row],[Título]])-1</f>
        <v>1837</v>
      </c>
      <c r="B1838" s="1" t="s">
        <v>468</v>
      </c>
      <c r="C1838" s="1"/>
      <c r="J1838" s="1"/>
      <c r="M1838" s="15" t="s">
        <v>2134</v>
      </c>
      <c r="N1838" s="1" t="s">
        <v>4023</v>
      </c>
      <c r="O1838" s="15">
        <v>7</v>
      </c>
      <c r="P1838" s="15" t="str" cm="1">
        <f t="array" ref="P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8" s="15" t="str" cm="1">
        <f t="array" ref="Q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S1838" s="1"/>
      <c r="T1838" s="1"/>
      <c r="U1838" s="32" t="s">
        <v>4075</v>
      </c>
      <c r="V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W1838" s="15" t="str">
        <f>_xlfn.TEXTBEFORE(_xlfn.TEXTAFTER(CantoralDB[[#This Row],[index.html]],"&gt;"),"&gt;")&amp;"&gt;"</f>
        <v>&lt;a href="canciones/taize/wait_for_the_lord.html"&gt;</v>
      </c>
      <c r="X1838"/>
      <c r="AB1838" s="1"/>
    </row>
    <row r="1839" spans="1:28" x14ac:dyDescent="0.3">
      <c r="A1839" s="1">
        <f>ROW(CantoralDB[[#This Row],[Título]])-1</f>
        <v>1838</v>
      </c>
      <c r="B1839" s="1" t="s">
        <v>4025</v>
      </c>
      <c r="C1839" s="1"/>
      <c r="J1839" s="1"/>
      <c r="M1839" s="15" t="s">
        <v>2134</v>
      </c>
      <c r="N1839" s="1" t="s">
        <v>4023</v>
      </c>
      <c r="O1839" s="15">
        <v>8</v>
      </c>
      <c r="P1839" s="15" t="str" cm="1">
        <f t="array" ref="P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9" s="15" t="str" cm="1">
        <f t="array" ref="Q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S1839" s="1"/>
      <c r="T1839" s="1"/>
      <c r="U1839" s="32" t="s">
        <v>4076</v>
      </c>
      <c r="V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W1839" s="15" t="str">
        <f>_xlfn.TEXTBEFORE(_xlfn.TEXTAFTER(CantoralDB[[#This Row],[index.html]],"&gt;"),"&gt;")&amp;"&gt;"</f>
        <v>&lt;a href="canciones/taize/gloria_in_excelsis_deo.html"&gt;</v>
      </c>
      <c r="X1839"/>
      <c r="AB1839" s="1"/>
    </row>
    <row r="1840" spans="1:28" x14ac:dyDescent="0.3">
      <c r="A1840" s="1">
        <f>ROW(CantoralDB[[#This Row],[Título]])-1</f>
        <v>1839</v>
      </c>
      <c r="B1840" s="1" t="s">
        <v>336</v>
      </c>
      <c r="C1840" s="1" t="s">
        <v>1021</v>
      </c>
      <c r="D1840" s="1" t="s">
        <v>1109</v>
      </c>
      <c r="F1840" s="1">
        <v>415</v>
      </c>
      <c r="H1840" s="1" t="s">
        <v>530</v>
      </c>
      <c r="I1840" s="1" t="s">
        <v>2951</v>
      </c>
      <c r="J1840" s="1" t="s">
        <v>607</v>
      </c>
      <c r="M1840" s="15" t="s">
        <v>2134</v>
      </c>
      <c r="N1840" s="1" t="s">
        <v>4023</v>
      </c>
      <c r="O1840" s="15">
        <v>9</v>
      </c>
      <c r="P1840" s="15" t="str" cm="1">
        <f t="array" ref="P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0" s="15" t="str" cm="1">
        <f t="array" ref="Q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840" s="1" t="s">
        <v>958</v>
      </c>
      <c r="T1840" s="1"/>
      <c r="U1840" s="32" t="s">
        <v>4077</v>
      </c>
      <c r="V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840" s="15" t="str">
        <f>_xlfn.TEXTBEFORE(_xlfn.TEXTAFTER(CantoralDB[[#This Row],[index.html]],"&gt;"),"&gt;")&amp;"&gt;"</f>
        <v>&lt;a href="canciones/taize/de_noche.html"&gt;</v>
      </c>
      <c r="X1840"/>
      <c r="AB1840" s="1"/>
    </row>
    <row r="1841" spans="1:28" x14ac:dyDescent="0.3">
      <c r="A1841" s="1">
        <f>ROW(CantoralDB[[#This Row],[Título]])-1</f>
        <v>1840</v>
      </c>
      <c r="B1841" s="1" t="s">
        <v>425</v>
      </c>
      <c r="C1841" s="1" t="s">
        <v>1021</v>
      </c>
      <c r="D1841" s="1" t="s">
        <v>1144</v>
      </c>
      <c r="H1841" s="1" t="s">
        <v>530</v>
      </c>
      <c r="I1841" s="1" t="s">
        <v>2951</v>
      </c>
      <c r="J1841" s="1" t="s">
        <v>607</v>
      </c>
      <c r="M1841" s="15" t="s">
        <v>2134</v>
      </c>
      <c r="N1841" s="1" t="s">
        <v>4023</v>
      </c>
      <c r="O1841" s="15">
        <v>11</v>
      </c>
      <c r="P1841" s="15" t="str" cm="1">
        <f t="array" ref="P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1" s="15" t="str" cm="1">
        <f t="array" ref="Q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841" s="1"/>
      <c r="T1841" s="1"/>
      <c r="U1841" s="32" t="s">
        <v>4078</v>
      </c>
      <c r="V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841" s="15" t="str">
        <f>_xlfn.TEXTBEFORE(_xlfn.TEXTAFTER(CantoralDB[[#This Row],[index.html]],"&gt;"),"&gt;")&amp;"&gt;"</f>
        <v>&lt;a href="canciones/taize/per_crucem.html"&gt;</v>
      </c>
      <c r="X1841"/>
      <c r="AB1841" s="1"/>
    </row>
    <row r="1842" spans="1:28" x14ac:dyDescent="0.3">
      <c r="A1842" s="1">
        <f>ROW(CantoralDB[[#This Row],[Título]])-1</f>
        <v>1841</v>
      </c>
      <c r="B1842" s="1" t="s">
        <v>784</v>
      </c>
      <c r="C1842" s="1" t="s">
        <v>1021</v>
      </c>
      <c r="D1842" s="1" t="s">
        <v>1139</v>
      </c>
      <c r="F1842" s="1">
        <v>429</v>
      </c>
      <c r="H1842" s="1" t="s">
        <v>530</v>
      </c>
      <c r="I1842" s="1" t="s">
        <v>2952</v>
      </c>
      <c r="J1842" s="1" t="s">
        <v>607</v>
      </c>
      <c r="M1842" s="15" t="s">
        <v>2134</v>
      </c>
      <c r="N1842" s="1" t="s">
        <v>4023</v>
      </c>
      <c r="O1842" s="15">
        <v>12</v>
      </c>
      <c r="P1842" s="15" t="str" cm="1">
        <f t="array" ref="P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2" s="15" t="str" cm="1">
        <f t="array" ref="Q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42" s="1"/>
      <c r="T1842" s="1"/>
      <c r="U1842" s="32" t="s">
        <v>4079</v>
      </c>
      <c r="V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842" s="15" t="str">
        <f>_xlfn.TEXTBEFORE(_xlfn.TEXTAFTER(CantoralDB[[#This Row],[index.html]],"&gt;"),"&gt;")&amp;"&gt;"</f>
        <v>&lt;a href="canciones/taize/laudate_omnes_gentes.html"&gt;</v>
      </c>
      <c r="X1842"/>
      <c r="AB1842" s="1"/>
    </row>
    <row r="1843" spans="1:28" x14ac:dyDescent="0.3">
      <c r="A1843" s="1">
        <f>ROW(CantoralDB[[#This Row],[Título]])-1</f>
        <v>1842</v>
      </c>
      <c r="B1843" s="1" t="s">
        <v>346</v>
      </c>
      <c r="C1843" s="1" t="s">
        <v>1021</v>
      </c>
      <c r="D1843" s="1" t="s">
        <v>1119</v>
      </c>
      <c r="H1843" s="1" t="s">
        <v>530</v>
      </c>
      <c r="I1843" s="1" t="s">
        <v>2951</v>
      </c>
      <c r="J1843" s="1" t="s">
        <v>607</v>
      </c>
      <c r="M1843" s="15" t="s">
        <v>2134</v>
      </c>
      <c r="N1843" s="1" t="s">
        <v>4023</v>
      </c>
      <c r="O1843" s="15">
        <v>13</v>
      </c>
      <c r="P1843" s="15" t="str" cm="1">
        <f t="array" ref="P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3" s="15" t="str" cm="1">
        <f t="array" ref="Q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843" s="1"/>
      <c r="T1843" s="1"/>
      <c r="U1843" s="32" t="s">
        <v>4080</v>
      </c>
      <c r="V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843" s="15" t="str">
        <f>_xlfn.TEXTBEFORE(_xlfn.TEXTAFTER(CantoralDB[[#This Row],[index.html]],"&gt;"),"&gt;")&amp;"&gt;"</f>
        <v>&lt;a href="canciones/taize/el_senyor.html"&gt;</v>
      </c>
      <c r="X1843"/>
      <c r="AB1843" s="1"/>
    </row>
    <row r="1844" spans="1:28" x14ac:dyDescent="0.3">
      <c r="A1844" s="1">
        <f>ROW(CantoralDB[[#This Row],[Título]])-1</f>
        <v>1843</v>
      </c>
      <c r="B1844" s="1" t="s">
        <v>325</v>
      </c>
      <c r="C1844" s="1"/>
      <c r="J1844" s="1"/>
      <c r="M1844" s="15" t="s">
        <v>2134</v>
      </c>
      <c r="N1844" s="1" t="s">
        <v>4023</v>
      </c>
      <c r="O1844" s="15">
        <v>14</v>
      </c>
      <c r="P1844" s="15" t="str" cm="1">
        <f t="array" ref="P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4" s="15" t="str" cm="1">
        <f t="array" ref="Q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S1844" s="1"/>
      <c r="T1844" s="1"/>
      <c r="U1844" s="32" t="s">
        <v>4081</v>
      </c>
      <c r="V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W1844" s="15" t="str">
        <f>_xlfn.TEXTBEFORE(_xlfn.TEXTAFTER(CantoralDB[[#This Row],[index.html]],"&gt;"),"&gt;")&amp;"&gt;"</f>
        <v>&lt;a href="canciones/taize/cantate_domino.html"&gt;</v>
      </c>
      <c r="X1844"/>
      <c r="AB1844" s="1"/>
    </row>
    <row r="1845" spans="1:28" x14ac:dyDescent="0.3">
      <c r="A1845" s="1">
        <f>ROW(CantoralDB[[#This Row],[Título]])-1</f>
        <v>1844</v>
      </c>
      <c r="B1845" s="1" t="s">
        <v>280</v>
      </c>
      <c r="C1845" s="1" t="s">
        <v>1021</v>
      </c>
      <c r="D1845" s="1" t="s">
        <v>1072</v>
      </c>
      <c r="H1845" s="1" t="s">
        <v>1027</v>
      </c>
      <c r="I1845" s="1" t="s">
        <v>2953</v>
      </c>
      <c r="J1845" s="1" t="s">
        <v>607</v>
      </c>
      <c r="M1845" s="15" t="s">
        <v>2134</v>
      </c>
      <c r="N1845" s="1" t="s">
        <v>4067</v>
      </c>
      <c r="O1845" s="15">
        <v>2</v>
      </c>
      <c r="P1845" s="15" t="str" cm="1">
        <f t="array" ref="P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5" s="15" t="str" cm="1">
        <f t="array" ref="Q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45" s="1"/>
      <c r="T1845" s="1"/>
      <c r="U1845" s="32" t="s">
        <v>4082</v>
      </c>
      <c r="V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845" s="15" t="str">
        <f>_xlfn.TEXTBEFORE(_xlfn.TEXTAFTER(CantoralDB[[#This Row],[index.html]],"&gt;"),"&gt;")&amp;"&gt;"</f>
        <v>&lt;a href="canciones/taize/adoramus_te_o_christe.html"&gt;</v>
      </c>
      <c r="X1845"/>
      <c r="AB1845" s="1"/>
    </row>
    <row r="1846" spans="1:28" x14ac:dyDescent="0.3">
      <c r="A1846" s="1">
        <f>ROW(CantoralDB[[#This Row],[Título]])-1</f>
        <v>1845</v>
      </c>
      <c r="B1846" s="1" t="s">
        <v>4047</v>
      </c>
      <c r="C1846" s="1"/>
      <c r="J1846" s="1"/>
      <c r="M1846" s="15" t="s">
        <v>2134</v>
      </c>
      <c r="N1846" s="1" t="s">
        <v>4048</v>
      </c>
      <c r="O1846" s="15">
        <v>1</v>
      </c>
      <c r="P1846" s="15" t="str" cm="1">
        <f t="array" ref="P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6" s="15" t="str" cm="1">
        <f t="array" ref="Q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S1846" s="1"/>
      <c r="T1846" s="1"/>
      <c r="U1846" s="32" t="s">
        <v>4083</v>
      </c>
      <c r="V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W1846" s="15" t="str">
        <f>_xlfn.TEXTBEFORE(_xlfn.TEXTAFTER(CantoralDB[[#This Row],[index.html]],"&gt;"),"&gt;")&amp;"&gt;"</f>
        <v>&lt;a href="canciones/taize/magnificat_3.html"&gt;</v>
      </c>
      <c r="X1846"/>
      <c r="AB1846" s="1"/>
    </row>
    <row r="1847" spans="1:28" x14ac:dyDescent="0.3">
      <c r="A1847" s="1">
        <f>ROW(CantoralDB[[#This Row],[Título]])-1</f>
        <v>1846</v>
      </c>
      <c r="B1847" s="1" t="s">
        <v>324</v>
      </c>
      <c r="C1847" s="1" t="s">
        <v>1021</v>
      </c>
      <c r="D1847" s="1" t="s">
        <v>1093</v>
      </c>
      <c r="H1847" s="1" t="s">
        <v>1029</v>
      </c>
      <c r="J1847" s="1" t="s">
        <v>607</v>
      </c>
      <c r="M1847" s="15" t="s">
        <v>2134</v>
      </c>
      <c r="N1847" s="1" t="s">
        <v>4048</v>
      </c>
      <c r="O1847" s="15">
        <v>2</v>
      </c>
      <c r="P1847" s="15" t="str" cm="1">
        <f t="array" ref="P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7" s="15" t="str" cm="1">
        <f t="array" ref="Q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847" s="1"/>
      <c r="T1847" s="1"/>
      <c r="U1847" s="32" t="s">
        <v>4084</v>
      </c>
      <c r="V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847" s="15" t="str">
        <f>_xlfn.TEXTBEFORE(_xlfn.TEXTAFTER(CantoralDB[[#This Row],[index.html]],"&gt;"),"&gt;")&amp;"&gt;"</f>
        <v>&lt;a href="canciones/taize/cantarei_ao_senhor.html"&gt;</v>
      </c>
      <c r="X1847"/>
      <c r="AB1847" s="1"/>
    </row>
    <row r="1848" spans="1:28" x14ac:dyDescent="0.3">
      <c r="A1848" s="1">
        <f>ROW(CantoralDB[[#This Row],[Título]])-1</f>
        <v>1847</v>
      </c>
      <c r="B1848" s="1" t="s">
        <v>311</v>
      </c>
      <c r="C1848" s="1" t="s">
        <v>1021</v>
      </c>
      <c r="D1848" s="1" t="s">
        <v>1085</v>
      </c>
      <c r="H1848" s="1" t="s">
        <v>530</v>
      </c>
      <c r="I1848" s="1" t="s">
        <v>2952</v>
      </c>
      <c r="J1848" s="1" t="s">
        <v>607</v>
      </c>
      <c r="M1848" s="15" t="s">
        <v>2134</v>
      </c>
      <c r="N1848" s="1" t="s">
        <v>4048</v>
      </c>
      <c r="O1848" s="15">
        <v>3</v>
      </c>
      <c r="P1848" s="15" t="str" cm="1">
        <f t="array" ref="P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8" s="15" t="str" cm="1">
        <f t="array" ref="Q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848" s="1"/>
      <c r="T1848" s="1"/>
      <c r="U1848" s="32" t="s">
        <v>4085</v>
      </c>
      <c r="V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848" s="15" t="str">
        <f>_xlfn.TEXTBEFORE(_xlfn.TEXTAFTER(CantoralDB[[#This Row],[index.html]],"&gt;"),"&gt;")&amp;"&gt;"</f>
        <v>&lt;a href="canciones/taize/behüte_mich_gott.html"&gt;</v>
      </c>
      <c r="X1848"/>
      <c r="AB1848" s="1"/>
    </row>
    <row r="1849" spans="1:28" x14ac:dyDescent="0.3">
      <c r="A1849" s="1">
        <f>ROW(CantoralDB[[#This Row],[Título]])-1</f>
        <v>1848</v>
      </c>
      <c r="B1849" s="1" t="s">
        <v>439</v>
      </c>
      <c r="C1849" s="1"/>
      <c r="J1849" s="1"/>
      <c r="M1849" s="15" t="s">
        <v>2134</v>
      </c>
      <c r="N1849" s="1" t="s">
        <v>4048</v>
      </c>
      <c r="O1849" s="15">
        <v>4</v>
      </c>
      <c r="P1849" s="15" t="str" cm="1">
        <f t="array" ref="P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9" s="15" t="str" cm="1">
        <f t="array" ref="Q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S1849" s="1"/>
      <c r="T1849" s="1"/>
      <c r="U1849" s="32" t="s">
        <v>4086</v>
      </c>
      <c r="V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W1849" s="15" t="str">
        <f>_xlfn.TEXTBEFORE(_xlfn.TEXTAFTER(CantoralDB[[#This Row],[index.html]],"&gt;"),"&gt;")&amp;"&gt;"</f>
        <v>&lt;a href="canciones/taize/sit_nomen_domini.html"&gt;</v>
      </c>
      <c r="X1849"/>
      <c r="AB1849" s="1"/>
    </row>
    <row r="1850" spans="1:28" x14ac:dyDescent="0.3">
      <c r="A1850" s="1">
        <f>ROW(CantoralDB[[#This Row],[Título]])-1</f>
        <v>1849</v>
      </c>
      <c r="B1850" s="1" t="s">
        <v>366</v>
      </c>
      <c r="C1850" s="1" t="s">
        <v>1021</v>
      </c>
      <c r="D1850" s="1" t="s">
        <v>1126</v>
      </c>
      <c r="H1850" s="1" t="s">
        <v>1026</v>
      </c>
      <c r="I1850" s="1" t="s">
        <v>2953</v>
      </c>
      <c r="J1850" s="1" t="s">
        <v>607</v>
      </c>
      <c r="M1850" s="15" t="s">
        <v>2134</v>
      </c>
      <c r="N1850" s="1" t="s">
        <v>4048</v>
      </c>
      <c r="O1850" s="15">
        <v>5</v>
      </c>
      <c r="P1850" s="15" t="str" cm="1">
        <f t="array" ref="P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0" s="15" t="str" cm="1">
        <f t="array" ref="Q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50" s="1"/>
      <c r="T1850" s="1"/>
      <c r="U1850" s="32" t="s">
        <v>4087</v>
      </c>
      <c r="V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850" s="15" t="str">
        <f>_xlfn.TEXTBEFORE(_xlfn.TEXTAFTER(CantoralDB[[#This Row],[index.html]],"&gt;"),"&gt;")&amp;"&gt;"</f>
        <v>&lt;a href="canciones/taize/i_am_sure_i_shall_see.html"&gt;</v>
      </c>
      <c r="X1850"/>
      <c r="AB1850" s="1"/>
    </row>
    <row r="1851" spans="1:28" x14ac:dyDescent="0.3">
      <c r="A1851" s="1">
        <f>ROW(CantoralDB[[#This Row],[Título]])-1</f>
        <v>1850</v>
      </c>
      <c r="B1851" s="1" t="s">
        <v>435</v>
      </c>
      <c r="C1851" s="1"/>
      <c r="J1851" s="1"/>
      <c r="M1851" s="15" t="s">
        <v>2134</v>
      </c>
      <c r="N1851" s="1" t="s">
        <v>4048</v>
      </c>
      <c r="O1851" s="15">
        <v>6</v>
      </c>
      <c r="P1851" s="15" t="str" cm="1">
        <f t="array" ref="P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1" s="15" t="str" cm="1">
        <f t="array" ref="Q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S1851" s="1"/>
      <c r="T1851" s="1"/>
      <c r="U1851" s="32" t="s">
        <v>4088</v>
      </c>
      <c r="V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W1851" s="15" t="str">
        <f>_xlfn.TEXTBEFORE(_xlfn.TEXTAFTER(CantoralDB[[#This Row],[index.html]],"&gt;"),"&gt;")&amp;"&gt;"</f>
        <v>&lt;a href="canciones/taize/seigneur_tu_gardes_mon_âme.html"&gt;</v>
      </c>
      <c r="X1851"/>
      <c r="AB1851" s="1"/>
    </row>
    <row r="1852" spans="1:28" x14ac:dyDescent="0.3">
      <c r="A1852" s="1">
        <f>ROW(CantoralDB[[#This Row],[Título]])-1</f>
        <v>1851</v>
      </c>
      <c r="B1852" s="1" t="s">
        <v>4049</v>
      </c>
      <c r="C1852" s="1"/>
      <c r="J1852" s="1"/>
      <c r="M1852" s="15" t="s">
        <v>2134</v>
      </c>
      <c r="N1852" s="1" t="s">
        <v>4048</v>
      </c>
      <c r="O1852" s="15">
        <v>7</v>
      </c>
      <c r="P1852" s="15" t="str" cm="1">
        <f t="array" ref="P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2" s="15" t="str" cm="1">
        <f t="array" ref="Q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S1852" s="1"/>
      <c r="T1852" s="1"/>
      <c r="U1852" s="32" t="s">
        <v>4089</v>
      </c>
      <c r="V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W1852" s="15" t="str">
        <f>_xlfn.TEXTBEFORE(_xlfn.TEXTAFTER(CantoralDB[[#This Row],[index.html]],"&gt;"),"&gt;")&amp;"&gt;"</f>
        <v>&lt;a href="canciones/taize/viespatie_tu_viska_zinai.html"&gt;</v>
      </c>
      <c r="X1852"/>
      <c r="AB1852" s="1"/>
    </row>
    <row r="1853" spans="1:28" x14ac:dyDescent="0.3">
      <c r="A1853" s="1">
        <f>ROW(CantoralDB[[#This Row],[Título]])-1</f>
        <v>1852</v>
      </c>
      <c r="B1853" s="1" t="s">
        <v>351</v>
      </c>
      <c r="C1853" s="1"/>
      <c r="J1853" s="1"/>
      <c r="M1853" s="15" t="s">
        <v>2134</v>
      </c>
      <c r="N1853" s="1" t="s">
        <v>4048</v>
      </c>
      <c r="O1853" s="15">
        <v>8</v>
      </c>
      <c r="P1853" s="15" t="str" cm="1">
        <f t="array" ref="P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3" s="15" t="str" cm="1">
        <f t="array" ref="Q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S1853" s="1"/>
      <c r="T1853" s="1"/>
      <c r="U1853" s="32" t="s">
        <v>4090</v>
      </c>
      <c r="V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W1853" s="15" t="str">
        <f>_xlfn.TEXTBEFORE(_xlfn.TEXTAFTER(CantoralDB[[#This Row],[index.html]],"&gt;"),"&gt;")&amp;"&gt;"</f>
        <v>&lt;a href="canciones/taize/fiez-vous_en_lui.html"&gt;</v>
      </c>
      <c r="X1853"/>
      <c r="AB1853" s="1"/>
    </row>
    <row r="1854" spans="1:28" x14ac:dyDescent="0.3">
      <c r="A1854" s="1">
        <f>ROW(CantoralDB[[#This Row],[Título]])-1</f>
        <v>1853</v>
      </c>
      <c r="B1854" s="1" t="s">
        <v>326</v>
      </c>
      <c r="C1854" s="1" t="s">
        <v>1021</v>
      </c>
      <c r="D1854" s="1" t="s">
        <v>1094</v>
      </c>
      <c r="H1854" s="1" t="s">
        <v>1029</v>
      </c>
      <c r="J1854" s="1" t="s">
        <v>607</v>
      </c>
      <c r="M1854" s="15" t="s">
        <v>2134</v>
      </c>
      <c r="N1854" s="1" t="s">
        <v>4048</v>
      </c>
      <c r="O1854" s="15">
        <v>9</v>
      </c>
      <c r="P1854" s="15" t="str" cm="1">
        <f t="array" ref="P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4" s="15" t="str" cm="1">
        <f t="array" ref="Q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54" s="1"/>
      <c r="T1854" s="1"/>
      <c r="U1854" s="32" t="s">
        <v>4091</v>
      </c>
      <c r="V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854" s="15" t="str">
        <f>_xlfn.TEXTBEFORE(_xlfn.TEXTAFTER(CantoralDB[[#This Row],[index.html]],"&gt;"),"&gt;")&amp;"&gt;"</f>
        <v>&lt;a href="canciones/taize/cantate_domino_canticum_novum.html"&gt;</v>
      </c>
      <c r="X1854"/>
      <c r="AB1854" s="1"/>
    </row>
    <row r="1855" spans="1:28" x14ac:dyDescent="0.3">
      <c r="A1855" s="1">
        <f>ROW(CantoralDB[[#This Row],[Título]])-1</f>
        <v>1854</v>
      </c>
      <c r="B1855" s="1" t="s">
        <v>398</v>
      </c>
      <c r="C1855" s="1" t="s">
        <v>1021</v>
      </c>
      <c r="D1855" s="1" t="s">
        <v>1133</v>
      </c>
      <c r="H1855" s="1" t="s">
        <v>530</v>
      </c>
      <c r="I1855" s="1" t="s">
        <v>2952</v>
      </c>
      <c r="J1855" s="1" t="s">
        <v>607</v>
      </c>
      <c r="M1855" s="15" t="s">
        <v>2134</v>
      </c>
      <c r="N1855" s="1" t="s">
        <v>4048</v>
      </c>
      <c r="O1855" s="15">
        <v>10</v>
      </c>
      <c r="P1855" s="15" t="str" cm="1">
        <f t="array" ref="P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5" s="15" t="str" cm="1">
        <f t="array" ref="Q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55" s="1"/>
      <c r="T1855" s="1"/>
      <c r="U1855" s="32" t="s">
        <v>4092</v>
      </c>
      <c r="V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855" s="15" t="str">
        <f>_xlfn.TEXTBEFORE(_xlfn.TEXTAFTER(CantoralDB[[#This Row],[index.html]],"&gt;"),"&gt;")&amp;"&gt;"</f>
        <v>&lt;a href="canciones/taize/kyrie_20.html"&gt;</v>
      </c>
      <c r="X1855"/>
      <c r="AB1855" s="1"/>
    </row>
    <row r="1856" spans="1:28" x14ac:dyDescent="0.3">
      <c r="A1856" s="1">
        <f>ROW(CantoralDB[[#This Row],[Título]])-1</f>
        <v>1855</v>
      </c>
      <c r="B1856" s="1" t="s">
        <v>4050</v>
      </c>
      <c r="C1856" s="1"/>
      <c r="J1856" s="1"/>
      <c r="M1856" s="15" t="s">
        <v>2134</v>
      </c>
      <c r="N1856" s="1" t="s">
        <v>4048</v>
      </c>
      <c r="O1856" s="15">
        <v>11</v>
      </c>
      <c r="P1856" s="15" t="str" cm="1">
        <f t="array" ref="P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6" s="15" t="str" cm="1">
        <f t="array" ref="Q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S1856" s="1"/>
      <c r="T1856" s="1"/>
      <c r="U1856" s="32" t="s">
        <v>4093</v>
      </c>
      <c r="V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W1856" s="15" t="str">
        <f>_xlfn.TEXTBEFORE(_xlfn.TEXTAFTER(CantoralDB[[#This Row],[index.html]],"&gt;"),"&gt;")&amp;"&gt;"</f>
        <v>&lt;a href="canciones/taize/frieden_frieden.html"&gt;</v>
      </c>
      <c r="X1856"/>
      <c r="AB1856" s="1"/>
    </row>
    <row r="1857" spans="1:28" x14ac:dyDescent="0.3">
      <c r="A1857" s="1">
        <f>ROW(CantoralDB[[#This Row],[Título]])-1</f>
        <v>1856</v>
      </c>
      <c r="B1857" s="1" t="s">
        <v>4051</v>
      </c>
      <c r="C1857" s="1"/>
      <c r="J1857" s="1"/>
      <c r="M1857" s="15" t="s">
        <v>2134</v>
      </c>
      <c r="N1857" s="1" t="s">
        <v>4048</v>
      </c>
      <c r="O1857" s="15">
        <v>12</v>
      </c>
      <c r="P1857" s="15" t="str" cm="1">
        <f t="array" ref="P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7" s="15" t="str" cm="1">
        <f t="array" ref="Q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S1857" s="1"/>
      <c r="T1857" s="1"/>
      <c r="U1857" s="32" t="s">
        <v>4094</v>
      </c>
      <c r="V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W1857" s="15" t="str">
        <f>_xlfn.TEXTBEFORE(_xlfn.TEXTAFTER(CantoralDB[[#This Row],[index.html]],"&gt;"),"&gt;")&amp;"&gt;"</f>
        <v>&lt;a href="canciones/taize/que_j'exulte_et_jubile.html"&gt;</v>
      </c>
      <c r="X1857"/>
      <c r="AB1857" s="1"/>
    </row>
    <row r="1858" spans="1:28" x14ac:dyDescent="0.3">
      <c r="A1858" s="1">
        <f>ROW(CantoralDB[[#This Row],[Título]])-1</f>
        <v>1857</v>
      </c>
      <c r="B1858" s="1" t="s">
        <v>328</v>
      </c>
      <c r="C1858" s="1" t="s">
        <v>1021</v>
      </c>
      <c r="D1858" s="1" t="s">
        <v>1096</v>
      </c>
      <c r="H1858" s="1" t="s">
        <v>1026</v>
      </c>
      <c r="I1858" s="1" t="s">
        <v>2952</v>
      </c>
      <c r="J1858" s="1" t="s">
        <v>607</v>
      </c>
      <c r="M1858" s="15" t="s">
        <v>2134</v>
      </c>
      <c r="N1858" s="1" t="s">
        <v>4048</v>
      </c>
      <c r="O1858" s="15">
        <v>13</v>
      </c>
      <c r="P1858" s="15" t="str" cm="1">
        <f t="array" ref="P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8" s="15" t="str" cm="1">
        <f t="array" ref="Q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58" s="1"/>
      <c r="T1858" s="1"/>
      <c r="U1858" s="32" t="s">
        <v>4095</v>
      </c>
      <c r="V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858" s="15" t="str">
        <f>_xlfn.TEXTBEFORE(_xlfn.TEXTAFTER(CantoralDB[[#This Row],[index.html]],"&gt;"),"&gt;")&amp;"&gt;"</f>
        <v>&lt;a href="canciones/taize/christe_lux_mundi.html"&gt;</v>
      </c>
      <c r="X1858"/>
      <c r="AB1858" s="1"/>
    </row>
    <row r="1859" spans="1:28" x14ac:dyDescent="0.3">
      <c r="A1859" s="1">
        <f>ROW(CantoralDB[[#This Row],[Título]])-1</f>
        <v>1858</v>
      </c>
      <c r="B1859" s="1" t="s">
        <v>341</v>
      </c>
      <c r="C1859" s="1" t="s">
        <v>1021</v>
      </c>
      <c r="D1859" s="1" t="s">
        <v>1099</v>
      </c>
      <c r="H1859" s="1" t="s">
        <v>530</v>
      </c>
      <c r="J1859" s="1" t="s">
        <v>607</v>
      </c>
      <c r="M1859" s="15" t="s">
        <v>2134</v>
      </c>
      <c r="N1859" s="1" t="s">
        <v>4048</v>
      </c>
      <c r="O1859" s="15">
        <v>14</v>
      </c>
      <c r="P1859" s="15" t="str" cm="1">
        <f t="array" ref="P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9" s="15" t="str" cm="1">
        <f t="array" ref="Q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859" s="1"/>
      <c r="T1859" s="1"/>
      <c r="U1859" s="32" t="s">
        <v>4096</v>
      </c>
      <c r="V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859" s="15" t="str">
        <f>_xlfn.TEXTBEFORE(_xlfn.TEXTAFTER(CantoralDB[[#This Row],[index.html]],"&gt;"),"&gt;")&amp;"&gt;"</f>
        <v>&lt;a href="canciones/taize/dominus_spiritus_est.html"&gt;</v>
      </c>
      <c r="X1859"/>
      <c r="AB1859" s="1"/>
    </row>
    <row r="1860" spans="1:28" x14ac:dyDescent="0.3">
      <c r="A1860" s="1">
        <f>ROW(CantoralDB[[#This Row],[Título]])-1</f>
        <v>1859</v>
      </c>
      <c r="B1860" s="1" t="s">
        <v>384</v>
      </c>
      <c r="C1860" s="1"/>
      <c r="J1860" s="1"/>
      <c r="M1860" s="15" t="s">
        <v>2134</v>
      </c>
      <c r="N1860" s="1" t="s">
        <v>4048</v>
      </c>
      <c r="O1860" s="15">
        <v>15</v>
      </c>
      <c r="P1860" s="15" t="str" cm="1">
        <f t="array" ref="P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0" s="15" t="str" cm="1">
        <f t="array" ref="Q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S1860" s="1"/>
      <c r="T1860" s="1"/>
      <c r="U1860" s="32" t="s">
        <v>4097</v>
      </c>
      <c r="V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W1860" s="15" t="str">
        <f>_xlfn.TEXTBEFORE(_xlfn.TEXTAFTER(CantoralDB[[#This Row],[index.html]],"&gt;"),"&gt;")&amp;"&gt;"</f>
        <v>&lt;a href="canciones/taize/kristus_din_ande.html"&gt;</v>
      </c>
      <c r="X1860"/>
      <c r="AB1860" s="1"/>
    </row>
    <row r="1861" spans="1:28" x14ac:dyDescent="0.3">
      <c r="A1861" s="1">
        <f>ROW(CantoralDB[[#This Row],[Título]])-1</f>
        <v>1860</v>
      </c>
      <c r="B1861" s="1" t="s">
        <v>321</v>
      </c>
      <c r="C1861" s="1"/>
      <c r="J1861" s="1"/>
      <c r="M1861" s="15" t="s">
        <v>2134</v>
      </c>
      <c r="N1861" s="1" t="s">
        <v>4048</v>
      </c>
      <c r="O1861" s="15">
        <v>16</v>
      </c>
      <c r="P1861" s="15" t="str" cm="1">
        <f t="array" ref="P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1" s="15" t="str" cm="1">
        <f t="array" ref="Q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S1861" s="1"/>
      <c r="T1861" s="1"/>
      <c r="U1861" s="32" t="s">
        <v>4098</v>
      </c>
      <c r="V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W1861" s="15" t="str">
        <f>_xlfn.TEXTBEFORE(_xlfn.TEXTAFTER(CantoralDB[[#This Row],[index.html]],"&gt;"),"&gt;")&amp;"&gt;"</f>
        <v>&lt;a href="canciones/taize/bogoroditse_dievo_2.html"&gt;</v>
      </c>
      <c r="X1861"/>
      <c r="AB1861" s="1"/>
    </row>
    <row r="1862" spans="1:28" x14ac:dyDescent="0.3">
      <c r="A1862" s="1">
        <f>ROW(CantoralDB[[#This Row],[Título]])-1</f>
        <v>1861</v>
      </c>
      <c r="B1862" s="1" t="s">
        <v>4065</v>
      </c>
      <c r="C1862" s="1"/>
      <c r="J1862" s="1"/>
      <c r="M1862" s="15" t="s">
        <v>2134</v>
      </c>
      <c r="N1862" s="1" t="s">
        <v>343</v>
      </c>
      <c r="O1862" s="15">
        <v>1</v>
      </c>
      <c r="P1862" s="15" t="str" cm="1">
        <f t="array" ref="P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2" s="15" t="str" cm="1">
        <f t="array" ref="Q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S1862" s="1"/>
      <c r="T1862" s="1"/>
      <c r="U1862" s="32" t="s">
        <v>4099</v>
      </c>
      <c r="V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W1862" s="15" t="str">
        <f>_xlfn.TEXTBEFORE(_xlfn.TEXTAFTER(CantoralDB[[#This Row],[index.html]],"&gt;"),"&gt;")&amp;"&gt;"</f>
        <v>&lt;a href="canciones/taize/adsumus_sancte_spiritus.html"&gt;</v>
      </c>
      <c r="X1862"/>
      <c r="AB1862" s="1"/>
    </row>
    <row r="1863" spans="1:28" x14ac:dyDescent="0.3">
      <c r="A1863" s="1">
        <f>ROW(CantoralDB[[#This Row],[Título]])-1</f>
        <v>1862</v>
      </c>
      <c r="B1863" s="1" t="s">
        <v>426</v>
      </c>
      <c r="C1863" s="1"/>
      <c r="J1863" s="1"/>
      <c r="M1863" s="15" t="s">
        <v>2134</v>
      </c>
      <c r="N1863" s="1" t="s">
        <v>343</v>
      </c>
      <c r="O1863" s="15">
        <v>6</v>
      </c>
      <c r="P1863" s="15" t="str" cm="1">
        <f t="array" ref="P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3" s="15" t="str" cm="1">
        <f t="array" ref="Q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S1863" s="1"/>
      <c r="T1863" s="1"/>
      <c r="U1863" s="32" t="s">
        <v>4100</v>
      </c>
      <c r="V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W1863" s="15" t="str">
        <f>_xlfn.TEXTBEFORE(_xlfn.TEXTAFTER(CantoralDB[[#This Row],[index.html]],"&gt;"),"&gt;")&amp;"&gt;"</f>
        <v>&lt;a href="canciones/taize/przybądź_duchu_boży.html"&gt;</v>
      </c>
      <c r="X1863"/>
      <c r="AB1863" s="1"/>
    </row>
    <row r="1864" spans="1:28" x14ac:dyDescent="0.3">
      <c r="A1864" s="1">
        <f>ROW(CantoralDB[[#This Row],[Título]])-1</f>
        <v>1863</v>
      </c>
      <c r="B1864" s="1" t="s">
        <v>275</v>
      </c>
      <c r="C1864" s="1" t="s">
        <v>1021</v>
      </c>
      <c r="D1864" s="1" t="s">
        <v>1115</v>
      </c>
      <c r="H1864" s="1" t="s">
        <v>1029</v>
      </c>
      <c r="J1864" s="1" t="s">
        <v>607</v>
      </c>
      <c r="M1864" s="15" t="s">
        <v>2134</v>
      </c>
      <c r="N1864" s="1" t="s">
        <v>343</v>
      </c>
      <c r="O1864" s="15">
        <v>8</v>
      </c>
      <c r="P1864" s="15" t="str" cm="1">
        <f t="array" ref="P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4" s="15" t="str" cm="1">
        <f t="array" ref="Q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864" s="1"/>
      <c r="T1864" s="1"/>
      <c r="U1864" s="32" t="s">
        <v>4101</v>
      </c>
      <c r="V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864" s="15" t="str">
        <f>_xlfn.TEXTBEFORE(_xlfn.TEXTAFTER(CantoralDB[[#This Row],[index.html]],"&gt;"),"&gt;")&amp;"&gt;"</f>
        <v>&lt;a href="canciones/taize/herre_visa_mig_vägen.html"&gt;</v>
      </c>
      <c r="X1864"/>
      <c r="AB1864" s="1"/>
    </row>
    <row r="1865" spans="1:28" x14ac:dyDescent="0.3">
      <c r="A1865" s="1">
        <f>ROW(CantoralDB[[#This Row],[Título]])-1</f>
        <v>1864</v>
      </c>
      <c r="B1865" s="1" t="s">
        <v>465</v>
      </c>
      <c r="C1865" s="1" t="s">
        <v>1021</v>
      </c>
      <c r="D1865" s="1" t="s">
        <v>1151</v>
      </c>
      <c r="H1865" s="1" t="s">
        <v>1026</v>
      </c>
      <c r="I1865" s="1" t="s">
        <v>2953</v>
      </c>
      <c r="J1865" s="1" t="s">
        <v>607</v>
      </c>
      <c r="M1865" s="15" t="s">
        <v>2134</v>
      </c>
      <c r="N1865" s="1" t="s">
        <v>343</v>
      </c>
      <c r="O1865" s="15">
        <v>9</v>
      </c>
      <c r="P1865" s="15" t="str" cm="1">
        <f t="array" ref="P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5" s="15" t="str" cm="1">
        <f t="array" ref="Q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65" s="1"/>
      <c r="T1865" s="1"/>
      <c r="U1865" s="32" t="s">
        <v>4102</v>
      </c>
      <c r="V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865" s="15" t="str">
        <f>_xlfn.TEXTBEFORE(_xlfn.TEXTAFTER(CantoralDB[[#This Row],[index.html]],"&gt;"),"&gt;")&amp;"&gt;"</f>
        <v>&lt;a href="canciones/taize/vieni_spirito_creatore_(canon).html"&gt;</v>
      </c>
      <c r="X1865"/>
      <c r="AB1865" s="1"/>
    </row>
    <row r="1866" spans="1:28" x14ac:dyDescent="0.3">
      <c r="A1866" s="1">
        <f>ROW(CantoralDB[[#This Row],[Título]])-1</f>
        <v>1865</v>
      </c>
      <c r="B1866" s="1" t="s">
        <v>4066</v>
      </c>
      <c r="C1866" s="1"/>
      <c r="J1866" s="1"/>
      <c r="M1866" s="15" t="s">
        <v>2134</v>
      </c>
      <c r="N1866" s="1" t="s">
        <v>343</v>
      </c>
      <c r="O1866" s="15">
        <v>10</v>
      </c>
      <c r="P1866" s="15" t="str" cm="1">
        <f t="array" ref="P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6" s="15" t="str" cm="1">
        <f t="array" ref="Q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S1866" s="1"/>
      <c r="T1866" s="1"/>
      <c r="U1866" s="32" t="s">
        <v>4103</v>
      </c>
      <c r="V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W1866" s="15" t="str">
        <f>_xlfn.TEXTBEFORE(_xlfn.TEXTAFTER(CantoralDB[[#This Row],[index.html]],"&gt;"),"&gt;")&amp;"&gt;"</f>
        <v>&lt;a href="canciones/taize/tibi_deo_gloria.html"&gt;</v>
      </c>
      <c r="X1866"/>
      <c r="AB1866" s="1"/>
    </row>
    <row r="1867" spans="1:28" x14ac:dyDescent="0.3">
      <c r="A1867" s="1">
        <f>ROW(CantoralDB[[#This Row],[Título]])-1</f>
        <v>1866</v>
      </c>
      <c r="B1867" s="1" t="s">
        <v>338</v>
      </c>
      <c r="C1867" s="1" t="s">
        <v>1021</v>
      </c>
      <c r="D1867" s="1" t="s">
        <v>1113</v>
      </c>
      <c r="H1867" s="1" t="s">
        <v>1029</v>
      </c>
      <c r="I1867" s="1" t="s">
        <v>2950</v>
      </c>
      <c r="J1867" s="1" t="s">
        <v>607</v>
      </c>
      <c r="M1867" s="15" t="s">
        <v>2134</v>
      </c>
      <c r="N1867" s="1" t="s">
        <v>343</v>
      </c>
      <c r="O1867" s="15">
        <v>12</v>
      </c>
      <c r="P1867" s="15" t="str" cm="1">
        <f t="array" ref="P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7" s="15" t="str" cm="1">
        <f t="array" ref="Q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867" s="1"/>
      <c r="T1867" s="1"/>
      <c r="U1867" s="32" t="s">
        <v>4104</v>
      </c>
      <c r="V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867" s="15" t="str">
        <f>_xlfn.TEXTBEFORE(_xlfn.TEXTAFTER(CantoralDB[[#This Row],[index.html]],"&gt;"),"&gt;")&amp;"&gt;"</f>
        <v>&lt;a href="canciones/taize/deus_deus_meus_(canon).html"&gt;</v>
      </c>
      <c r="X1867"/>
      <c r="AB1867" s="1"/>
    </row>
    <row r="1868" spans="1:28" x14ac:dyDescent="0.3">
      <c r="A1868" s="1">
        <f>ROW(CantoralDB[[#This Row],[Título]])-1</f>
        <v>1867</v>
      </c>
      <c r="B1868" s="1" t="s">
        <v>1025</v>
      </c>
      <c r="C1868" s="1" t="s">
        <v>1021</v>
      </c>
      <c r="D1868" s="1" t="s">
        <v>1111</v>
      </c>
      <c r="H1868" s="1" t="s">
        <v>1026</v>
      </c>
      <c r="I1868" s="1" t="s">
        <v>2953</v>
      </c>
      <c r="J1868" s="1" t="s">
        <v>607</v>
      </c>
      <c r="M1868" s="15" t="s">
        <v>2134</v>
      </c>
      <c r="N1868" s="1" t="s">
        <v>343</v>
      </c>
      <c r="O1868" s="15">
        <v>13</v>
      </c>
      <c r="P1868" s="15" t="str" cm="1">
        <f t="array" ref="P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8" s="15" t="str" cm="1">
        <f t="array" ref="Q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868" s="1"/>
      <c r="T1868" s="1"/>
      <c r="U1868" s="32" t="s">
        <v>4105</v>
      </c>
      <c r="V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868" s="15" t="str">
        <f>_xlfn.TEXTBEFORE(_xlfn.TEXTAFTER(CantoralDB[[#This Row],[index.html]],"&gt;"),"&gt;")&amp;"&gt;"</f>
        <v>&lt;a href="canciones/taize/v_tebi_je_izvir_življenja.html"&gt;</v>
      </c>
      <c r="X1868"/>
      <c r="AB1868" s="1"/>
    </row>
    <row r="1869" spans="1:28" x14ac:dyDescent="0.3">
      <c r="A1869" s="1">
        <f>ROW(CantoralDB[[#This Row],[Título]])-1</f>
        <v>1868</v>
      </c>
      <c r="B1869" s="1" t="s">
        <v>337</v>
      </c>
      <c r="C1869" s="1" t="s">
        <v>1021</v>
      </c>
      <c r="D1869" s="1" t="s">
        <v>1112</v>
      </c>
      <c r="H1869" s="1" t="s">
        <v>530</v>
      </c>
      <c r="I1869" s="1" t="s">
        <v>2953</v>
      </c>
      <c r="J1869" s="1" t="s">
        <v>607</v>
      </c>
      <c r="M1869" s="15" t="s">
        <v>2134</v>
      </c>
      <c r="N1869" s="1" t="s">
        <v>343</v>
      </c>
      <c r="O1869" s="15">
        <v>16</v>
      </c>
      <c r="P1869" s="15" t="str" cm="1">
        <f t="array" ref="P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9" s="15" t="str" cm="1">
        <f t="array" ref="Q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869" s="1" t="s">
        <v>959</v>
      </c>
      <c r="T1869" s="1"/>
      <c r="U1869" s="32" t="s">
        <v>4106</v>
      </c>
      <c r="V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869" s="15" t="str">
        <f>_xlfn.TEXTBEFORE(_xlfn.TEXTAFTER(CantoralDB[[#This Row],[index.html]],"&gt;"),"&gt;")&amp;"&gt;"</f>
        <v>&lt;a href="canciones/taize/despierta_tu_que_duermes.html"&gt;</v>
      </c>
      <c r="X1869"/>
      <c r="AB1869" s="1"/>
    </row>
    <row r="1870" spans="1:28" x14ac:dyDescent="0.3">
      <c r="A1870" s="1">
        <f>ROW(CantoralDB[[#This Row],[Título]])-1</f>
        <v>1869</v>
      </c>
      <c r="B1870" s="1" t="s">
        <v>353</v>
      </c>
      <c r="C1870" s="1"/>
      <c r="J1870" s="1"/>
      <c r="M1870" s="15" t="s">
        <v>2134</v>
      </c>
      <c r="N1870" s="1" t="s">
        <v>379</v>
      </c>
      <c r="O1870" s="15">
        <v>3</v>
      </c>
      <c r="P1870" s="15" t="str" cm="1">
        <f t="array" ref="P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0" s="15" t="str" cm="1">
        <f t="array" ref="Q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S1870" s="1"/>
      <c r="T1870" s="1"/>
      <c r="U1870" s="32" t="s">
        <v>4107</v>
      </c>
      <c r="V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W1870" s="15" t="str">
        <f>_xlfn.TEXTBEFORE(_xlfn.TEXTAFTER(CantoralDB[[#This Row],[index.html]],"&gt;"),"&gt;")&amp;"&gt;"</f>
        <v>&lt;a href="canciones/taize/gib_mich_ganz_zu_eigen_dir.html"&gt;</v>
      </c>
      <c r="X1870"/>
      <c r="AB1870" s="1"/>
    </row>
    <row r="1871" spans="1:28" x14ac:dyDescent="0.3">
      <c r="A1871" s="1">
        <f>ROW(CantoralDB[[#This Row],[Título]])-1</f>
        <v>1870</v>
      </c>
      <c r="B1871" s="1" t="s">
        <v>451</v>
      </c>
      <c r="C1871" s="1"/>
      <c r="J1871" s="1"/>
      <c r="M1871" s="15" t="s">
        <v>2134</v>
      </c>
      <c r="N1871" s="1" t="s">
        <v>379</v>
      </c>
      <c r="O1871" s="15">
        <v>9</v>
      </c>
      <c r="P1871" s="15" t="str" cm="1">
        <f t="array" ref="P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1" s="15" t="str" cm="1">
        <f t="array" ref="Q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S1871" s="1"/>
      <c r="T1871" s="1"/>
      <c r="U1871" s="32" t="s">
        <v>4108</v>
      </c>
      <c r="V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W1871" s="15" t="str">
        <f>_xlfn.TEXTBEFORE(_xlfn.TEXTAFTER(CantoralDB[[#This Row],[index.html]],"&gt;"),"&gt;")&amp;"&gt;"</f>
        <v>&lt;a href="canciones/taize/tu_mecum_es.html"&gt;</v>
      </c>
      <c r="X1871"/>
      <c r="AB1871" s="1"/>
    </row>
    <row r="1872" spans="1:28" x14ac:dyDescent="0.3">
      <c r="A1872" s="1">
        <f>ROW(CantoralDB[[#This Row],[Título]])-1</f>
        <v>1871</v>
      </c>
      <c r="B1872" s="1" t="s">
        <v>4064</v>
      </c>
      <c r="C1872" s="1"/>
      <c r="J1872" s="1"/>
      <c r="M1872" s="15" t="s">
        <v>2134</v>
      </c>
      <c r="N1872" s="1" t="s">
        <v>379</v>
      </c>
      <c r="O1872" s="15">
        <v>13</v>
      </c>
      <c r="P1872" s="15" t="str" cm="1">
        <f t="array" ref="P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2" s="15" t="str" cm="1">
        <f t="array" ref="Q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S1872" s="1"/>
      <c r="T1872" s="1"/>
      <c r="U1872" s="32" t="s">
        <v>4109</v>
      </c>
      <c r="V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W1872" s="15" t="str">
        <f>_xlfn.TEXTBEFORE(_xlfn.TEXTAFTER(CantoralDB[[#This Row],[index.html]],"&gt;"),"&gt;")&amp;"&gt;"</f>
        <v>&lt;a href="canciones/taize/dona_nobis_pacem_2.html"&gt;</v>
      </c>
      <c r="X1872"/>
      <c r="AB1872" s="1"/>
    </row>
    <row r="1873" spans="1:28" x14ac:dyDescent="0.3">
      <c r="A1873" s="1">
        <f>ROW(CantoralDB[[#This Row],[Título]])-1</f>
        <v>1872</v>
      </c>
      <c r="B1873" s="1" t="s">
        <v>471</v>
      </c>
      <c r="C1873" s="1" t="s">
        <v>1021</v>
      </c>
      <c r="D1873" s="1" t="s">
        <v>1069</v>
      </c>
      <c r="H1873" s="1" t="s">
        <v>530</v>
      </c>
      <c r="I1873" s="1" t="s">
        <v>2953</v>
      </c>
      <c r="J1873" s="1" t="s">
        <v>607</v>
      </c>
      <c r="M1873" s="15" t="s">
        <v>2134</v>
      </c>
      <c r="N1873" s="1" t="s">
        <v>379</v>
      </c>
      <c r="O1873" s="15">
        <v>16</v>
      </c>
      <c r="P1873" s="15" t="str" cm="1">
        <f t="array" ref="P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3" s="15" t="str" cm="1">
        <f t="array" ref="Q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873" s="1"/>
      <c r="T1873" s="1"/>
      <c r="U1873" s="32" t="s">
        <v>4110</v>
      </c>
      <c r="V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873" s="15" t="str">
        <f>_xlfn.TEXTBEFORE(_xlfn.TEXTAFTER(CantoralDB[[#This Row],[index.html]],"&gt;"),"&gt;")&amp;"&gt;"</f>
        <v>&lt;a href="canciones/taize/zu_wem_sollen_wir_gehen.html"&gt;</v>
      </c>
      <c r="X1873"/>
      <c r="AB1873" s="1"/>
    </row>
    <row r="1874" spans="1:28" x14ac:dyDescent="0.3">
      <c r="A1874" s="1">
        <f>ROW(CantoralDB[[#This Row],[Título]])-1</f>
        <v>1873</v>
      </c>
      <c r="B1874" s="1" t="s">
        <v>383</v>
      </c>
      <c r="C1874" s="1"/>
      <c r="J1874" s="1"/>
      <c r="M1874" s="15" t="s">
        <v>2134</v>
      </c>
      <c r="N1874" s="1" t="s">
        <v>4026</v>
      </c>
      <c r="O1874" s="15">
        <v>1</v>
      </c>
      <c r="P1874" s="15" t="str" cm="1">
        <f t="array" ref="P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4" s="15" t="str" cm="1">
        <f t="array" ref="Q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S1874" s="1"/>
      <c r="T1874" s="1"/>
      <c r="U1874" s="32" t="s">
        <v>4111</v>
      </c>
      <c r="V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W1874" s="15" t="str">
        <f>_xlfn.TEXTBEFORE(_xlfn.TEXTAFTER(CantoralDB[[#This Row],[index.html]],"&gt;"),"&gt;")&amp;"&gt;"</f>
        <v>&lt;a href="canciones/taize/jubilate_servite.html"&gt;</v>
      </c>
      <c r="X1874"/>
      <c r="AB1874" s="1"/>
    </row>
    <row r="1875" spans="1:28" x14ac:dyDescent="0.3">
      <c r="A1875" s="1">
        <f>ROW(CantoralDB[[#This Row],[Título]])-1</f>
        <v>1874</v>
      </c>
      <c r="B1875" s="1" t="s">
        <v>4027</v>
      </c>
      <c r="C1875" s="1"/>
      <c r="J1875" s="1"/>
      <c r="M1875" s="15" t="s">
        <v>2134</v>
      </c>
      <c r="N1875" s="1" t="s">
        <v>4026</v>
      </c>
      <c r="O1875" s="15">
        <v>2</v>
      </c>
      <c r="P1875" s="15" t="str" cm="1">
        <f t="array" ref="P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5" s="15" t="str" cm="1">
        <f t="array" ref="Q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S1875" s="1"/>
      <c r="T1875" s="1"/>
      <c r="U1875" s="32" t="s">
        <v>4112</v>
      </c>
      <c r="V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W1875" s="15" t="str">
        <f>_xlfn.TEXTBEFORE(_xlfn.TEXTAFTER(CantoralDB[[#This Row],[index.html]],"&gt;"),"&gt;")&amp;"&gt;"</f>
        <v>&lt;a href="canciones/taize/veni_creator_spiritus.html"&gt;</v>
      </c>
      <c r="X1875"/>
      <c r="AB1875" s="1"/>
    </row>
    <row r="1876" spans="1:28" x14ac:dyDescent="0.3">
      <c r="A1876" s="1">
        <f>ROW(CantoralDB[[#This Row],[Título]])-1</f>
        <v>1875</v>
      </c>
      <c r="B1876" s="1" t="s">
        <v>438</v>
      </c>
      <c r="C1876" s="1"/>
      <c r="J1876" s="1"/>
      <c r="M1876" s="15" t="s">
        <v>2134</v>
      </c>
      <c r="N1876" s="1" t="s">
        <v>4026</v>
      </c>
      <c r="O1876" s="15">
        <v>3</v>
      </c>
      <c r="P1876" s="15" t="str" cm="1">
        <f t="array" ref="P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6" s="15" t="str" cm="1">
        <f t="array" ref="Q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S1876" s="1"/>
      <c r="T1876" s="1"/>
      <c r="U1876" s="32" t="s">
        <v>4113</v>
      </c>
      <c r="V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W1876" s="15" t="str">
        <f>_xlfn.TEXTBEFORE(_xlfn.TEXTAFTER(CantoralDB[[#This Row],[index.html]],"&gt;"),"&gt;")&amp;"&gt;"</f>
        <v>&lt;a href="canciones/taize/singt_dem_herrn.html"&gt;</v>
      </c>
      <c r="X1876"/>
      <c r="AB1876" s="1"/>
    </row>
    <row r="1877" spans="1:28" x14ac:dyDescent="0.3">
      <c r="A1877" s="1">
        <f>ROW(CantoralDB[[#This Row],[Título]])-1</f>
        <v>1876</v>
      </c>
      <c r="B1877" s="1" t="s">
        <v>295</v>
      </c>
      <c r="C1877" s="1"/>
      <c r="J1877" s="1"/>
      <c r="M1877" s="15" t="s">
        <v>2134</v>
      </c>
      <c r="N1877" s="1" t="s">
        <v>4026</v>
      </c>
      <c r="O1877" s="15">
        <v>4</v>
      </c>
      <c r="P1877" s="15" t="str" cm="1">
        <f t="array" ref="P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7" s="15" t="str" cm="1">
        <f t="array" ref="Q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S1877" s="1"/>
      <c r="T1877" s="1"/>
      <c r="U1877" s="32" t="s">
        <v>4114</v>
      </c>
      <c r="V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W1877" s="15" t="str">
        <f>_xlfn.TEXTBEFORE(_xlfn.TEXTAFTER(CantoralDB[[#This Row],[index.html]],"&gt;"),"&gt;")&amp;"&gt;"</f>
        <v>&lt;a href="canciones/taize/alleluia_10.html"&gt;</v>
      </c>
      <c r="X1877"/>
      <c r="AB1877" s="1"/>
    </row>
    <row r="1878" spans="1:28" x14ac:dyDescent="0.3">
      <c r="A1878" s="1">
        <f>ROW(CantoralDB[[#This Row],[Título]])-1</f>
        <v>1877</v>
      </c>
      <c r="B1878" s="1" t="s">
        <v>316</v>
      </c>
      <c r="C1878" s="1"/>
      <c r="J1878" s="1"/>
      <c r="M1878" s="15" t="s">
        <v>2134</v>
      </c>
      <c r="N1878" s="1" t="s">
        <v>4026</v>
      </c>
      <c r="O1878" s="15">
        <v>5</v>
      </c>
      <c r="P1878" s="15" t="str" cm="1">
        <f t="array" ref="P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8" s="15" t="str" cm="1">
        <f t="array" ref="Q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S1878" s="1"/>
      <c r="T1878" s="1"/>
      <c r="U1878" s="32" t="s">
        <v>4115</v>
      </c>
      <c r="V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W1878" s="15" t="str">
        <f>_xlfn.TEXTBEFORE(_xlfn.TEXTAFTER(CantoralDB[[#This Row],[index.html]],"&gt;"),"&gt;")&amp;"&gt;"</f>
        <v>&lt;a href="canciones/taize/bleib_mit_deiner_gnade.html"&gt;</v>
      </c>
      <c r="X1878"/>
      <c r="AB1878" s="1"/>
    </row>
    <row r="1879" spans="1:28" x14ac:dyDescent="0.3">
      <c r="A1879" s="1">
        <f>ROW(CantoralDB[[#This Row],[Título]])-1</f>
        <v>1878</v>
      </c>
      <c r="B1879" s="1" t="s">
        <v>394</v>
      </c>
      <c r="C1879" s="1"/>
      <c r="J1879" s="1"/>
      <c r="M1879" s="15" t="s">
        <v>2134</v>
      </c>
      <c r="N1879" s="1" t="s">
        <v>4026</v>
      </c>
      <c r="O1879" s="15">
        <v>6</v>
      </c>
      <c r="P1879" s="15" t="str" cm="1">
        <f t="array" ref="P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9" s="15" t="str" cm="1">
        <f t="array" ref="Q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S1879" s="1"/>
      <c r="T1879" s="1"/>
      <c r="U1879" s="32" t="s">
        <v>4116</v>
      </c>
      <c r="V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W1879" s="15" t="str">
        <f>_xlfn.TEXTBEFORE(_xlfn.TEXTAFTER(CantoralDB[[#This Row],[index.html]],"&gt;"),"&gt;")&amp;"&gt;"</f>
        <v>&lt;a href="canciones/taize/kyrie_13.html"&gt;</v>
      </c>
      <c r="X1879"/>
      <c r="AB1879" s="1"/>
    </row>
    <row r="1880" spans="1:28" x14ac:dyDescent="0.3">
      <c r="A1880" s="1">
        <f>ROW(CantoralDB[[#This Row],[Título]])-1</f>
        <v>1879</v>
      </c>
      <c r="B1880" s="1" t="s">
        <v>376</v>
      </c>
      <c r="C1880" s="1" t="s">
        <v>1021</v>
      </c>
      <c r="D1880" s="1" t="s">
        <v>1102</v>
      </c>
      <c r="H1880" s="1" t="s">
        <v>530</v>
      </c>
      <c r="I1880" s="1" t="s">
        <v>2953</v>
      </c>
      <c r="J1880" s="1" t="s">
        <v>607</v>
      </c>
      <c r="M1880" s="15" t="s">
        <v>2134</v>
      </c>
      <c r="N1880" s="1" t="s">
        <v>4026</v>
      </c>
      <c r="O1880" s="15">
        <v>7</v>
      </c>
      <c r="P1880" s="15" t="str" cm="1">
        <f t="array" ref="P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0" s="15" t="str" cm="1">
        <f t="array" ref="Q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880" s="1"/>
      <c r="T1880" s="1"/>
      <c r="U1880" s="32" t="s">
        <v>4117</v>
      </c>
      <c r="V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880" s="15" t="str">
        <f>_xlfn.TEXTBEFORE(_xlfn.TEXTAFTER(CantoralDB[[#This Row],[index.html]],"&gt;"),"&gt;")&amp;"&gt;"</f>
        <v>&lt;a href="canciones/taize/jesus_le_christ.html"&gt;</v>
      </c>
      <c r="X1880"/>
      <c r="AB1880" s="1"/>
    </row>
    <row r="1881" spans="1:28" x14ac:dyDescent="0.3">
      <c r="A1881" s="1">
        <f>ROW(CantoralDB[[#This Row],[Título]])-1</f>
        <v>1880</v>
      </c>
      <c r="B1881" s="1" t="s">
        <v>783</v>
      </c>
      <c r="C1881" s="1" t="s">
        <v>1021</v>
      </c>
      <c r="D1881" s="1" t="s">
        <v>1138</v>
      </c>
      <c r="H1881" s="1" t="s">
        <v>1029</v>
      </c>
      <c r="I1881" s="1" t="s">
        <v>2952</v>
      </c>
      <c r="J1881" s="1" t="s">
        <v>607</v>
      </c>
      <c r="M1881" s="15" t="s">
        <v>2134</v>
      </c>
      <c r="N1881" s="1" t="s">
        <v>4026</v>
      </c>
      <c r="O1881" s="15">
        <v>8</v>
      </c>
      <c r="P1881" s="15" t="str" cm="1">
        <f t="array" ref="P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1" s="15" t="str" cm="1">
        <f t="array" ref="Q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881" s="1"/>
      <c r="T1881" s="1"/>
      <c r="U1881" s="32" t="s">
        <v>4118</v>
      </c>
      <c r="V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881" s="15" t="str">
        <f>_xlfn.TEXTBEFORE(_xlfn.TEXTAFTER(CantoralDB[[#This Row],[index.html]],"&gt;"),"&gt;")&amp;"&gt;"</f>
        <v>&lt;a href="canciones/taize/laudate_dominum.html"&gt;</v>
      </c>
      <c r="X1881"/>
      <c r="AB1881" s="1"/>
    </row>
    <row r="1882" spans="1:28" x14ac:dyDescent="0.3">
      <c r="A1882" s="1">
        <f>ROW(CantoralDB[[#This Row],[Título]])-1</f>
        <v>1881</v>
      </c>
      <c r="B1882" s="1" t="s">
        <v>315</v>
      </c>
      <c r="C1882" s="1" t="s">
        <v>1021</v>
      </c>
      <c r="D1882" s="1" t="s">
        <v>1086</v>
      </c>
      <c r="H1882" s="1" t="s">
        <v>530</v>
      </c>
      <c r="I1882" s="1" t="s">
        <v>2953</v>
      </c>
      <c r="J1882" s="1" t="s">
        <v>607</v>
      </c>
      <c r="M1882" s="15" t="s">
        <v>2134</v>
      </c>
      <c r="N1882" s="1" t="s">
        <v>4026</v>
      </c>
      <c r="O1882" s="15">
        <v>9</v>
      </c>
      <c r="P1882" s="15" t="str" cm="1">
        <f t="array" ref="P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2" s="15" t="str" cm="1">
        <f t="array" ref="Q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882" s="1"/>
      <c r="T1882" s="1"/>
      <c r="U1882" s="32" t="s">
        <v>4119</v>
      </c>
      <c r="V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882" s="15" t="str">
        <f>_xlfn.TEXTBEFORE(_xlfn.TEXTAFTER(CantoralDB[[#This Row],[index.html]],"&gt;"),"&gt;")&amp;"&gt;"</f>
        <v>&lt;a href="canciones/taize/benissez_le_seigneur.html"&gt;</v>
      </c>
      <c r="X1882"/>
      <c r="AB1882" s="1"/>
    </row>
    <row r="1883" spans="1:28" x14ac:dyDescent="0.3">
      <c r="A1883" s="1">
        <f>ROW(CantoralDB[[#This Row],[Título]])-1</f>
        <v>1882</v>
      </c>
      <c r="B1883" s="1" t="s">
        <v>279</v>
      </c>
      <c r="C1883" s="1"/>
      <c r="J1883" s="1"/>
      <c r="M1883" s="15" t="s">
        <v>2134</v>
      </c>
      <c r="N1883" s="1" t="s">
        <v>4026</v>
      </c>
      <c r="O1883" s="15">
        <v>10</v>
      </c>
      <c r="P1883" s="15" t="str" cm="1">
        <f t="array" ref="P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3" s="15" t="str" cm="1">
        <f t="array" ref="Q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S1883" s="1"/>
      <c r="T1883" s="1"/>
      <c r="U1883" s="32" t="s">
        <v>4120</v>
      </c>
      <c r="V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W1883" s="15" t="str">
        <f>_xlfn.TEXTBEFORE(_xlfn.TEXTAFTER(CantoralDB[[#This Row],[index.html]],"&gt;"),"&gt;")&amp;"&gt;"</f>
        <v>&lt;a href="canciones/taize/adoramus_te_christe.html"&gt;</v>
      </c>
      <c r="X1883"/>
      <c r="AB1883" s="1"/>
    </row>
    <row r="1884" spans="1:28" x14ac:dyDescent="0.3">
      <c r="A1884" s="1">
        <f>ROW(CantoralDB[[#This Row],[Título]])-1</f>
        <v>1883</v>
      </c>
      <c r="B1884" s="1" t="s">
        <v>4028</v>
      </c>
      <c r="C1884" s="1"/>
      <c r="J1884" s="1"/>
      <c r="M1884" s="15" t="s">
        <v>2134</v>
      </c>
      <c r="N1884" s="1" t="s">
        <v>4026</v>
      </c>
      <c r="O1884" s="15">
        <v>11</v>
      </c>
      <c r="P1884" s="15" t="str" cm="1">
        <f t="array" ref="P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4" s="15" t="str" cm="1">
        <f t="array" ref="Q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S1884" s="1"/>
      <c r="T1884" s="1"/>
      <c r="U1884" s="32" t="s">
        <v>4121</v>
      </c>
      <c r="V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W1884" s="15" t="str">
        <f>_xlfn.TEXTBEFORE(_xlfn.TEXTAFTER(CantoralDB[[#This Row],[index.html]],"&gt;"),"&gt;")&amp;"&gt;"</f>
        <v>&lt;a href="canciones/taize/magnificat_(choral).html"&gt;</v>
      </c>
      <c r="X1884"/>
      <c r="AB1884" s="1"/>
    </row>
    <row r="1885" spans="1:28" x14ac:dyDescent="0.3">
      <c r="A1885" s="1">
        <f>ROW(CantoralDB[[#This Row],[Título]])-1</f>
        <v>1884</v>
      </c>
      <c r="B1885" s="1" t="s">
        <v>4029</v>
      </c>
      <c r="C1885" s="1"/>
      <c r="J1885" s="1"/>
      <c r="M1885" s="15" t="s">
        <v>2134</v>
      </c>
      <c r="N1885" s="1" t="s">
        <v>4026</v>
      </c>
      <c r="O1885" s="15">
        <v>12</v>
      </c>
      <c r="P1885" s="15" t="str" cm="1">
        <f t="array" ref="P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5" s="15" t="str" cm="1">
        <f t="array" ref="Q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S1885" s="1"/>
      <c r="T1885" s="1"/>
      <c r="U1885" s="32" t="s">
        <v>4122</v>
      </c>
      <c r="V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W1885" s="15" t="str">
        <f>_xlfn.TEXTBEFORE(_xlfn.TEXTAFTER(CantoralDB[[#This Row],[index.html]],"&gt;"),"&gt;")&amp;"&gt;"</f>
        <v>&lt;a href="canciones/taize/il_n'est_pas_de_plus_grand_amour.html"&gt;</v>
      </c>
      <c r="X1885"/>
      <c r="AB1885" s="1"/>
    </row>
    <row r="1886" spans="1:28" x14ac:dyDescent="0.3">
      <c r="A1886" s="1">
        <f>ROW(CantoralDB[[#This Row],[Título]])-1</f>
        <v>1885</v>
      </c>
      <c r="B1886" s="1" t="s">
        <v>322</v>
      </c>
      <c r="C1886" s="1" t="s">
        <v>1021</v>
      </c>
      <c r="D1886" s="1" t="s">
        <v>1092</v>
      </c>
      <c r="H1886" s="1" t="s">
        <v>530</v>
      </c>
      <c r="I1886" s="1" t="s">
        <v>2951</v>
      </c>
      <c r="J1886" s="1" t="s">
        <v>607</v>
      </c>
      <c r="M1886" s="15" t="s">
        <v>2134</v>
      </c>
      <c r="N1886" s="1" t="s">
        <v>4026</v>
      </c>
      <c r="O1886" s="15">
        <v>13</v>
      </c>
      <c r="P1886" s="15" t="str" cm="1">
        <f t="array" ref="P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6" s="15" t="str" cm="1">
        <f t="array" ref="Q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886" s="1"/>
      <c r="T1886" s="1"/>
      <c r="U1886" s="32" t="s">
        <v>4123</v>
      </c>
      <c r="V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886" s="15" t="str">
        <f>_xlfn.TEXTBEFORE(_xlfn.TEXTAFTER(CantoralDB[[#This Row],[index.html]],"&gt;"),"&gt;")&amp;"&gt;"</f>
        <v>&lt;a href="canciones/taize/bonum_est_confidere.html"&gt;</v>
      </c>
      <c r="X1886"/>
      <c r="AB1886" s="1"/>
    </row>
    <row r="1887" spans="1:28" x14ac:dyDescent="0.3">
      <c r="A1887" s="1">
        <f>ROW(CantoralDB[[#This Row],[Título]])-1</f>
        <v>1886</v>
      </c>
      <c r="B1887" s="1" t="s">
        <v>356</v>
      </c>
      <c r="C1887" s="1"/>
      <c r="J1887" s="1"/>
      <c r="M1887" s="15" t="s">
        <v>2134</v>
      </c>
      <c r="N1887" s="1" t="s">
        <v>4026</v>
      </c>
      <c r="O1887" s="15">
        <v>14</v>
      </c>
      <c r="P1887" s="15" t="str" cm="1">
        <f t="array" ref="P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7" s="15" t="str" cm="1">
        <f t="array" ref="Q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S1887" s="1"/>
      <c r="T1887" s="1"/>
      <c r="U1887" s="32" t="s">
        <v>4124</v>
      </c>
      <c r="V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W1887" s="15" t="str">
        <f>_xlfn.TEXTBEFORE(_xlfn.TEXTAFTER(CantoralDB[[#This Row],[index.html]],"&gt;"),"&gt;")&amp;"&gt;"</f>
        <v>&lt;a href="canciones/taize/gospodi_a.html"&gt;</v>
      </c>
      <c r="X1887"/>
      <c r="AB1887" s="1"/>
    </row>
    <row r="1888" spans="1:28" x14ac:dyDescent="0.3">
      <c r="A1888" s="1">
        <f>ROW(CantoralDB[[#This Row],[Título]])-1</f>
        <v>1887</v>
      </c>
      <c r="B1888" s="1" t="s">
        <v>378</v>
      </c>
      <c r="C1888" s="1" t="s">
        <v>1021</v>
      </c>
      <c r="D1888" s="1" t="s">
        <v>1129</v>
      </c>
      <c r="H1888" s="1" t="s">
        <v>530</v>
      </c>
      <c r="I1888" s="1" t="s">
        <v>2952</v>
      </c>
      <c r="J1888" s="1" t="s">
        <v>607</v>
      </c>
      <c r="M1888" s="15" t="s">
        <v>2134</v>
      </c>
      <c r="N1888" s="1" t="s">
        <v>4026</v>
      </c>
      <c r="O1888" s="15">
        <v>16</v>
      </c>
      <c r="P1888" s="15" t="str" cm="1">
        <f t="array" ref="P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8" s="15" t="str" cm="1">
        <f t="array" ref="Q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888" s="1"/>
      <c r="T1888" s="1"/>
      <c r="U1888" s="32" t="s">
        <v>4126</v>
      </c>
      <c r="V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888" s="15" t="str">
        <f>_xlfn.TEXTBEFORE(_xlfn.TEXTAFTER(CantoralDB[[#This Row],[index.html]],"&gt;"),"&gt;")&amp;"&gt;"</f>
        <v>&lt;a href="canciones/taize/jesus_remember_me.html"&gt;</v>
      </c>
      <c r="X1888"/>
      <c r="AB1888" s="1"/>
    </row>
    <row r="1889" spans="1:28" x14ac:dyDescent="0.3">
      <c r="A1889" s="1">
        <f>ROW(CantoralDB[[#This Row],[Título]])-1</f>
        <v>1888</v>
      </c>
      <c r="B1889" s="1" t="s">
        <v>4030</v>
      </c>
      <c r="C1889" s="1"/>
      <c r="J1889" s="1"/>
      <c r="M1889" s="15" t="s">
        <v>2134</v>
      </c>
      <c r="N1889" s="1" t="s">
        <v>4026</v>
      </c>
      <c r="O1889" s="15">
        <v>15</v>
      </c>
      <c r="P1889" s="15" t="str" cm="1">
        <f t="array" ref="P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9" s="15" t="str" cm="1">
        <f t="array" ref="Q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S1889" s="1"/>
      <c r="T1889" s="1"/>
      <c r="U1889" s="32" t="s">
        <v>4125</v>
      </c>
      <c r="V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W1889" s="15" t="str">
        <f>_xlfn.TEXTBEFORE(_xlfn.TEXTAFTER(CantoralDB[[#This Row],[index.html]],"&gt;"),"&gt;")&amp;"&gt;"</f>
        <v>&lt;a href="canciones/taize/notre_âme_attend_le_seigneur.html"&gt;</v>
      </c>
      <c r="X1889"/>
      <c r="AB1889" s="1"/>
    </row>
    <row r="1890" spans="1:28" x14ac:dyDescent="0.3">
      <c r="A1890" s="1">
        <f>ROW(CantoralDB[[#This Row],[Título]])-1</f>
        <v>1889</v>
      </c>
      <c r="B1890" s="1" t="s">
        <v>406</v>
      </c>
      <c r="C1890" s="1"/>
      <c r="J1890" s="1"/>
      <c r="M1890" s="15" t="s">
        <v>2134</v>
      </c>
      <c r="N1890" s="1" t="s">
        <v>4060</v>
      </c>
      <c r="O1890" s="15">
        <v>1</v>
      </c>
      <c r="P1890" s="15" t="str" cm="1">
        <f t="array" ref="P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0" s="15" t="str" cm="1">
        <f t="array" ref="Q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S1890" s="1"/>
      <c r="T1890" s="1"/>
      <c r="U1890" s="32" t="s">
        <v>4127</v>
      </c>
      <c r="V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W1890" s="15" t="str">
        <f>_xlfn.TEXTBEFORE(_xlfn.TEXTAFTER(CantoralDB[[#This Row],[index.html]],"&gt;"),"&gt;")&amp;"&gt;"</f>
        <v>&lt;a href="canciones/taize/laudemus_deum.html"&gt;</v>
      </c>
      <c r="X1890"/>
      <c r="AB1890" s="1"/>
    </row>
    <row r="1891" spans="1:28" x14ac:dyDescent="0.3">
      <c r="A1891" s="1">
        <f>ROW(CantoralDB[[#This Row],[Título]])-1</f>
        <v>1890</v>
      </c>
      <c r="B1891" s="1" t="s">
        <v>379</v>
      </c>
      <c r="C1891" s="1" t="s">
        <v>1021</v>
      </c>
      <c r="D1891" s="1" t="s">
        <v>1075</v>
      </c>
      <c r="H1891" s="1" t="s">
        <v>472</v>
      </c>
      <c r="J1891" s="1" t="s">
        <v>607</v>
      </c>
      <c r="M1891" s="15" t="s">
        <v>2134</v>
      </c>
      <c r="N1891" s="1" t="s">
        <v>4060</v>
      </c>
      <c r="O1891" s="15">
        <v>3</v>
      </c>
      <c r="P1891" s="15" t="str" cm="1">
        <f t="array" ref="P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1" s="15" t="str" cm="1">
        <f t="array" ref="Q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891" s="1"/>
      <c r="T1891" s="1"/>
      <c r="U1891" s="32" t="s">
        <v>4128</v>
      </c>
      <c r="V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891" s="15" t="str">
        <f>_xlfn.TEXTBEFORE(_xlfn.TEXTAFTER(CantoralDB[[#This Row],[index.html]],"&gt;"),"&gt;")&amp;"&gt;"</f>
        <v>&lt;a href="canciones/taize/jubelt_und_freut_euch.html"&gt;</v>
      </c>
      <c r="X1891"/>
      <c r="AB1891" s="1"/>
    </row>
    <row r="1892" spans="1:28" x14ac:dyDescent="0.3">
      <c r="A1892" s="1">
        <f>ROW(CantoralDB[[#This Row],[Título]])-1</f>
        <v>1891</v>
      </c>
      <c r="B1892" s="1" t="s">
        <v>432</v>
      </c>
      <c r="C1892" s="1" t="s">
        <v>1021</v>
      </c>
      <c r="D1892" s="1" t="s">
        <v>1145</v>
      </c>
      <c r="H1892" s="1" t="s">
        <v>530</v>
      </c>
      <c r="I1892" s="1" t="s">
        <v>2951</v>
      </c>
      <c r="J1892" s="1" t="s">
        <v>607</v>
      </c>
      <c r="M1892" s="15" t="s">
        <v>2134</v>
      </c>
      <c r="N1892" s="1" t="s">
        <v>4060</v>
      </c>
      <c r="O1892" s="15">
        <v>4</v>
      </c>
      <c r="P1892" s="15" t="str" cm="1">
        <f t="array" ref="P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2" s="15" t="str" cm="1">
        <f t="array" ref="Q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92" s="1"/>
      <c r="T1892" s="1"/>
      <c r="U1892" s="32" t="s">
        <v>4129</v>
      </c>
      <c r="V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892" s="15" t="str">
        <f>_xlfn.TEXTBEFORE(_xlfn.TEXTAFTER(CantoralDB[[#This Row],[index.html]],"&gt;"),"&gt;")&amp;"&gt;"</f>
        <v>&lt;a href="canciones/taize/sanasi_on_lamppu.html"&gt;</v>
      </c>
      <c r="X1892"/>
      <c r="AB1892" s="1"/>
    </row>
    <row r="1893" spans="1:28" x14ac:dyDescent="0.3">
      <c r="A1893" s="1">
        <f>ROW(CantoralDB[[#This Row],[Título]])-1</f>
        <v>1892</v>
      </c>
      <c r="B1893" s="1" t="s">
        <v>373</v>
      </c>
      <c r="C1893" s="1"/>
      <c r="J1893" s="1"/>
      <c r="M1893" s="15" t="s">
        <v>2134</v>
      </c>
      <c r="N1893" s="1" t="s">
        <v>4060</v>
      </c>
      <c r="O1893" s="15">
        <v>5</v>
      </c>
      <c r="P1893" s="15" t="str" cm="1">
        <f t="array" ref="P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3" s="15" t="str" cm="1">
        <f t="array" ref="Q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S1893" s="1"/>
      <c r="T1893" s="1"/>
      <c r="U1893" s="32" t="s">
        <v>4130</v>
      </c>
      <c r="V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W1893" s="15" t="str">
        <f>_xlfn.TEXTBEFORE(_xlfn.TEXTAFTER(CantoralDB[[#This Row],[index.html]],"&gt;"),"&gt;")&amp;"&gt;"</f>
        <v>&lt;a href="canciones/taize/jesu_christe_fili_dei.html"&gt;</v>
      </c>
      <c r="X1893"/>
      <c r="AB1893" s="1"/>
    </row>
    <row r="1894" spans="1:28" x14ac:dyDescent="0.3">
      <c r="A1894" s="1">
        <f>ROW(CantoralDB[[#This Row],[Título]])-1</f>
        <v>1893</v>
      </c>
      <c r="B1894" s="1" t="s">
        <v>436</v>
      </c>
      <c r="C1894" s="1" t="s">
        <v>1021</v>
      </c>
      <c r="D1894" s="1" t="s">
        <v>1147</v>
      </c>
      <c r="H1894" s="1" t="s">
        <v>1027</v>
      </c>
      <c r="I1894" s="1" t="s">
        <v>2953</v>
      </c>
      <c r="J1894" s="1" t="s">
        <v>607</v>
      </c>
      <c r="M1894" s="15" t="s">
        <v>2134</v>
      </c>
      <c r="N1894" s="1" t="s">
        <v>4060</v>
      </c>
      <c r="O1894" s="15">
        <v>7</v>
      </c>
      <c r="P1894" s="15" t="str" cm="1">
        <f t="array" ref="P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4" s="15" t="str" cm="1">
        <f t="array" ref="Q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894" s="1" t="s">
        <v>981</v>
      </c>
      <c r="T1894" s="1"/>
      <c r="U1894" s="32" t="s">
        <v>4131</v>
      </c>
      <c r="V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894" s="15" t="str">
        <f>_xlfn.TEXTBEFORE(_xlfn.TEXTAFTER(CantoralDB[[#This Row],[index.html]],"&gt;"),"&gt;")&amp;"&gt;"</f>
        <v>&lt;a href="canciones/taize/señor_que_florezca_tu_justicia.html"&gt;</v>
      </c>
      <c r="X1894"/>
      <c r="AB1894" s="1"/>
    </row>
    <row r="1895" spans="1:28" x14ac:dyDescent="0.3">
      <c r="A1895" s="1">
        <f>ROW(CantoralDB[[#This Row],[Título]])-1</f>
        <v>1894</v>
      </c>
      <c r="B1895" s="1" t="s">
        <v>4061</v>
      </c>
      <c r="C1895" s="1"/>
      <c r="J1895" s="1"/>
      <c r="M1895" s="15" t="s">
        <v>2134</v>
      </c>
      <c r="N1895" s="1" t="s">
        <v>4060</v>
      </c>
      <c r="O1895" s="15">
        <v>8</v>
      </c>
      <c r="P1895" s="15" t="str" cm="1">
        <f t="array" ref="P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5" s="15" t="str" cm="1">
        <f t="array" ref="Q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S1895" s="1"/>
      <c r="T1895" s="1"/>
      <c r="U1895" s="32" t="s">
        <v>4132</v>
      </c>
      <c r="V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W1895" s="15" t="str">
        <f>_xlfn.TEXTBEFORE(_xlfn.TEXTAFTER(CantoralDB[[#This Row],[index.html]],"&gt;"),"&gt;")&amp;"&gt;"</f>
        <v>&lt;a href="canciones/taize/ô_sagesse.html"&gt;</v>
      </c>
      <c r="X1895"/>
      <c r="AB1895" s="1"/>
    </row>
    <row r="1896" spans="1:28" x14ac:dyDescent="0.3">
      <c r="A1896" s="1">
        <f>ROW(CantoralDB[[#This Row],[Título]])-1</f>
        <v>1895</v>
      </c>
      <c r="B1896" s="1" t="s">
        <v>4062</v>
      </c>
      <c r="C1896" s="1"/>
      <c r="J1896" s="1"/>
      <c r="M1896" s="15" t="s">
        <v>2134</v>
      </c>
      <c r="N1896" s="1" t="s">
        <v>4060</v>
      </c>
      <c r="O1896" s="15">
        <v>10</v>
      </c>
      <c r="P1896" s="15" t="str" cm="1">
        <f t="array" ref="P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6" s="15" t="str" cm="1">
        <f t="array" ref="Q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S1896" s="1"/>
      <c r="T1896" s="1"/>
      <c r="U1896" s="32" t="s">
        <v>4133</v>
      </c>
      <c r="V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W1896" s="15" t="str">
        <f>_xlfn.TEXTBEFORE(_xlfn.TEXTAFTER(CantoralDB[[#This Row],[index.html]],"&gt;"),"&gt;")&amp;"&gt;"</f>
        <v>&lt;a href="canciones/taize/ô_vous_qui_dans_l'obscurite.html"&gt;</v>
      </c>
      <c r="X1896"/>
      <c r="AB1896" s="1"/>
    </row>
    <row r="1897" spans="1:28" x14ac:dyDescent="0.3">
      <c r="A1897" s="1">
        <f>ROW(CantoralDB[[#This Row],[Título]])-1</f>
        <v>1896</v>
      </c>
      <c r="B1897" s="1" t="s">
        <v>362</v>
      </c>
      <c r="C1897" s="1" t="s">
        <v>1021</v>
      </c>
      <c r="D1897" s="1" t="s">
        <v>1125</v>
      </c>
      <c r="H1897" s="1" t="s">
        <v>1029</v>
      </c>
      <c r="I1897" s="1" t="s">
        <v>2951</v>
      </c>
      <c r="J1897" s="1" t="s">
        <v>607</v>
      </c>
      <c r="M1897" s="15" t="s">
        <v>2134</v>
      </c>
      <c r="N1897" s="1" t="s">
        <v>4060</v>
      </c>
      <c r="O1897" s="15">
        <v>11</v>
      </c>
      <c r="P1897" s="15" t="str" cm="1">
        <f t="array" ref="P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7" s="15" t="str" cm="1">
        <f t="array" ref="Q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897" s="1"/>
      <c r="T1897" s="1"/>
      <c r="U1897" s="32" t="s">
        <v>4134</v>
      </c>
      <c r="V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897" s="15" t="str">
        <f>_xlfn.TEXTBEFORE(_xlfn.TEXTAFTER(CantoralDB[[#This Row],[index.html]],"&gt;"),"&gt;")&amp;"&gt;"</f>
        <v>&lt;a href="canciones/taize/heureux_qui_s’abandonne_à_toi.html"&gt;</v>
      </c>
      <c r="X1897"/>
      <c r="AB1897" s="1"/>
    </row>
    <row r="1898" spans="1:28" x14ac:dyDescent="0.3">
      <c r="A1898" s="1">
        <f>ROW(CantoralDB[[#This Row],[Título]])-1</f>
        <v>1897</v>
      </c>
      <c r="B1898" s="1" t="s">
        <v>4060</v>
      </c>
      <c r="C1898" s="1"/>
      <c r="J1898" s="1"/>
      <c r="M1898" s="15" t="s">
        <v>2134</v>
      </c>
      <c r="N1898" s="1" t="s">
        <v>4060</v>
      </c>
      <c r="O1898" s="15">
        <v>12</v>
      </c>
      <c r="P1898" s="15" t="str" cm="1">
        <f t="array" ref="P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8" s="15" t="str" cm="1">
        <f t="array" ref="Q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S1898" s="1"/>
      <c r="T1898" s="1"/>
      <c r="U1898" s="32" t="s">
        <v>4135</v>
      </c>
      <c r="V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W1898" s="15" t="str">
        <f>_xlfn.TEXTBEFORE(_xlfn.TEXTAFTER(CantoralDB[[#This Row],[index.html]],"&gt;"),"&gt;")&amp;"&gt;"</f>
        <v>&lt;a href="canciones/taize/laudamus_te.html"&gt;</v>
      </c>
      <c r="X1898"/>
      <c r="AB1898" s="1"/>
    </row>
    <row r="1899" spans="1:28" x14ac:dyDescent="0.3">
      <c r="A1899" s="1">
        <f>ROW(CantoralDB[[#This Row],[Título]])-1</f>
        <v>1898</v>
      </c>
      <c r="B1899" s="1" t="s">
        <v>4063</v>
      </c>
      <c r="C1899" s="1"/>
      <c r="J1899" s="1"/>
      <c r="M1899" s="15" t="s">
        <v>2134</v>
      </c>
      <c r="N1899" s="1" t="s">
        <v>4060</v>
      </c>
      <c r="O1899" s="15">
        <v>13</v>
      </c>
      <c r="P1899" s="15" t="str" cm="1">
        <f t="array" ref="P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9" s="15" t="str" cm="1">
        <f t="array" ref="Q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S1899" s="1"/>
      <c r="T1899" s="1"/>
      <c r="U1899" s="32" t="s">
        <v>4136</v>
      </c>
      <c r="V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W1899" s="15" t="str">
        <f>_xlfn.TEXTBEFORE(_xlfn.TEXTAFTER(CantoralDB[[#This Row],[index.html]],"&gt;"),"&gt;")&amp;"&gt;"</f>
        <v>&lt;a href="canciones/taize/atme_in_uns_heilliger_geist.html"&gt;</v>
      </c>
      <c r="X1899"/>
      <c r="AB1899" s="1"/>
    </row>
    <row r="1900" spans="1:28" x14ac:dyDescent="0.3">
      <c r="A1900" s="1">
        <f>ROW(CantoralDB[[#This Row],[Título]])-1</f>
        <v>1899</v>
      </c>
      <c r="B1900" s="1" t="s">
        <v>467</v>
      </c>
      <c r="C1900" s="1" t="s">
        <v>1021</v>
      </c>
      <c r="D1900" s="1" t="s">
        <v>1121</v>
      </c>
      <c r="H1900" s="1" t="s">
        <v>530</v>
      </c>
      <c r="I1900" s="1" t="s">
        <v>2952</v>
      </c>
      <c r="J1900" s="1" t="s">
        <v>607</v>
      </c>
      <c r="M1900" s="15" t="s">
        <v>2134</v>
      </c>
      <c r="N1900" s="1" t="s">
        <v>4060</v>
      </c>
      <c r="O1900" s="15">
        <v>14</v>
      </c>
      <c r="P1900" s="15" t="str" cm="1">
        <f t="array" ref="P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0" s="15" t="str" cm="1">
        <f t="array" ref="Q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900" s="1"/>
      <c r="T1900" s="1"/>
      <c r="U1900" s="32" t="s">
        <v>4137</v>
      </c>
      <c r="V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900" s="15" t="str">
        <f>_xlfn.TEXTBEFORE(_xlfn.TEXTAFTER(CantoralDB[[#This Row],[index.html]],"&gt;"),"&gt;")&amp;"&gt;"</f>
        <v>&lt;a href="canciones/taize/voici_dieu_qui_vient_à_mon_secours.html"&gt;</v>
      </c>
      <c r="X1900"/>
      <c r="AB1900" s="1"/>
    </row>
    <row r="1901" spans="1:28" x14ac:dyDescent="0.3">
      <c r="A1901" s="1">
        <f>ROW(CantoralDB[[#This Row],[Título]])-1</f>
        <v>1900</v>
      </c>
      <c r="B1901" s="1" t="s">
        <v>442</v>
      </c>
      <c r="C1901" s="1" t="s">
        <v>1021</v>
      </c>
      <c r="D1901" s="1" t="s">
        <v>1146</v>
      </c>
      <c r="H1901" s="1" t="s">
        <v>472</v>
      </c>
      <c r="I1901" s="1" t="s">
        <v>2951</v>
      </c>
      <c r="J1901" s="1" t="s">
        <v>607</v>
      </c>
      <c r="M1901" s="15" t="s">
        <v>2134</v>
      </c>
      <c r="N1901" s="1" t="s">
        <v>4060</v>
      </c>
      <c r="O1901" s="15">
        <v>16</v>
      </c>
      <c r="P1901" s="15" t="str" cm="1">
        <f t="array" ref="P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1" s="15" t="str" cm="1">
        <f t="array" ref="Q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901" s="1"/>
      <c r="T1901" s="1"/>
      <c r="U1901" s="32" t="s">
        <v>4138</v>
      </c>
      <c r="V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901" s="15" t="str">
        <f>_xlfn.TEXTBEFORE(_xlfn.TEXTAFTER(CantoralDB[[#This Row],[index.html]],"&gt;"),"&gt;")&amp;"&gt;"</f>
        <v>&lt;a href="canciones/taize/staňte_se_soli.html"&gt;</v>
      </c>
      <c r="X1901"/>
      <c r="AB1901" s="1"/>
    </row>
    <row r="1902" spans="1:28" x14ac:dyDescent="0.3">
      <c r="A1902" s="1">
        <f>ROW(CantoralDB[[#This Row],[Título]])-1</f>
        <v>1901</v>
      </c>
      <c r="B1902" s="1" t="s">
        <v>455</v>
      </c>
      <c r="C1902" s="1" t="s">
        <v>1021</v>
      </c>
      <c r="D1902" s="1" t="s">
        <v>1116</v>
      </c>
      <c r="E1902" s="1">
        <v>466</v>
      </c>
      <c r="H1902" s="1" t="s">
        <v>530</v>
      </c>
      <c r="I1902" s="1" t="s">
        <v>2951</v>
      </c>
      <c r="J1902" s="1" t="s">
        <v>607</v>
      </c>
      <c r="M1902" s="15" t="s">
        <v>2134</v>
      </c>
      <c r="N1902" s="1" t="s">
        <v>784</v>
      </c>
      <c r="O1902" s="15">
        <v>6</v>
      </c>
      <c r="P1902" s="15" t="str" cm="1">
        <f t="array" ref="P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2" s="15" t="str" cm="1">
        <f t="array" ref="Q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902" s="1"/>
      <c r="T1902" s="1"/>
      <c r="U1902" s="32" t="s">
        <v>4139</v>
      </c>
      <c r="V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902" s="15" t="str">
        <f>_xlfn.TEXTBEFORE(_xlfn.TEXTAFTER(CantoralDB[[#This Row],[index.html]],"&gt;"),"&gt;")&amp;"&gt;"</f>
        <v>&lt;a href="canciones/taize/ubi_caritas.html"&gt;</v>
      </c>
      <c r="X1902"/>
      <c r="AB1902" s="1"/>
    </row>
    <row r="1903" spans="1:28" x14ac:dyDescent="0.3">
      <c r="A1903" s="1">
        <f>ROW(CantoralDB[[#This Row],[Título]])-1</f>
        <v>1902</v>
      </c>
      <c r="B1903" s="1" t="s">
        <v>444</v>
      </c>
      <c r="C1903" s="1" t="s">
        <v>1021</v>
      </c>
      <c r="D1903" s="1" t="s">
        <v>1101</v>
      </c>
      <c r="H1903" s="1" t="s">
        <v>472</v>
      </c>
      <c r="I1903" s="1" t="s">
        <v>2952</v>
      </c>
      <c r="J1903" s="1" t="s">
        <v>607</v>
      </c>
      <c r="M1903" s="15" t="s">
        <v>2134</v>
      </c>
      <c r="N1903" s="1" t="s">
        <v>784</v>
      </c>
      <c r="O1903" s="15">
        <v>8</v>
      </c>
      <c r="P1903" s="15" t="str" cm="1">
        <f t="array" ref="P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3" s="15" t="str" cm="1">
        <f t="array" ref="Q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903" s="1"/>
      <c r="T1903" s="1"/>
      <c r="U1903" s="32" t="s">
        <v>4140</v>
      </c>
      <c r="V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903" s="15" t="str">
        <f>_xlfn.TEXTBEFORE(_xlfn.TEXTAFTER(CantoralDB[[#This Row],[index.html]],"&gt;"),"&gt;")&amp;"&gt;"</f>
        <v>&lt;a href="canciones/taize/surrexit_dominus_vere_(canon).html"&gt;</v>
      </c>
      <c r="X1903"/>
      <c r="AB1903" s="1"/>
    </row>
    <row r="1904" spans="1:28" x14ac:dyDescent="0.3">
      <c r="A1904" s="1">
        <f>ROW(CantoralDB[[#This Row],[Título]])-1</f>
        <v>1903</v>
      </c>
      <c r="B1904" s="1" t="s">
        <v>4046</v>
      </c>
      <c r="C1904" s="1"/>
      <c r="J1904" s="1"/>
      <c r="M1904" s="15" t="s">
        <v>2134</v>
      </c>
      <c r="N1904" s="1" t="s">
        <v>784</v>
      </c>
      <c r="O1904" s="15">
        <v>13</v>
      </c>
      <c r="P1904" s="15" t="str" cm="1">
        <f t="array" ref="P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4" s="15" t="str" cm="1">
        <f t="array" ref="Q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S1904" s="1"/>
      <c r="T1904" s="1"/>
      <c r="U1904" s="32" t="s">
        <v>4141</v>
      </c>
      <c r="V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W1904" s="15" t="str">
        <f>_xlfn.TEXTBEFORE(_xlfn.TEXTAFTER(CantoralDB[[#This Row],[index.html]],"&gt;"),"&gt;")&amp;"&gt;"</f>
        <v>&lt;a href="canciones/taize/gloria…_et_in_terra_pax.html"&gt;</v>
      </c>
      <c r="X1904"/>
      <c r="AB1904" s="1"/>
    </row>
    <row r="1905" spans="1:28" x14ac:dyDescent="0.3">
      <c r="A1905" s="1">
        <f>ROW(CantoralDB[[#This Row],[Título]])-1</f>
        <v>1904</v>
      </c>
      <c r="B1905" s="1" t="s">
        <v>329</v>
      </c>
      <c r="C1905" s="1" t="s">
        <v>1021</v>
      </c>
      <c r="D1905" s="1" t="s">
        <v>1095</v>
      </c>
      <c r="H1905" s="1" t="s">
        <v>530</v>
      </c>
      <c r="I1905" s="1" t="s">
        <v>2952</v>
      </c>
      <c r="J1905" s="1" t="s">
        <v>607</v>
      </c>
      <c r="M1905" s="15" t="s">
        <v>2134</v>
      </c>
      <c r="N1905" s="1" t="s">
        <v>784</v>
      </c>
      <c r="O1905" s="15">
        <v>17</v>
      </c>
      <c r="P1905" s="15" t="str" cm="1">
        <f t="array" ref="P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5" s="15" t="str" cm="1">
        <f t="array" ref="Q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905" s="1"/>
      <c r="T1905" s="1"/>
      <c r="U1905" s="32" t="s">
        <v>4142</v>
      </c>
      <c r="V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905" s="15" t="str">
        <f>_xlfn.TEXTBEFORE(_xlfn.TEXTAFTER(CantoralDB[[#This Row],[index.html]],"&gt;"),"&gt;")&amp;"&gt;"</f>
        <v>&lt;a href="canciones/taize/christe_salvator.html"&gt;</v>
      </c>
      <c r="X1905"/>
      <c r="AB1905" s="1"/>
    </row>
    <row r="1906" spans="1:28" x14ac:dyDescent="0.3">
      <c r="A1906" s="1">
        <f>ROW(CantoralDB[[#This Row],[Título]])-1</f>
        <v>1905</v>
      </c>
      <c r="B1906" s="1" t="s">
        <v>313</v>
      </c>
      <c r="C1906" s="1" t="s">
        <v>1021</v>
      </c>
      <c r="D1906" s="1" t="s">
        <v>1087</v>
      </c>
      <c r="H1906" s="1" t="s">
        <v>1027</v>
      </c>
      <c r="I1906" s="1" t="s">
        <v>2953</v>
      </c>
      <c r="J1906" s="1" t="s">
        <v>607</v>
      </c>
      <c r="M1906" s="15" t="s">
        <v>2134</v>
      </c>
      <c r="N1906" s="1" t="s">
        <v>784</v>
      </c>
      <c r="O1906" s="15">
        <v>18</v>
      </c>
      <c r="P1906" s="15" t="str" cm="1">
        <f t="array" ref="P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6" s="15" t="str" cm="1">
        <f t="array" ref="Q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906" s="1"/>
      <c r="T1906" s="1"/>
      <c r="U1906" s="32" t="s">
        <v>4143</v>
      </c>
      <c r="V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906" s="15" t="str">
        <f>_xlfn.TEXTBEFORE(_xlfn.TEXTAFTER(CantoralDB[[#This Row],[index.html]],"&gt;"),"&gt;")&amp;"&gt;"</f>
        <v>&lt;a href="canciones/taize/benedictus_qui_venit_(canon).html"&gt;</v>
      </c>
      <c r="X1906"/>
      <c r="AB1906" s="1"/>
    </row>
    <row r="1907" spans="1:28" x14ac:dyDescent="0.3">
      <c r="A1907" s="1">
        <f>ROW(CantoralDB[[#This Row],[Título]])-1</f>
        <v>1906</v>
      </c>
      <c r="B1907" s="1" t="s">
        <v>419</v>
      </c>
      <c r="C1907" s="1" t="s">
        <v>1021</v>
      </c>
      <c r="D1907" s="1" t="s">
        <v>1110</v>
      </c>
      <c r="H1907" s="1" t="s">
        <v>1029</v>
      </c>
      <c r="J1907" s="1" t="s">
        <v>607</v>
      </c>
      <c r="M1907" s="15" t="s">
        <v>2134</v>
      </c>
      <c r="N1907" s="1" t="s">
        <v>784</v>
      </c>
      <c r="O1907" s="15">
        <v>19</v>
      </c>
      <c r="P1907" s="15" t="str" cm="1">
        <f t="array" ref="P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7" s="15" t="str" cm="1">
        <f t="array" ref="Q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907" s="1"/>
      <c r="T1907" s="1"/>
      <c r="U1907" s="32" t="s">
        <v>4144</v>
      </c>
      <c r="V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907" s="15" t="str">
        <f>_xlfn.TEXTBEFORE(_xlfn.TEXTAFTER(CantoralDB[[#This Row],[index.html]],"&gt;"),"&gt;")&amp;"&gt;"</f>
        <v>&lt;a href="canciones/taize/nunc_dimittis.html"&gt;</v>
      </c>
      <c r="X1907"/>
      <c r="AB1907" s="1"/>
    </row>
    <row r="1908" spans="1:28" x14ac:dyDescent="0.3">
      <c r="A1908" s="1">
        <f>ROW(CantoralDB[[#This Row],[Título]])-1</f>
        <v>1907</v>
      </c>
      <c r="B1908" s="1" t="s">
        <v>277</v>
      </c>
      <c r="C1908" s="1" t="s">
        <v>1021</v>
      </c>
      <c r="D1908" s="1" t="s">
        <v>1071</v>
      </c>
      <c r="H1908" s="1" t="s">
        <v>1042</v>
      </c>
      <c r="I1908" s="1" t="s">
        <v>2953</v>
      </c>
      <c r="J1908" s="1" t="s">
        <v>607</v>
      </c>
      <c r="M1908" s="15" t="s">
        <v>2134</v>
      </c>
      <c r="N1908" s="1" t="s">
        <v>411</v>
      </c>
      <c r="O1908" s="15">
        <v>1</v>
      </c>
      <c r="P1908" s="15" t="str" cm="1">
        <f t="array" ref="P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8" s="15" t="str" cm="1">
        <f t="array" ref="Q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908" s="1"/>
      <c r="T1908" s="1"/>
      <c r="U1908" s="32" t="s">
        <v>4145</v>
      </c>
      <c r="V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908" s="15" t="str">
        <f>_xlfn.TEXTBEFORE(_xlfn.TEXTAFTER(CantoralDB[[#This Row],[index.html]],"&gt;"),"&gt;")&amp;"&gt;"</f>
        <v>&lt;a href="canciones/taize/ad_te_jesu_christe.html"&gt;</v>
      </c>
      <c r="X1908"/>
      <c r="AB1908" s="1"/>
    </row>
    <row r="1909" spans="1:28" x14ac:dyDescent="0.3">
      <c r="A1909" s="1">
        <f>ROW(CantoralDB[[#This Row],[Título]])-1</f>
        <v>1908</v>
      </c>
      <c r="B1909" s="1" t="s">
        <v>368</v>
      </c>
      <c r="C1909" s="1" t="s">
        <v>1021</v>
      </c>
      <c r="D1909" s="1" t="s">
        <v>1120</v>
      </c>
      <c r="H1909" s="1" t="s">
        <v>1026</v>
      </c>
      <c r="I1909" s="1" t="s">
        <v>2953</v>
      </c>
      <c r="J1909" s="1" t="s">
        <v>607</v>
      </c>
      <c r="M1909" s="15" t="s">
        <v>2134</v>
      </c>
      <c r="N1909" s="1" t="s">
        <v>411</v>
      </c>
      <c r="O1909" s="15">
        <v>2</v>
      </c>
      <c r="P1909" s="15" t="str" cm="1">
        <f t="array" ref="P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9" s="15" t="str" cm="1">
        <f t="array" ref="Q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909" s="1"/>
      <c r="T1909" s="1"/>
      <c r="U1909" s="32" t="s">
        <v>4146</v>
      </c>
      <c r="V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909" s="15" t="str">
        <f>_xlfn.TEXTBEFORE(_xlfn.TEXTAFTER(CantoralDB[[#This Row],[index.html]],"&gt;"),"&gt;")&amp;"&gt;"</f>
        <v>&lt;a href="canciones/taize/il_signore_ti_ristora.html"&gt;</v>
      </c>
      <c r="X1909"/>
      <c r="AB1909" s="1"/>
    </row>
    <row r="1910" spans="1:28" x14ac:dyDescent="0.3">
      <c r="A1910" s="1">
        <f>ROW(CantoralDB[[#This Row],[Título]])-1</f>
        <v>1909</v>
      </c>
      <c r="B1910" s="1" t="s">
        <v>302</v>
      </c>
      <c r="C1910" s="1" t="s">
        <v>1021</v>
      </c>
      <c r="D1910" s="1" t="s">
        <v>1079</v>
      </c>
      <c r="H1910" s="1" t="s">
        <v>472</v>
      </c>
      <c r="I1910" s="1" t="s">
        <v>2952</v>
      </c>
      <c r="J1910" s="1" t="s">
        <v>607</v>
      </c>
      <c r="M1910" s="15" t="s">
        <v>2134</v>
      </c>
      <c r="N1910" s="1" t="s">
        <v>411</v>
      </c>
      <c r="O1910" s="15">
        <v>3</v>
      </c>
      <c r="P1910" s="15" t="str" cm="1">
        <f t="array" ref="P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0" s="15" t="str" cm="1">
        <f t="array" ref="Q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910" s="1"/>
      <c r="T1910" s="1"/>
      <c r="U1910" s="32" t="s">
        <v>4147</v>
      </c>
      <c r="V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910" s="15" t="str">
        <f>_xlfn.TEXTBEFORE(_xlfn.TEXTAFTER(CantoralDB[[#This Row],[index.html]],"&gt;"),"&gt;")&amp;"&gt;"</f>
        <v>&lt;a href="canciones/taize/alleluia_22.html"&gt;</v>
      </c>
      <c r="X1910"/>
      <c r="AB1910" s="1"/>
    </row>
    <row r="1911" spans="1:28" x14ac:dyDescent="0.3">
      <c r="A1911" s="1">
        <f>ROW(CantoralDB[[#This Row],[Título]])-1</f>
        <v>1910</v>
      </c>
      <c r="B1911" s="1" t="s">
        <v>434</v>
      </c>
      <c r="C1911" s="1"/>
      <c r="J1911" s="1"/>
      <c r="M1911" s="15" t="s">
        <v>2134</v>
      </c>
      <c r="N1911" s="1" t="s">
        <v>411</v>
      </c>
      <c r="O1911" s="15">
        <v>4</v>
      </c>
      <c r="P1911" s="15" t="str" cm="1">
        <f t="array" ref="P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1" s="15" t="str" cm="1">
        <f t="array" ref="Q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S1911" s="1"/>
      <c r="T1911" s="1"/>
      <c r="U1911" s="32" t="s">
        <v>4148</v>
      </c>
      <c r="V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W1911" s="15" t="str">
        <f>_xlfn.TEXTBEFORE(_xlfn.TEXTAFTER(CantoralDB[[#This Row],[index.html]],"&gt;"),"&gt;")&amp;"&gt;"</f>
        <v>&lt;a href="canciones/taize/see_i_am_near.html"&gt;</v>
      </c>
      <c r="X1911"/>
      <c r="AB1911" s="1"/>
    </row>
    <row r="1912" spans="1:28" x14ac:dyDescent="0.3">
      <c r="A1912" s="1">
        <f>ROW(CantoralDB[[#This Row],[Título]])-1</f>
        <v>1911</v>
      </c>
      <c r="B1912" s="1" t="s">
        <v>437</v>
      </c>
      <c r="C1912" s="1"/>
      <c r="J1912" s="1"/>
      <c r="M1912" s="15" t="s">
        <v>2134</v>
      </c>
      <c r="N1912" s="1" t="s">
        <v>411</v>
      </c>
      <c r="O1912" s="15">
        <v>5</v>
      </c>
      <c r="P1912" s="15" t="str" cm="1">
        <f t="array" ref="P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2" s="15" t="str" cm="1">
        <f t="array" ref="Q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S1912" s="1"/>
      <c r="T1912" s="1"/>
      <c r="U1912" s="32" t="s">
        <v>4149</v>
      </c>
      <c r="V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W1912" s="15" t="str">
        <f>_xlfn.TEXTBEFORE(_xlfn.TEXTAFTER(CantoralDB[[#This Row],[index.html]],"&gt;"),"&gt;")&amp;"&gt;"</f>
        <v>&lt;a href="canciones/taize/sfinte_dumnezeule.html"&gt;</v>
      </c>
      <c r="X1912"/>
      <c r="AB1912" s="1"/>
    </row>
    <row r="1913" spans="1:28" x14ac:dyDescent="0.3">
      <c r="A1913" s="1">
        <f>ROW(CantoralDB[[#This Row],[Título]])-1</f>
        <v>1912</v>
      </c>
      <c r="B1913" s="1" t="s">
        <v>367</v>
      </c>
      <c r="C1913" s="1" t="s">
        <v>1021</v>
      </c>
      <c r="D1913" s="1" t="s">
        <v>1127</v>
      </c>
      <c r="H1913" s="1" t="s">
        <v>1027</v>
      </c>
      <c r="I1913" s="1" t="s">
        <v>2953</v>
      </c>
      <c r="J1913" s="1" t="s">
        <v>607</v>
      </c>
      <c r="M1913" s="15" t="s">
        <v>2134</v>
      </c>
      <c r="N1913" s="1" t="s">
        <v>411</v>
      </c>
      <c r="O1913" s="15">
        <v>6</v>
      </c>
      <c r="P1913" s="15" t="str" cm="1">
        <f t="array" ref="P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3" s="15" t="str" cm="1">
        <f t="array" ref="Q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913" s="1"/>
      <c r="T1913" s="1"/>
      <c r="U1913" s="32" t="s">
        <v>4150</v>
      </c>
      <c r="V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913" s="15" t="str">
        <f>_xlfn.TEXTBEFORE(_xlfn.TEXTAFTER(CantoralDB[[#This Row],[index.html]],"&gt;"),"&gt;")&amp;"&gt;"</f>
        <v>&lt;a href="canciones/taize/iedere_nacht_verlang_ik.html"&gt;</v>
      </c>
      <c r="X1913"/>
      <c r="AB1913" s="1"/>
    </row>
    <row r="1914" spans="1:28" x14ac:dyDescent="0.3">
      <c r="A1914" s="1">
        <f>ROW(CantoralDB[[#This Row],[Título]])-1</f>
        <v>1913</v>
      </c>
      <c r="B1914" s="1" t="s">
        <v>402</v>
      </c>
      <c r="C1914" s="1"/>
      <c r="J1914" s="1"/>
      <c r="M1914" s="15" t="s">
        <v>2134</v>
      </c>
      <c r="N1914" s="1" t="s">
        <v>411</v>
      </c>
      <c r="O1914" s="15">
        <v>7</v>
      </c>
      <c r="P1914" s="15" t="str" cm="1">
        <f t="array" ref="P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4" s="15" t="str" cm="1">
        <f t="array" ref="Q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S1914" s="1"/>
      <c r="T1914" s="1"/>
      <c r="U1914" s="32" t="s">
        <v>4151</v>
      </c>
      <c r="V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W1914" s="15" t="str">
        <f>_xlfn.TEXTBEFORE(_xlfn.TEXTAFTER(CantoralDB[[#This Row],[index.html]],"&gt;"),"&gt;")&amp;"&gt;"</f>
        <v>&lt;a href="canciones/taize/laetentur_coeli.html"&gt;</v>
      </c>
      <c r="X1914"/>
      <c r="AB1914" s="1"/>
    </row>
    <row r="1915" spans="1:28" x14ac:dyDescent="0.3">
      <c r="A1915" s="1">
        <f>ROW(CantoralDB[[#This Row],[Título]])-1</f>
        <v>1914</v>
      </c>
      <c r="B1915" s="1" t="s">
        <v>4053</v>
      </c>
      <c r="C1915" s="1"/>
      <c r="J1915" s="1"/>
      <c r="M1915" s="15" t="s">
        <v>2134</v>
      </c>
      <c r="N1915" s="1" t="s">
        <v>411</v>
      </c>
      <c r="O1915" s="15">
        <v>8</v>
      </c>
      <c r="P1915" s="15" t="str" cm="1">
        <f t="array" ref="P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5" s="15" t="str" cm="1">
        <f t="array" ref="Q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S1915" s="1"/>
      <c r="T1915" s="1"/>
      <c r="U1915" s="32" t="s">
        <v>4152</v>
      </c>
      <c r="V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W1915" s="15" t="str">
        <f>_xlfn.TEXTBEFORE(_xlfn.TEXTAFTER(CantoralDB[[#This Row],[index.html]],"&gt;"),"&gt;")&amp;"&gt;"</f>
        <v>&lt;a href="canciones/taize/sto_oko_ne_vidje.html"&gt;</v>
      </c>
      <c r="X1915"/>
      <c r="AB1915" s="1"/>
    </row>
    <row r="1916" spans="1:28" x14ac:dyDescent="0.3">
      <c r="A1916" s="1">
        <f>ROW(CantoralDB[[#This Row],[Título]])-1</f>
        <v>1915</v>
      </c>
      <c r="B1916" s="1" t="s">
        <v>399</v>
      </c>
      <c r="C1916" s="1"/>
      <c r="J1916" s="1"/>
      <c r="M1916" s="15" t="s">
        <v>2134</v>
      </c>
      <c r="N1916" s="1" t="s">
        <v>411</v>
      </c>
      <c r="O1916" s="15">
        <v>9</v>
      </c>
      <c r="P1916" s="15" t="str" cm="1">
        <f t="array" ref="P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6" s="15" t="str" cm="1">
        <f t="array" ref="Q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S1916" s="1"/>
      <c r="T1916" s="1"/>
      <c r="U1916" s="32" t="s">
        <v>4153</v>
      </c>
      <c r="V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W1916" s="15" t="str">
        <f>_xlfn.TEXTBEFORE(_xlfn.TEXTAFTER(CantoralDB[[#This Row],[index.html]],"&gt;"),"&gt;")&amp;"&gt;"</f>
        <v>&lt;a href="canciones/taize/kyrie_21.html"&gt;</v>
      </c>
      <c r="X1916"/>
      <c r="AB1916" s="1"/>
    </row>
    <row r="1917" spans="1:28" x14ac:dyDescent="0.3">
      <c r="A1917" s="1">
        <f>ROW(CantoralDB[[#This Row],[Título]])-1</f>
        <v>1916</v>
      </c>
      <c r="B1917" s="1" t="s">
        <v>276</v>
      </c>
      <c r="C1917" s="1" t="s">
        <v>1021</v>
      </c>
      <c r="D1917" s="1" t="s">
        <v>1070</v>
      </c>
      <c r="H1917" s="1" t="s">
        <v>530</v>
      </c>
      <c r="I1917" s="1" t="s">
        <v>2954</v>
      </c>
      <c r="J1917" s="1" t="s">
        <v>607</v>
      </c>
      <c r="M1917" s="15" t="s">
        <v>2134</v>
      </c>
      <c r="N1917" s="1" t="s">
        <v>411</v>
      </c>
      <c r="O1917" s="15">
        <v>11</v>
      </c>
      <c r="P1917" s="15" t="str" cm="1">
        <f t="array" ref="P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7" s="15" t="str" cm="1">
        <f t="array" ref="Q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917" s="1"/>
      <c r="T1917" s="1"/>
      <c r="U1917" s="32" t="s">
        <v>4154</v>
      </c>
      <c r="V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917" s="15" t="str">
        <f>_xlfn.TEXTBEFORE(_xlfn.TEXTAFTER(CantoralDB[[#This Row],[index.html]],"&gt;"),"&gt;")&amp;"&gt;"</f>
        <v>&lt;a href="canciones/taize/aber_du_weisst_den_weg_für_mich.html"&gt;</v>
      </c>
      <c r="X1917"/>
      <c r="AB1917" s="1"/>
    </row>
    <row r="1918" spans="1:28" x14ac:dyDescent="0.3">
      <c r="A1918" s="1">
        <f>ROW(CantoralDB[[#This Row],[Título]])-1</f>
        <v>1917</v>
      </c>
      <c r="B1918" s="1" t="s">
        <v>349</v>
      </c>
      <c r="C1918" s="1"/>
      <c r="J1918" s="1"/>
      <c r="M1918" s="15" t="s">
        <v>2134</v>
      </c>
      <c r="N1918" s="1" t="s">
        <v>411</v>
      </c>
      <c r="O1918" s="15">
        <v>12</v>
      </c>
      <c r="P1918" s="15" t="str" cm="1">
        <f t="array" ref="P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8" s="15" t="str" cm="1">
        <f t="array" ref="Q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S1918" s="1"/>
      <c r="T1918" s="1"/>
      <c r="U1918" s="32" t="s">
        <v>4155</v>
      </c>
      <c r="V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W1918" s="15" t="str">
        <f>_xlfn.TEXTBEFORE(_xlfn.TEXTAFTER(CantoralDB[[#This Row],[index.html]],"&gt;"),"&gt;")&amp;"&gt;"</f>
        <v>&lt;a href="canciones/taize/exaudi_orationem_meam.html"&gt;</v>
      </c>
      <c r="X1918"/>
      <c r="AB1918" s="1"/>
    </row>
    <row r="1919" spans="1:28" x14ac:dyDescent="0.3">
      <c r="A1919" s="1">
        <f>ROW(CantoralDB[[#This Row],[Título]])-1</f>
        <v>1918</v>
      </c>
      <c r="B1919" s="1" t="s">
        <v>287</v>
      </c>
      <c r="C1919" s="1"/>
      <c r="J1919" s="1"/>
      <c r="M1919" s="15" t="s">
        <v>2134</v>
      </c>
      <c r="N1919" s="1" t="s">
        <v>411</v>
      </c>
      <c r="O1919" s="15">
        <v>13</v>
      </c>
      <c r="P1919" s="15" t="str" cm="1">
        <f t="array" ref="P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19" s="15" t="str" cm="1">
        <f t="array" ref="Q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S1919" s="1"/>
      <c r="T1919" s="1"/>
      <c r="U1919" s="32" t="s">
        <v>4156</v>
      </c>
      <c r="V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W1919" s="15" t="str">
        <f>_xlfn.TEXTBEFORE(_xlfn.TEXTAFTER(CantoralDB[[#This Row],[index.html]],"&gt;"),"&gt;")&amp;"&gt;"</f>
        <v>&lt;a href="canciones/taize/alleluia_(kiev).html"&gt;</v>
      </c>
      <c r="X1919"/>
      <c r="AB1919" s="1"/>
    </row>
    <row r="1920" spans="1:28" x14ac:dyDescent="0.3">
      <c r="A1920" s="1">
        <f>ROW(CantoralDB[[#This Row],[Título]])-1</f>
        <v>1919</v>
      </c>
      <c r="B1920" s="1" t="s">
        <v>344</v>
      </c>
      <c r="C1920" s="1" t="s">
        <v>1021</v>
      </c>
      <c r="D1920" s="1" t="s">
        <v>1097</v>
      </c>
      <c r="H1920" s="1" t="s">
        <v>1027</v>
      </c>
      <c r="I1920" s="1" t="s">
        <v>2953</v>
      </c>
      <c r="J1920" s="1" t="s">
        <v>607</v>
      </c>
      <c r="M1920" s="15" t="s">
        <v>2134</v>
      </c>
      <c r="N1920" s="1" t="s">
        <v>411</v>
      </c>
      <c r="O1920" s="15">
        <v>14</v>
      </c>
      <c r="P1920" s="15" t="str" cm="1">
        <f t="array" ref="P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0" s="15" t="str" cm="1">
        <f t="array" ref="Q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920" s="1"/>
      <c r="T1920" s="1"/>
      <c r="U1920" s="32" t="s">
        <v>4157</v>
      </c>
      <c r="V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920" s="15" t="str">
        <f>_xlfn.TEXTBEFORE(_xlfn.TEXTAFTER(CantoralDB[[#This Row],[index.html]],"&gt;"),"&gt;")&amp;"&gt;"</f>
        <v>&lt;a href="canciones/taize/eat_this_bread.html"&gt;</v>
      </c>
      <c r="X1920"/>
      <c r="AB1920" s="1"/>
    </row>
    <row r="1921" spans="1:28" x14ac:dyDescent="0.3">
      <c r="A1921" s="1">
        <f>ROW(CantoralDB[[#This Row],[Título]])-1</f>
        <v>1920</v>
      </c>
      <c r="B1921" s="1" t="s">
        <v>1022</v>
      </c>
      <c r="C1921" s="1" t="s">
        <v>1021</v>
      </c>
      <c r="D1921" s="1" t="s">
        <v>1097</v>
      </c>
      <c r="H1921" s="1" t="s">
        <v>1027</v>
      </c>
      <c r="I1921" s="1" t="s">
        <v>2953</v>
      </c>
      <c r="J1921" s="1" t="s">
        <v>607</v>
      </c>
      <c r="M1921" s="15" t="s">
        <v>2134</v>
      </c>
      <c r="N1921" s="1" t="s">
        <v>411</v>
      </c>
      <c r="O1921" s="15">
        <v>14</v>
      </c>
      <c r="P1921" s="15" t="str" cm="1">
        <f t="array" ref="P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1" s="15" t="str" cm="1">
        <f t="array" ref="Q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921" s="1"/>
      <c r="T1921" s="1"/>
      <c r="U1921" s="32" t="s">
        <v>4157</v>
      </c>
      <c r="V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921" s="15" t="str">
        <f>_xlfn.TEXTBEFORE(_xlfn.TEXTAFTER(CantoralDB[[#This Row],[index.html]],"&gt;"),"&gt;")&amp;"&gt;"</f>
        <v>&lt;a href="canciones/taize/jesus_christ_bread_of_life.html"&gt;</v>
      </c>
      <c r="X1921"/>
      <c r="AB1921" s="1"/>
    </row>
    <row r="1922" spans="1:28" x14ac:dyDescent="0.3">
      <c r="A1922" s="1">
        <f>ROW(CantoralDB[[#This Row],[Título]])-1</f>
        <v>1921</v>
      </c>
      <c r="B1922" s="1" t="s">
        <v>411</v>
      </c>
      <c r="C1922" s="1"/>
      <c r="J1922" s="1"/>
      <c r="M1922" s="15" t="s">
        <v>2134</v>
      </c>
      <c r="N1922" s="1" t="s">
        <v>411</v>
      </c>
      <c r="O1922" s="15">
        <v>15</v>
      </c>
      <c r="P1922" s="15" t="str" cm="1">
        <f t="array" ref="P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2" s="15" t="str" cm="1">
        <f t="array" ref="Q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S1922" s="1"/>
      <c r="T1922" s="1"/>
      <c r="U1922" s="32" t="s">
        <v>4158</v>
      </c>
      <c r="V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W1922" s="15" t="str">
        <f>_xlfn.TEXTBEFORE(_xlfn.TEXTAFTER(CantoralDB[[#This Row],[index.html]],"&gt;"),"&gt;")&amp;"&gt;"</f>
        <v>&lt;a href="canciones/taize/mane_nobiscum.html"&gt;</v>
      </c>
      <c r="X1922"/>
      <c r="AB1922" s="1"/>
    </row>
    <row r="1923" spans="1:28" x14ac:dyDescent="0.3">
      <c r="A1923" s="1">
        <f>ROW(CantoralDB[[#This Row],[Título]])-1</f>
        <v>1922</v>
      </c>
      <c r="B1923" s="1" t="s">
        <v>458</v>
      </c>
      <c r="C1923" s="1"/>
      <c r="J1923" s="1"/>
      <c r="M1923" s="15" t="s">
        <v>2134</v>
      </c>
      <c r="N1923" s="1" t="s">
        <v>411</v>
      </c>
      <c r="O1923" s="15">
        <v>16</v>
      </c>
      <c r="P1923" s="15" t="str" cm="1">
        <f t="array" ref="P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3" s="15" t="str" cm="1">
        <f t="array" ref="Q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S1923" s="1"/>
      <c r="T1923" s="1"/>
      <c r="U1923" s="32" t="s">
        <v>4159</v>
      </c>
      <c r="V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W1923" s="15" t="str">
        <f>_xlfn.TEXTBEFORE(_xlfn.TEXTAFTER(CantoralDB[[#This Row],[index.html]],"&gt;"),"&gt;")&amp;"&gt;"</f>
        <v>&lt;a href="canciones/taize/veni_creator_(canon).html"&gt;</v>
      </c>
      <c r="X1923"/>
      <c r="AB1923" s="1"/>
    </row>
    <row r="1924" spans="1:28" x14ac:dyDescent="0.3">
      <c r="A1924" s="1">
        <f>ROW(CantoralDB[[#This Row],[Título]])-1</f>
        <v>1923</v>
      </c>
      <c r="B1924" s="1" t="s">
        <v>348</v>
      </c>
      <c r="C1924" s="1" t="s">
        <v>1021</v>
      </c>
      <c r="D1924" s="1" t="s">
        <v>1123</v>
      </c>
      <c r="H1924" s="1" t="s">
        <v>1029</v>
      </c>
      <c r="J1924" s="1" t="s">
        <v>607</v>
      </c>
      <c r="M1924" s="15" t="s">
        <v>2134</v>
      </c>
      <c r="N1924" s="1" t="s">
        <v>411</v>
      </c>
      <c r="O1924" s="15">
        <v>17</v>
      </c>
      <c r="P1924" s="15" t="str" cm="1">
        <f t="array" ref="P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4" s="15" t="str" cm="1">
        <f t="array" ref="Q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924" s="1"/>
      <c r="T1924" s="1"/>
      <c r="U1924" s="32" t="s">
        <v>4160</v>
      </c>
      <c r="V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924" s="15" t="str">
        <f>_xlfn.TEXTBEFORE(_xlfn.TEXTAFTER(CantoralDB[[#This Row],[index.html]],"&gt;"),"&gt;")&amp;"&gt;"</f>
        <v>&lt;a href="canciones/taize/esprit_consolateur.html"&gt;</v>
      </c>
      <c r="X1924"/>
      <c r="AB1924" s="1"/>
    </row>
    <row r="1925" spans="1:28" x14ac:dyDescent="0.3">
      <c r="A1925" s="1">
        <f>ROW(CantoralDB[[#This Row],[Título]])-1</f>
        <v>1924</v>
      </c>
      <c r="B1925" s="1" t="s">
        <v>358</v>
      </c>
      <c r="C1925" s="1"/>
      <c r="J1925" s="1"/>
      <c r="M1925" s="15" t="s">
        <v>2134</v>
      </c>
      <c r="N1925" s="1" t="s">
        <v>4058</v>
      </c>
      <c r="O1925" s="15">
        <v>13</v>
      </c>
      <c r="P1925" s="15" t="str" cm="1">
        <f t="array" ref="P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5" s="15" t="str" cm="1">
        <f t="array" ref="Q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S1925" s="1"/>
      <c r="T1925" s="1"/>
      <c r="U1925" s="32" t="s">
        <v>4161</v>
      </c>
      <c r="V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W1925" s="15" t="str">
        <f>_xlfn.TEXTBEFORE(_xlfn.TEXTAFTER(CantoralDB[[#This Row],[index.html]],"&gt;"),"&gt;")&amp;"&gt;"</f>
        <v>&lt;a href="canciones/taize/gospodi_c.html"&gt;</v>
      </c>
      <c r="X1925"/>
      <c r="AB1925" s="1"/>
    </row>
    <row r="1926" spans="1:28" x14ac:dyDescent="0.3">
      <c r="A1926" s="1">
        <f>ROW(CantoralDB[[#This Row],[Título]])-1</f>
        <v>1925</v>
      </c>
      <c r="B1926" s="1" t="s">
        <v>4059</v>
      </c>
      <c r="C1926" s="1"/>
      <c r="J1926" s="1"/>
      <c r="M1926" s="15" t="s">
        <v>2134</v>
      </c>
      <c r="N1926" s="1" t="s">
        <v>4058</v>
      </c>
      <c r="O1926" s="15">
        <v>15</v>
      </c>
      <c r="P1926" s="15" t="str" cm="1">
        <f t="array" ref="P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6" s="15" t="str" cm="1">
        <f t="array" ref="Q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S1926" s="1"/>
      <c r="T1926" s="1"/>
      <c r="U1926" s="32" t="s">
        <v>4162</v>
      </c>
      <c r="V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W1926" s="15" t="str">
        <f>_xlfn.TEXTBEFORE(_xlfn.TEXTAFTER(CantoralDB[[#This Row],[index.html]],"&gt;"),"&gt;")&amp;"&gt;"</f>
        <v>&lt;a href="canciones/taize/cantique_de_simeon.html"&gt;</v>
      </c>
      <c r="X1926"/>
      <c r="AB1926" s="1"/>
    </row>
    <row r="1927" spans="1:28" x14ac:dyDescent="0.3">
      <c r="A1927" s="1">
        <f>ROW(CantoralDB[[#This Row],[Título]])-1</f>
        <v>1926</v>
      </c>
      <c r="B1927" s="1" t="s">
        <v>407</v>
      </c>
      <c r="C1927" s="1" t="s">
        <v>1021</v>
      </c>
      <c r="D1927" s="1" t="s">
        <v>1140</v>
      </c>
      <c r="H1927" s="1" t="s">
        <v>530</v>
      </c>
      <c r="I1927" s="1" t="s">
        <v>2953</v>
      </c>
      <c r="J1927" s="1" t="s">
        <v>607</v>
      </c>
      <c r="M1927" s="15" t="s">
        <v>2134</v>
      </c>
      <c r="N1927" s="1" t="s">
        <v>4058</v>
      </c>
      <c r="O1927" s="15">
        <v>19</v>
      </c>
      <c r="P1927" s="15" t="str" cm="1">
        <f t="array" ref="P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7" s="15" t="str" cm="1">
        <f t="array" ref="Q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927" s="1"/>
      <c r="T1927" s="1"/>
      <c r="U1927" s="32" t="s">
        <v>4163</v>
      </c>
      <c r="V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927" s="15" t="str">
        <f>_xlfn.TEXTBEFORE(_xlfn.TEXTAFTER(CantoralDB[[#This Row],[index.html]],"&gt;"),"&gt;")&amp;"&gt;"</f>
        <v>&lt;a href="canciones/taize/let_all_who_are_thirsty_come.html"&gt;</v>
      </c>
      <c r="X1927"/>
      <c r="AB1927" s="1"/>
    </row>
    <row r="1928" spans="1:28" x14ac:dyDescent="0.3">
      <c r="A1928" s="1">
        <f>ROW(CantoralDB[[#This Row],[Título]])-1</f>
        <v>1927</v>
      </c>
      <c r="B1928" s="1" t="s">
        <v>298</v>
      </c>
      <c r="C1928" s="1" t="s">
        <v>1021</v>
      </c>
      <c r="D1928" s="1" t="s">
        <v>1078</v>
      </c>
      <c r="H1928" s="1" t="s">
        <v>1029</v>
      </c>
      <c r="I1928" s="1" t="s">
        <v>2953</v>
      </c>
      <c r="J1928" s="1" t="s">
        <v>607</v>
      </c>
      <c r="M1928" s="15" t="s">
        <v>2134</v>
      </c>
      <c r="N1928" s="1" t="s">
        <v>4054</v>
      </c>
      <c r="O1928" s="15">
        <v>2</v>
      </c>
      <c r="P1928" s="15" t="str" cm="1">
        <f t="array" ref="P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8" s="15" t="str" cm="1">
        <f t="array" ref="Q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928" s="1"/>
      <c r="T1928" s="1"/>
      <c r="U1928" s="32" t="s">
        <v>4164</v>
      </c>
      <c r="V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928" s="15" t="str">
        <f>_xlfn.TEXTBEFORE(_xlfn.TEXTAFTER(CantoralDB[[#This Row],[index.html]],"&gt;"),"&gt;")&amp;"&gt;"</f>
        <v>&lt;a href="canciones/taize/alleluia_17.html"&gt;</v>
      </c>
      <c r="X1928"/>
      <c r="AB1928" s="1"/>
    </row>
    <row r="1929" spans="1:28" x14ac:dyDescent="0.3">
      <c r="A1929" s="1">
        <f>ROW(CantoralDB[[#This Row],[Título]])-1</f>
        <v>1928</v>
      </c>
      <c r="B1929" s="1" t="s">
        <v>4055</v>
      </c>
      <c r="C1929" s="1"/>
      <c r="J1929" s="1"/>
      <c r="M1929" s="15" t="s">
        <v>2134</v>
      </c>
      <c r="N1929" s="1" t="s">
        <v>4054</v>
      </c>
      <c r="O1929" s="15">
        <v>10</v>
      </c>
      <c r="P1929" s="15" t="str" cm="1">
        <f t="array" ref="P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29" s="15" t="str" cm="1">
        <f t="array" ref="Q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S1929" s="1"/>
      <c r="T1929" s="1"/>
      <c r="U1929" s="32" t="s">
        <v>4165</v>
      </c>
      <c r="V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W1929" s="15" t="str">
        <f>_xlfn.TEXTBEFORE(_xlfn.TEXTAFTER(CantoralDB[[#This Row],[index.html]],"&gt;"),"&gt;")&amp;"&gt;"</f>
        <v>&lt;a href="canciones/taize/seigneur_je_compte_sur_toi.html"&gt;</v>
      </c>
      <c r="X1929"/>
      <c r="AB1929" s="1"/>
    </row>
    <row r="1930" spans="1:28" x14ac:dyDescent="0.3">
      <c r="A1930" s="1">
        <f>ROW(CantoralDB[[#This Row],[Título]])-1</f>
        <v>1929</v>
      </c>
      <c r="B1930" s="1" t="s">
        <v>4054</v>
      </c>
      <c r="C1930" s="1"/>
      <c r="J1930" s="1"/>
      <c r="M1930" s="15" t="s">
        <v>2134</v>
      </c>
      <c r="N1930" s="1" t="s">
        <v>4054</v>
      </c>
      <c r="O1930" s="15">
        <v>11</v>
      </c>
      <c r="P1930" s="15" t="str" cm="1">
        <f t="array" ref="P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0" s="15" t="str" cm="1">
        <f t="array" ref="Q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S1930" s="1"/>
      <c r="T1930" s="1"/>
      <c r="U1930" s="32" t="s">
        <v>4166</v>
      </c>
      <c r="V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W1930" s="15" t="str">
        <f>_xlfn.TEXTBEFORE(_xlfn.TEXTAFTER(CantoralDB[[#This Row],[index.html]],"&gt;"),"&gt;")&amp;"&gt;"</f>
        <v>&lt;a href="canciones/taize/ô_toi_l'au-delà_de_tout.html"&gt;</v>
      </c>
      <c r="X1930"/>
      <c r="AB1930" s="1"/>
    </row>
    <row r="1931" spans="1:28" x14ac:dyDescent="0.3">
      <c r="A1931" s="1">
        <f>ROW(CantoralDB[[#This Row],[Título]])-1</f>
        <v>1930</v>
      </c>
      <c r="B1931" s="1" t="s">
        <v>377</v>
      </c>
      <c r="C1931" s="1" t="s">
        <v>1021</v>
      </c>
      <c r="D1931" s="1" t="s">
        <v>1130</v>
      </c>
      <c r="H1931" s="1" t="s">
        <v>1029</v>
      </c>
      <c r="J1931" s="1" t="s">
        <v>607</v>
      </c>
      <c r="M1931" s="15" t="s">
        <v>2134</v>
      </c>
      <c r="N1931" s="1" t="s">
        <v>4054</v>
      </c>
      <c r="O1931" s="15">
        <v>14</v>
      </c>
      <c r="P1931" s="15" t="str" cm="1">
        <f t="array" ref="P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1" s="15" t="str" cm="1">
        <f t="array" ref="Q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931" s="1"/>
      <c r="T1931" s="1"/>
      <c r="U1931" s="32" t="s">
        <v>4167</v>
      </c>
      <c r="V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931" s="15" t="str">
        <f>_xlfn.TEXTBEFORE(_xlfn.TEXTAFTER(CantoralDB[[#This Row],[index.html]],"&gt;"),"&gt;")&amp;"&gt;"</f>
        <v>&lt;a href="canciones/taize/jesus_ma_joie.html"&gt;</v>
      </c>
      <c r="X1931"/>
      <c r="AB1931" s="1"/>
    </row>
    <row r="1932" spans="1:28" x14ac:dyDescent="0.3">
      <c r="A1932" s="1">
        <f>ROW(CantoralDB[[#This Row],[Título]])-1</f>
        <v>1931</v>
      </c>
      <c r="B1932" s="1" t="s">
        <v>387</v>
      </c>
      <c r="C1932" s="1" t="s">
        <v>1021</v>
      </c>
      <c r="D1932" s="1" t="s">
        <v>1134</v>
      </c>
      <c r="H1932" s="1" t="s">
        <v>1029</v>
      </c>
      <c r="I1932" s="1" t="s">
        <v>2950</v>
      </c>
      <c r="J1932" s="1" t="s">
        <v>607</v>
      </c>
      <c r="M1932" s="15" t="s">
        <v>2134</v>
      </c>
      <c r="N1932" s="1" t="s">
        <v>4054</v>
      </c>
      <c r="O1932" s="15">
        <v>16</v>
      </c>
      <c r="P1932" s="15" t="str" cm="1">
        <f t="array" ref="P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2" s="15" t="str" cm="1">
        <f t="array" ref="Q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932" s="1"/>
      <c r="T1932" s="1"/>
      <c r="U1932" s="32" t="s">
        <v>4168</v>
      </c>
      <c r="V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932" s="15" t="str">
        <f>_xlfn.TEXTBEFORE(_xlfn.TEXTAFTER(CantoralDB[[#This Row],[index.html]],"&gt;"),"&gt;")&amp;"&gt;"</f>
        <v>&lt;a href="canciones/taize/kyrie_6.html"&gt;</v>
      </c>
      <c r="X1932"/>
      <c r="AB1932" s="1"/>
    </row>
    <row r="1933" spans="1:28" x14ac:dyDescent="0.3">
      <c r="A1933" s="1">
        <f>ROW(CantoralDB[[#This Row],[Título]])-1</f>
        <v>1932</v>
      </c>
      <c r="B1933" s="1" t="s">
        <v>4056</v>
      </c>
      <c r="C1933" s="1"/>
      <c r="J1933" s="1"/>
      <c r="M1933" s="15" t="s">
        <v>2134</v>
      </c>
      <c r="N1933" s="1" t="s">
        <v>4054</v>
      </c>
      <c r="O1933" s="15">
        <v>18</v>
      </c>
      <c r="P1933" s="15" t="str" cm="1">
        <f t="array" ref="P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3" s="15" t="str" cm="1">
        <f t="array" ref="Q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S1933" s="1"/>
      <c r="T1933" s="1"/>
      <c r="U1933" s="32" t="s">
        <v>4169</v>
      </c>
      <c r="V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W1933" s="15" t="str">
        <f>_xlfn.TEXTBEFORE(_xlfn.TEXTAFTER(CantoralDB[[#This Row],[index.html]],"&gt;"),"&gt;")&amp;"&gt;"</f>
        <v>&lt;a href="canciones/taize/retourne_mon_âme.html"&gt;</v>
      </c>
      <c r="X1933"/>
      <c r="AB1933" s="1"/>
    </row>
    <row r="1934" spans="1:28" x14ac:dyDescent="0.3">
      <c r="A1934" s="1">
        <f>ROW(CantoralDB[[#This Row],[Título]])-1</f>
        <v>1933</v>
      </c>
      <c r="B1934" s="1" t="s">
        <v>4057</v>
      </c>
      <c r="C1934" s="1"/>
      <c r="J1934" s="1"/>
      <c r="M1934" s="15" t="s">
        <v>2134</v>
      </c>
      <c r="N1934" s="1" t="s">
        <v>4054</v>
      </c>
      <c r="O1934" s="15">
        <v>19</v>
      </c>
      <c r="P1934" s="15" t="str" cm="1">
        <f t="array" ref="P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4" s="15" t="str" cm="1">
        <f t="array" ref="Q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S1934" s="1"/>
      <c r="T1934" s="1"/>
      <c r="U1934" s="32" t="s">
        <v>4170</v>
      </c>
      <c r="V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W1934" s="15" t="str">
        <f>_xlfn.TEXTBEFORE(_xlfn.TEXTAFTER(CantoralDB[[#This Row],[index.html]],"&gt;"),"&gt;")&amp;"&gt;"</f>
        <v>&lt;a href="canciones/taize/benedictus_dominus_deus.html"&gt;</v>
      </c>
      <c r="X1934"/>
      <c r="AB1934" s="1"/>
    </row>
    <row r="1935" spans="1:28" x14ac:dyDescent="0.3">
      <c r="A1935" s="1">
        <f>ROW(CantoralDB[[#This Row],[Título]])-1</f>
        <v>1934</v>
      </c>
      <c r="B1935" s="1" t="s">
        <v>4017</v>
      </c>
      <c r="C1935" s="1"/>
      <c r="J1935" s="1"/>
      <c r="M1935" s="15" t="s">
        <v>2134</v>
      </c>
      <c r="N1935" s="1" t="s">
        <v>4018</v>
      </c>
      <c r="O1935" s="15">
        <v>1</v>
      </c>
      <c r="P1935" s="15" t="str" cm="1">
        <f t="array" ref="P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5" s="15" t="str" cm="1">
        <f t="array" ref="Q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S1935" s="1"/>
      <c r="T1935" s="1"/>
      <c r="U1935" s="32" t="s">
        <v>4171</v>
      </c>
      <c r="V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W1935" s="15" t="str">
        <f>_xlfn.TEXTBEFORE(_xlfn.TEXTAFTER(CantoralDB[[#This Row],[index.html]],"&gt;"),"&gt;")&amp;"&gt;"</f>
        <v>&lt;a href="canciones/taize/christus_resurrexit.html"&gt;</v>
      </c>
      <c r="X1935"/>
      <c r="AB1935" s="1"/>
    </row>
    <row r="1936" spans="1:28" x14ac:dyDescent="0.3">
      <c r="A1936" s="1">
        <f>ROW(CantoralDB[[#This Row],[Título]])-1</f>
        <v>1935</v>
      </c>
      <c r="B1936" s="1" t="s">
        <v>414</v>
      </c>
      <c r="C1936" s="1" t="s">
        <v>1021</v>
      </c>
      <c r="D1936" s="1" t="s">
        <v>1142</v>
      </c>
      <c r="E1936" s="1">
        <v>173</v>
      </c>
      <c r="F1936" s="1">
        <v>319</v>
      </c>
      <c r="H1936" s="1" t="s">
        <v>1029</v>
      </c>
      <c r="I1936" s="1" t="s">
        <v>2951</v>
      </c>
      <c r="J1936" s="1" t="s">
        <v>607</v>
      </c>
      <c r="M1936" s="15" t="s">
        <v>2134</v>
      </c>
      <c r="N1936" s="1" t="s">
        <v>4018</v>
      </c>
      <c r="O1936" s="15">
        <v>2</v>
      </c>
      <c r="P1936" s="15" t="str" cm="1">
        <f t="array" ref="P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6" s="15" t="str" cm="1">
        <f t="array" ref="Q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936" s="1" t="s">
        <v>977</v>
      </c>
      <c r="T1936" s="1"/>
      <c r="U1936" s="32" t="s">
        <v>4172</v>
      </c>
      <c r="V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936" s="15" t="str">
        <f>_xlfn.TEXTBEFORE(_xlfn.TEXTAFTER(CantoralDB[[#This Row],[index.html]],"&gt;"),"&gt;")&amp;"&gt;"</f>
        <v>&lt;a href="canciones/taize/nada_te_turbe.html"&gt;</v>
      </c>
      <c r="X1936"/>
      <c r="AB1936" s="1"/>
    </row>
    <row r="1937" spans="1:28" x14ac:dyDescent="0.3">
      <c r="A1937" s="1">
        <f>ROW(CantoralDB[[#This Row],[Título]])-1</f>
        <v>1936</v>
      </c>
      <c r="B1937" s="1" t="s">
        <v>4019</v>
      </c>
      <c r="C1937" s="1"/>
      <c r="J1937" s="1"/>
      <c r="M1937" s="15" t="s">
        <v>2134</v>
      </c>
      <c r="N1937" s="1" t="s">
        <v>4018</v>
      </c>
      <c r="O1937" s="15">
        <v>3</v>
      </c>
      <c r="P1937" s="15" t="str" cm="1">
        <f t="array" ref="P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7" s="15" t="str" cm="1">
        <f t="array" ref="Q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S1937" s="1"/>
      <c r="T1937" s="1"/>
      <c r="U1937" s="32" t="s">
        <v>4173</v>
      </c>
      <c r="V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W1937" s="15" t="str">
        <f>_xlfn.TEXTBEFORE(_xlfn.TEXTAFTER(CantoralDB[[#This Row],[index.html]],"&gt;"),"&gt;")&amp;"&gt;"</f>
        <v>&lt;a href="canciones/taize/la_tenèbre_n'est_point_tenèbre.html"&gt;</v>
      </c>
      <c r="X1937"/>
      <c r="AB1937" s="1"/>
    </row>
    <row r="1938" spans="1:28" x14ac:dyDescent="0.3">
      <c r="A1938" s="1">
        <f>ROW(CantoralDB[[#This Row],[Título]])-1</f>
        <v>1937</v>
      </c>
      <c r="B1938" s="1" t="s">
        <v>4020</v>
      </c>
      <c r="C1938" s="1"/>
      <c r="J1938" s="1"/>
      <c r="M1938" s="15" t="s">
        <v>2134</v>
      </c>
      <c r="N1938" s="1" t="s">
        <v>4018</v>
      </c>
      <c r="O1938" s="15">
        <v>4</v>
      </c>
      <c r="P1938" s="15" t="str" cm="1">
        <f t="array" ref="P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8" s="15" t="str" cm="1">
        <f t="array" ref="Q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S1938" s="1"/>
      <c r="T1938" s="1"/>
      <c r="U1938" s="32" t="s">
        <v>4174</v>
      </c>
      <c r="V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W1938" s="15" t="str">
        <f>_xlfn.TEXTBEFORE(_xlfn.TEXTAFTER(CantoralDB[[#This Row],[index.html]],"&gt;"),"&gt;")&amp;"&gt;"</f>
        <v>&lt;a href="canciones/taize/veni_lumen_cordium.html"&gt;</v>
      </c>
      <c r="X1938"/>
      <c r="AB1938" s="1"/>
    </row>
    <row r="1939" spans="1:28" x14ac:dyDescent="0.3">
      <c r="A1939" s="1">
        <f>ROW(CantoralDB[[#This Row],[Título]])-1</f>
        <v>1938</v>
      </c>
      <c r="B1939" s="1" t="s">
        <v>342</v>
      </c>
      <c r="C1939" s="1" t="s">
        <v>1021</v>
      </c>
      <c r="D1939" s="1" t="s">
        <v>1107</v>
      </c>
      <c r="H1939" s="1" t="s">
        <v>1029</v>
      </c>
      <c r="I1939" s="1" t="s">
        <v>2951</v>
      </c>
      <c r="J1939" s="1" t="s">
        <v>607</v>
      </c>
      <c r="M1939" s="15" t="s">
        <v>2134</v>
      </c>
      <c r="N1939" s="1" t="s">
        <v>4018</v>
      </c>
      <c r="O1939" s="15">
        <v>5</v>
      </c>
      <c r="P1939" s="15" t="str" cm="1">
        <f t="array" ref="P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39" s="15" t="str" cm="1">
        <f t="array" ref="Q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939" s="1"/>
      <c r="T1939" s="1"/>
      <c r="U1939" s="32" t="s">
        <v>4175</v>
      </c>
      <c r="V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939" s="15" t="str">
        <f>_xlfn.TEXTBEFORE(_xlfn.TEXTAFTER(CantoralDB[[#This Row],[index.html]],"&gt;"),"&gt;")&amp;"&gt;"</f>
        <v>&lt;a href="canciones/taize/dona_la_pace.html"&gt;</v>
      </c>
      <c r="X1939"/>
      <c r="AB1939" s="1"/>
    </row>
    <row r="1940" spans="1:28" x14ac:dyDescent="0.3">
      <c r="A1940" s="1">
        <f>ROW(CantoralDB[[#This Row],[Título]])-1</f>
        <v>1939</v>
      </c>
      <c r="B1940" s="1" t="s">
        <v>4021</v>
      </c>
      <c r="C1940" s="1"/>
      <c r="J1940" s="1"/>
      <c r="M1940" s="15" t="s">
        <v>2134</v>
      </c>
      <c r="N1940" s="1" t="s">
        <v>4018</v>
      </c>
      <c r="O1940" s="15">
        <v>6</v>
      </c>
      <c r="P1940" s="15" t="str" cm="1">
        <f t="array" ref="P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0" s="15" t="str" cm="1">
        <f t="array" ref="Q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S1940" s="1"/>
      <c r="T1940" s="1"/>
      <c r="U1940" s="32" t="s">
        <v>4176</v>
      </c>
      <c r="V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W1940" s="15" t="str">
        <f>_xlfn.TEXTBEFORE(_xlfn.TEXTAFTER(CantoralDB[[#This Row],[index.html]],"&gt;"),"&gt;")&amp;"&gt;"</f>
        <v>&lt;a href="canciones/taize/exaudi_nos.html"&gt;</v>
      </c>
      <c r="X1940"/>
      <c r="AB1940" s="1"/>
    </row>
    <row r="1941" spans="1:28" x14ac:dyDescent="0.3">
      <c r="A1941" s="1">
        <f>ROW(CantoralDB[[#This Row],[Título]])-1</f>
        <v>1940</v>
      </c>
      <c r="B1941" s="1" t="s">
        <v>317</v>
      </c>
      <c r="C1941" s="1" t="s">
        <v>1021</v>
      </c>
      <c r="D1941" s="1" t="s">
        <v>1088</v>
      </c>
      <c r="H1941" s="1" t="s">
        <v>530</v>
      </c>
      <c r="I1941" s="1" t="s">
        <v>2951</v>
      </c>
      <c r="J1941" s="1" t="s">
        <v>607</v>
      </c>
      <c r="M1941" s="15" t="s">
        <v>2134</v>
      </c>
      <c r="N1941" s="1" t="s">
        <v>4018</v>
      </c>
      <c r="O1941" s="15">
        <v>7</v>
      </c>
      <c r="P1941" s="15" t="str" cm="1">
        <f t="array" ref="P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1" s="15" t="str" cm="1">
        <f t="array" ref="Q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941" s="1"/>
      <c r="T1941" s="1"/>
      <c r="U1941" s="32" t="s">
        <v>4177</v>
      </c>
      <c r="V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941" s="15" t="str">
        <f>_xlfn.TEXTBEFORE(_xlfn.TEXTAFTER(CantoralDB[[#This Row],[index.html]],"&gt;"),"&gt;")&amp;"&gt;"</f>
        <v>&lt;a href="canciones/taize/bleibet_hier.html"&gt;</v>
      </c>
      <c r="X1941"/>
      <c r="AB1941" s="1"/>
    </row>
    <row r="1942" spans="1:28" x14ac:dyDescent="0.3">
      <c r="A1942" s="1">
        <f>ROW(CantoralDB[[#This Row],[Título]])-1</f>
        <v>1941</v>
      </c>
      <c r="B1942" s="1" t="s">
        <v>443</v>
      </c>
      <c r="C1942" s="1" t="s">
        <v>1021</v>
      </c>
      <c r="D1942" s="1" t="s">
        <v>1100</v>
      </c>
      <c r="H1942" s="1" t="s">
        <v>530</v>
      </c>
      <c r="I1942" s="1" t="s">
        <v>2953</v>
      </c>
      <c r="J1942" s="1" t="s">
        <v>607</v>
      </c>
      <c r="M1942" s="15" t="s">
        <v>2134</v>
      </c>
      <c r="N1942" s="1" t="s">
        <v>4018</v>
      </c>
      <c r="O1942" s="15">
        <v>8</v>
      </c>
      <c r="P1942" s="15" t="str" cm="1">
        <f t="array" ref="P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2" s="15" t="str" cm="1">
        <f t="array" ref="Q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942" s="1"/>
      <c r="T1942" s="1"/>
      <c r="U1942" s="32" t="s">
        <v>4178</v>
      </c>
      <c r="V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942" s="15" t="str">
        <f>_xlfn.TEXTBEFORE(_xlfn.TEXTAFTER(CantoralDB[[#This Row],[index.html]],"&gt;"),"&gt;")&amp;"&gt;"</f>
        <v>&lt;a href="canciones/taize/surrexit_christus.html"&gt;</v>
      </c>
      <c r="X1942"/>
      <c r="AB1942" s="1"/>
    </row>
    <row r="1943" spans="1:28" x14ac:dyDescent="0.3">
      <c r="A1943" s="1">
        <f>ROW(CantoralDB[[#This Row],[Título]])-1</f>
        <v>1942</v>
      </c>
      <c r="B1943" s="1" t="s">
        <v>413</v>
      </c>
      <c r="C1943" s="1"/>
      <c r="J1943" s="1"/>
      <c r="M1943" s="15" t="s">
        <v>2134</v>
      </c>
      <c r="N1943" s="1" t="s">
        <v>4018</v>
      </c>
      <c r="O1943" s="15">
        <v>9</v>
      </c>
      <c r="P1943" s="15" t="str" cm="1">
        <f t="array" ref="P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3" s="15" t="str" cm="1">
        <f t="array" ref="Q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S1943" s="1"/>
      <c r="T1943" s="1"/>
      <c r="U1943" s="32" t="s">
        <v>4179</v>
      </c>
      <c r="V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W1943" s="15" t="str">
        <f>_xlfn.TEXTBEFORE(_xlfn.TEXTAFTER(CantoralDB[[#This Row],[index.html]],"&gt;"),"&gt;")&amp;"&gt;"</f>
        <v>&lt;a href="canciones/taize/mon_âme_se_repose.html"&gt;</v>
      </c>
      <c r="X1943"/>
      <c r="AB1943" s="1"/>
    </row>
    <row r="1944" spans="1:28" x14ac:dyDescent="0.3">
      <c r="A1944" s="1">
        <f>ROW(CantoralDB[[#This Row],[Título]])-1</f>
        <v>1943</v>
      </c>
      <c r="B1944" s="1" t="s">
        <v>420</v>
      </c>
      <c r="C1944" s="1" t="s">
        <v>1021</v>
      </c>
      <c r="E1944" s="1">
        <v>187</v>
      </c>
      <c r="H1944" s="1" t="s">
        <v>1026</v>
      </c>
      <c r="J1944" s="1" t="s">
        <v>607</v>
      </c>
      <c r="M1944" s="15" t="s">
        <v>2134</v>
      </c>
      <c r="N1944" s="1" t="s">
        <v>4018</v>
      </c>
      <c r="O1944" s="15">
        <v>10</v>
      </c>
      <c r="P1944" s="15" t="str" cm="1">
        <f t="array" ref="P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4" s="15" t="str" cm="1">
        <f t="array" ref="Q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944" s="1"/>
      <c r="T1944" s="1" t="s">
        <v>420</v>
      </c>
      <c r="U1944" s="32" t="s">
        <v>4180</v>
      </c>
      <c r="V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W1944" s="15" t="str">
        <f>_xlfn.TEXTBEFORE(_xlfn.TEXTAFTER(CantoralDB[[#This Row],[index.html]],"&gt;"),"&gt;")&amp;"&gt;"</f>
        <v>&lt;a href="canciones/taize/o_christe_domine_jesu.html"&gt;</v>
      </c>
      <c r="X1944"/>
      <c r="AB1944" s="1"/>
    </row>
    <row r="1945" spans="1:28" x14ac:dyDescent="0.3">
      <c r="A1945" s="1">
        <f>ROW(CantoralDB[[#This Row],[Título]])-1</f>
        <v>1944</v>
      </c>
      <c r="B1945" s="1" t="s">
        <v>4022</v>
      </c>
      <c r="C1945" s="1"/>
      <c r="J1945" s="1"/>
      <c r="M1945" s="15" t="s">
        <v>2134</v>
      </c>
      <c r="N1945" s="1" t="s">
        <v>4018</v>
      </c>
      <c r="O1945" s="15">
        <v>11</v>
      </c>
      <c r="P1945" s="15" t="str" cm="1">
        <f t="array" ref="P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5" s="15" t="str" cm="1">
        <f t="array" ref="Q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S1945" s="1"/>
      <c r="T1945" s="1"/>
      <c r="U1945" s="32" t="s">
        <v>4181</v>
      </c>
      <c r="V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W1945" s="15" t="str">
        <f>_xlfn.TEXTBEFORE(_xlfn.TEXTAFTER(CantoralDB[[#This Row],[index.html]],"&gt;"),"&gt;")&amp;"&gt;"</f>
        <v>&lt;a href="canciones/taize/o_lord_hear_my_prayer.html"&gt;</v>
      </c>
      <c r="X1945"/>
      <c r="AB1945" s="1"/>
    </row>
    <row r="1946" spans="1:28" x14ac:dyDescent="0.3">
      <c r="A1946" s="1">
        <f>ROW(CantoralDB[[#This Row],[Título]])-1</f>
        <v>1945</v>
      </c>
      <c r="B1946" s="1" t="s">
        <v>293</v>
      </c>
      <c r="C1946" s="1" t="s">
        <v>1021</v>
      </c>
      <c r="D1946" s="1" t="s">
        <v>1080</v>
      </c>
      <c r="H1946" s="1" t="s">
        <v>1027</v>
      </c>
      <c r="J1946" s="1" t="s">
        <v>607</v>
      </c>
      <c r="M1946" s="15" t="s">
        <v>2134</v>
      </c>
      <c r="N1946" s="1" t="s">
        <v>4018</v>
      </c>
      <c r="O1946" s="15">
        <v>12</v>
      </c>
      <c r="P1946" s="15" t="str" cm="1">
        <f t="array" ref="P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6" s="15" t="str" cm="1">
        <f t="array" ref="Q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946" s="1"/>
      <c r="T1946" s="1"/>
      <c r="U1946" s="32" t="s">
        <v>4182</v>
      </c>
      <c r="V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946" s="15" t="str">
        <f>_xlfn.TEXTBEFORE(_xlfn.TEXTAFTER(CantoralDB[[#This Row],[index.html]],"&gt;"),"&gt;")&amp;"&gt;"</f>
        <v>&lt;a href="canciones/taize/alleluia_7.html"&gt;</v>
      </c>
      <c r="X1946"/>
      <c r="AB1946" s="1"/>
    </row>
    <row r="1947" spans="1:28" x14ac:dyDescent="0.3">
      <c r="A1947" s="1">
        <f>ROW(CantoralDB[[#This Row],[Título]])-1</f>
        <v>1946</v>
      </c>
      <c r="B1947" s="1" t="s">
        <v>343</v>
      </c>
      <c r="C1947" s="1" t="s">
        <v>1021</v>
      </c>
      <c r="D1947" s="1" t="s">
        <v>1106</v>
      </c>
      <c r="H1947" s="1" t="s">
        <v>1029</v>
      </c>
      <c r="I1947" s="1" t="s">
        <v>2951</v>
      </c>
      <c r="J1947" s="1" t="s">
        <v>607</v>
      </c>
      <c r="M1947" s="15" t="s">
        <v>2134</v>
      </c>
      <c r="N1947" s="1" t="s">
        <v>4018</v>
      </c>
      <c r="O1947" s="15">
        <v>13</v>
      </c>
      <c r="P1947" s="15" t="str" cm="1">
        <f t="array" ref="P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7" s="15" t="str" cm="1">
        <f t="array" ref="Q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947" s="1"/>
      <c r="T1947" s="1"/>
      <c r="U1947" s="32" t="s">
        <v>4183</v>
      </c>
      <c r="V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947" s="15" t="str">
        <f>_xlfn.TEXTBEFORE(_xlfn.TEXTAFTER(CantoralDB[[#This Row],[index.html]],"&gt;"),"&gt;")&amp;"&gt;"</f>
        <v>&lt;a href="canciones/taize/dona_nobis_pacem.html"&gt;</v>
      </c>
      <c r="X1947"/>
      <c r="AB1947" s="1"/>
    </row>
    <row r="1948" spans="1:28" x14ac:dyDescent="0.3">
      <c r="A1948" s="1">
        <f>ROW(CantoralDB[[#This Row],[Título]])-1</f>
        <v>1947</v>
      </c>
      <c r="B1948" s="1" t="s">
        <v>427</v>
      </c>
      <c r="C1948" s="1" t="s">
        <v>1021</v>
      </c>
      <c r="D1948" s="1" t="s">
        <v>1124</v>
      </c>
      <c r="H1948" s="1" t="s">
        <v>1029</v>
      </c>
      <c r="I1948" s="1" t="s">
        <v>2952</v>
      </c>
      <c r="J1948" s="1" t="s">
        <v>607</v>
      </c>
      <c r="M1948" s="15" t="s">
        <v>2134</v>
      </c>
      <c r="N1948" s="1" t="s">
        <v>4018</v>
      </c>
      <c r="O1948" s="15">
        <v>14</v>
      </c>
      <c r="P1948" s="15" t="str" cm="1">
        <f t="array" ref="P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8" s="15" t="str" cm="1">
        <f t="array" ref="Q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948" s="1"/>
      <c r="T1948" s="1"/>
      <c r="U1948" s="32" t="s">
        <v>4184</v>
      </c>
      <c r="V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948" s="15" t="str">
        <f>_xlfn.TEXTBEFORE(_xlfn.TEXTAFTER(CantoralDB[[#This Row],[index.html]],"&gt;"),"&gt;")&amp;"&gt;"</f>
        <v>&lt;a href="canciones/taize/psallite_deo.html"&gt;</v>
      </c>
      <c r="X1948"/>
      <c r="AB1948" s="1"/>
    </row>
    <row r="1949" spans="1:28" x14ac:dyDescent="0.3">
      <c r="A1949" s="1">
        <f>ROW(CantoralDB[[#This Row],[Título]])-1</f>
        <v>1948</v>
      </c>
      <c r="B1949" s="1" t="s">
        <v>294</v>
      </c>
      <c r="C1949" s="1"/>
      <c r="J1949" s="1"/>
      <c r="M1949" s="15" t="s">
        <v>2134</v>
      </c>
      <c r="N1949" s="1" t="s">
        <v>4037</v>
      </c>
      <c r="O1949" s="15">
        <v>4</v>
      </c>
      <c r="P1949" s="15" t="str" cm="1">
        <f t="array" ref="P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49" s="15" t="str" cm="1">
        <f t="array" ref="Q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S1949" s="1"/>
      <c r="T1949" s="1"/>
      <c r="U1949" s="32" t="s">
        <v>4185</v>
      </c>
      <c r="V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W1949" s="15" t="str">
        <f>_xlfn.TEXTBEFORE(_xlfn.TEXTAFTER(CantoralDB[[#This Row],[index.html]],"&gt;"),"&gt;")&amp;"&gt;"</f>
        <v>&lt;a href="canciones/taize/alleluia_8.html"&gt;</v>
      </c>
      <c r="X1949"/>
      <c r="AB1949" s="1"/>
    </row>
    <row r="1950" spans="1:28" x14ac:dyDescent="0.3">
      <c r="A1950" s="1">
        <f>ROW(CantoralDB[[#This Row],[Título]])-1</f>
        <v>1949</v>
      </c>
      <c r="B1950" s="1" t="s">
        <v>339</v>
      </c>
      <c r="C1950" s="1" t="s">
        <v>1021</v>
      </c>
      <c r="D1950" s="1" t="s">
        <v>1114</v>
      </c>
      <c r="H1950" s="1" t="s">
        <v>530</v>
      </c>
      <c r="I1950" s="1" t="s">
        <v>2953</v>
      </c>
      <c r="J1950" s="1" t="s">
        <v>607</v>
      </c>
      <c r="M1950" s="15" t="s">
        <v>2134</v>
      </c>
      <c r="N1950" s="1" t="s">
        <v>4037</v>
      </c>
      <c r="O1950" s="15">
        <v>7</v>
      </c>
      <c r="P1950" s="15" t="str" cm="1">
        <f t="array" ref="P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0" s="15" t="str" cm="1">
        <f t="array" ref="Q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950" s="1"/>
      <c r="T1950" s="1"/>
      <c r="U1950" s="32" t="s">
        <v>4186</v>
      </c>
      <c r="V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950" s="15" t="str">
        <f>_xlfn.TEXTBEFORE(_xlfn.TEXTAFTER(CantoralDB[[#This Row],[index.html]],"&gt;"),"&gt;")&amp;"&gt;"</f>
        <v>&lt;a href="canciones/taize/dieu_ne_peut_que_donner.html"&gt;</v>
      </c>
      <c r="X1950"/>
      <c r="AB1950" s="1"/>
    </row>
    <row r="1951" spans="1:28" x14ac:dyDescent="0.3">
      <c r="A1951" s="1">
        <f>ROW(CantoralDB[[#This Row],[Título]])-1</f>
        <v>1950</v>
      </c>
      <c r="B1951" s="1" t="s">
        <v>4038</v>
      </c>
      <c r="C1951" s="1"/>
      <c r="J1951" s="1"/>
      <c r="M1951" s="15" t="s">
        <v>2134</v>
      </c>
      <c r="N1951" s="1" t="s">
        <v>4037</v>
      </c>
      <c r="O1951" s="15">
        <v>9</v>
      </c>
      <c r="P1951" s="15" t="str" cm="1">
        <f t="array" ref="P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1" s="15" t="str" cm="1">
        <f t="array" ref="Q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S1951" s="1"/>
      <c r="T1951" s="1"/>
      <c r="U1951" s="32" t="s">
        <v>4187</v>
      </c>
      <c r="V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W1951" s="15" t="str">
        <f>_xlfn.TEXTBEFORE(_xlfn.TEXTAFTER(CantoralDB[[#This Row],[index.html]],"&gt;"),"&gt;")&amp;"&gt;"</f>
        <v>&lt;a href="canciones/taize/c'est_toi_la_lumière.html"&gt;</v>
      </c>
      <c r="X1951"/>
      <c r="AB1951" s="1"/>
    </row>
    <row r="1952" spans="1:28" x14ac:dyDescent="0.3">
      <c r="A1952" s="1">
        <f>ROW(CantoralDB[[#This Row],[Título]])-1</f>
        <v>1951</v>
      </c>
      <c r="B1952" s="1" t="s">
        <v>391</v>
      </c>
      <c r="C1952" s="1"/>
      <c r="J1952" s="1"/>
      <c r="M1952" s="15" t="s">
        <v>2134</v>
      </c>
      <c r="N1952" s="1" t="s">
        <v>4037</v>
      </c>
      <c r="O1952" s="15">
        <v>12</v>
      </c>
      <c r="P1952" s="15" t="str" cm="1">
        <f t="array" ref="P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2" s="15" t="str" cm="1">
        <f t="array" ref="Q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S1952" s="1"/>
      <c r="T1952" s="1"/>
      <c r="U1952" s="32" t="s">
        <v>4188</v>
      </c>
      <c r="V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W1952" s="15" t="str">
        <f>_xlfn.TEXTBEFORE(_xlfn.TEXTAFTER(CantoralDB[[#This Row],[index.html]],"&gt;"),"&gt;")&amp;"&gt;"</f>
        <v>&lt;a href="canciones/taize/kyrie_10.html"&gt;</v>
      </c>
      <c r="X1952"/>
      <c r="AB1952" s="1"/>
    </row>
    <row r="1953" spans="1:28" x14ac:dyDescent="0.3">
      <c r="A1953" s="1">
        <f>ROW(CantoralDB[[#This Row],[Título]])-1</f>
        <v>1952</v>
      </c>
      <c r="B1953" s="1" t="s">
        <v>290</v>
      </c>
      <c r="C1953" s="1"/>
      <c r="J1953" s="1"/>
      <c r="M1953" s="15" t="s">
        <v>2134</v>
      </c>
      <c r="N1953" s="1" t="s">
        <v>4052</v>
      </c>
      <c r="O1953" s="15">
        <v>3</v>
      </c>
      <c r="P1953" s="15" t="str" cm="1">
        <f t="array" ref="P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3" s="15" t="str" cm="1">
        <f t="array" ref="Q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S1953" s="1"/>
      <c r="T1953" s="1"/>
      <c r="U1953" s="32" t="s">
        <v>4189</v>
      </c>
      <c r="V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W1953" s="15" t="str">
        <f>_xlfn.TEXTBEFORE(_xlfn.TEXTAFTER(CantoralDB[[#This Row],[index.html]],"&gt;"),"&gt;")&amp;"&gt;"</f>
        <v>&lt;a href="canciones/taize/alleluia_4.html"&gt;</v>
      </c>
      <c r="X1953"/>
      <c r="AB1953" s="1"/>
    </row>
    <row r="1954" spans="1:28" x14ac:dyDescent="0.3">
      <c r="A1954" s="1">
        <f>ROW(CantoralDB[[#This Row],[Título]])-1</f>
        <v>1953</v>
      </c>
      <c r="B1954" s="1" t="s">
        <v>4039</v>
      </c>
      <c r="C1954" s="1"/>
      <c r="J1954" s="1"/>
      <c r="M1954" s="15" t="s">
        <v>2134</v>
      </c>
      <c r="N1954" s="1" t="s">
        <v>455</v>
      </c>
      <c r="O1954" s="15">
        <v>5</v>
      </c>
      <c r="P1954" s="15" t="str" cm="1">
        <f t="array" ref="P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4" s="15" t="str" cm="1">
        <f t="array" ref="Q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S1954" s="1"/>
      <c r="T1954" s="1"/>
      <c r="U1954" s="32" t="s">
        <v>4190</v>
      </c>
      <c r="V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W1954" s="15" t="str">
        <f>_xlfn.TEXTBEFORE(_xlfn.TEXTAFTER(CantoralDB[[#This Row],[index.html]],"&gt;"),"&gt;")&amp;"&gt;"</f>
        <v>&lt;a href="canciones/taize/donnez_une_voix_à_sa_louange.html"&gt;</v>
      </c>
      <c r="X1954"/>
      <c r="AB1954" s="1"/>
    </row>
    <row r="1955" spans="1:28" x14ac:dyDescent="0.3">
      <c r="A1955" s="1">
        <f>ROW(CantoralDB[[#This Row],[Título]])-1</f>
        <v>1954</v>
      </c>
      <c r="B1955" s="1" t="s">
        <v>333</v>
      </c>
      <c r="C1955" s="1" t="s">
        <v>1021</v>
      </c>
      <c r="D1955" s="1" t="s">
        <v>1104</v>
      </c>
      <c r="H1955" s="1" t="s">
        <v>530</v>
      </c>
      <c r="I1955" s="1" t="s">
        <v>2952</v>
      </c>
      <c r="J1955" s="1" t="s">
        <v>607</v>
      </c>
      <c r="M1955" s="15" t="s">
        <v>2134</v>
      </c>
      <c r="N1955" s="1" t="s">
        <v>455</v>
      </c>
      <c r="O1955" s="15">
        <v>7</v>
      </c>
      <c r="P1955" s="15" t="str" cm="1">
        <f t="array" ref="P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5" s="15" t="str" cm="1">
        <f t="array" ref="Q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955" s="1"/>
      <c r="T1955" s="1"/>
      <c r="U1955" s="32" t="s">
        <v>4191</v>
      </c>
      <c r="V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955" s="15" t="str">
        <f>_xlfn.TEXTBEFORE(_xlfn.TEXTAFTER(CantoralDB[[#This Row],[index.html]],"&gt;"),"&gt;")&amp;"&gt;"</f>
        <v>&lt;a href="canciones/taize/da_pacem_cordium_(canon).html"&gt;</v>
      </c>
      <c r="X1955"/>
      <c r="AB1955" s="1"/>
    </row>
    <row r="1956" spans="1:28" x14ac:dyDescent="0.3">
      <c r="A1956" s="1">
        <f>ROW(CantoralDB[[#This Row],[Título]])-1</f>
        <v>1955</v>
      </c>
      <c r="B1956" s="1" t="s">
        <v>423</v>
      </c>
      <c r="C1956" s="1"/>
      <c r="J1956" s="1"/>
      <c r="M1956" s="15" t="s">
        <v>2134</v>
      </c>
      <c r="N1956" s="1" t="s">
        <v>455</v>
      </c>
      <c r="O1956" s="15">
        <v>11</v>
      </c>
      <c r="P1956" s="15" t="str" cm="1">
        <f t="array" ref="P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6" s="15" t="str" cm="1">
        <f t="array" ref="Q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S1956" s="1"/>
      <c r="T1956" s="1"/>
      <c r="U1956" s="32" t="s">
        <v>4192</v>
      </c>
      <c r="V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W1956" s="15" t="str">
        <f>_xlfn.TEXTBEFORE(_xlfn.TEXTAFTER(CantoralDB[[#This Row],[index.html]],"&gt;"),"&gt;")&amp;"&gt;"</f>
        <v>&lt;a href="canciones/taize/ostende_nobis.html"&gt;</v>
      </c>
      <c r="X1956"/>
      <c r="AB1956" s="1"/>
    </row>
    <row r="1957" spans="1:28" x14ac:dyDescent="0.3">
      <c r="A1957" s="1">
        <f>ROW(CantoralDB[[#This Row],[Título]])-1</f>
        <v>1956</v>
      </c>
      <c r="B1957" s="1" t="s">
        <v>361</v>
      </c>
      <c r="C1957" s="1"/>
      <c r="J1957" s="1"/>
      <c r="M1957" s="15" t="s">
        <v>2134</v>
      </c>
      <c r="N1957" s="1" t="s">
        <v>455</v>
      </c>
      <c r="O1957" s="15">
        <v>12</v>
      </c>
      <c r="P1957" s="15" t="str" cm="1">
        <f t="array" ref="P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7" s="15" t="str" cm="1">
        <f t="array" ref="Q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S1957" s="1"/>
      <c r="T1957" s="1"/>
      <c r="U1957" s="32" t="s">
        <v>4193</v>
      </c>
      <c r="V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W1957" s="15" t="str">
        <f>_xlfn.TEXTBEFORE(_xlfn.TEXTAFTER(CantoralDB[[#This Row],[index.html]],"&gt;"),"&gt;")&amp;"&gt;"</f>
        <v>&lt;a href="canciones/taize/grande_est_ta_bonte.html"&gt;</v>
      </c>
      <c r="X1957"/>
      <c r="AB1957" s="1"/>
    </row>
    <row r="1958" spans="1:28" x14ac:dyDescent="0.3">
      <c r="A1958" s="1">
        <f>ROW(CantoralDB[[#This Row],[Título]])-1</f>
        <v>1957</v>
      </c>
      <c r="B1958" s="1" t="s">
        <v>4040</v>
      </c>
      <c r="C1958" s="1"/>
      <c r="J1958" s="1"/>
      <c r="M1958" s="15" t="s">
        <v>2134</v>
      </c>
      <c r="N1958" s="1" t="s">
        <v>455</v>
      </c>
      <c r="O1958" s="15">
        <v>13</v>
      </c>
      <c r="P1958" s="15" t="str" cm="1">
        <f t="array" ref="P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8" s="15" t="str" cm="1">
        <f t="array" ref="Q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S1958" s="1"/>
      <c r="T1958" s="1"/>
      <c r="U1958" s="32" t="s">
        <v>4194</v>
      </c>
      <c r="V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W1958" s="15" t="str">
        <f>_xlfn.TEXTBEFORE(_xlfn.TEXTAFTER(CantoralDB[[#This Row],[index.html]],"&gt;"),"&gt;")&amp;"&gt;"</f>
        <v>&lt;a href="canciones/taize/meine_seele_ist_zu_tode_betrübt.html"&gt;</v>
      </c>
      <c r="X1958"/>
      <c r="AB1958" s="1"/>
    </row>
    <row r="1959" spans="1:28" x14ac:dyDescent="0.3">
      <c r="A1959" s="1">
        <f>ROW(CantoralDB[[#This Row],[Título]])-1</f>
        <v>1958</v>
      </c>
      <c r="B1959" s="1" t="s">
        <v>4041</v>
      </c>
      <c r="C1959" s="1"/>
      <c r="J1959" s="1"/>
      <c r="M1959" s="15" t="s">
        <v>2134</v>
      </c>
      <c r="N1959" s="1" t="s">
        <v>455</v>
      </c>
      <c r="O1959" s="15">
        <v>14</v>
      </c>
      <c r="P1959" s="15" t="str" cm="1">
        <f t="array" ref="P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59" s="15" t="str" cm="1">
        <f t="array" ref="Q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S1959" s="1"/>
      <c r="T1959" s="1"/>
      <c r="U1959" s="32" t="s">
        <v>4195</v>
      </c>
      <c r="V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W1959" s="15" t="str">
        <f>_xlfn.TEXTBEFORE(_xlfn.TEXTAFTER(CantoralDB[[#This Row],[index.html]],"&gt;"),"&gt;")&amp;"&gt;"</f>
        <v>&lt;a href="canciones/taize/jesus_inclino_la_cabeza.html"&gt;</v>
      </c>
      <c r="X1959"/>
      <c r="AB1959" s="1"/>
    </row>
    <row r="1960" spans="1:28" x14ac:dyDescent="0.3">
      <c r="A1960" s="1">
        <f>ROW(CantoralDB[[#This Row],[Título]])-1</f>
        <v>1959</v>
      </c>
      <c r="B1960" s="1" t="s">
        <v>382</v>
      </c>
      <c r="C1960" s="1"/>
      <c r="J1960" s="1"/>
      <c r="M1960" s="15" t="s">
        <v>2134</v>
      </c>
      <c r="N1960" s="1" t="s">
        <v>455</v>
      </c>
      <c r="O1960" s="15">
        <v>16</v>
      </c>
      <c r="P1960" s="15" t="str" cm="1">
        <f t="array" ref="P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0" s="15" t="str" cm="1">
        <f t="array" ref="Q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960" s="1"/>
      <c r="T1960" s="1"/>
      <c r="U1960" s="32" t="s">
        <v>4196</v>
      </c>
      <c r="V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W1960" s="15" t="str">
        <f>_xlfn.TEXTBEFORE(_xlfn.TEXTAFTER(CantoralDB[[#This Row],[index.html]],"&gt;"),"&gt;")&amp;"&gt;"</f>
        <v>&lt;a href="canciones/taize/jubilate_deo.html"&gt;</v>
      </c>
      <c r="X1960"/>
      <c r="AB1960" s="1"/>
    </row>
    <row r="1961" spans="1:28" x14ac:dyDescent="0.3">
      <c r="A1961" s="1">
        <f>ROW(CantoralDB[[#This Row],[Título]])-1</f>
        <v>1960</v>
      </c>
      <c r="B1961" s="1" t="s">
        <v>4042</v>
      </c>
      <c r="C1961" s="1"/>
      <c r="J1961" s="1"/>
      <c r="M1961" s="15" t="s">
        <v>2134</v>
      </c>
      <c r="N1961" s="1" t="s">
        <v>455</v>
      </c>
      <c r="O1961" s="15">
        <v>24</v>
      </c>
      <c r="P1961" s="15" t="str" cm="1">
        <f t="array" ref="P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1" s="15" t="str" cm="1">
        <f t="array" ref="Q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S1961" s="1"/>
      <c r="T1961" s="1"/>
      <c r="U1961" s="32" t="s">
        <v>4197</v>
      </c>
      <c r="V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W1961" s="15" t="str">
        <f>_xlfn.TEXTBEFORE(_xlfn.TEXTAFTER(CantoralDB[[#This Row],[index.html]],"&gt;"),"&gt;")&amp;"&gt;"</f>
        <v>&lt;a href="canciones/taize/regnum_tuum_veniat.html"&gt;</v>
      </c>
      <c r="X1961"/>
      <c r="AB1961" s="1"/>
    </row>
    <row r="1962" spans="1:28" x14ac:dyDescent="0.3">
      <c r="A1962" s="1">
        <f>ROW(CantoralDB[[#This Row],[Título]])-1</f>
        <v>1961</v>
      </c>
      <c r="B1962" s="1" t="s">
        <v>457</v>
      </c>
      <c r="C1962" s="1"/>
      <c r="J1962" s="1"/>
      <c r="M1962" s="15" t="s">
        <v>2134</v>
      </c>
      <c r="N1962" s="1" t="s">
        <v>455</v>
      </c>
      <c r="O1962" s="15">
        <v>26</v>
      </c>
      <c r="P1962" s="15" t="str" cm="1">
        <f t="array" ref="P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2" s="15" t="str" cm="1">
        <f t="array" ref="Q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S1962" s="1"/>
      <c r="T1962" s="1"/>
      <c r="U1962" s="32" t="s">
        <v>4198</v>
      </c>
      <c r="V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W1962" s="15" t="str">
        <f>_xlfn.TEXTBEFORE(_xlfn.TEXTAFTER(CantoralDB[[#This Row],[index.html]],"&gt;"),"&gt;")&amp;"&gt;"</f>
        <v>&lt;a href="canciones/taize/une_soif_emplit_notre_âme.html"&gt;</v>
      </c>
      <c r="X1962"/>
      <c r="AB1962" s="1"/>
    </row>
    <row r="1963" spans="1:28" x14ac:dyDescent="0.3">
      <c r="A1963" s="1">
        <f>ROW(CantoralDB[[#This Row],[Título]])-1</f>
        <v>1962</v>
      </c>
      <c r="B1963" s="1" t="s">
        <v>456</v>
      </c>
      <c r="C1963" s="1"/>
      <c r="J1963" s="1"/>
      <c r="M1963" s="15" t="s">
        <v>2134</v>
      </c>
      <c r="N1963" s="1" t="s">
        <v>455</v>
      </c>
      <c r="O1963" s="15">
        <v>27</v>
      </c>
      <c r="P1963" s="15" t="str" cm="1">
        <f t="array" ref="P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3" s="15" t="str" cm="1">
        <f t="array" ref="Q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S1963" s="1"/>
      <c r="T1963" s="1"/>
      <c r="U1963" s="32" t="s">
        <v>4199</v>
      </c>
      <c r="V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W1963" s="15" t="str">
        <f>_xlfn.TEXTBEFORE(_xlfn.TEXTAFTER(CantoralDB[[#This Row],[index.html]],"&gt;"),"&gt;")&amp;"&gt;"</f>
        <v>&lt;a href="canciones/taize/ubi_caritas_deus_ibi_est.html"&gt;</v>
      </c>
      <c r="X1963"/>
      <c r="AB1963" s="1"/>
    </row>
    <row r="1964" spans="1:28" x14ac:dyDescent="0.3">
      <c r="A1964" s="1">
        <f>ROW(CantoralDB[[#This Row],[Título]])-1</f>
        <v>1963</v>
      </c>
      <c r="B1964" s="1" t="s">
        <v>4031</v>
      </c>
      <c r="C1964" s="1"/>
      <c r="J1964" s="1"/>
      <c r="M1964" s="15" t="s">
        <v>2134</v>
      </c>
      <c r="N1964" s="1" t="s">
        <v>463</v>
      </c>
      <c r="O1964" s="15">
        <v>1</v>
      </c>
      <c r="P1964" s="15" t="str" cm="1">
        <f t="array" ref="P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4" s="15" t="str" cm="1">
        <f t="array" ref="Q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S1964" s="1"/>
      <c r="T1964" s="1"/>
      <c r="U1964" s="32" t="s">
        <v>4200</v>
      </c>
      <c r="V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W1964" s="15" t="str">
        <f>_xlfn.TEXTBEFORE(_xlfn.TEXTAFTER(CantoralDB[[#This Row],[index.html]],"&gt;"),"&gt;")&amp;"&gt;"</f>
        <v>&lt;a href="canciones/taize/veni_lumen_(choral).html"&gt;</v>
      </c>
      <c r="X1964"/>
      <c r="AB1964" s="1"/>
    </row>
    <row r="1965" spans="1:28" x14ac:dyDescent="0.3">
      <c r="A1965" s="1">
        <f>ROW(CantoralDB[[#This Row],[Título]])-1</f>
        <v>1964</v>
      </c>
      <c r="B1965" s="1" t="s">
        <v>450</v>
      </c>
      <c r="C1965" s="1"/>
      <c r="J1965" s="1"/>
      <c r="M1965" s="15" t="s">
        <v>2134</v>
      </c>
      <c r="N1965" s="1" t="s">
        <v>463</v>
      </c>
      <c r="O1965" s="15">
        <v>2</v>
      </c>
      <c r="P1965" s="15" t="str" cm="1">
        <f t="array" ref="P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5" s="15" t="str" cm="1">
        <f t="array" ref="Q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S1965" s="1"/>
      <c r="T1965" s="1"/>
      <c r="U1965" s="32" t="s">
        <v>4201</v>
      </c>
      <c r="V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W1965" s="15" t="str">
        <f>_xlfn.TEXTBEFORE(_xlfn.TEXTAFTER(CantoralDB[[#This Row],[index.html]],"&gt;"),"&gt;")&amp;"&gt;"</f>
        <v>&lt;a href="canciones/taize/toi_tu_nous_aimes.html"&gt;</v>
      </c>
      <c r="X1965"/>
      <c r="AB1965" s="1"/>
    </row>
    <row r="1966" spans="1:28" x14ac:dyDescent="0.3">
      <c r="A1966" s="1">
        <f>ROW(CantoralDB[[#This Row],[Título]])-1</f>
        <v>1965</v>
      </c>
      <c r="B1966" s="1" t="s">
        <v>4032</v>
      </c>
      <c r="C1966" s="1"/>
      <c r="J1966" s="1"/>
      <c r="M1966" s="15" t="s">
        <v>2134</v>
      </c>
      <c r="N1966" s="1" t="s">
        <v>463</v>
      </c>
      <c r="O1966" s="15">
        <v>3</v>
      </c>
      <c r="P1966" s="15" t="str" cm="1">
        <f t="array" ref="P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6" s="15" t="str" cm="1">
        <f t="array" ref="Q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S1966" s="1"/>
      <c r="T1966" s="1"/>
      <c r="U1966" s="32" t="s">
        <v>4202</v>
      </c>
      <c r="V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W1966" s="15" t="str">
        <f>_xlfn.TEXTBEFORE(_xlfn.TEXTAFTER(CantoralDB[[#This Row],[index.html]],"&gt;"),"&gt;")&amp;"&gt;"</f>
        <v>&lt;a href="canciones/taize/alleluia_(zagorsk).html"&gt;</v>
      </c>
      <c r="X1966"/>
      <c r="AB1966" s="1"/>
    </row>
    <row r="1967" spans="1:28" x14ac:dyDescent="0.3">
      <c r="A1967" s="1">
        <f>ROW(CantoralDB[[#This Row],[Título]])-1</f>
        <v>1966</v>
      </c>
      <c r="B1967" s="1" t="s">
        <v>454</v>
      </c>
      <c r="C1967" s="1" t="s">
        <v>1021</v>
      </c>
      <c r="D1967" s="1" t="s">
        <v>1150</v>
      </c>
      <c r="H1967" s="1" t="s">
        <v>1027</v>
      </c>
      <c r="I1967" s="1" t="s">
        <v>2953</v>
      </c>
      <c r="J1967" s="1" t="s">
        <v>607</v>
      </c>
      <c r="M1967" s="15" t="s">
        <v>2134</v>
      </c>
      <c r="N1967" s="1" t="s">
        <v>463</v>
      </c>
      <c r="O1967" s="15">
        <v>4</v>
      </c>
      <c r="P1967" s="15" t="str" cm="1">
        <f t="array" ref="P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7" s="15" t="str" cm="1">
        <f t="array" ref="Q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967" s="1"/>
      <c r="T1967" s="1"/>
      <c r="U1967" s="32" t="s">
        <v>4203</v>
      </c>
      <c r="V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967" s="15" t="str">
        <f>_xlfn.TEXTBEFORE(_xlfn.TEXTAFTER(CantoralDB[[#This Row],[index.html]],"&gt;"),"&gt;")&amp;"&gt;"</f>
        <v>&lt;a href="canciones/taize/tui_amoris.html"&gt;</v>
      </c>
      <c r="X1967"/>
      <c r="AB1967" s="1"/>
    </row>
    <row r="1968" spans="1:28" x14ac:dyDescent="0.3">
      <c r="A1968" s="1">
        <f>ROW(CantoralDB[[#This Row],[Título]])-1</f>
        <v>1967</v>
      </c>
      <c r="B1968" s="1" t="s">
        <v>334</v>
      </c>
      <c r="C1968" s="1" t="s">
        <v>1021</v>
      </c>
      <c r="D1968" s="1" t="s">
        <v>1105</v>
      </c>
      <c r="H1968" s="1" t="s">
        <v>1028</v>
      </c>
      <c r="I1968" s="1" t="s">
        <v>2952</v>
      </c>
      <c r="J1968" s="1" t="s">
        <v>607</v>
      </c>
      <c r="M1968" s="15" t="s">
        <v>2134</v>
      </c>
      <c r="N1968" s="1" t="s">
        <v>463</v>
      </c>
      <c r="O1968" s="15">
        <v>5</v>
      </c>
      <c r="P1968" s="15" t="str" cm="1">
        <f t="array" ref="P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8" s="15" t="str" cm="1">
        <f t="array" ref="Q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968" s="1"/>
      <c r="T1968" s="1"/>
      <c r="U1968" s="32" t="s">
        <v>4204</v>
      </c>
      <c r="V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968" s="15" t="str">
        <f>_xlfn.TEXTBEFORE(_xlfn.TEXTAFTER(CantoralDB[[#This Row],[index.html]],"&gt;"),"&gt;")&amp;"&gt;"</f>
        <v>&lt;a href="canciones/taize/da_pacem..._in_diebus.html"&gt;</v>
      </c>
      <c r="X1968"/>
      <c r="AB1968" s="1"/>
    </row>
    <row r="1969" spans="1:28" x14ac:dyDescent="0.3">
      <c r="A1969" s="1">
        <f>ROW(CantoralDB[[#This Row],[Título]])-1</f>
        <v>1968</v>
      </c>
      <c r="B1969" s="1" t="s">
        <v>412</v>
      </c>
      <c r="C1969" s="1" t="s">
        <v>1021</v>
      </c>
      <c r="D1969" s="1" t="s">
        <v>1137</v>
      </c>
      <c r="E1969" s="1">
        <v>157</v>
      </c>
      <c r="H1969" s="1" t="s">
        <v>530</v>
      </c>
      <c r="I1969" s="1" t="s">
        <v>2951</v>
      </c>
      <c r="J1969" s="1" t="s">
        <v>607</v>
      </c>
      <c r="M1969" s="15" t="s">
        <v>2134</v>
      </c>
      <c r="N1969" s="1" t="s">
        <v>463</v>
      </c>
      <c r="O1969" s="15">
        <v>6</v>
      </c>
      <c r="P1969" s="15" t="str" cm="1">
        <f t="array" ref="P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69" s="15" t="str" cm="1">
        <f t="array" ref="Q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969" s="1"/>
      <c r="T1969" s="1"/>
      <c r="U1969" s="32" t="s">
        <v>4205</v>
      </c>
      <c r="V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969" s="15" t="str">
        <f>_xlfn.TEXTBEFORE(_xlfn.TEXTAFTER(CantoralDB[[#This Row],[index.html]],"&gt;"),"&gt;")&amp;"&gt;"</f>
        <v>&lt;a href="canciones/taize/misericordias_domini.html"&gt;</v>
      </c>
      <c r="X1969"/>
      <c r="AB1969" s="1"/>
    </row>
    <row r="1970" spans="1:28" x14ac:dyDescent="0.3">
      <c r="A1970" s="1">
        <f>ROW(CantoralDB[[#This Row],[Título]])-1</f>
        <v>1969</v>
      </c>
      <c r="B1970" s="1" t="s">
        <v>288</v>
      </c>
      <c r="C1970" s="1"/>
      <c r="J1970" s="1"/>
      <c r="M1970" s="15" t="s">
        <v>2134</v>
      </c>
      <c r="N1970" s="1" t="s">
        <v>463</v>
      </c>
      <c r="O1970" s="15">
        <v>7</v>
      </c>
      <c r="P1970" s="15" t="str" cm="1">
        <f t="array" ref="P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0" s="15" t="str" cm="1">
        <f t="array" ref="Q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S1970" s="1"/>
      <c r="T1970" s="1"/>
      <c r="U1970" s="32" t="s">
        <v>4206</v>
      </c>
      <c r="V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W1970" s="15" t="str">
        <f>_xlfn.TEXTBEFORE(_xlfn.TEXTAFTER(CantoralDB[[#This Row],[index.html]],"&gt;"),"&gt;")&amp;"&gt;"</f>
        <v>&lt;a href="canciones/taize/alleluia_1.html"&gt;</v>
      </c>
      <c r="X1970"/>
      <c r="AB1970" s="1"/>
    </row>
    <row r="1971" spans="1:28" x14ac:dyDescent="0.3">
      <c r="A1971" s="1">
        <f>ROW(CantoralDB[[#This Row],[Título]])-1</f>
        <v>1970</v>
      </c>
      <c r="B1971" s="1" t="s">
        <v>332</v>
      </c>
      <c r="C1971" s="1" t="s">
        <v>1021</v>
      </c>
      <c r="D1971" s="1" t="s">
        <v>1103</v>
      </c>
      <c r="H1971" s="1" t="s">
        <v>1027</v>
      </c>
      <c r="I1971" s="1" t="s">
        <v>2953</v>
      </c>
      <c r="J1971" s="1" t="s">
        <v>607</v>
      </c>
      <c r="M1971" s="15" t="s">
        <v>2134</v>
      </c>
      <c r="N1971" s="1" t="s">
        <v>463</v>
      </c>
      <c r="O1971" s="15">
        <v>8</v>
      </c>
      <c r="P1971" s="15" t="str" cm="1">
        <f t="array" ref="P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1" s="15" t="str" cm="1">
        <f t="array" ref="Q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971" s="1"/>
      <c r="T1971" s="1"/>
      <c r="U1971" s="32" t="s">
        <v>4207</v>
      </c>
      <c r="V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971" s="15" t="str">
        <f>_xlfn.TEXTBEFORE(_xlfn.TEXTAFTER(CantoralDB[[#This Row],[index.html]],"&gt;"),"&gt;")&amp;"&gt;"</f>
        <v>&lt;a href="canciones/taize/crucem_tuam.html"&gt;</v>
      </c>
      <c r="X1971"/>
      <c r="AB1971" s="1"/>
    </row>
    <row r="1972" spans="1:28" x14ac:dyDescent="0.3">
      <c r="A1972" s="1">
        <f>ROW(CantoralDB[[#This Row],[Título]])-1</f>
        <v>1971</v>
      </c>
      <c r="B1972" s="1" t="s">
        <v>463</v>
      </c>
      <c r="C1972" s="1"/>
      <c r="J1972" s="1"/>
      <c r="M1972" s="15" t="s">
        <v>2134</v>
      </c>
      <c r="N1972" s="1" t="s">
        <v>463</v>
      </c>
      <c r="O1972" s="15">
        <v>9</v>
      </c>
      <c r="P1972" s="15" t="str" cm="1">
        <f t="array" ref="P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2" s="15" t="str" cm="1">
        <f t="array" ref="Q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S1972" s="1"/>
      <c r="T1972" s="1"/>
      <c r="U1972" s="32" t="s">
        <v>4208</v>
      </c>
      <c r="V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W1972" s="15" t="str">
        <f>_xlfn.TEXTBEFORE(_xlfn.TEXTAFTER(CantoralDB[[#This Row],[index.html]],"&gt;"),"&gt;")&amp;"&gt;"</f>
        <v>&lt;a href="canciones/taize/veni_sancte_spiritus.html"&gt;</v>
      </c>
      <c r="X1972"/>
      <c r="AB1972" s="1"/>
    </row>
    <row r="1973" spans="1:28" x14ac:dyDescent="0.3">
      <c r="A1973" s="1">
        <f>ROW(CantoralDB[[#This Row],[Título]])-1</f>
        <v>1972</v>
      </c>
      <c r="B1973" s="1" t="s">
        <v>4033</v>
      </c>
      <c r="C1973" s="1"/>
      <c r="J1973" s="1"/>
      <c r="M1973" s="15" t="s">
        <v>2134</v>
      </c>
      <c r="N1973" s="1" t="s">
        <v>463</v>
      </c>
      <c r="O1973" s="15">
        <v>10</v>
      </c>
      <c r="P1973" s="15" t="str" cm="1">
        <f t="array" ref="P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3" s="15" t="str" cm="1">
        <f t="array" ref="Q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S1973" s="1"/>
      <c r="T1973" s="1"/>
      <c r="U1973" s="32" t="s">
        <v>4209</v>
      </c>
      <c r="V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W1973" s="15" t="str">
        <f>_xlfn.TEXTBEFORE(_xlfn.TEXTAFTER(CantoralDB[[#This Row],[index.html]],"&gt;"),"&gt;")&amp;"&gt;"</f>
        <v>&lt;a href="canciones/taize/o_christ_le_fils_de_dieu_vivant.html"&gt;</v>
      </c>
      <c r="X1973"/>
      <c r="AB1973" s="1"/>
    </row>
    <row r="1974" spans="1:28" x14ac:dyDescent="0.3">
      <c r="A1974" s="1">
        <f>ROW(CantoralDB[[#This Row],[Título]])-1</f>
        <v>1973</v>
      </c>
      <c r="B1974" s="1" t="s">
        <v>4034</v>
      </c>
      <c r="C1974" s="1"/>
      <c r="J1974" s="1"/>
      <c r="M1974" s="15" t="s">
        <v>2134</v>
      </c>
      <c r="N1974" s="1" t="s">
        <v>463</v>
      </c>
      <c r="O1974" s="15">
        <v>11</v>
      </c>
      <c r="P1974" s="15" t="str" cm="1">
        <f t="array" ref="P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4" s="15" t="str" cm="1">
        <f t="array" ref="Q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S1974" s="1"/>
      <c r="T1974" s="1"/>
      <c r="U1974" s="32" t="s">
        <v>4210</v>
      </c>
      <c r="V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W1974" s="15" t="str">
        <f>_xlfn.TEXTBEFORE(_xlfn.TEXTAFTER(CantoralDB[[#This Row],[index.html]],"&gt;"),"&gt;")&amp;"&gt;"</f>
        <v>&lt;a href="canciones/taize/herr_wohin.html"&gt;</v>
      </c>
      <c r="X1974"/>
      <c r="AB1974" s="1"/>
    </row>
    <row r="1975" spans="1:28" x14ac:dyDescent="0.3">
      <c r="A1975" s="1">
        <f>ROW(CantoralDB[[#This Row],[Título]])-1</f>
        <v>1974</v>
      </c>
      <c r="B1975" s="1" t="s">
        <v>4035</v>
      </c>
      <c r="C1975" s="1"/>
      <c r="J1975" s="1"/>
      <c r="M1975" s="15" t="s">
        <v>2134</v>
      </c>
      <c r="N1975" s="1" t="s">
        <v>463</v>
      </c>
      <c r="O1975" s="15">
        <v>12</v>
      </c>
      <c r="P1975" s="15" t="str" cm="1">
        <f t="array" ref="P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5" s="15" t="str" cm="1">
        <f t="array" ref="Q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S1975" s="1"/>
      <c r="T1975" s="1"/>
      <c r="U1975" s="32" t="s">
        <v>4211</v>
      </c>
      <c r="V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W1975" s="15" t="str">
        <f>_xlfn.TEXTBEFORE(_xlfn.TEXTAFTER(CantoralDB[[#This Row],[index.html]],"&gt;"),"&gt;")&amp;"&gt;"</f>
        <v>&lt;a href="canciones/taize/c'est_toi_ma_lampe_seigneur.html"&gt;</v>
      </c>
      <c r="X1975"/>
      <c r="AB1975" s="1"/>
    </row>
    <row r="1976" spans="1:28" x14ac:dyDescent="0.3">
      <c r="A1976" s="1">
        <f>ROW(CantoralDB[[#This Row],[Título]])-1</f>
        <v>1975</v>
      </c>
      <c r="B1976" s="1" t="s">
        <v>4036</v>
      </c>
      <c r="C1976" s="1"/>
      <c r="J1976" s="1"/>
      <c r="M1976" s="15" t="s">
        <v>2134</v>
      </c>
      <c r="N1976" s="1" t="s">
        <v>463</v>
      </c>
      <c r="O1976" s="15">
        <v>13</v>
      </c>
      <c r="P1976" s="15" t="str" cm="1">
        <f t="array" ref="P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6" s="15" t="str" cm="1">
        <f t="array" ref="Q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S1976" s="1"/>
      <c r="T1976" s="1"/>
      <c r="U1976" s="32" t="s">
        <v>4212</v>
      </c>
      <c r="V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W1976" s="15" t="str">
        <f>_xlfn.TEXTBEFORE(_xlfn.TEXTAFTER(CantoralDB[[#This Row],[index.html]],"&gt;"),"&gt;")&amp;"&gt;"</f>
        <v>&lt;a href="canciones/taize/sanctus_nomen_domini.html"&gt;</v>
      </c>
      <c r="X1976"/>
      <c r="AB1976" s="1"/>
    </row>
    <row r="1977" spans="1:28" x14ac:dyDescent="0.3">
      <c r="A1977" s="1">
        <f>ROW(CantoralDB[[#This Row],[Título]])-1</f>
        <v>1976</v>
      </c>
      <c r="B1977" s="1" t="s">
        <v>359</v>
      </c>
      <c r="C1977" s="1"/>
      <c r="J1977" s="1"/>
      <c r="M1977" s="15" t="s">
        <v>2134</v>
      </c>
      <c r="N1977" s="1" t="s">
        <v>463</v>
      </c>
      <c r="O1977" s="15">
        <v>14</v>
      </c>
      <c r="P1977" s="15" t="str" cm="1">
        <f t="array" ref="P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7" s="15" t="str" cm="1">
        <f t="array" ref="Q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S1977" s="1"/>
      <c r="T1977" s="1"/>
      <c r="U1977" s="32" t="s">
        <v>4213</v>
      </c>
      <c r="V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W1977" s="15" t="str">
        <f>_xlfn.TEXTBEFORE(_xlfn.TEXTAFTER(CantoralDB[[#This Row],[index.html]],"&gt;"),"&gt;")&amp;"&gt;"</f>
        <v>&lt;a href="canciones/taize/gospodi_e.html"&gt;</v>
      </c>
      <c r="X1977"/>
      <c r="AB1977" s="1"/>
    </row>
    <row r="1978" spans="1:28" x14ac:dyDescent="0.3">
      <c r="A1978" s="1">
        <f>ROW(CantoralDB[[#This Row],[Título]])-1</f>
        <v>1977</v>
      </c>
      <c r="B1978" s="1" t="s">
        <v>441</v>
      </c>
      <c r="C1978" s="1" t="s">
        <v>1021</v>
      </c>
      <c r="D1978" s="1" t="s">
        <v>1122</v>
      </c>
      <c r="H1978" s="1" t="s">
        <v>1027</v>
      </c>
      <c r="I1978" s="1" t="s">
        <v>2951</v>
      </c>
      <c r="J1978" s="1" t="s">
        <v>607</v>
      </c>
      <c r="M1978" s="15" t="s">
        <v>2134</v>
      </c>
      <c r="N1978" s="1" t="s">
        <v>463</v>
      </c>
      <c r="O1978" s="15">
        <v>15</v>
      </c>
      <c r="P1978" s="15" t="str" cm="1">
        <f t="array" ref="P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8" s="15" t="str" cm="1">
        <f t="array" ref="Q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978" s="1"/>
      <c r="T1978" s="1"/>
      <c r="U1978" s="32" t="s">
        <v>4214</v>
      </c>
      <c r="V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978" s="15" t="str">
        <f>_xlfn.TEXTBEFORE(_xlfn.TEXTAFTER(CantoralDB[[#This Row],[index.html]],"&gt;"),"&gt;")&amp;"&gt;"</f>
        <v>&lt;a href="canciones/taize/spiritus_jesu_christi.html"&gt;</v>
      </c>
      <c r="X1978"/>
      <c r="AB1978" s="1"/>
    </row>
    <row r="1979" spans="1:28" x14ac:dyDescent="0.3">
      <c r="A1979" s="1">
        <f>ROW(CantoralDB[[#This Row],[Título]])-1</f>
        <v>1978</v>
      </c>
      <c r="B1979" s="1" t="s">
        <v>381</v>
      </c>
      <c r="C1979" s="1" t="s">
        <v>1021</v>
      </c>
      <c r="D1979" s="1" t="s">
        <v>1131</v>
      </c>
      <c r="H1979" s="1" t="s">
        <v>530</v>
      </c>
      <c r="I1979" s="1" t="s">
        <v>2953</v>
      </c>
      <c r="J1979" s="1" t="s">
        <v>607</v>
      </c>
      <c r="M1979" s="15" t="s">
        <v>2134</v>
      </c>
      <c r="N1979" s="1" t="s">
        <v>463</v>
      </c>
      <c r="O1979" s="15">
        <v>16</v>
      </c>
      <c r="P1979" s="15" t="str" cm="1">
        <f t="array" ref="P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79" s="15" t="str" cm="1">
        <f t="array" ref="Q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979" s="1"/>
      <c r="T1979" s="1"/>
      <c r="U1979" s="32" t="s">
        <v>4215</v>
      </c>
      <c r="V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979" s="15" t="str">
        <f>_xlfn.TEXTBEFORE(_xlfn.TEXTAFTER(CantoralDB[[#This Row],[index.html]],"&gt;"),"&gt;")&amp;"&gt;"</f>
        <v>&lt;a href="canciones/taize/jubilate_coeli_(canon).html"&gt;</v>
      </c>
      <c r="X1979"/>
      <c r="AB1979" s="1"/>
    </row>
    <row r="1980" spans="1:28" x14ac:dyDescent="0.3">
      <c r="A1980" s="1">
        <f>ROW(CantoralDB[[#This Row],[Título]])-1</f>
        <v>1979</v>
      </c>
      <c r="B1980" s="1" t="s">
        <v>371</v>
      </c>
      <c r="C1980" s="1"/>
      <c r="J1980" s="1"/>
      <c r="M1980" s="15" t="s">
        <v>2134</v>
      </c>
      <c r="N1980" s="1" t="s">
        <v>463</v>
      </c>
      <c r="O1980" s="15">
        <v>17</v>
      </c>
      <c r="P1980" s="15" t="str" cm="1">
        <f t="array" ref="P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0" s="15" t="str" cm="1">
        <f t="array" ref="Q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S1980" s="1"/>
      <c r="T1980" s="1"/>
      <c r="U1980" s="32" t="s">
        <v>4216</v>
      </c>
      <c r="V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W1980" s="15" t="str">
        <f>_xlfn.TEXTBEFORE(_xlfn.TEXTAFTER(CantoralDB[[#This Row],[index.html]],"&gt;"),"&gt;")&amp;"&gt;"</f>
        <v>&lt;a href="canciones/taize/in_te_confido.html"&gt;</v>
      </c>
      <c r="X1980"/>
      <c r="AB1980" s="1"/>
    </row>
    <row r="1981" spans="1:28" x14ac:dyDescent="0.3">
      <c r="A1981" s="1">
        <f>ROW(CantoralDB[[#This Row],[Título]])-1</f>
        <v>1980</v>
      </c>
      <c r="B1981" s="1" t="s">
        <v>464</v>
      </c>
      <c r="C1981" s="1"/>
      <c r="J1981" s="1"/>
      <c r="M1981" s="15" t="s">
        <v>2134</v>
      </c>
      <c r="N1981" s="1" t="s">
        <v>4043</v>
      </c>
      <c r="O1981" s="15">
        <v>1</v>
      </c>
      <c r="P1981" s="15" t="str" cm="1">
        <f t="array" ref="P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1" s="15" t="str" cm="1">
        <f t="array" ref="Q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S1981" s="1"/>
      <c r="T1981" s="1"/>
      <c r="U1981" s="32" t="s">
        <v>4217</v>
      </c>
      <c r="V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W1981" s="15" t="str">
        <f>_xlfn.TEXTBEFORE(_xlfn.TEXTAFTER(CantoralDB[[#This Row],[index.html]],"&gt;"),"&gt;")&amp;"&gt;"</f>
        <v>&lt;a href="canciones/taize/venite_exultemus_domino.html"&gt;</v>
      </c>
      <c r="X1981"/>
      <c r="AB1981" s="1"/>
    </row>
    <row r="1982" spans="1:28" x14ac:dyDescent="0.3">
      <c r="A1982" s="1">
        <f>ROW(CantoralDB[[#This Row],[Título]])-1</f>
        <v>1981</v>
      </c>
      <c r="B1982" s="1" t="s">
        <v>345</v>
      </c>
      <c r="C1982" s="1" t="s">
        <v>1021</v>
      </c>
      <c r="D1982" s="1" t="s">
        <v>1117</v>
      </c>
      <c r="H1982" s="1" t="s">
        <v>1029</v>
      </c>
      <c r="I1982" s="1" t="s">
        <v>2953</v>
      </c>
      <c r="J1982" s="1" t="s">
        <v>607</v>
      </c>
      <c r="M1982" s="15" t="s">
        <v>2134</v>
      </c>
      <c r="N1982" s="1" t="s">
        <v>4043</v>
      </c>
      <c r="O1982" s="15">
        <v>2</v>
      </c>
      <c r="P1982" s="15" t="str" cm="1">
        <f t="array" ref="P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2" s="15" t="str" cm="1">
        <f t="array" ref="Q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982" s="1" t="s">
        <v>797</v>
      </c>
      <c r="T1982" s="1"/>
      <c r="U1982" s="32" t="s">
        <v>4218</v>
      </c>
      <c r="V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982" s="15" t="str">
        <f>_xlfn.TEXTBEFORE(_xlfn.TEXTAFTER(CantoralDB[[#This Row],[index.html]],"&gt;"),"&gt;")&amp;"&gt;"</f>
        <v>&lt;a href="canciones/taize/el_alma_que_anda_en_amor.html"&gt;</v>
      </c>
      <c r="X1982"/>
      <c r="AB1982" s="1"/>
    </row>
    <row r="1983" spans="1:28" x14ac:dyDescent="0.3">
      <c r="A1983" s="1">
        <f>ROW(CantoralDB[[#This Row],[Título]])-1</f>
        <v>1982</v>
      </c>
      <c r="B1983" s="1" t="s">
        <v>448</v>
      </c>
      <c r="C1983" s="1" t="s">
        <v>1021</v>
      </c>
      <c r="D1983" s="1" t="s">
        <v>1118</v>
      </c>
      <c r="H1983" s="1" t="s">
        <v>1027</v>
      </c>
      <c r="I1983" s="1" t="s">
        <v>2953</v>
      </c>
      <c r="J1983" s="1" t="s">
        <v>607</v>
      </c>
      <c r="M1983" s="15" t="s">
        <v>2134</v>
      </c>
      <c r="N1983" s="1" t="s">
        <v>4043</v>
      </c>
      <c r="O1983" s="15">
        <v>3</v>
      </c>
      <c r="P1983" s="15" t="str" cm="1">
        <f t="array" ref="P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3" s="15" t="str" cm="1">
        <f t="array" ref="Q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983" s="1"/>
      <c r="T1983" s="1"/>
      <c r="U1983" s="32" t="s">
        <v>4219</v>
      </c>
      <c r="V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983" s="15" t="str">
        <f>_xlfn.TEXTBEFORE(_xlfn.TEXTAFTER(CantoralDB[[#This Row],[index.html]],"&gt;"),"&gt;")&amp;"&gt;"</f>
        <v>&lt;a href="canciones/taize/the_kingdom_of_god.html"&gt;</v>
      </c>
      <c r="X1983"/>
      <c r="AB1983" s="1"/>
    </row>
    <row r="1984" spans="1:28" x14ac:dyDescent="0.3">
      <c r="A1984" s="1">
        <f>ROW(CantoralDB[[#This Row],[Título]])-1</f>
        <v>1983</v>
      </c>
      <c r="B1984" s="1" t="s">
        <v>300</v>
      </c>
      <c r="C1984" s="1"/>
      <c r="J1984" s="1"/>
      <c r="M1984" s="15" t="s">
        <v>2134</v>
      </c>
      <c r="N1984" s="1" t="s">
        <v>4043</v>
      </c>
      <c r="O1984" s="15">
        <v>4</v>
      </c>
      <c r="P1984" s="15" t="str" cm="1">
        <f t="array" ref="P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4" s="15" t="str" cm="1">
        <f t="array" ref="Q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S1984" s="1"/>
      <c r="T1984" s="1"/>
      <c r="U1984" s="32" t="s">
        <v>4220</v>
      </c>
      <c r="V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W1984" s="15" t="str">
        <f>_xlfn.TEXTBEFORE(_xlfn.TEXTAFTER(CantoralDB[[#This Row],[index.html]],"&gt;"),"&gt;")&amp;"&gt;"</f>
        <v>&lt;a href="canciones/taize/alleluia_20.html"&gt;</v>
      </c>
      <c r="X1984"/>
      <c r="AB1984" s="1"/>
    </row>
    <row r="1985" spans="1:28" x14ac:dyDescent="0.3">
      <c r="A1985" s="1">
        <f>ROW(CantoralDB[[#This Row],[Título]])-1</f>
        <v>1984</v>
      </c>
      <c r="B1985" s="1" t="s">
        <v>319</v>
      </c>
      <c r="C1985" s="1" t="s">
        <v>1021</v>
      </c>
      <c r="D1985" s="1" t="s">
        <v>1090</v>
      </c>
      <c r="H1985" s="1" t="s">
        <v>1029</v>
      </c>
      <c r="I1985" s="1" t="s">
        <v>2953</v>
      </c>
      <c r="J1985" s="1" t="s">
        <v>607</v>
      </c>
      <c r="M1985" s="15" t="s">
        <v>2134</v>
      </c>
      <c r="N1985" s="1" t="s">
        <v>4043</v>
      </c>
      <c r="O1985" s="15">
        <v>5</v>
      </c>
      <c r="P1985" s="15" t="str" cm="1">
        <f t="array" ref="P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5" s="15" t="str" cm="1">
        <f t="array" ref="Q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985" s="1"/>
      <c r="T1985" s="1"/>
      <c r="U1985" s="32" t="s">
        <v>4221</v>
      </c>
      <c r="V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985" s="15" t="str">
        <f>_xlfn.TEXTBEFORE(_xlfn.TEXTAFTER(CantoralDB[[#This Row],[index.html]],"&gt;"),"&gt;")&amp;"&gt;"</f>
        <v>&lt;a href="canciones/taize/bog_jest_miłością.html"&gt;</v>
      </c>
      <c r="X1985"/>
      <c r="AB1985" s="1"/>
    </row>
    <row r="1986" spans="1:28" x14ac:dyDescent="0.3">
      <c r="A1986" s="1">
        <f>ROW(CantoralDB[[#This Row],[Título]])-1</f>
        <v>1985</v>
      </c>
      <c r="B1986" s="1" t="s">
        <v>320</v>
      </c>
      <c r="C1986" s="1" t="s">
        <v>1021</v>
      </c>
      <c r="D1986" s="1" t="s">
        <v>1091</v>
      </c>
      <c r="H1986" s="1" t="s">
        <v>1029</v>
      </c>
      <c r="J1986" s="1" t="s">
        <v>607</v>
      </c>
      <c r="M1986" s="15" t="s">
        <v>2134</v>
      </c>
      <c r="N1986" s="1" t="s">
        <v>4043</v>
      </c>
      <c r="O1986" s="15">
        <v>6</v>
      </c>
      <c r="P1986" s="15" t="str" cm="1">
        <f t="array" ref="P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6" s="15" t="str" cm="1">
        <f t="array" ref="Q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986" s="1"/>
      <c r="T1986" s="1"/>
      <c r="U1986" s="32" t="s">
        <v>4222</v>
      </c>
      <c r="V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986" s="15" t="str">
        <f>_xlfn.TEXTBEFORE(_xlfn.TEXTAFTER(CantoralDB[[#This Row],[index.html]],"&gt;"),"&gt;")&amp;"&gt;"</f>
        <v>&lt;a href="canciones/taize/bogoroditse_dievo_1.html"&gt;</v>
      </c>
      <c r="X1986"/>
      <c r="AB1986" s="1"/>
    </row>
    <row r="1987" spans="1:28" x14ac:dyDescent="0.3">
      <c r="A1987" s="1">
        <f>ROW(CantoralDB[[#This Row],[Título]])-1</f>
        <v>1986</v>
      </c>
      <c r="B1987" s="1" t="s">
        <v>309</v>
      </c>
      <c r="C1987" s="1" t="s">
        <v>1021</v>
      </c>
      <c r="D1987" s="1" t="s">
        <v>1084</v>
      </c>
      <c r="H1987" s="1" t="s">
        <v>472</v>
      </c>
      <c r="I1987" s="1" t="s">
        <v>2952</v>
      </c>
      <c r="J1987" s="1" t="s">
        <v>607</v>
      </c>
      <c r="M1987" s="15" t="s">
        <v>2134</v>
      </c>
      <c r="N1987" s="1" t="s">
        <v>4043</v>
      </c>
      <c r="O1987" s="15">
        <v>7</v>
      </c>
      <c r="P1987" s="15" t="str" cm="1">
        <f t="array" ref="P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7" s="15" t="str" cm="1">
        <f t="array" ref="Q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987" s="1"/>
      <c r="T1987" s="1"/>
      <c r="U1987" s="32" t="s">
        <v>4223</v>
      </c>
      <c r="V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987" s="15" t="str">
        <f>_xlfn.TEXTBEFORE(_xlfn.TEXTAFTER(CantoralDB[[#This Row],[index.html]],"&gt;"),"&gt;")&amp;"&gt;"</f>
        <v>&lt;a href="canciones/taize/beati_voi_poveri.html"&gt;</v>
      </c>
      <c r="X1987"/>
      <c r="AB1987" s="1"/>
    </row>
    <row r="1988" spans="1:28" x14ac:dyDescent="0.3">
      <c r="A1988" s="1">
        <f>ROW(CantoralDB[[#This Row],[Título]])-1</f>
        <v>1987</v>
      </c>
      <c r="B1988" s="1" t="s">
        <v>4044</v>
      </c>
      <c r="C1988" s="1"/>
      <c r="J1988" s="1"/>
      <c r="M1988" s="15" t="s">
        <v>2134</v>
      </c>
      <c r="N1988" s="1" t="s">
        <v>4043</v>
      </c>
      <c r="O1988" s="15">
        <v>8</v>
      </c>
      <c r="P1988" s="15" t="str" cm="1">
        <f t="array" ref="P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8" s="15" t="str" cm="1">
        <f t="array" ref="Q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S1988" s="1"/>
      <c r="T1988" s="1"/>
      <c r="U1988" s="32" t="s">
        <v>4224</v>
      </c>
      <c r="V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W1988" s="15" t="str">
        <f>_xlfn.TEXTBEFORE(_xlfn.TEXTAFTER(CantoralDB[[#This Row],[index.html]],"&gt;"),"&gt;")&amp;"&gt;"</f>
        <v>&lt;a href="canciones/taize/jesu_redemptor.html"&gt;</v>
      </c>
      <c r="X1988"/>
      <c r="AB1988" s="1"/>
    </row>
    <row r="1989" spans="1:28" x14ac:dyDescent="0.3">
      <c r="A1989" s="1">
        <f>ROW(CantoralDB[[#This Row],[Título]])-1</f>
        <v>1988</v>
      </c>
      <c r="B1989" s="1" t="s">
        <v>429</v>
      </c>
      <c r="C1989" s="1"/>
      <c r="J1989" s="1"/>
      <c r="M1989" s="15" t="s">
        <v>2134</v>
      </c>
      <c r="N1989" s="1" t="s">
        <v>4043</v>
      </c>
      <c r="O1989" s="15">
        <v>9</v>
      </c>
      <c r="P1989" s="15" t="str" cm="1">
        <f t="array" ref="P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89" s="15" t="str" cm="1">
        <f t="array" ref="Q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S1989" s="1"/>
      <c r="T1989" s="1"/>
      <c r="U1989" s="32" t="s">
        <v>4225</v>
      </c>
      <c r="V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W1989" s="15" t="str">
        <f>_xlfn.TEXTBEFORE(_xlfn.TEXTAFTER(CantoralDB[[#This Row],[index.html]],"&gt;"),"&gt;")&amp;"&gt;"</f>
        <v>&lt;a href="canciones/taize/qui_regarde_vers_dieu.html"&gt;</v>
      </c>
      <c r="X1989"/>
      <c r="AB1989" s="1"/>
    </row>
    <row r="1990" spans="1:28" x14ac:dyDescent="0.3">
      <c r="A1990" s="1">
        <f>ROW(CantoralDB[[#This Row],[Título]])-1</f>
        <v>1989</v>
      </c>
      <c r="B1990" s="1" t="s">
        <v>369</v>
      </c>
      <c r="C1990" s="1" t="s">
        <v>1021</v>
      </c>
      <c r="D1990" s="1" t="s">
        <v>1128</v>
      </c>
      <c r="H1990" s="1" t="s">
        <v>530</v>
      </c>
      <c r="I1990" s="1" t="s">
        <v>2953</v>
      </c>
      <c r="J1990" s="1" t="s">
        <v>607</v>
      </c>
      <c r="M1990" s="15" t="s">
        <v>2134</v>
      </c>
      <c r="N1990" s="1" t="s">
        <v>4043</v>
      </c>
      <c r="O1990" s="15">
        <v>10</v>
      </c>
      <c r="P1990" s="15" t="str" cm="1">
        <f t="array" ref="P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0" s="15" t="str" cm="1">
        <f t="array" ref="Q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990" s="1"/>
      <c r="T1990" s="1"/>
      <c r="U1990" s="32" t="s">
        <v>4226</v>
      </c>
      <c r="V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990" s="15" t="str">
        <f>_xlfn.TEXTBEFORE(_xlfn.TEXTAFTER(CantoralDB[[#This Row],[index.html]],"&gt;"),"&gt;")&amp;"&gt;"</f>
        <v>&lt;a href="canciones/taize/in_manus_tuas.html"&gt;</v>
      </c>
      <c r="X1990"/>
      <c r="AB1990" s="1"/>
    </row>
    <row r="1991" spans="1:28" x14ac:dyDescent="0.3">
      <c r="A1991" s="1">
        <f>ROW(CantoralDB[[#This Row],[Título]])-1</f>
        <v>1990</v>
      </c>
      <c r="B1991" s="1" t="s">
        <v>4068</v>
      </c>
      <c r="C1991" s="1" t="s">
        <v>1021</v>
      </c>
      <c r="D1991" s="1" t="s">
        <v>1073</v>
      </c>
      <c r="H1991" s="1" t="s">
        <v>1026</v>
      </c>
      <c r="I1991" s="1" t="s">
        <v>2952</v>
      </c>
      <c r="J1991" s="1" t="s">
        <v>607</v>
      </c>
      <c r="M1991" s="15" t="s">
        <v>2134</v>
      </c>
      <c r="N1991" s="1" t="s">
        <v>4043</v>
      </c>
      <c r="O1991" s="15">
        <v>11</v>
      </c>
      <c r="P1991" s="15" t="str" cm="1">
        <f t="array" ref="P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1" s="15" t="str" cm="1">
        <f t="array" ref="Q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S1991" s="1"/>
      <c r="T1991" s="1"/>
      <c r="U1991" s="32" t="s">
        <v>4227</v>
      </c>
      <c r="V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W1991" s="15" t="str">
        <f>_xlfn.TEXTBEFORE(_xlfn.TEXTAFTER(CantoralDB[[#This Row],[index.html]],"&gt;"),"&gt;")&amp;"&gt;"</f>
        <v>&lt;a href="canciones/taize/jubilate_deo_omnis_terra.html"&gt;</v>
      </c>
      <c r="X1991"/>
      <c r="AB1991" s="1"/>
    </row>
    <row r="1992" spans="1:28" x14ac:dyDescent="0.3">
      <c r="A1992" s="1">
        <f>ROW(CantoralDB[[#This Row],[Título]])-1</f>
        <v>1991</v>
      </c>
      <c r="B1992" s="1" t="s">
        <v>370</v>
      </c>
      <c r="C1992" s="1" t="s">
        <v>1021</v>
      </c>
      <c r="D1992" s="1" t="s">
        <v>1076</v>
      </c>
      <c r="H1992" s="1" t="s">
        <v>530</v>
      </c>
      <c r="I1992" s="1" t="s">
        <v>2953</v>
      </c>
      <c r="J1992" s="1" t="s">
        <v>607</v>
      </c>
      <c r="M1992" s="15" t="s">
        <v>2134</v>
      </c>
      <c r="N1992" s="1" t="s">
        <v>4043</v>
      </c>
      <c r="O1992" s="15">
        <v>12</v>
      </c>
      <c r="P1992" s="15" t="str" cm="1">
        <f t="array" ref="P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2" s="15" t="str" cm="1">
        <f t="array" ref="Q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992" s="1"/>
      <c r="T1992" s="1"/>
      <c r="U1992" s="32" t="s">
        <v>4228</v>
      </c>
      <c r="V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992" s="15" t="str">
        <f>_xlfn.TEXTBEFORE(_xlfn.TEXTAFTER(CantoralDB[[#This Row],[index.html]],"&gt;"),"&gt;")&amp;"&gt;"</f>
        <v>&lt;a href="canciones/taize/in_resurrectione_tua.html"&gt;</v>
      </c>
      <c r="X1992"/>
      <c r="AB1992" s="1"/>
    </row>
    <row r="1993" spans="1:28" x14ac:dyDescent="0.3">
      <c r="A1993" s="1">
        <f>ROW(CantoralDB[[#This Row],[Título]])-1</f>
        <v>1992</v>
      </c>
      <c r="B1993" s="1" t="s">
        <v>453</v>
      </c>
      <c r="C1993" s="1" t="s">
        <v>1021</v>
      </c>
      <c r="D1993" s="1" t="s">
        <v>1148</v>
      </c>
      <c r="H1993" s="1" t="s">
        <v>530</v>
      </c>
      <c r="I1993" s="1" t="s">
        <v>2952</v>
      </c>
      <c r="J1993" s="1" t="s">
        <v>607</v>
      </c>
      <c r="M1993" s="15" t="s">
        <v>2134</v>
      </c>
      <c r="N1993" s="1" t="s">
        <v>4043</v>
      </c>
      <c r="O1993" s="15">
        <v>13</v>
      </c>
      <c r="P1993" s="15" t="str" cm="1">
        <f t="array" ref="P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3" s="15" t="str" cm="1">
        <f t="array" ref="Q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993" s="1"/>
      <c r="T1993" s="1"/>
      <c r="U1993" s="32" t="s">
        <v>4229</v>
      </c>
      <c r="V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993" s="15" t="str">
        <f>_xlfn.TEXTBEFORE(_xlfn.TEXTAFTER(CantoralDB[[#This Row],[index.html]],"&gt;"),"&gt;")&amp;"&gt;"</f>
        <v>&lt;a href="canciones/taize/tu_sei_sorgente_viva.html"&gt;</v>
      </c>
      <c r="X1993"/>
      <c r="AB1993" s="1"/>
    </row>
    <row r="1994" spans="1:28" x14ac:dyDescent="0.3">
      <c r="A1994" s="1">
        <f>ROW(CantoralDB[[#This Row],[Título]])-1</f>
        <v>1993</v>
      </c>
      <c r="B1994" s="1" t="s">
        <v>397</v>
      </c>
      <c r="C1994" s="1"/>
      <c r="J1994" s="1"/>
      <c r="M1994" s="15" t="s">
        <v>2134</v>
      </c>
      <c r="N1994" s="1" t="s">
        <v>4043</v>
      </c>
      <c r="O1994" s="15">
        <v>14</v>
      </c>
      <c r="P1994" s="15" t="str" cm="1">
        <f t="array" ref="P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4" s="15" t="str" cm="1">
        <f t="array" ref="Q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S1994" s="1"/>
      <c r="T1994" s="1"/>
      <c r="U1994" s="32" t="s">
        <v>4230</v>
      </c>
      <c r="V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W1994" s="15" t="str">
        <f>_xlfn.TEXTBEFORE(_xlfn.TEXTAFTER(CantoralDB[[#This Row],[index.html]],"&gt;"),"&gt;")&amp;"&gt;"</f>
        <v>&lt;a href="canciones/taize/kyrie_19.html"&gt;</v>
      </c>
      <c r="X1994"/>
      <c r="AB1994" s="1"/>
    </row>
    <row r="1995" spans="1:28" x14ac:dyDescent="0.3">
      <c r="A1995" s="1">
        <f>ROW(CantoralDB[[#This Row],[Título]])-1</f>
        <v>1994</v>
      </c>
      <c r="B1995" s="1" t="s">
        <v>4045</v>
      </c>
      <c r="C1995" s="1"/>
      <c r="J1995" s="1"/>
      <c r="M1995" s="15" t="s">
        <v>2134</v>
      </c>
      <c r="N1995" s="1" t="s">
        <v>4043</v>
      </c>
      <c r="O1995" s="15">
        <v>15</v>
      </c>
      <c r="P1995" s="15" t="str" cm="1">
        <f t="array" ref="P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5" s="15" t="str" cm="1">
        <f t="array" ref="Q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S1995" s="1"/>
      <c r="T1995" s="1"/>
      <c r="U1995" s="32" t="s">
        <v>4231</v>
      </c>
      <c r="V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W1995" s="15" t="str">
        <f>_xlfn.TEXTBEFORE(_xlfn.TEXTAFTER(CantoralDB[[#This Row],[index.html]],"&gt;"),"&gt;")&amp;"&gt;"</f>
        <v>&lt;a href="canciones/taize/nothing_can_ever_come_between_us.html"&gt;</v>
      </c>
      <c r="X1995"/>
      <c r="AB1995" s="1"/>
    </row>
    <row r="1996" spans="1:28" x14ac:dyDescent="0.3">
      <c r="A1996" s="1">
        <f>ROW(CantoralDB[[#This Row],[Título]])-1</f>
        <v>1995</v>
      </c>
      <c r="B1996" s="1" t="s">
        <v>400</v>
      </c>
      <c r="C1996" s="1" t="s">
        <v>1021</v>
      </c>
      <c r="D1996" s="1" t="s">
        <v>1136</v>
      </c>
      <c r="H1996" s="1" t="s">
        <v>1028</v>
      </c>
      <c r="I1996" s="1" t="s">
        <v>2952</v>
      </c>
      <c r="J1996" s="1" t="s">
        <v>607</v>
      </c>
      <c r="M1996" s="15" t="s">
        <v>2134</v>
      </c>
      <c r="N1996" s="1" t="s">
        <v>4043</v>
      </c>
      <c r="O1996" s="15">
        <v>16</v>
      </c>
      <c r="P1996" s="15" t="str" cm="1">
        <f t="array" ref="P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6" s="15" t="str" cm="1">
        <f t="array" ref="Q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996" s="1"/>
      <c r="T1996" s="1"/>
      <c r="U1996" s="32" t="s">
        <v>4232</v>
      </c>
      <c r="V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996" s="15" t="str">
        <f>_xlfn.TEXTBEFORE(_xlfn.TEXTAFTER(CantoralDB[[#This Row],[index.html]],"&gt;"),"&gt;")&amp;"&gt;"</f>
        <v>&lt;a href="canciones/taize/l’ajuda_em_vindrà.html"&gt;</v>
      </c>
      <c r="X1996"/>
      <c r="AB1996" s="1"/>
    </row>
    <row r="1997" spans="1:28" x14ac:dyDescent="0.3">
      <c r="A1997" s="1">
        <f>ROW(CantoralDB[[#This Row],[Título]])-1</f>
        <v>1996</v>
      </c>
      <c r="B1997" s="1" t="s">
        <v>312</v>
      </c>
      <c r="C1997" s="1"/>
      <c r="J1997" s="1"/>
      <c r="M1997" s="15" t="s">
        <v>2134</v>
      </c>
      <c r="N1997" s="1" t="s">
        <v>4043</v>
      </c>
      <c r="O1997" s="15">
        <v>17</v>
      </c>
      <c r="P1997" s="15" t="str" cm="1">
        <f t="array" ref="P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7" s="15" t="str" cm="1">
        <f t="array" ref="Q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S1997" s="1"/>
      <c r="T1997" s="1"/>
      <c r="U1997" s="32" t="s">
        <v>4233</v>
      </c>
      <c r="V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W1997" s="15" t="str">
        <f>_xlfn.TEXTBEFORE(_xlfn.TEXTAFTER(CantoralDB[[#This Row],[index.html]],"&gt;"),"&gt;")&amp;"&gt;"</f>
        <v>&lt;a href="canciones/taize/bendigo_al_señor.html"&gt;</v>
      </c>
      <c r="X1997"/>
      <c r="AB1997" s="1"/>
    </row>
    <row r="1998" spans="1:28" x14ac:dyDescent="0.3">
      <c r="A1998" s="1">
        <f>ROW(CantoralDB[[#This Row],[Título]])-1</f>
        <v>1997</v>
      </c>
      <c r="B1998" s="1" t="s">
        <v>786</v>
      </c>
      <c r="C1998" s="1" t="s">
        <v>1021</v>
      </c>
      <c r="D1998" s="1" t="s">
        <v>1082</v>
      </c>
      <c r="H1998" s="1" t="s">
        <v>1029</v>
      </c>
      <c r="J1998" s="1" t="s">
        <v>607</v>
      </c>
      <c r="M1998" s="15" t="s">
        <v>2134</v>
      </c>
      <c r="N1998" s="1" t="s">
        <v>4043</v>
      </c>
      <c r="O1998" s="15">
        <v>18</v>
      </c>
      <c r="P1998" s="15" t="str" cm="1">
        <f t="array" ref="P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8" s="15" t="str" cm="1">
        <f t="array" ref="Q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998" s="1"/>
      <c r="T1998" s="1"/>
      <c r="U1998" s="32" t="s">
        <v>4234</v>
      </c>
      <c r="V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998" s="15" t="str">
        <f>_xlfn.TEXTBEFORE(_xlfn.TEXTAFTER(CantoralDB[[#This Row],[index.html]],"&gt;"),"&gt;")&amp;"&gt;"</f>
        <v>&lt;a href="canciones/taize/alleluia_96.html"&gt;</v>
      </c>
      <c r="X1998"/>
      <c r="AB1998" s="1"/>
    </row>
    <row r="1999" spans="1:28" x14ac:dyDescent="0.3">
      <c r="A1999" s="1">
        <f>ROW(CantoralDB[[#This Row],[Título]])-1</f>
        <v>1998</v>
      </c>
      <c r="B1999" s="1" t="s">
        <v>470</v>
      </c>
      <c r="C1999" s="1" t="s">
        <v>1021</v>
      </c>
      <c r="D1999" s="1" t="s">
        <v>1074</v>
      </c>
      <c r="H1999" s="1" t="s">
        <v>1026</v>
      </c>
      <c r="I1999" s="1" t="s">
        <v>2953</v>
      </c>
      <c r="J1999" s="1" t="s">
        <v>607</v>
      </c>
      <c r="M1999" s="15" t="s">
        <v>2134</v>
      </c>
      <c r="N1999" s="1" t="s">
        <v>4043</v>
      </c>
      <c r="O1999" s="15">
        <v>19</v>
      </c>
      <c r="P1999" s="15" t="str" cm="1">
        <f t="array" ref="P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99" s="15" t="str" cm="1">
        <f t="array" ref="Q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999" s="1"/>
      <c r="T1999" s="1"/>
      <c r="U1999" s="32" t="s">
        <v>4235</v>
      </c>
      <c r="V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999" s="15" t="str">
        <f>_xlfn.TEXTBEFORE(_xlfn.TEXTAFTER(CantoralDB[[#This Row],[index.html]],"&gt;"),"&gt;")&amp;"&gt;"</f>
        <v>&lt;a href="canciones/taize/wysławiajcie_pana.html"&gt;</v>
      </c>
      <c r="X1999"/>
      <c r="AB1999" s="1"/>
    </row>
    <row r="2000" spans="1:28" x14ac:dyDescent="0.3">
      <c r="A2000" s="1">
        <f>ROW(CantoralDB[[#This Row],[Título]])-1</f>
        <v>1999</v>
      </c>
      <c r="B2000" s="1" t="s">
        <v>785</v>
      </c>
      <c r="C2000" s="1" t="s">
        <v>1021</v>
      </c>
      <c r="D2000" s="1" t="s">
        <v>1081</v>
      </c>
      <c r="H2000" s="1" t="s">
        <v>472</v>
      </c>
      <c r="I2000" s="1" t="s">
        <v>2950</v>
      </c>
      <c r="J2000" s="1" t="s">
        <v>607</v>
      </c>
      <c r="M2000" s="15" t="s">
        <v>2134</v>
      </c>
      <c r="O2000" s="15"/>
      <c r="P2000" s="15" t="str" cm="1">
        <f t="array" ref="P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0" s="15" t="str" cm="1">
        <f t="array" ref="Q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2000" s="1"/>
      <c r="T2000" s="1"/>
      <c r="U2000" s="32" t="s">
        <v>4236</v>
      </c>
      <c r="V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2000" s="15" t="str">
        <f>_xlfn.TEXTBEFORE(_xlfn.TEXTAFTER(CantoralDB[[#This Row],[index.html]],"&gt;"),"&gt;")&amp;"&gt;"</f>
        <v>&lt;a href="canciones/taize/alleluia_94.html"&gt;</v>
      </c>
      <c r="X2000"/>
      <c r="AB2000" s="1"/>
    </row>
    <row r="2001" spans="1:28" x14ac:dyDescent="0.3">
      <c r="A2001" s="1">
        <f>ROW(CantoralDB[[#This Row],[Título]])-1</f>
        <v>2000</v>
      </c>
      <c r="B2001" s="1" t="s">
        <v>787</v>
      </c>
      <c r="C2001" s="1" t="s">
        <v>1021</v>
      </c>
      <c r="D2001" s="1" t="s">
        <v>1083</v>
      </c>
      <c r="H2001" s="1" t="s">
        <v>1029</v>
      </c>
      <c r="I2001" s="1" t="s">
        <v>2952</v>
      </c>
      <c r="J2001" s="1" t="s">
        <v>607</v>
      </c>
      <c r="M2001" s="15" t="s">
        <v>2134</v>
      </c>
      <c r="O2001" s="15"/>
      <c r="P2001" s="15" t="str" cm="1">
        <f t="array" ref="P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1" s="15" t="str" cm="1">
        <f t="array" ref="Q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2001" s="1"/>
      <c r="T2001" s="1"/>
      <c r="U2001" s="32" t="s">
        <v>4237</v>
      </c>
      <c r="V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2001" s="15" t="str">
        <f>_xlfn.TEXTBEFORE(_xlfn.TEXTAFTER(CantoralDB[[#This Row],[index.html]],"&gt;"),"&gt;")&amp;"&gt;"</f>
        <v>&lt;a href="canciones/taize/alleluia_97.html"&gt;</v>
      </c>
      <c r="X2001"/>
      <c r="AB2001" s="1"/>
    </row>
    <row r="2002" spans="1:28" x14ac:dyDescent="0.3">
      <c r="A2002" s="1">
        <f>ROW(CantoralDB[[#This Row],[Título]])-1</f>
        <v>2001</v>
      </c>
      <c r="B2002" s="1" t="s">
        <v>385</v>
      </c>
      <c r="C2002" s="1" t="s">
        <v>1021</v>
      </c>
      <c r="D2002" s="1" t="s">
        <v>1132</v>
      </c>
      <c r="H2002" s="1" t="s">
        <v>1029</v>
      </c>
      <c r="J2002" s="1" t="s">
        <v>607</v>
      </c>
      <c r="M2002" s="15" t="s">
        <v>2134</v>
      </c>
      <c r="O2002" s="15"/>
      <c r="P2002" s="15" t="str" cm="1">
        <f t="array" ref="P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2" s="15" t="str" cm="1">
        <f t="array" ref="Q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2002" s="1"/>
      <c r="T2002" s="1"/>
      <c r="U2002" s="32" t="s">
        <v>4238</v>
      </c>
      <c r="V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2002" s="15" t="str">
        <f>_xlfn.TEXTBEFORE(_xlfn.TEXTAFTER(CantoralDB[[#This Row],[index.html]],"&gt;"),"&gt;")&amp;"&gt;"</f>
        <v>&lt;a href="canciones/taize/kyrie_1.html"&gt;</v>
      </c>
      <c r="X2002"/>
      <c r="AB2002" s="1"/>
    </row>
    <row r="2003" spans="1:28" x14ac:dyDescent="0.3">
      <c r="A2003" s="1">
        <f>ROW(CantoralDB[[#This Row],[Título]])-1</f>
        <v>2002</v>
      </c>
      <c r="B2003" s="1" t="s">
        <v>389</v>
      </c>
      <c r="C2003" s="1" t="s">
        <v>1021</v>
      </c>
      <c r="D2003" s="1" t="s">
        <v>1135</v>
      </c>
      <c r="H2003" s="1" t="s">
        <v>530</v>
      </c>
      <c r="I2003" s="1" t="s">
        <v>2953</v>
      </c>
      <c r="J2003" s="1" t="s">
        <v>607</v>
      </c>
      <c r="M2003" s="15" t="s">
        <v>2134</v>
      </c>
      <c r="O2003" s="15"/>
      <c r="P2003" s="15" t="str" cm="1">
        <f t="array" ref="P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3" s="15" t="str" cm="1">
        <f t="array" ref="Q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2003" s="1"/>
      <c r="T2003" s="1"/>
      <c r="U2003" s="32" t="s">
        <v>4239</v>
      </c>
      <c r="V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2003" s="15" t="str">
        <f>_xlfn.TEXTBEFORE(_xlfn.TEXTAFTER(CantoralDB[[#This Row],[index.html]],"&gt;"),"&gt;")&amp;"&gt;"</f>
        <v>&lt;a href="canciones/taize/kyrie_8.html"&gt;</v>
      </c>
      <c r="X2003"/>
      <c r="AB2003" s="1"/>
    </row>
    <row r="2004" spans="1:28" x14ac:dyDescent="0.3">
      <c r="A2004" s="1">
        <f>ROW(CantoralDB[[#This Row],[Título]])-1</f>
        <v>2003</v>
      </c>
      <c r="B2004" s="1" t="s">
        <v>424</v>
      </c>
      <c r="C2004" s="1" t="s">
        <v>1021</v>
      </c>
      <c r="D2004" s="1" t="s">
        <v>1143</v>
      </c>
      <c r="H2004" s="1" t="s">
        <v>530</v>
      </c>
      <c r="J2004" s="1" t="s">
        <v>607</v>
      </c>
      <c r="M2004" s="15" t="s">
        <v>2134</v>
      </c>
      <c r="O2004" s="15"/>
      <c r="P2004" s="15" t="str" cm="1">
        <f t="array" ref="P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4" s="15" t="str" cm="1">
        <f t="array" ref="Q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2004" s="1"/>
      <c r="T2004" s="1"/>
      <c r="U2004" s="32" t="s">
        <v>4240</v>
      </c>
      <c r="V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2004" s="15" t="str">
        <f>_xlfn.TEXTBEFORE(_xlfn.TEXTAFTER(CantoralDB[[#This Row],[index.html]],"&gt;"),"&gt;")&amp;"&gt;"</f>
        <v>&lt;a href="canciones/taize/para_mim_ser_feliz.html"&gt;</v>
      </c>
      <c r="X2004"/>
      <c r="AB2004" s="1"/>
    </row>
    <row r="2005" spans="1:28" x14ac:dyDescent="0.3">
      <c r="A2005" s="1">
        <f>ROW(CantoralDB[[#This Row],[Título]])-1</f>
        <v>2004</v>
      </c>
      <c r="B2005" s="1" t="s">
        <v>452</v>
      </c>
      <c r="C2005" s="1" t="s">
        <v>1021</v>
      </c>
      <c r="D2005" s="1" t="s">
        <v>1149</v>
      </c>
      <c r="H2005" s="1" t="s">
        <v>1027</v>
      </c>
      <c r="J2005" s="1" t="s">
        <v>607</v>
      </c>
      <c r="M2005" s="15" t="s">
        <v>2134</v>
      </c>
      <c r="O2005" s="15"/>
      <c r="P2005" s="15" t="str" cm="1">
        <f t="array" ref="P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2005" s="15" t="str" cm="1">
        <f t="array" ref="Q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2005" s="1" t="s">
        <v>984</v>
      </c>
      <c r="T2005" s="1"/>
      <c r="U2005" s="32" t="s">
        <v>4241</v>
      </c>
      <c r="V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2005" s="15" t="str">
        <f>_xlfn.TEXTBEFORE(_xlfn.TEXTAFTER(CantoralDB[[#This Row],[index.html]],"&gt;"),"&gt;")&amp;"&gt;"</f>
        <v>&lt;a href="canciones/taize/tu_palabra_señor.html"&gt;</v>
      </c>
      <c r="X2005"/>
      <c r="AB2005" s="1"/>
    </row>
    <row r="2006" spans="1:28" x14ac:dyDescent="0.3">
      <c r="A2006" s="1">
        <f>ROW(CantoralDB[[#This Row],[Título]])-1</f>
        <v>2005</v>
      </c>
      <c r="B2006" s="1" t="s">
        <v>202</v>
      </c>
      <c r="C2006" s="1" t="s">
        <v>190</v>
      </c>
      <c r="D2006" s="1" t="s">
        <v>759</v>
      </c>
      <c r="G2006" s="1" t="s">
        <v>208</v>
      </c>
      <c r="H2006" s="1" t="s">
        <v>1028</v>
      </c>
      <c r="J2006" s="1" t="s">
        <v>607</v>
      </c>
      <c r="M2006" s="15" t="s">
        <v>481</v>
      </c>
      <c r="N2006" s="1" t="s">
        <v>1842</v>
      </c>
      <c r="O2006" s="15">
        <v>1</v>
      </c>
      <c r="P2006" s="15" t="str" cm="1">
        <f t="array" ref="P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06" s="15" t="str" cm="1">
        <f t="array" ref="Q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2006" s="1"/>
      <c r="T2006" s="1"/>
      <c r="U2006" s="32" t="s">
        <v>3675</v>
      </c>
      <c r="V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2006" s="15" t="str">
        <f>_xlfn.TEXTBEFORE(_xlfn.TEXTAFTER(CantoralDB[[#This Row],[index.html]],"&gt;"),"&gt;")&amp;"&gt;"</f>
        <v>&lt;a href="canciones/toño_casado/ven_a_la_fiesta.html"&gt;</v>
      </c>
      <c r="X2006"/>
      <c r="AB2006" s="1"/>
    </row>
    <row r="2007" spans="1:28" x14ac:dyDescent="0.3">
      <c r="A2007" s="1">
        <f>ROW(CantoralDB[[#This Row],[Título]])-1</f>
        <v>2006</v>
      </c>
      <c r="B2007" s="1" t="s">
        <v>1850</v>
      </c>
      <c r="C2007" s="1"/>
      <c r="H2007" s="1" t="s">
        <v>1026</v>
      </c>
      <c r="J2007" s="1" t="s">
        <v>607</v>
      </c>
      <c r="M2007" s="15" t="s">
        <v>481</v>
      </c>
      <c r="N2007" s="1" t="s">
        <v>1842</v>
      </c>
      <c r="O2007" s="15">
        <v>2</v>
      </c>
      <c r="P2007" s="15" t="str" cm="1">
        <f t="array" ref="P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07" s="15" t="str" cm="1">
        <f t="array" ref="Q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2007" s="1"/>
      <c r="T2007" s="1"/>
      <c r="U2007" s="32" t="s">
        <v>3677</v>
      </c>
      <c r="V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2007" s="15" t="str">
        <f>_xlfn.TEXTBEFORE(_xlfn.TEXTAFTER(CantoralDB[[#This Row],[index.html]],"&gt;"),"&gt;")&amp;"&gt;"</f>
        <v>&lt;a href="canciones/toño_casado/señor_ten_piedad_i.html"&gt;</v>
      </c>
      <c r="X2007"/>
      <c r="AB2007" s="1"/>
    </row>
    <row r="2008" spans="1:28" x14ac:dyDescent="0.3">
      <c r="A2008" s="1">
        <f>ROW(CantoralDB[[#This Row],[Título]])-1</f>
        <v>2007</v>
      </c>
      <c r="B2008" s="1" t="s">
        <v>238</v>
      </c>
      <c r="C2008" s="1" t="s">
        <v>192</v>
      </c>
      <c r="D2008" s="1" t="s">
        <v>1424</v>
      </c>
      <c r="G2008" s="1" t="s">
        <v>219</v>
      </c>
      <c r="H2008" s="1" t="s">
        <v>1026</v>
      </c>
      <c r="I2008" s="1" t="s">
        <v>2953</v>
      </c>
      <c r="J2008" s="1" t="s">
        <v>607</v>
      </c>
      <c r="M2008" s="15" t="s">
        <v>481</v>
      </c>
      <c r="N2008" s="1" t="s">
        <v>1842</v>
      </c>
      <c r="O2008" s="15">
        <v>3</v>
      </c>
      <c r="P2008" s="15" t="str" cm="1">
        <f t="array" ref="P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08" s="15" t="str" cm="1">
        <f t="array" ref="Q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2008" s="1"/>
      <c r="T2008" s="1"/>
      <c r="U2008" s="32" t="s">
        <v>3679</v>
      </c>
      <c r="V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2008" s="15" t="str">
        <f>_xlfn.TEXTBEFORE(_xlfn.TEXTAFTER(CantoralDB[[#This Row],[index.html]],"&gt;"),"&gt;")&amp;"&gt;"</f>
        <v>&lt;a href="canciones/toño_casado/gloria_gloria_a_dios.html"&gt;</v>
      </c>
      <c r="X2008"/>
      <c r="AB2008" s="1"/>
    </row>
    <row r="2009" spans="1:28" x14ac:dyDescent="0.3">
      <c r="A2009" s="1">
        <f>ROW(CantoralDB[[#This Row],[Título]])-1</f>
        <v>2008</v>
      </c>
      <c r="B2009" s="1" t="s">
        <v>239</v>
      </c>
      <c r="C2009" s="1" t="s">
        <v>992</v>
      </c>
      <c r="D2009" s="1" t="s">
        <v>996</v>
      </c>
      <c r="G2009" s="1" t="s">
        <v>219</v>
      </c>
      <c r="H2009" s="1" t="s">
        <v>1026</v>
      </c>
      <c r="J2009" s="1" t="s">
        <v>607</v>
      </c>
      <c r="M2009" s="15" t="s">
        <v>481</v>
      </c>
      <c r="N2009" s="1" t="s">
        <v>1842</v>
      </c>
      <c r="O2009" s="15">
        <v>4</v>
      </c>
      <c r="P2009" s="15" t="str" cm="1">
        <f t="array" ref="P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09" s="15" t="str" cm="1">
        <f t="array" ref="Q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2009" s="1"/>
      <c r="T2009" s="1"/>
      <c r="U2009" s="32" t="s">
        <v>3673</v>
      </c>
      <c r="V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2009" s="15" t="str">
        <f>_xlfn.TEXTBEFORE(_xlfn.TEXTAFTER(CantoralDB[[#This Row],[index.html]],"&gt;"),"&gt;")&amp;"&gt;"</f>
        <v>&lt;a href="canciones/toño_casado/que_tu_palabra_nos_cambie_el_corazon.html"&gt;</v>
      </c>
      <c r="X2009"/>
      <c r="AB2009" s="1"/>
    </row>
    <row r="2010" spans="1:28" x14ac:dyDescent="0.3">
      <c r="A2010" s="1">
        <f>ROW(CantoralDB[[#This Row],[Título]])-1</f>
        <v>2009</v>
      </c>
      <c r="B2010" s="1" t="s">
        <v>1852</v>
      </c>
      <c r="C2010" s="1"/>
      <c r="H2010" s="1" t="s">
        <v>1028</v>
      </c>
      <c r="J2010" s="1" t="s">
        <v>607</v>
      </c>
      <c r="M2010" s="15" t="s">
        <v>481</v>
      </c>
      <c r="N2010" s="1" t="s">
        <v>1842</v>
      </c>
      <c r="O2010" s="15">
        <v>5</v>
      </c>
      <c r="P2010" s="15" t="str" cm="1">
        <f t="array" ref="P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0" s="15" t="str" cm="1">
        <f t="array" ref="Q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2010" s="1"/>
      <c r="T2010" s="1"/>
      <c r="U2010" s="32" t="s">
        <v>3678</v>
      </c>
      <c r="V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2010" s="15" t="str">
        <f>_xlfn.TEXTBEFORE(_xlfn.TEXTAFTER(CantoralDB[[#This Row],[index.html]],"&gt;"),"&gt;")&amp;"&gt;"</f>
        <v>&lt;a href="canciones/toño_casado/aleluya_i.html"&gt;</v>
      </c>
      <c r="X2010"/>
      <c r="AB2010" s="1"/>
    </row>
    <row r="2011" spans="1:28" x14ac:dyDescent="0.3">
      <c r="A2011" s="1">
        <f>ROW(CantoralDB[[#This Row],[Título]])-1</f>
        <v>2010</v>
      </c>
      <c r="B2011" s="1" t="s">
        <v>1843</v>
      </c>
      <c r="C2011" s="1" t="s">
        <v>194</v>
      </c>
      <c r="D2011" s="1" t="s">
        <v>1433</v>
      </c>
      <c r="G2011" s="1" t="s">
        <v>208</v>
      </c>
      <c r="H2011" s="1" t="s">
        <v>1026</v>
      </c>
      <c r="J2011" s="1" t="s">
        <v>607</v>
      </c>
      <c r="M2011" s="15" t="s">
        <v>481</v>
      </c>
      <c r="N2011" s="1" t="s">
        <v>1842</v>
      </c>
      <c r="O2011" s="15">
        <v>6</v>
      </c>
      <c r="P2011" s="15" t="str" cm="1">
        <f t="array" ref="P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1" s="15" t="str" cm="1">
        <f t="array" ref="Q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2011" s="1"/>
      <c r="T2011" s="1"/>
      <c r="U2011" s="32" t="s">
        <v>3672</v>
      </c>
      <c r="V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2011" s="15" t="str">
        <f>_xlfn.TEXTBEFORE(_xlfn.TEXTAFTER(CantoralDB[[#This Row],[index.html]],"&gt;"),"&gt;")&amp;"&gt;"</f>
        <v>&lt;a href="canciones/toño_casado/junto_al_vino_y_al_pan.html"&gt;</v>
      </c>
      <c r="X2011"/>
      <c r="AB2011" s="1"/>
    </row>
    <row r="2012" spans="1:28" x14ac:dyDescent="0.3">
      <c r="A2012" s="1">
        <f>ROW(CantoralDB[[#This Row],[Título]])-1</f>
        <v>2011</v>
      </c>
      <c r="B2012" s="1" t="s">
        <v>527</v>
      </c>
      <c r="C2012" s="1" t="s">
        <v>195</v>
      </c>
      <c r="D2012" s="1" t="s">
        <v>1459</v>
      </c>
      <c r="G2012" s="1" t="s">
        <v>219</v>
      </c>
      <c r="H2012" s="1" t="s">
        <v>530</v>
      </c>
      <c r="I2012" s="1" t="s">
        <v>2953</v>
      </c>
      <c r="J2012" s="1" t="s">
        <v>607</v>
      </c>
      <c r="M2012" s="15" t="s">
        <v>481</v>
      </c>
      <c r="N2012" s="1" t="s">
        <v>1842</v>
      </c>
      <c r="O2012" s="15">
        <v>7</v>
      </c>
      <c r="P2012" s="15" t="str" cm="1">
        <f t="array" ref="P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2" s="15" t="str" cm="1">
        <f t="array" ref="Q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2012" s="1"/>
      <c r="T2012" s="1"/>
      <c r="U2012" s="32" t="s">
        <v>3683</v>
      </c>
      <c r="V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2012" s="15" t="str">
        <f>_xlfn.TEXTBEFORE(_xlfn.TEXTAFTER(CantoralDB[[#This Row],[index.html]],"&gt;"),"&gt;")&amp;"&gt;"</f>
        <v>&lt;a href="canciones/toño_casado/santo_(estan_llenos_de_tu_amor).html"&gt;</v>
      </c>
      <c r="X2012"/>
      <c r="AB2012" s="1"/>
    </row>
    <row r="2013" spans="1:28" x14ac:dyDescent="0.3">
      <c r="A2013" s="1">
        <f>ROW(CantoralDB[[#This Row],[Título]])-1</f>
        <v>2012</v>
      </c>
      <c r="B2013" s="1" t="s">
        <v>1844</v>
      </c>
      <c r="C2013" s="1"/>
      <c r="H2013" s="1" t="s">
        <v>1028</v>
      </c>
      <c r="J2013" s="1" t="s">
        <v>607</v>
      </c>
      <c r="M2013" s="15" t="s">
        <v>481</v>
      </c>
      <c r="N2013" s="1" t="s">
        <v>1842</v>
      </c>
      <c r="O2013" s="15">
        <v>8</v>
      </c>
      <c r="P2013" s="15" t="str" cm="1">
        <f t="array" ref="P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3" s="15" t="str" cm="1">
        <f t="array" ref="Q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2013" s="1"/>
      <c r="T2013" s="1"/>
      <c r="U2013" s="32" t="s">
        <v>3674</v>
      </c>
      <c r="V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2013" s="15" t="str">
        <f>_xlfn.TEXTBEFORE(_xlfn.TEXTAFTER(CantoralDB[[#This Row],[index.html]],"&gt;"),"&gt;")&amp;"&gt;"</f>
        <v>&lt;a href="canciones/toño_casado/traeras_la_paz.html"&gt;</v>
      </c>
      <c r="X2013"/>
      <c r="AB2013" s="1"/>
    </row>
    <row r="2014" spans="1:28" x14ac:dyDescent="0.3">
      <c r="A2014" s="1">
        <f>ROW(CantoralDB[[#This Row],[Título]])-1</f>
        <v>2013</v>
      </c>
      <c r="B2014" s="1" t="s">
        <v>240</v>
      </c>
      <c r="C2014" s="1" t="s">
        <v>197</v>
      </c>
      <c r="D2014" s="1" t="s">
        <v>1407</v>
      </c>
      <c r="G2014" s="1" t="s">
        <v>219</v>
      </c>
      <c r="H2014" s="1" t="s">
        <v>1028</v>
      </c>
      <c r="J2014" s="1" t="s">
        <v>607</v>
      </c>
      <c r="M2014" s="15" t="s">
        <v>481</v>
      </c>
      <c r="N2014" s="1" t="s">
        <v>1842</v>
      </c>
      <c r="O2014" s="15">
        <v>9</v>
      </c>
      <c r="P2014" s="15" t="str" cm="1">
        <f t="array" ref="P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4" s="15" t="str" cm="1">
        <f t="array" ref="Q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2014" s="1"/>
      <c r="T2014" s="1"/>
      <c r="U2014" s="32" t="s">
        <v>3682</v>
      </c>
      <c r="V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2014" s="15" t="str">
        <f>_xlfn.TEXTBEFORE(_xlfn.TEXTAFTER(CantoralDB[[#This Row],[index.html]],"&gt;"),"&gt;")&amp;"&gt;"</f>
        <v>&lt;a href="canciones/toño_casado/da_la_paz_al_mundo.html"&gt;</v>
      </c>
      <c r="X2014"/>
      <c r="AB2014" s="1"/>
    </row>
    <row r="2015" spans="1:28" x14ac:dyDescent="0.3">
      <c r="A2015" s="1">
        <f>ROW(CantoralDB[[#This Row],[Título]])-1</f>
        <v>2014</v>
      </c>
      <c r="B2015" s="1" t="s">
        <v>241</v>
      </c>
      <c r="C2015" s="1" t="s">
        <v>196</v>
      </c>
      <c r="D2015" s="1" t="s">
        <v>1446</v>
      </c>
      <c r="G2015" s="1" t="s">
        <v>219</v>
      </c>
      <c r="H2015" s="1" t="s">
        <v>530</v>
      </c>
      <c r="J2015" s="1" t="s">
        <v>607</v>
      </c>
      <c r="M2015" s="15" t="s">
        <v>481</v>
      </c>
      <c r="N2015" s="1" t="s">
        <v>1842</v>
      </c>
      <c r="O2015" s="15">
        <v>10</v>
      </c>
      <c r="P2015" s="15" t="str" cm="1">
        <f t="array" ref="P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5" s="15" t="str" cm="1">
        <f t="array" ref="Q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2015" s="1"/>
      <c r="T2015" s="1"/>
      <c r="U2015" s="32" t="s">
        <v>3680</v>
      </c>
      <c r="V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2015" s="15" t="str">
        <f>_xlfn.TEXTBEFORE(_xlfn.TEXTAFTER(CantoralDB[[#This Row],[index.html]],"&gt;"),"&gt;")&amp;"&gt;"</f>
        <v>&lt;a href="canciones/toño_casado/padre_nuestro_padre_nuestro.html"&gt;</v>
      </c>
      <c r="X2015"/>
      <c r="AB2015" s="1"/>
    </row>
    <row r="2016" spans="1:28" x14ac:dyDescent="0.3">
      <c r="A2016" s="1">
        <f>ROW(CantoralDB[[#This Row],[Título]])-1</f>
        <v>2015</v>
      </c>
      <c r="B2016" s="1" t="s">
        <v>242</v>
      </c>
      <c r="C2016" s="1" t="s">
        <v>992</v>
      </c>
      <c r="D2016" s="1" t="s">
        <v>716</v>
      </c>
      <c r="G2016" s="1" t="s">
        <v>219</v>
      </c>
      <c r="H2016" s="1" t="s">
        <v>1028</v>
      </c>
      <c r="J2016" s="1" t="s">
        <v>607</v>
      </c>
      <c r="M2016" s="15" t="s">
        <v>481</v>
      </c>
      <c r="N2016" s="1" t="s">
        <v>1842</v>
      </c>
      <c r="O2016" s="15">
        <v>11</v>
      </c>
      <c r="P2016" s="15" t="str" cm="1">
        <f t="array" ref="P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6" s="15" t="str" cm="1">
        <f t="array" ref="Q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2016" s="1"/>
      <c r="T2016" s="1"/>
      <c r="U2016" s="32" t="s">
        <v>3681</v>
      </c>
      <c r="V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2016" s="15" t="str">
        <f>_xlfn.TEXTBEFORE(_xlfn.TEXTAFTER(CantoralDB[[#This Row],[index.html]],"&gt;"),"&gt;")&amp;"&gt;"</f>
        <v>&lt;a href="canciones/toño_casado/jesus_ven_tu.html"&gt;</v>
      </c>
      <c r="X2016"/>
      <c r="AB2016" s="1"/>
    </row>
    <row r="2017" spans="1:28" x14ac:dyDescent="0.3">
      <c r="A2017" s="1">
        <f>ROW(CantoralDB[[#This Row],[Título]])-1</f>
        <v>2016</v>
      </c>
      <c r="B2017" s="1" t="s">
        <v>243</v>
      </c>
      <c r="C2017" s="1" t="s">
        <v>199</v>
      </c>
      <c r="D2017" s="1" t="s">
        <v>1046</v>
      </c>
      <c r="G2017" s="1" t="s">
        <v>219</v>
      </c>
      <c r="H2017" s="1" t="s">
        <v>1026</v>
      </c>
      <c r="J2017" s="1" t="s">
        <v>607</v>
      </c>
      <c r="M2017" s="15" t="s">
        <v>481</v>
      </c>
      <c r="N2017" s="1" t="s">
        <v>1842</v>
      </c>
      <c r="O2017" s="15">
        <v>12</v>
      </c>
      <c r="P2017" s="15" t="str" cm="1">
        <f t="array" ref="P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7" s="15" t="str" cm="1">
        <f t="array" ref="Q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2017" s="1"/>
      <c r="T2017" s="1"/>
      <c r="U2017" s="32" t="s">
        <v>3676</v>
      </c>
      <c r="V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2017" s="15" t="str">
        <f>_xlfn.TEXTBEFORE(_xlfn.TEXTAFTER(CantoralDB[[#This Row],[index.html]],"&gt;"),"&gt;")&amp;"&gt;"</f>
        <v>&lt;a href="canciones/toño_casado/maria_maria.html"&gt;</v>
      </c>
      <c r="X2017"/>
      <c r="AB2017" s="1"/>
    </row>
    <row r="2018" spans="1:28" x14ac:dyDescent="0.3">
      <c r="A2018" s="1">
        <f>ROW(CantoralDB[[#This Row],[Título]])-1</f>
        <v>2017</v>
      </c>
      <c r="B2018" s="1" t="s">
        <v>244</v>
      </c>
      <c r="C2018" s="1" t="s">
        <v>190</v>
      </c>
      <c r="D2018" s="1" t="s">
        <v>1390</v>
      </c>
      <c r="G2018" s="1" t="s">
        <v>219</v>
      </c>
      <c r="H2018" s="1" t="s">
        <v>472</v>
      </c>
      <c r="I2018" s="1" t="s">
        <v>2952</v>
      </c>
      <c r="J2018" s="1" t="s">
        <v>607</v>
      </c>
      <c r="M2018" s="15" t="s">
        <v>481</v>
      </c>
      <c r="N2018" s="1" t="s">
        <v>1848</v>
      </c>
      <c r="O2018" s="15">
        <v>1</v>
      </c>
      <c r="P2018" s="15" t="str" cm="1">
        <f t="array" ref="P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8" s="15" t="str" cm="1">
        <f t="array" ref="Q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2018" s="1"/>
      <c r="T2018" s="1"/>
      <c r="U2018" s="32" t="s">
        <v>3684</v>
      </c>
      <c r="V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2018" s="15" t="str">
        <f>_xlfn.TEXTBEFORE(_xlfn.TEXTAFTER(CantoralDB[[#This Row],[index.html]],"&gt;"),"&gt;")&amp;"&gt;"</f>
        <v>&lt;a href="canciones/toño_casado/bienvenidos.html"&gt;</v>
      </c>
      <c r="X2018"/>
      <c r="AB2018" s="1"/>
    </row>
    <row r="2019" spans="1:28" x14ac:dyDescent="0.3">
      <c r="A2019" s="1">
        <f>ROW(CantoralDB[[#This Row],[Título]])-1</f>
        <v>2018</v>
      </c>
      <c r="B2019" s="1" t="s">
        <v>1851</v>
      </c>
      <c r="C2019" s="1"/>
      <c r="H2019" s="1" t="s">
        <v>530</v>
      </c>
      <c r="J2019" s="1" t="s">
        <v>607</v>
      </c>
      <c r="M2019" s="15" t="s">
        <v>481</v>
      </c>
      <c r="N2019" s="1" t="s">
        <v>1848</v>
      </c>
      <c r="O2019" s="15">
        <v>2</v>
      </c>
      <c r="P2019" s="15" t="str" cm="1">
        <f t="array" ref="P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19" s="15" t="str" cm="1">
        <f t="array" ref="Q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2019" s="1"/>
      <c r="T2019" s="1"/>
      <c r="U2019" s="32" t="s">
        <v>3685</v>
      </c>
      <c r="V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2019" s="15" t="str">
        <f>_xlfn.TEXTBEFORE(_xlfn.TEXTAFTER(CantoralDB[[#This Row],[index.html]],"&gt;"),"&gt;")&amp;"&gt;"</f>
        <v>&lt;a href="canciones/toño_casado/señor_ten_piedad_ii.html"&gt;</v>
      </c>
      <c r="X2019"/>
      <c r="AB2019" s="1"/>
    </row>
    <row r="2020" spans="1:28" x14ac:dyDescent="0.3">
      <c r="A2020" s="1">
        <f>ROW(CantoralDB[[#This Row],[Título]])-1</f>
        <v>2019</v>
      </c>
      <c r="B2020" s="1" t="s">
        <v>2917</v>
      </c>
      <c r="C2020" s="1"/>
      <c r="H2020" s="1" t="s">
        <v>530</v>
      </c>
      <c r="J2020" s="1" t="s">
        <v>607</v>
      </c>
      <c r="M2020" s="15" t="s">
        <v>481</v>
      </c>
      <c r="N2020" s="1" t="s">
        <v>1848</v>
      </c>
      <c r="O2020" s="15">
        <v>3</v>
      </c>
      <c r="P2020" s="15" t="str" cm="1">
        <f t="array" ref="P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0" s="15" t="str" cm="1">
        <f t="array" ref="Q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2020" s="1"/>
      <c r="T2020" s="1"/>
      <c r="U2020" s="32" t="s">
        <v>3686</v>
      </c>
      <c r="V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2020" s="15" t="str">
        <f>_xlfn.TEXTBEFORE(_xlfn.TEXTAFTER(CantoralDB[[#This Row],[index.html]],"&gt;"),"&gt;")&amp;"&gt;"</f>
        <v>&lt;a href="canciones/toño_casado/gloria_(por_pintar_amaneceres).html"&gt;</v>
      </c>
      <c r="X2020"/>
      <c r="AB2020" s="1"/>
    </row>
    <row r="2021" spans="1:28" x14ac:dyDescent="0.3">
      <c r="A2021" s="1">
        <f>ROW(CantoralDB[[#This Row],[Título]])-1</f>
        <v>2020</v>
      </c>
      <c r="B2021" s="1" t="s">
        <v>1845</v>
      </c>
      <c r="C2021" s="1"/>
      <c r="H2021" s="1" t="s">
        <v>1027</v>
      </c>
      <c r="J2021" s="1" t="s">
        <v>607</v>
      </c>
      <c r="M2021" s="15" t="s">
        <v>481</v>
      </c>
      <c r="N2021" s="1" t="s">
        <v>1848</v>
      </c>
      <c r="O2021" s="15">
        <v>4</v>
      </c>
      <c r="P2021" s="15" t="str" cm="1">
        <f t="array" ref="P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1" s="15" t="str" cm="1">
        <f t="array" ref="Q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2021" s="1"/>
      <c r="T2021" s="1"/>
      <c r="U2021" s="32" t="s">
        <v>3687</v>
      </c>
      <c r="V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2021" s="15" t="str">
        <f>_xlfn.TEXTBEFORE(_xlfn.TEXTAFTER(CantoralDB[[#This Row],[index.html]],"&gt;"),"&gt;")&amp;"&gt;"</f>
        <v>&lt;a href="canciones/toño_casado/tu_palabra_se_hace_vida.html"&gt;</v>
      </c>
      <c r="X2021"/>
      <c r="AB2021" s="1"/>
    </row>
    <row r="2022" spans="1:28" x14ac:dyDescent="0.3">
      <c r="A2022" s="1">
        <f>ROW(CantoralDB[[#This Row],[Título]])-1</f>
        <v>2021</v>
      </c>
      <c r="B2022" s="1" t="s">
        <v>1853</v>
      </c>
      <c r="C2022" s="1"/>
      <c r="H2022" s="1" t="s">
        <v>1029</v>
      </c>
      <c r="J2022" s="1" t="s">
        <v>607</v>
      </c>
      <c r="M2022" s="15" t="s">
        <v>481</v>
      </c>
      <c r="N2022" s="1" t="s">
        <v>1848</v>
      </c>
      <c r="O2022" s="15">
        <v>5</v>
      </c>
      <c r="P2022" s="15" t="str" cm="1">
        <f t="array" ref="P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2" s="15" t="str" cm="1">
        <f t="array" ref="Q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2022" s="1"/>
      <c r="T2022" s="1"/>
      <c r="U2022" s="32" t="s">
        <v>3688</v>
      </c>
      <c r="V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2022" s="15" t="str">
        <f>_xlfn.TEXTBEFORE(_xlfn.TEXTAFTER(CantoralDB[[#This Row],[index.html]],"&gt;"),"&gt;")&amp;"&gt;"</f>
        <v>&lt;a href="canciones/toño_casado/aleluya_ii.html"&gt;</v>
      </c>
      <c r="X2022"/>
      <c r="AB2022" s="1"/>
    </row>
    <row r="2023" spans="1:28" x14ac:dyDescent="0.3">
      <c r="A2023" s="1">
        <f>ROW(CantoralDB[[#This Row],[Título]])-1</f>
        <v>2022</v>
      </c>
      <c r="B2023" s="1" t="s">
        <v>245</v>
      </c>
      <c r="C2023" s="1" t="s">
        <v>194</v>
      </c>
      <c r="D2023" s="1" t="s">
        <v>769</v>
      </c>
      <c r="G2023" s="1" t="s">
        <v>219</v>
      </c>
      <c r="H2023" s="1" t="s">
        <v>530</v>
      </c>
      <c r="J2023" s="1" t="s">
        <v>607</v>
      </c>
      <c r="M2023" s="15" t="s">
        <v>481</v>
      </c>
      <c r="N2023" s="1" t="s">
        <v>1848</v>
      </c>
      <c r="O2023" s="15">
        <v>6</v>
      </c>
      <c r="P2023" s="15" t="str" cm="1">
        <f t="array" ref="P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3" s="15" t="str" cm="1">
        <f t="array" ref="Q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2023" s="1"/>
      <c r="T2023" s="1"/>
      <c r="U2023" s="32" t="s">
        <v>3689</v>
      </c>
      <c r="V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2023" s="15" t="str">
        <f>_xlfn.TEXTBEFORE(_xlfn.TEXTAFTER(CantoralDB[[#This Row],[index.html]],"&gt;"),"&gt;")&amp;"&gt;"</f>
        <v>&lt;a href="canciones/toño_casado/te_ofrecemos.html"&gt;</v>
      </c>
      <c r="X2023"/>
      <c r="AB2023" s="1"/>
    </row>
    <row r="2024" spans="1:28" x14ac:dyDescent="0.3">
      <c r="A2024" s="1">
        <f>ROW(CantoralDB[[#This Row],[Título]])-1</f>
        <v>2023</v>
      </c>
      <c r="B2024" s="1" t="s">
        <v>528</v>
      </c>
      <c r="C2024" s="1" t="s">
        <v>195</v>
      </c>
      <c r="D2024" s="1" t="s">
        <v>1460</v>
      </c>
      <c r="G2024" s="1" t="s">
        <v>219</v>
      </c>
      <c r="H2024" s="1" t="s">
        <v>1026</v>
      </c>
      <c r="J2024" s="1" t="s">
        <v>607</v>
      </c>
      <c r="M2024" s="15" t="s">
        <v>481</v>
      </c>
      <c r="N2024" s="1" t="s">
        <v>1848</v>
      </c>
      <c r="O2024" s="15">
        <v>7</v>
      </c>
      <c r="P2024" s="15" t="str" cm="1">
        <f t="array" ref="P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4" s="15" t="str" cm="1">
        <f t="array" ref="Q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2024" s="1"/>
      <c r="T2024" s="1"/>
      <c r="U2024" s="32" t="s">
        <v>3690</v>
      </c>
      <c r="V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2024" s="15" t="str">
        <f>_xlfn.TEXTBEFORE(_xlfn.TEXTAFTER(CantoralDB[[#This Row],[index.html]],"&gt;"),"&gt;")&amp;"&gt;"</f>
        <v>&lt;a href="canciones/toño_casado/santo_(hosanna_en_el_cielo_al_señor).html"&gt;</v>
      </c>
      <c r="X2024"/>
      <c r="AB2024" s="1"/>
    </row>
    <row r="2025" spans="1:28" x14ac:dyDescent="0.3">
      <c r="A2025" s="1">
        <f>ROW(CantoralDB[[#This Row],[Título]])-1</f>
        <v>2024</v>
      </c>
      <c r="B2025" s="1" t="s">
        <v>2142</v>
      </c>
      <c r="C2025" s="1"/>
      <c r="H2025" s="1" t="s">
        <v>1026</v>
      </c>
      <c r="J2025" s="1" t="s">
        <v>607</v>
      </c>
      <c r="M2025" s="15" t="s">
        <v>481</v>
      </c>
      <c r="N2025" s="1" t="s">
        <v>1848</v>
      </c>
      <c r="O2025" s="15">
        <v>8</v>
      </c>
      <c r="P2025" s="15" t="str" cm="1">
        <f t="array" ref="P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5" s="15" t="str" cm="1">
        <f t="array" ref="Q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2025" s="1"/>
      <c r="T2025" s="1"/>
      <c r="U2025" s="32" t="s">
        <v>3691</v>
      </c>
      <c r="V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2025" s="15" t="str">
        <f>_xlfn.TEXTBEFORE(_xlfn.TEXTAFTER(CantoralDB[[#This Row],[index.html]],"&gt;"),"&gt;")&amp;"&gt;"</f>
        <v>&lt;a href="canciones/toño_casado/padre_nuestro_ii.html"&gt;</v>
      </c>
      <c r="X2025"/>
      <c r="AB2025" s="1"/>
    </row>
    <row r="2026" spans="1:28" x14ac:dyDescent="0.3">
      <c r="A2026" s="1">
        <f>ROW(CantoralDB[[#This Row],[Título]])-1</f>
        <v>2025</v>
      </c>
      <c r="B2026" s="1" t="s">
        <v>1197</v>
      </c>
      <c r="C2026" s="1"/>
      <c r="H2026" s="1" t="s">
        <v>530</v>
      </c>
      <c r="J2026" s="1" t="s">
        <v>607</v>
      </c>
      <c r="M2026" s="15" t="s">
        <v>481</v>
      </c>
      <c r="N2026" s="1" t="s">
        <v>1848</v>
      </c>
      <c r="O2026" s="15">
        <v>9</v>
      </c>
      <c r="P2026" s="15" t="str" cm="1">
        <f t="array" ref="P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6" s="15" t="str" cm="1">
        <f t="array" ref="Q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2026" s="1"/>
      <c r="T2026" s="1"/>
      <c r="U2026" s="32" t="s">
        <v>3692</v>
      </c>
      <c r="V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2026" s="15" t="str">
        <f>_xlfn.TEXTBEFORE(_xlfn.TEXTAFTER(CantoralDB[[#This Row],[index.html]],"&gt;"),"&gt;")&amp;"&gt;"</f>
        <v>&lt;a href="canciones/toño_casado/danos_paz.html"&gt;</v>
      </c>
      <c r="X2026"/>
      <c r="AB2026" s="1"/>
    </row>
    <row r="2027" spans="1:28" x14ac:dyDescent="0.3">
      <c r="A2027" s="1">
        <f>ROW(CantoralDB[[#This Row],[Título]])-1</f>
        <v>2026</v>
      </c>
      <c r="B2027" s="1" t="s">
        <v>1846</v>
      </c>
      <c r="C2027" s="1"/>
      <c r="H2027" s="1" t="s">
        <v>472</v>
      </c>
      <c r="J2027" s="1" t="s">
        <v>607</v>
      </c>
      <c r="M2027" s="15" t="s">
        <v>481</v>
      </c>
      <c r="N2027" s="1" t="s">
        <v>1848</v>
      </c>
      <c r="O2027" s="15">
        <v>10</v>
      </c>
      <c r="P2027" s="15" t="str" cm="1">
        <f t="array" ref="P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7" s="15" t="str" cm="1">
        <f t="array" ref="Q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2027" s="1"/>
      <c r="T2027" s="1"/>
      <c r="U2027" s="32" t="s">
        <v>3693</v>
      </c>
      <c r="V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2027" s="15" t="str">
        <f>_xlfn.TEXTBEFORE(_xlfn.TEXTAFTER(CantoralDB[[#This Row],[index.html]],"&gt;"),"&gt;")&amp;"&gt;"</f>
        <v>&lt;a href="canciones/toño_casado/hoy_jesus_vendras_a_mi.html"&gt;</v>
      </c>
      <c r="X2027"/>
      <c r="AB2027" s="1"/>
    </row>
    <row r="2028" spans="1:28" x14ac:dyDescent="0.3">
      <c r="A2028" s="1">
        <f>ROW(CantoralDB[[#This Row],[Título]])-1</f>
        <v>2027</v>
      </c>
      <c r="B2028" s="1" t="s">
        <v>1847</v>
      </c>
      <c r="C2028" s="1"/>
      <c r="H2028" s="1" t="s">
        <v>472</v>
      </c>
      <c r="J2028" s="1" t="s">
        <v>607</v>
      </c>
      <c r="M2028" s="15" t="s">
        <v>481</v>
      </c>
      <c r="N2028" s="1" t="s">
        <v>1848</v>
      </c>
      <c r="O2028" s="15">
        <v>11</v>
      </c>
      <c r="P2028" s="15" t="str" cm="1">
        <f t="array" ref="P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8" s="15" t="str" cm="1">
        <f t="array" ref="Q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2028" s="1"/>
      <c r="T2028" s="1"/>
      <c r="U2028" s="32" t="s">
        <v>3694</v>
      </c>
      <c r="V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2028" s="15" t="str">
        <f>_xlfn.TEXTBEFORE(_xlfn.TEXTAFTER(CantoralDB[[#This Row],[index.html]],"&gt;"),"&gt;")&amp;"&gt;"</f>
        <v>&lt;a href="canciones/toño_casado/familia_de_dios.html"&gt;</v>
      </c>
      <c r="X2028"/>
      <c r="AB2028" s="1"/>
    </row>
    <row r="2029" spans="1:28" x14ac:dyDescent="0.3">
      <c r="A2029" s="1">
        <f>ROW(CantoralDB[[#This Row],[Título]])-1</f>
        <v>2028</v>
      </c>
      <c r="B2029" s="1" t="s">
        <v>496</v>
      </c>
      <c r="C2029" s="1" t="s">
        <v>199</v>
      </c>
      <c r="D2029" s="1" t="s">
        <v>1386</v>
      </c>
      <c r="G2029" s="1" t="s">
        <v>219</v>
      </c>
      <c r="H2029" s="1" t="s">
        <v>1029</v>
      </c>
      <c r="I2029" s="1" t="s">
        <v>2953</v>
      </c>
      <c r="J2029" s="1" t="s">
        <v>607</v>
      </c>
      <c r="M2029" s="15" t="s">
        <v>481</v>
      </c>
      <c r="N2029" s="1" t="s">
        <v>1849</v>
      </c>
      <c r="O2029" s="15">
        <v>1</v>
      </c>
      <c r="P2029" s="15" t="str" cm="1">
        <f t="array" ref="P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29" s="15" t="str" cm="1">
        <f t="array" ref="Q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2029" s="1"/>
      <c r="T2029" s="1"/>
      <c r="U2029" s="32" t="s">
        <v>3695</v>
      </c>
      <c r="V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2029" s="15" t="str">
        <f>_xlfn.TEXTBEFORE(_xlfn.TEXTAFTER(CantoralDB[[#This Row],[index.html]],"&gt;"),"&gt;")&amp;"&gt;"</f>
        <v>&lt;a href="canciones/toño_casado/ave_maria.html"&gt;</v>
      </c>
      <c r="X2029"/>
      <c r="AB2029" s="1"/>
    </row>
    <row r="2030" spans="1:28" x14ac:dyDescent="0.3">
      <c r="A2030" s="1">
        <f>ROW(CantoralDB[[#This Row],[Título]])-1</f>
        <v>2029</v>
      </c>
      <c r="B2030" s="1" t="s">
        <v>173</v>
      </c>
      <c r="C2030" s="1" t="s">
        <v>992</v>
      </c>
      <c r="D2030" s="1" t="s">
        <v>683</v>
      </c>
      <c r="G2030" s="1" t="s">
        <v>208</v>
      </c>
      <c r="H2030" s="1" t="s">
        <v>1029</v>
      </c>
      <c r="J2030" s="1" t="s">
        <v>607</v>
      </c>
      <c r="M2030" s="15" t="s">
        <v>481</v>
      </c>
      <c r="N2030" s="1" t="s">
        <v>1849</v>
      </c>
      <c r="O2030" s="15">
        <v>2</v>
      </c>
      <c r="P2030" s="15" t="str" cm="1">
        <f t="array" ref="P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0" s="15" t="str" cm="1">
        <f t="array" ref="Q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2030" s="1" t="s">
        <v>808</v>
      </c>
      <c r="T2030" s="1"/>
      <c r="U2030" s="32" t="s">
        <v>3696</v>
      </c>
      <c r="V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2030" s="15" t="str">
        <f>_xlfn.TEXTBEFORE(_xlfn.TEXTAFTER(CantoralDB[[#This Row],[index.html]],"&gt;"),"&gt;")&amp;"&gt;"</f>
        <v>&lt;a href="canciones/toño_casado/bienaventuranzas_(33_el_musical).html"&gt;</v>
      </c>
      <c r="X2030"/>
      <c r="AB2030" s="1"/>
    </row>
    <row r="2031" spans="1:28" x14ac:dyDescent="0.3">
      <c r="A2031" s="1">
        <f>ROW(CantoralDB[[#This Row],[Título]])-1</f>
        <v>2030</v>
      </c>
      <c r="B2031" s="1" t="s">
        <v>178</v>
      </c>
      <c r="C2031" s="1" t="s">
        <v>218</v>
      </c>
      <c r="D2031" s="1" t="s">
        <v>1411</v>
      </c>
      <c r="G2031" s="1" t="s">
        <v>208</v>
      </c>
      <c r="H2031" s="1" t="s">
        <v>530</v>
      </c>
      <c r="J2031" s="1" t="s">
        <v>607</v>
      </c>
      <c r="M2031" s="15" t="s">
        <v>481</v>
      </c>
      <c r="N2031" s="1" t="s">
        <v>1849</v>
      </c>
      <c r="O2031" s="15">
        <v>3</v>
      </c>
      <c r="P2031" s="15" t="str" cm="1">
        <f t="array" ref="P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1" s="15" t="str" cm="1">
        <f t="array" ref="Q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2031" s="1" t="s">
        <v>822</v>
      </c>
      <c r="T2031" s="1"/>
      <c r="U2031" s="32" t="s">
        <v>3697</v>
      </c>
      <c r="V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2031" s="15" t="str">
        <f>_xlfn.TEXTBEFORE(_xlfn.TEXTAFTER(CantoralDB[[#This Row],[index.html]],"&gt;"),"&gt;")&amp;"&gt;"</f>
        <v>&lt;a href="canciones/toño_casado/el_espiritu_de_dios_(33_el_musical).html"&gt;</v>
      </c>
      <c r="X2031"/>
      <c r="AB2031" s="1"/>
    </row>
    <row r="2032" spans="1:28" x14ac:dyDescent="0.3">
      <c r="A2032" s="1">
        <f>ROW(CantoralDB[[#This Row],[Título]])-1</f>
        <v>2031</v>
      </c>
      <c r="B2032" s="1" t="s">
        <v>217</v>
      </c>
      <c r="C2032" s="1" t="s">
        <v>199</v>
      </c>
      <c r="D2032" s="1" t="s">
        <v>1055</v>
      </c>
      <c r="G2032" s="1" t="s">
        <v>219</v>
      </c>
      <c r="H2032" s="1" t="s">
        <v>1042</v>
      </c>
      <c r="J2032" s="1" t="s">
        <v>607</v>
      </c>
      <c r="M2032" s="15" t="s">
        <v>481</v>
      </c>
      <c r="N2032" s="1" t="s">
        <v>1849</v>
      </c>
      <c r="O2032" s="15">
        <v>4</v>
      </c>
      <c r="P2032" s="15" t="str" cm="1">
        <f t="array" ref="P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2" s="15" t="str" cm="1">
        <f t="array" ref="Q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2032" s="1"/>
      <c r="T2032" s="1"/>
      <c r="U2032" s="32" t="s">
        <v>3698</v>
      </c>
      <c r="V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2032" s="15" t="str">
        <f>_xlfn.TEXTBEFORE(_xlfn.TEXTAFTER(CantoralDB[[#This Row],[index.html]],"&gt;"),"&gt;")&amp;"&gt;"</f>
        <v>&lt;a href="canciones/toño_casado/siempre_estuviste_aqui_(almudena).html"&gt;</v>
      </c>
      <c r="X2032"/>
      <c r="AB2032" s="1"/>
    </row>
    <row r="2033" spans="1:28" x14ac:dyDescent="0.3">
      <c r="A2033" s="1">
        <f>ROW(CantoralDB[[#This Row],[Título]])-1</f>
        <v>2032</v>
      </c>
      <c r="B2033" s="1" t="s">
        <v>495</v>
      </c>
      <c r="C2033" s="1" t="s">
        <v>190</v>
      </c>
      <c r="D2033" s="1" t="s">
        <v>761</v>
      </c>
      <c r="G2033" s="1" t="s">
        <v>219</v>
      </c>
      <c r="H2033" s="1" t="s">
        <v>530</v>
      </c>
      <c r="I2033" s="1" t="s">
        <v>2953</v>
      </c>
      <c r="J2033" s="1" t="s">
        <v>607</v>
      </c>
      <c r="M2033" s="15" t="s">
        <v>481</v>
      </c>
      <c r="N2033" s="1" t="s">
        <v>1849</v>
      </c>
      <c r="O2033" s="15">
        <v>5</v>
      </c>
      <c r="P2033" s="15" t="str" cm="1">
        <f t="array" ref="P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3" s="15" t="str" cm="1">
        <f t="array" ref="Q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2033" s="1"/>
      <c r="T2033" s="1"/>
      <c r="U2033" s="32" t="s">
        <v>3699</v>
      </c>
      <c r="V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2033" s="15" t="str">
        <f>_xlfn.TEXTBEFORE(_xlfn.TEXTAFTER(CantoralDB[[#This Row],[index.html]],"&gt;"),"&gt;")&amp;"&gt;"</f>
        <v>&lt;a href="canciones/toño_casado/viviremos_firmes_en_la_fe.html"&gt;</v>
      </c>
      <c r="X2033"/>
      <c r="AB2033" s="1"/>
    </row>
    <row r="2034" spans="1:28" x14ac:dyDescent="0.3">
      <c r="A2034" s="1">
        <f>ROW(CantoralDB[[#This Row],[Título]])-1</f>
        <v>2033</v>
      </c>
      <c r="B2034" s="1" t="s">
        <v>2919</v>
      </c>
      <c r="C2034" s="1"/>
      <c r="H2034" s="1" t="s">
        <v>1026</v>
      </c>
      <c r="J2034" s="1" t="s">
        <v>607</v>
      </c>
      <c r="M2034" s="15" t="s">
        <v>481</v>
      </c>
      <c r="N2034" s="1" t="s">
        <v>2918</v>
      </c>
      <c r="O2034" s="15">
        <v>0</v>
      </c>
      <c r="P2034" s="15" t="str" cm="1">
        <f t="array" ref="P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4" s="15" t="str" cm="1">
        <f t="array" ref="Q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2034" s="1"/>
      <c r="T2034" s="1"/>
      <c r="U2034" s="32" t="s">
        <v>3700</v>
      </c>
      <c r="V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2034" s="15" t="str">
        <f>_xlfn.TEXTBEFORE(_xlfn.TEXTAFTER(CantoralDB[[#This Row],[index.html]],"&gt;"),"&gt;")&amp;"&gt;"</f>
        <v>&lt;a href="canciones/toño_casado/via_crucis_introduccion.html"&gt;</v>
      </c>
      <c r="X2034"/>
      <c r="AB2034" s="1"/>
    </row>
    <row r="2035" spans="1:28" x14ac:dyDescent="0.3">
      <c r="A2035" s="1">
        <f>ROW(CantoralDB[[#This Row],[Título]])-1</f>
        <v>2034</v>
      </c>
      <c r="B2035" s="1" t="s">
        <v>2920</v>
      </c>
      <c r="C2035" s="1"/>
      <c r="H2035" s="1" t="s">
        <v>1026</v>
      </c>
      <c r="J2035" s="1" t="s">
        <v>607</v>
      </c>
      <c r="M2035" s="15" t="s">
        <v>481</v>
      </c>
      <c r="N2035" s="1" t="s">
        <v>2918</v>
      </c>
      <c r="O2035" s="15">
        <v>1</v>
      </c>
      <c r="P2035" s="15" t="str" cm="1">
        <f t="array" ref="P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5" s="15" t="str" cm="1">
        <f t="array" ref="Q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2035" s="1"/>
      <c r="T2035" s="1"/>
      <c r="U2035" s="32" t="s">
        <v>3701</v>
      </c>
      <c r="V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2035" s="15" t="str">
        <f>_xlfn.TEXTBEFORE(_xlfn.TEXTAFTER(CantoralDB[[#This Row],[index.html]],"&gt;"),"&gt;")&amp;"&gt;"</f>
        <v>&lt;a href="canciones/toño_casado/via_crucis_i_jesus_cautivo.html"&gt;</v>
      </c>
      <c r="X2035"/>
      <c r="AB2035" s="1"/>
    </row>
    <row r="2036" spans="1:28" x14ac:dyDescent="0.3">
      <c r="A2036" s="1">
        <f>ROW(CantoralDB[[#This Row],[Título]])-1</f>
        <v>2035</v>
      </c>
      <c r="B2036" s="1" t="s">
        <v>2921</v>
      </c>
      <c r="C2036" s="1"/>
      <c r="H2036" s="1" t="s">
        <v>1026</v>
      </c>
      <c r="J2036" s="1" t="s">
        <v>607</v>
      </c>
      <c r="M2036" s="15" t="s">
        <v>481</v>
      </c>
      <c r="N2036" s="1" t="s">
        <v>2918</v>
      </c>
      <c r="O2036" s="15">
        <v>2</v>
      </c>
      <c r="P2036" s="15" t="str" cm="1">
        <f t="array" ref="P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6" s="15" t="str" cm="1">
        <f t="array" ref="Q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2036" s="1"/>
      <c r="T2036" s="1"/>
      <c r="U2036" s="32" t="s">
        <v>3702</v>
      </c>
      <c r="V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2036" s="15" t="str">
        <f>_xlfn.TEXTBEFORE(_xlfn.TEXTAFTER(CantoralDB[[#This Row],[index.html]],"&gt;"),"&gt;")&amp;"&gt;"</f>
        <v>&lt;a href="canciones/toño_casado/via_crucis_ii_jesus_carga_con_la_cruz.html"&gt;</v>
      </c>
      <c r="X2036"/>
      <c r="AB2036" s="1"/>
    </row>
    <row r="2037" spans="1:28" x14ac:dyDescent="0.3">
      <c r="A2037" s="1">
        <f>ROW(CantoralDB[[#This Row],[Título]])-1</f>
        <v>2036</v>
      </c>
      <c r="B2037" s="1" t="s">
        <v>2922</v>
      </c>
      <c r="C2037" s="1"/>
      <c r="H2037" s="1" t="s">
        <v>1029</v>
      </c>
      <c r="J2037" s="1" t="s">
        <v>607</v>
      </c>
      <c r="M2037" s="15" t="s">
        <v>481</v>
      </c>
      <c r="N2037" s="1" t="s">
        <v>2918</v>
      </c>
      <c r="O2037" s="15">
        <v>3</v>
      </c>
      <c r="P2037" s="15" t="str" cm="1">
        <f t="array" ref="P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7" s="15" t="str" cm="1">
        <f t="array" ref="Q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2037" s="1"/>
      <c r="T2037" s="1"/>
      <c r="U2037" s="32" t="s">
        <v>3703</v>
      </c>
      <c r="V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2037" s="15" t="str">
        <f>_xlfn.TEXTBEFORE(_xlfn.TEXTAFTER(CantoralDB[[#This Row],[index.html]],"&gt;"),"&gt;")&amp;"&gt;"</f>
        <v>&lt;a href="canciones/toño_casado/via_crucis_iii_jesus_cae_por_primera_vez.html"&gt;</v>
      </c>
      <c r="X2037"/>
      <c r="AB2037" s="1"/>
    </row>
    <row r="2038" spans="1:28" x14ac:dyDescent="0.3">
      <c r="A2038" s="1">
        <f>ROW(CantoralDB[[#This Row],[Título]])-1</f>
        <v>2037</v>
      </c>
      <c r="B2038" s="1" t="s">
        <v>2923</v>
      </c>
      <c r="C2038" s="1"/>
      <c r="H2038" s="1" t="s">
        <v>1027</v>
      </c>
      <c r="J2038" s="1" t="s">
        <v>607</v>
      </c>
      <c r="M2038" s="15" t="s">
        <v>481</v>
      </c>
      <c r="N2038" s="1" t="s">
        <v>2918</v>
      </c>
      <c r="O2038" s="15">
        <v>4</v>
      </c>
      <c r="P2038" s="15" t="str" cm="1">
        <f t="array" ref="P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8" s="15" t="str" cm="1">
        <f t="array" ref="Q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2038" s="1"/>
      <c r="T2038" s="1"/>
      <c r="U2038" s="32" t="s">
        <v>3704</v>
      </c>
      <c r="V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2038" s="15" t="str">
        <f>_xlfn.TEXTBEFORE(_xlfn.TEXTAFTER(CantoralDB[[#This Row],[index.html]],"&gt;"),"&gt;")&amp;"&gt;"</f>
        <v>&lt;a href="canciones/toño_casado/via_crucis_iv_jesus_se_encuentra_con_su_madre.html"&gt;</v>
      </c>
      <c r="X2038"/>
      <c r="AB2038" s="1"/>
    </row>
    <row r="2039" spans="1:28" x14ac:dyDescent="0.3">
      <c r="A2039" s="1">
        <f>ROW(CantoralDB[[#This Row],[Título]])-1</f>
        <v>2038</v>
      </c>
      <c r="B2039" s="1" t="s">
        <v>2924</v>
      </c>
      <c r="C2039" s="1"/>
      <c r="H2039" s="1" t="s">
        <v>2959</v>
      </c>
      <c r="J2039" s="1" t="s">
        <v>607</v>
      </c>
      <c r="M2039" s="15" t="s">
        <v>481</v>
      </c>
      <c r="N2039" s="1" t="s">
        <v>2918</v>
      </c>
      <c r="O2039" s="15">
        <v>5</v>
      </c>
      <c r="P2039" s="15" t="str" cm="1">
        <f t="array" ref="P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39" s="15" t="str" cm="1">
        <f t="array" ref="Q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2039" s="1"/>
      <c r="T2039" s="1"/>
      <c r="U2039" s="32" t="s">
        <v>3705</v>
      </c>
      <c r="V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2039" s="15" t="str">
        <f>_xlfn.TEXTBEFORE(_xlfn.TEXTAFTER(CantoralDB[[#This Row],[index.html]],"&gt;"),"&gt;")&amp;"&gt;"</f>
        <v>&lt;a href="canciones/toño_casado/via_crucis_v_el_cireneo.html"&gt;</v>
      </c>
      <c r="X2039"/>
      <c r="AB2039" s="1"/>
    </row>
    <row r="2040" spans="1:28" x14ac:dyDescent="0.3">
      <c r="A2040" s="1">
        <f>ROW(CantoralDB[[#This Row],[Título]])-1</f>
        <v>2039</v>
      </c>
      <c r="B2040" s="1" t="s">
        <v>2925</v>
      </c>
      <c r="C2040" s="1"/>
      <c r="H2040" s="1" t="s">
        <v>1026</v>
      </c>
      <c r="J2040" s="1" t="s">
        <v>607</v>
      </c>
      <c r="M2040" s="15" t="s">
        <v>481</v>
      </c>
      <c r="N2040" s="1" t="s">
        <v>2918</v>
      </c>
      <c r="O2040" s="15">
        <v>6</v>
      </c>
      <c r="P2040" s="15" t="str" cm="1">
        <f t="array" ref="P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0" s="15" t="str" cm="1">
        <f t="array" ref="Q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2040" s="1"/>
      <c r="T2040" s="1"/>
      <c r="U2040" s="32" t="s">
        <v>3706</v>
      </c>
      <c r="V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2040" s="15" t="str">
        <f>_xlfn.TEXTBEFORE(_xlfn.TEXTAFTER(CantoralDB[[#This Row],[index.html]],"&gt;"),"&gt;")&amp;"&gt;"</f>
        <v>&lt;a href="canciones/toño_casado/via_crucis_vi_la_veronica.html"&gt;</v>
      </c>
      <c r="X2040"/>
      <c r="AB2040" s="1"/>
    </row>
    <row r="2041" spans="1:28" x14ac:dyDescent="0.3">
      <c r="A2041" s="1">
        <f>ROW(CantoralDB[[#This Row],[Título]])-1</f>
        <v>2040</v>
      </c>
      <c r="B2041" s="1" t="s">
        <v>2926</v>
      </c>
      <c r="C2041" s="1"/>
      <c r="H2041" s="1" t="s">
        <v>1029</v>
      </c>
      <c r="J2041" s="1" t="s">
        <v>607</v>
      </c>
      <c r="M2041" s="15" t="s">
        <v>481</v>
      </c>
      <c r="N2041" s="1" t="s">
        <v>2918</v>
      </c>
      <c r="O2041" s="15">
        <v>7</v>
      </c>
      <c r="P2041" s="15" t="str" cm="1">
        <f t="array" ref="P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1" s="15" t="str" cm="1">
        <f t="array" ref="Q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2041" s="1"/>
      <c r="T2041" s="1"/>
      <c r="U2041" s="32" t="s">
        <v>3707</v>
      </c>
      <c r="V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2041" s="15" t="str">
        <f>_xlfn.TEXTBEFORE(_xlfn.TEXTAFTER(CantoralDB[[#This Row],[index.html]],"&gt;"),"&gt;")&amp;"&gt;"</f>
        <v>&lt;a href="canciones/toño_casado/via_crucis_vii_jesus_cae_por_segunda_vez.html"&gt;</v>
      </c>
      <c r="X2041"/>
      <c r="AB2041" s="1"/>
    </row>
    <row r="2042" spans="1:28" x14ac:dyDescent="0.3">
      <c r="A2042" s="1">
        <f>ROW(CantoralDB[[#This Row],[Título]])-1</f>
        <v>2041</v>
      </c>
      <c r="B2042" s="1" t="s">
        <v>2927</v>
      </c>
      <c r="C2042" s="1"/>
      <c r="H2042" s="1" t="s">
        <v>1027</v>
      </c>
      <c r="J2042" s="1" t="s">
        <v>607</v>
      </c>
      <c r="M2042" s="15" t="s">
        <v>481</v>
      </c>
      <c r="N2042" s="1" t="s">
        <v>2918</v>
      </c>
      <c r="O2042" s="15">
        <v>8</v>
      </c>
      <c r="P2042" s="15" t="str" cm="1">
        <f t="array" ref="P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2" s="15" t="str" cm="1">
        <f t="array" ref="Q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2042" s="1"/>
      <c r="T2042" s="1"/>
      <c r="U2042" s="32" t="s">
        <v>3708</v>
      </c>
      <c r="V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2042" s="15" t="str">
        <f>_xlfn.TEXTBEFORE(_xlfn.TEXTAFTER(CantoralDB[[#This Row],[index.html]],"&gt;"),"&gt;")&amp;"&gt;"</f>
        <v>&lt;a href="canciones/toño_casado/via_crucis_viii_jesus_consuela_a_las_mujeres.html"&gt;</v>
      </c>
      <c r="X2042"/>
      <c r="AB2042" s="1"/>
    </row>
    <row r="2043" spans="1:28" x14ac:dyDescent="0.3">
      <c r="A2043" s="1">
        <f>ROW(CantoralDB[[#This Row],[Título]])-1</f>
        <v>2042</v>
      </c>
      <c r="B2043" s="1" t="s">
        <v>2928</v>
      </c>
      <c r="C2043" s="1"/>
      <c r="H2043" s="1" t="s">
        <v>1029</v>
      </c>
      <c r="J2043" s="1" t="s">
        <v>607</v>
      </c>
      <c r="M2043" s="15" t="s">
        <v>481</v>
      </c>
      <c r="N2043" s="1" t="s">
        <v>2918</v>
      </c>
      <c r="O2043" s="15">
        <v>9</v>
      </c>
      <c r="P2043" s="15" t="str" cm="1">
        <f t="array" ref="P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3" s="15" t="str" cm="1">
        <f t="array" ref="Q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2043" s="1"/>
      <c r="T2043" s="1"/>
      <c r="U2043" s="32" t="s">
        <v>3709</v>
      </c>
      <c r="V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2043" s="15" t="str">
        <f>_xlfn.TEXTBEFORE(_xlfn.TEXTAFTER(CantoralDB[[#This Row],[index.html]],"&gt;"),"&gt;")&amp;"&gt;"</f>
        <v>&lt;a href="canciones/toño_casado/via_crucis_ix_jesus_cae_por_tercera_vez.html"&gt;</v>
      </c>
      <c r="X2043"/>
      <c r="AB2043" s="1"/>
    </row>
    <row r="2044" spans="1:28" x14ac:dyDescent="0.3">
      <c r="A2044" s="1">
        <f>ROW(CantoralDB[[#This Row],[Título]])-1</f>
        <v>2043</v>
      </c>
      <c r="B2044" s="1" t="s">
        <v>2929</v>
      </c>
      <c r="C2044" s="1"/>
      <c r="H2044" s="1" t="s">
        <v>1026</v>
      </c>
      <c r="J2044" s="1" t="s">
        <v>607</v>
      </c>
      <c r="M2044" s="15" t="s">
        <v>481</v>
      </c>
      <c r="N2044" s="1" t="s">
        <v>2918</v>
      </c>
      <c r="O2044" s="15">
        <v>10</v>
      </c>
      <c r="P2044" s="15" t="str" cm="1">
        <f t="array" ref="P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4" s="15" t="str" cm="1">
        <f t="array" ref="Q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2044" s="1"/>
      <c r="T2044" s="1"/>
      <c r="U2044" s="32" t="s">
        <v>3710</v>
      </c>
      <c r="V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2044" s="15" t="str">
        <f>_xlfn.TEXTBEFORE(_xlfn.TEXTAFTER(CantoralDB[[#This Row],[index.html]],"&gt;"),"&gt;")&amp;"&gt;"</f>
        <v>&lt;a href="canciones/toño_casado/via_crucis_x_jesus_es_despojado.html"&gt;</v>
      </c>
      <c r="X2044"/>
      <c r="AB2044" s="1"/>
    </row>
    <row r="2045" spans="1:28" x14ac:dyDescent="0.3">
      <c r="A2045" s="1">
        <f>ROW(CantoralDB[[#This Row],[Título]])-1</f>
        <v>2044</v>
      </c>
      <c r="B2045" s="1" t="s">
        <v>2930</v>
      </c>
      <c r="C2045" s="1"/>
      <c r="H2045" s="1" t="s">
        <v>1029</v>
      </c>
      <c r="J2045" s="1" t="s">
        <v>607</v>
      </c>
      <c r="M2045" s="15" t="s">
        <v>481</v>
      </c>
      <c r="N2045" s="1" t="s">
        <v>2918</v>
      </c>
      <c r="O2045" s="15">
        <v>11</v>
      </c>
      <c r="P2045" s="15" t="str" cm="1">
        <f t="array" ref="P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5" s="15" t="str" cm="1">
        <f t="array" ref="Q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2045" s="1"/>
      <c r="T2045" s="1"/>
      <c r="U2045" s="32" t="s">
        <v>3711</v>
      </c>
      <c r="V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2045" s="15" t="str">
        <f>_xlfn.TEXTBEFORE(_xlfn.TEXTAFTER(CantoralDB[[#This Row],[index.html]],"&gt;"),"&gt;")&amp;"&gt;"</f>
        <v>&lt;a href="canciones/toño_casado/via_crucis_xi_jesus_es_clavado_en_la_cruz.html"&gt;</v>
      </c>
      <c r="X2045"/>
      <c r="AB2045" s="1"/>
    </row>
    <row r="2046" spans="1:28" x14ac:dyDescent="0.3">
      <c r="A2046" s="1">
        <f>ROW(CantoralDB[[#This Row],[Título]])-1</f>
        <v>2045</v>
      </c>
      <c r="B2046" s="1" t="s">
        <v>2931</v>
      </c>
      <c r="C2046" s="1"/>
      <c r="H2046" s="1" t="s">
        <v>530</v>
      </c>
      <c r="J2046" s="1" t="s">
        <v>607</v>
      </c>
      <c r="M2046" s="15" t="s">
        <v>481</v>
      </c>
      <c r="N2046" s="1" t="s">
        <v>2918</v>
      </c>
      <c r="O2046" s="15">
        <v>12</v>
      </c>
      <c r="P2046" s="15" t="str" cm="1">
        <f t="array" ref="P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6" s="15" t="str" cm="1">
        <f t="array" ref="Q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2046" s="1"/>
      <c r="T2046" s="1"/>
      <c r="U2046" s="32" t="s">
        <v>3712</v>
      </c>
      <c r="V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2046" s="15" t="str">
        <f>_xlfn.TEXTBEFORE(_xlfn.TEXTAFTER(CantoralDB[[#This Row],[index.html]],"&gt;"),"&gt;")&amp;"&gt;"</f>
        <v>&lt;a href="canciones/toño_casado/via_crucis_xii_jesus_muere_en_la_cruz.html"&gt;</v>
      </c>
      <c r="X2046"/>
      <c r="AB2046" s="1"/>
    </row>
    <row r="2047" spans="1:28" x14ac:dyDescent="0.3">
      <c r="A2047" s="1">
        <f>ROW(CantoralDB[[#This Row],[Título]])-1</f>
        <v>2046</v>
      </c>
      <c r="B2047" s="1" t="s">
        <v>2932</v>
      </c>
      <c r="C2047" s="1"/>
      <c r="H2047" s="1" t="s">
        <v>1026</v>
      </c>
      <c r="J2047" s="1" t="s">
        <v>607</v>
      </c>
      <c r="M2047" s="15" t="s">
        <v>481</v>
      </c>
      <c r="N2047" s="1" t="s">
        <v>2918</v>
      </c>
      <c r="O2047" s="15">
        <v>13</v>
      </c>
      <c r="P2047" s="15" t="str" cm="1">
        <f t="array" ref="P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7" s="15" t="str" cm="1">
        <f t="array" ref="Q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2047" s="1"/>
      <c r="T2047" s="1"/>
      <c r="U2047" s="32" t="s">
        <v>3713</v>
      </c>
      <c r="V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2047" s="15" t="str">
        <f>_xlfn.TEXTBEFORE(_xlfn.TEXTAFTER(CantoralDB[[#This Row],[index.html]],"&gt;"),"&gt;")&amp;"&gt;"</f>
        <v>&lt;a href="canciones/toño_casado/via_crucis_xiii_jesus_bajado_de_la_cruz.html"&gt;</v>
      </c>
      <c r="X2047"/>
      <c r="AB2047" s="1"/>
    </row>
    <row r="2048" spans="1:28" x14ac:dyDescent="0.3">
      <c r="A2048" s="1">
        <f>ROW(CantoralDB[[#This Row],[Título]])-1</f>
        <v>2047</v>
      </c>
      <c r="B2048" s="1" t="s">
        <v>2933</v>
      </c>
      <c r="C2048" s="1"/>
      <c r="H2048" s="1" t="s">
        <v>1028</v>
      </c>
      <c r="J2048" s="1" t="s">
        <v>607</v>
      </c>
      <c r="M2048" s="15" t="s">
        <v>481</v>
      </c>
      <c r="N2048" s="1" t="s">
        <v>2918</v>
      </c>
      <c r="O2048" s="15">
        <v>14</v>
      </c>
      <c r="P2048" s="15" t="str" cm="1">
        <f t="array" ref="P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8" s="15" t="str" cm="1">
        <f t="array" ref="Q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2048" s="1"/>
      <c r="T2048" s="1"/>
      <c r="U2048" s="32" t="s">
        <v>3714</v>
      </c>
      <c r="V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2048" s="15" t="str">
        <f>_xlfn.TEXTBEFORE(_xlfn.TEXTAFTER(CantoralDB[[#This Row],[index.html]],"&gt;"),"&gt;")&amp;"&gt;"</f>
        <v>&lt;a href="canciones/toño_casado/via_crucis_xiv_el_cuerpo_de_jesus.html"&gt;</v>
      </c>
      <c r="X2048"/>
      <c r="AB2048" s="1"/>
    </row>
    <row r="2049" spans="1:28" x14ac:dyDescent="0.3">
      <c r="A2049" s="1">
        <f>ROW(CantoralDB[[#This Row],[Título]])-1</f>
        <v>2048</v>
      </c>
      <c r="B2049" s="1" t="s">
        <v>2934</v>
      </c>
      <c r="C2049" s="1"/>
      <c r="H2049" s="1" t="s">
        <v>472</v>
      </c>
      <c r="J2049" s="1" t="s">
        <v>607</v>
      </c>
      <c r="M2049" s="15" t="s">
        <v>481</v>
      </c>
      <c r="N2049" s="1" t="s">
        <v>2918</v>
      </c>
      <c r="O2049" s="15">
        <v>15</v>
      </c>
      <c r="P2049" s="15" t="str" cm="1">
        <f t="array" ref="P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2049" s="15" t="str" cm="1">
        <f t="array" ref="Q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2049" s="1"/>
      <c r="T2049" s="1"/>
      <c r="U2049" s="32" t="s">
        <v>3715</v>
      </c>
      <c r="V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2049" s="15" t="str">
        <f>_xlfn.TEXTBEFORE(_xlfn.TEXTAFTER(CantoralDB[[#This Row],[index.html]],"&gt;"),"&gt;")&amp;"&gt;"</f>
        <v>&lt;a href="canciones/toño_casado/via_crucis_xv_la_fuerza_de_la_cruz.html"&gt;</v>
      </c>
      <c r="X2049"/>
      <c r="AB2049" s="1"/>
    </row>
    <row r="2050" spans="1:28" x14ac:dyDescent="0.3">
      <c r="A2050" s="1">
        <f>ROW(CantoralDB[[#This Row],[Título]])-1</f>
        <v>2049</v>
      </c>
      <c r="B2050" s="1" t="s">
        <v>544</v>
      </c>
      <c r="C2050" s="1" t="s">
        <v>475</v>
      </c>
      <c r="D2050" s="1" t="s">
        <v>1369</v>
      </c>
      <c r="H2050" s="1" t="s">
        <v>472</v>
      </c>
      <c r="J2050" s="1" t="s">
        <v>607</v>
      </c>
      <c r="M2050" s="15" t="s">
        <v>2133</v>
      </c>
      <c r="O2050" s="15"/>
      <c r="P2050" s="15" t="str" cm="1">
        <f t="array" ref="P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0" s="15" t="str" cm="1">
        <f t="array" ref="Q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2050" s="1"/>
      <c r="T2050" s="1"/>
      <c r="U2050" s="15"/>
      <c r="V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2050" s="15" t="str">
        <f>_xlfn.TEXTBEFORE(_xlfn.TEXTAFTER(CantoralDB[[#This Row],[index.html]],"&gt;"),"&gt;")&amp;"&gt;"</f>
        <v>&lt;a href="canciones/villancicos/alegria_alegria_alegria.html"&gt;</v>
      </c>
      <c r="X2050"/>
      <c r="AB2050" s="1"/>
    </row>
    <row r="2051" spans="1:28" x14ac:dyDescent="0.3">
      <c r="A2051" s="1">
        <f>ROW(CantoralDB[[#This Row],[Título]])-1</f>
        <v>2050</v>
      </c>
      <c r="B2051" s="1" t="s">
        <v>2179</v>
      </c>
      <c r="C2051" s="1"/>
      <c r="H2051" s="1" t="s">
        <v>530</v>
      </c>
      <c r="J2051" s="1" t="s">
        <v>607</v>
      </c>
      <c r="M2051" s="15" t="s">
        <v>2133</v>
      </c>
      <c r="O2051" s="15"/>
      <c r="P2051" s="15" t="str" cm="1">
        <f t="array" ref="P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1" s="15" t="str" cm="1">
        <f t="array" ref="Q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2051" s="1"/>
      <c r="T2051" s="1"/>
      <c r="U2051" s="15"/>
      <c r="V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2051" s="15" t="str">
        <f>_xlfn.TEXTBEFORE(_xlfn.TEXTAFTER(CantoralDB[[#This Row],[index.html]],"&gt;"),"&gt;")&amp;"&gt;"</f>
        <v>&lt;a href="canciones/villancicos/arre_borriquito.html"&gt;</v>
      </c>
      <c r="X2051"/>
      <c r="AB2051" s="1"/>
    </row>
    <row r="2052" spans="1:28" x14ac:dyDescent="0.3">
      <c r="A2052" s="1">
        <f>ROW(CantoralDB[[#This Row],[Título]])-1</f>
        <v>2051</v>
      </c>
      <c r="B2052" s="1" t="s">
        <v>546</v>
      </c>
      <c r="C2052" s="1" t="s">
        <v>475</v>
      </c>
      <c r="D2052" s="1" t="s">
        <v>1387</v>
      </c>
      <c r="H2052" s="1" t="s">
        <v>1028</v>
      </c>
      <c r="J2052" s="1" t="s">
        <v>607</v>
      </c>
      <c r="M2052" s="15" t="s">
        <v>2133</v>
      </c>
      <c r="O2052" s="15"/>
      <c r="P2052" s="15" t="str" cm="1">
        <f t="array" ref="P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2" s="15" t="str" cm="1">
        <f t="array" ref="Q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2052" s="1"/>
      <c r="T2052" s="1"/>
      <c r="U2052" s="15"/>
      <c r="V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2052" s="15" t="str">
        <f>_xlfn.TEXTBEFORE(_xlfn.TEXTAFTER(CantoralDB[[#This Row],[index.html]],"&gt;"),"&gt;")&amp;"&gt;"</f>
        <v>&lt;a href="canciones/villancicos/ay_del_chiquirritin.html"&gt;</v>
      </c>
      <c r="X2052"/>
      <c r="AB2052" s="1"/>
    </row>
    <row r="2053" spans="1:28" x14ac:dyDescent="0.3">
      <c r="A2053" s="1">
        <f>ROW(CantoralDB[[#This Row],[Título]])-1</f>
        <v>2052</v>
      </c>
      <c r="B2053" s="1" t="s">
        <v>545</v>
      </c>
      <c r="C2053" s="1" t="s">
        <v>475</v>
      </c>
      <c r="D2053" s="1" t="s">
        <v>1393</v>
      </c>
      <c r="E2053" s="1">
        <v>40</v>
      </c>
      <c r="H2053" s="1" t="s">
        <v>530</v>
      </c>
      <c r="J2053" s="1" t="s">
        <v>607</v>
      </c>
      <c r="M2053" s="15" t="s">
        <v>2133</v>
      </c>
      <c r="O2053" s="15"/>
      <c r="P2053" s="15" t="str" cm="1">
        <f t="array" ref="P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3" s="15" t="str" cm="1">
        <f t="array" ref="Q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2053" s="1"/>
      <c r="T2053" s="1"/>
      <c r="U2053" s="15"/>
      <c r="V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2053" s="15" t="str">
        <f>_xlfn.TEXTBEFORE(_xlfn.TEXTAFTER(CantoralDB[[#This Row],[index.html]],"&gt;"),"&gt;")&amp;"&gt;"</f>
        <v>&lt;a href="canciones/villancicos/campana_sobre_campana.html"&gt;</v>
      </c>
      <c r="X2053"/>
      <c r="AB2053" s="1"/>
    </row>
    <row r="2054" spans="1:28" x14ac:dyDescent="0.3">
      <c r="A2054" s="1">
        <f>ROW(CantoralDB[[#This Row],[Título]])-1</f>
        <v>2053</v>
      </c>
      <c r="B2054" s="1" t="s">
        <v>1197</v>
      </c>
      <c r="C2054" s="1"/>
      <c r="E2054" s="1">
        <v>72</v>
      </c>
      <c r="H2054" s="1" t="s">
        <v>1029</v>
      </c>
      <c r="J2054" s="1" t="s">
        <v>607</v>
      </c>
      <c r="M2054" s="15" t="s">
        <v>2133</v>
      </c>
      <c r="O2054" s="15"/>
      <c r="P2054" s="15" t="str" cm="1">
        <f t="array" ref="P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4" s="15" t="str" cm="1">
        <f t="array" ref="Q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2054" s="1"/>
      <c r="T2054" s="1"/>
      <c r="U2054" s="15"/>
      <c r="V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2054" s="15" t="str">
        <f>_xlfn.TEXTBEFORE(_xlfn.TEXTAFTER(CantoralDB[[#This Row],[index.html]],"&gt;"),"&gt;")&amp;"&gt;"</f>
        <v>&lt;a href="canciones/villancicos/danos_paz.html"&gt;</v>
      </c>
      <c r="X2054"/>
      <c r="AB2054" s="1"/>
    </row>
    <row r="2055" spans="1:28" x14ac:dyDescent="0.3">
      <c r="A2055" s="1">
        <f>ROW(CantoralDB[[#This Row],[Título]])-1</f>
        <v>2054</v>
      </c>
      <c r="B2055" s="1" t="s">
        <v>547</v>
      </c>
      <c r="C2055" s="1" t="s">
        <v>475</v>
      </c>
      <c r="D2055" s="1" t="s">
        <v>1408</v>
      </c>
      <c r="E2055" s="1">
        <v>86</v>
      </c>
      <c r="H2055" s="1" t="s">
        <v>1029</v>
      </c>
      <c r="J2055" s="1" t="s">
        <v>607</v>
      </c>
      <c r="M2055" s="15" t="s">
        <v>2133</v>
      </c>
      <c r="O2055" s="15"/>
      <c r="P2055" s="15" t="str" cm="1">
        <f t="array" ref="P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5" s="15" t="str" cm="1">
        <f t="array" ref="Q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2055" s="1"/>
      <c r="T2055" s="1"/>
      <c r="U2055" s="15"/>
      <c r="V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2055" s="15" t="str">
        <f>_xlfn.TEXTBEFORE(_xlfn.TEXTAFTER(CantoralDB[[#This Row],[index.html]],"&gt;"),"&gt;")&amp;"&gt;"</f>
        <v>&lt;a href="canciones/villancicos/dime_niño.html"&gt;</v>
      </c>
      <c r="X2055"/>
      <c r="AB2055" s="1"/>
    </row>
    <row r="2056" spans="1:28" x14ac:dyDescent="0.3">
      <c r="A2056" s="1">
        <f>ROW(CantoralDB[[#This Row],[Título]])-1</f>
        <v>2055</v>
      </c>
      <c r="B2056" s="1" t="s">
        <v>55</v>
      </c>
      <c r="C2056" s="1" t="s">
        <v>475</v>
      </c>
      <c r="D2056" s="1" t="s">
        <v>1415</v>
      </c>
      <c r="E2056" s="1">
        <v>104</v>
      </c>
      <c r="G2056" s="1" t="s">
        <v>208</v>
      </c>
      <c r="H2056" s="1" t="s">
        <v>530</v>
      </c>
      <c r="J2056" s="1" t="s">
        <v>607</v>
      </c>
      <c r="M2056" s="15" t="s">
        <v>2133</v>
      </c>
      <c r="O2056" s="15"/>
      <c r="P2056" s="15" t="str" cm="1">
        <f t="array" ref="P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6" s="15" t="str" cm="1">
        <f t="array" ref="Q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2056" s="1"/>
      <c r="T2056" s="1"/>
      <c r="U2056" s="15"/>
      <c r="V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2056" s="15" t="str">
        <f>_xlfn.TEXTBEFORE(_xlfn.TEXTAFTER(CantoralDB[[#This Row],[index.html]],"&gt;"),"&gt;")&amp;"&gt;"</f>
        <v>&lt;a href="canciones/villancicos/el_tamborilero.html"&gt;</v>
      </c>
      <c r="X2056"/>
      <c r="AB2056" s="1"/>
    </row>
    <row r="2057" spans="1:28" x14ac:dyDescent="0.3">
      <c r="A2057" s="1">
        <f>ROW(CantoralDB[[#This Row],[Título]])-1</f>
        <v>2056</v>
      </c>
      <c r="B2057" s="1" t="s">
        <v>2180</v>
      </c>
      <c r="C2057" s="1"/>
      <c r="H2057" s="1" t="s">
        <v>1029</v>
      </c>
      <c r="J2057" s="1" t="s">
        <v>607</v>
      </c>
      <c r="M2057" s="15" t="s">
        <v>2133</v>
      </c>
      <c r="O2057" s="15"/>
      <c r="P2057" s="15" t="str" cm="1">
        <f t="array" ref="P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7" s="15" t="str" cm="1">
        <f t="array" ref="Q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2057" s="1"/>
      <c r="T2057" s="1"/>
      <c r="U2057" s="15"/>
      <c r="V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2057" s="15" t="str">
        <f>_xlfn.TEXTBEFORE(_xlfn.TEXTAFTER(CantoralDB[[#This Row],[index.html]],"&gt;"),"&gt;")&amp;"&gt;"</f>
        <v>&lt;a href="canciones/villancicos/hacia_belen_va_una_burra.html"&gt;</v>
      </c>
      <c r="X2057"/>
      <c r="AB2057" s="1"/>
    </row>
    <row r="2058" spans="1:28" x14ac:dyDescent="0.3">
      <c r="A2058" s="1">
        <f>ROW(CantoralDB[[#This Row],[Título]])-1</f>
        <v>2057</v>
      </c>
      <c r="B2058" s="1" t="s">
        <v>788</v>
      </c>
      <c r="C2058" s="1" t="s">
        <v>475</v>
      </c>
      <c r="D2058" s="1" t="s">
        <v>1058</v>
      </c>
      <c r="H2058" s="1" t="s">
        <v>1029</v>
      </c>
      <c r="J2058" s="1" t="s">
        <v>607</v>
      </c>
      <c r="M2058" s="15" t="s">
        <v>2133</v>
      </c>
      <c r="O2058" s="15"/>
      <c r="P2058" s="15" t="str" cm="1">
        <f t="array" ref="P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8" s="15" t="str" cm="1">
        <f t="array" ref="Q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2058" s="1"/>
      <c r="T2058" s="1"/>
      <c r="U2058" s="15"/>
      <c r="V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2058" s="15" t="str">
        <f>_xlfn.TEXTBEFORE(_xlfn.TEXTAFTER(CantoralDB[[#This Row],[index.html]],"&gt;"),"&gt;")&amp;"&gt;"</f>
        <v>&lt;a href="canciones/villancicos/hoy_en_la_tierra.html"&gt;</v>
      </c>
      <c r="X2058"/>
      <c r="AB2058" s="1"/>
    </row>
    <row r="2059" spans="1:28" x14ac:dyDescent="0.3">
      <c r="A2059" s="1">
        <f>ROW(CantoralDB[[#This Row],[Título]])-1</f>
        <v>2058</v>
      </c>
      <c r="B2059" s="1" t="s">
        <v>2181</v>
      </c>
      <c r="C2059" s="1"/>
      <c r="H2059" s="1" t="s">
        <v>530</v>
      </c>
      <c r="J2059" s="1" t="s">
        <v>607</v>
      </c>
      <c r="M2059" s="15" t="s">
        <v>2133</v>
      </c>
      <c r="O2059" s="15"/>
      <c r="P2059" s="15" t="str" cm="1">
        <f t="array" ref="P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59" s="15" t="str" cm="1">
        <f t="array" ref="Q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2059" s="1"/>
      <c r="T2059" s="1"/>
      <c r="U2059" s="15"/>
      <c r="V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2059" s="15" t="str">
        <f>_xlfn.TEXTBEFORE(_xlfn.TEXTAFTER(CantoralDB[[#This Row],[index.html]],"&gt;"),"&gt;")&amp;"&gt;"</f>
        <v>&lt;a href="canciones/villancicos/la_marimorena.html"&gt;</v>
      </c>
      <c r="X2059"/>
      <c r="AB2059" s="1"/>
    </row>
    <row r="2060" spans="1:28" x14ac:dyDescent="0.3">
      <c r="A2060" s="1">
        <f>ROW(CantoralDB[[#This Row],[Título]])-1</f>
        <v>2059</v>
      </c>
      <c r="B2060" s="1" t="s">
        <v>1655</v>
      </c>
      <c r="C2060" s="15"/>
      <c r="H2060" s="1" t="s">
        <v>530</v>
      </c>
      <c r="J2060" s="1" t="s">
        <v>607</v>
      </c>
      <c r="M2060" s="15" t="s">
        <v>2133</v>
      </c>
      <c r="O2060" s="15"/>
      <c r="P2060" s="15" t="str" cm="1">
        <f t="array" ref="P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0" s="15" t="str" cm="1">
        <f t="array" ref="Q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2060" s="1"/>
      <c r="T2060" s="1"/>
      <c r="U2060" s="15"/>
      <c r="V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2060" s="15" t="str">
        <f>_xlfn.TEXTBEFORE(_xlfn.TEXTAFTER(CantoralDB[[#This Row],[index.html]],"&gt;"),"&gt;")&amp;"&gt;"</f>
        <v>&lt;a href="canciones/villancicos/la_mula.html"&gt;</v>
      </c>
      <c r="X2060"/>
      <c r="AB2060" s="1"/>
    </row>
    <row r="2061" spans="1:28" x14ac:dyDescent="0.3">
      <c r="A2061" s="1">
        <f>ROW(CantoralDB[[#This Row],[Título]])-1</f>
        <v>2060</v>
      </c>
      <c r="B2061" s="1" t="s">
        <v>2182</v>
      </c>
      <c r="C2061" s="1"/>
      <c r="H2061" s="1" t="s">
        <v>530</v>
      </c>
      <c r="J2061" s="1" t="s">
        <v>607</v>
      </c>
      <c r="M2061" s="15" t="s">
        <v>2133</v>
      </c>
      <c r="O2061" s="15"/>
      <c r="P2061" s="15" t="str" cm="1">
        <f t="array" ref="P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1" s="15" t="str" cm="1">
        <f t="array" ref="Q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2061" s="1"/>
      <c r="T2061" s="1"/>
      <c r="U2061" s="15"/>
      <c r="V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2061" s="15" t="str">
        <f>_xlfn.TEXTBEFORE(_xlfn.TEXTAFTER(CantoralDB[[#This Row],[index.html]],"&gt;"),"&gt;")&amp;"&gt;"</f>
        <v>&lt;a href="canciones/villancicos/los_peces_en_el_rio.html"&gt;</v>
      </c>
      <c r="X2061"/>
      <c r="AB2061" s="1"/>
    </row>
    <row r="2062" spans="1:28" x14ac:dyDescent="0.3">
      <c r="A2062" s="1">
        <f>ROW(CantoralDB[[#This Row],[Título]])-1</f>
        <v>2061</v>
      </c>
      <c r="B2062" s="1" t="s">
        <v>251</v>
      </c>
      <c r="C2062" s="1" t="s">
        <v>475</v>
      </c>
      <c r="D2062" s="1" t="s">
        <v>1060</v>
      </c>
      <c r="G2062" s="1" t="s">
        <v>247</v>
      </c>
      <c r="H2062" s="1" t="s">
        <v>1026</v>
      </c>
      <c r="J2062" s="1" t="s">
        <v>607</v>
      </c>
      <c r="M2062" s="15" t="s">
        <v>2133</v>
      </c>
      <c r="O2062" s="15"/>
      <c r="P2062" s="15" t="str" cm="1">
        <f t="array" ref="P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2" s="15" t="str" cm="1">
        <f t="array" ref="Q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2062" s="1"/>
      <c r="T2062" s="1"/>
      <c r="U2062" s="15"/>
      <c r="V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2062" s="15" t="str">
        <f>_xlfn.TEXTBEFORE(_xlfn.TEXTAFTER(CantoralDB[[#This Row],[index.html]],"&gt;"),"&gt;")&amp;"&gt;"</f>
        <v>&lt;a href="canciones/villancicos/nace_el_niño_en_un_portal.html"&gt;</v>
      </c>
      <c r="X2062"/>
      <c r="AB2062" s="1"/>
    </row>
    <row r="2063" spans="1:28" x14ac:dyDescent="0.3">
      <c r="A2063" s="1">
        <f>ROW(CantoralDB[[#This Row],[Título]])-1</f>
        <v>2062</v>
      </c>
      <c r="B2063" s="1" t="s">
        <v>1281</v>
      </c>
      <c r="C2063" s="1"/>
      <c r="E2063" s="1">
        <v>170</v>
      </c>
      <c r="H2063" s="1" t="s">
        <v>472</v>
      </c>
      <c r="J2063" s="1" t="s">
        <v>607</v>
      </c>
      <c r="M2063" s="15" t="s">
        <v>2133</v>
      </c>
      <c r="O2063" s="15"/>
      <c r="P2063" s="15" t="str" cm="1">
        <f t="array" ref="P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3" s="15" t="str" cm="1">
        <f t="array" ref="Q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2063" s="1"/>
      <c r="T2063" s="1"/>
      <c r="U2063" s="15"/>
      <c r="V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2063" s="15" t="str">
        <f>_xlfn.TEXTBEFORE(_xlfn.TEXTAFTER(CantoralDB[[#This Row],[index.html]],"&gt;"),"&gt;")&amp;"&gt;"</f>
        <v>&lt;a href="canciones/villancicos/noche_de_dios.html"&gt;</v>
      </c>
      <c r="X2063"/>
      <c r="AB2063" s="1"/>
    </row>
    <row r="2064" spans="1:28" x14ac:dyDescent="0.3">
      <c r="A2064" s="1">
        <f>ROW(CantoralDB[[#This Row],[Título]])-1</f>
        <v>2063</v>
      </c>
      <c r="B2064" s="1" t="s">
        <v>789</v>
      </c>
      <c r="C2064" s="1" t="s">
        <v>475</v>
      </c>
      <c r="D2064" s="1" t="s">
        <v>1063</v>
      </c>
      <c r="H2064" s="1" t="s">
        <v>472</v>
      </c>
      <c r="J2064" s="1" t="s">
        <v>607</v>
      </c>
      <c r="M2064" s="15" t="s">
        <v>2133</v>
      </c>
      <c r="O2064" s="15"/>
      <c r="P2064" s="15" t="str" cm="1">
        <f t="array" ref="P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4" s="15" t="str" cm="1">
        <f t="array" ref="Q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2064" s="1"/>
      <c r="T2064" s="1"/>
      <c r="U2064" s="15"/>
      <c r="V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2064" s="15" t="str">
        <f>_xlfn.TEXTBEFORE(_xlfn.TEXTAFTER(CantoralDB[[#This Row],[index.html]],"&gt;"),"&gt;")&amp;"&gt;"</f>
        <v>&lt;a href="canciones/villancicos/noche_de_paz.html"&gt;</v>
      </c>
      <c r="X2064"/>
      <c r="AB2064" s="1"/>
    </row>
    <row r="2065" spans="1:28" x14ac:dyDescent="0.3">
      <c r="A2065" s="1">
        <f>ROW(CantoralDB[[#This Row],[Título]])-1</f>
        <v>2064</v>
      </c>
      <c r="B2065" s="1" t="s">
        <v>252</v>
      </c>
      <c r="C2065" s="1" t="s">
        <v>475</v>
      </c>
      <c r="D2065" s="1" t="s">
        <v>1064</v>
      </c>
      <c r="G2065" s="1" t="s">
        <v>247</v>
      </c>
      <c r="H2065" s="1" t="s">
        <v>1026</v>
      </c>
      <c r="J2065" s="1" t="s">
        <v>607</v>
      </c>
      <c r="M2065" s="15" t="s">
        <v>2133</v>
      </c>
      <c r="O2065" s="15"/>
      <c r="P2065" s="15" t="str" cm="1">
        <f t="array" ref="P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5" s="15" t="str" cm="1">
        <f t="array" ref="Q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2065" s="1"/>
      <c r="T2065" s="1"/>
      <c r="U2065" s="15"/>
      <c r="V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2065" s="15" t="str">
        <f>_xlfn.TEXTBEFORE(_xlfn.TEXTAFTER(CantoralDB[[#This Row],[index.html]],"&gt;"),"&gt;")&amp;"&gt;"</f>
        <v>&lt;a href="canciones/villancicos/nunca_suenan_las_campanas.html"&gt;</v>
      </c>
      <c r="X2065"/>
      <c r="AB2065" s="1"/>
    </row>
    <row r="2066" spans="1:28" x14ac:dyDescent="0.3">
      <c r="A2066" s="1">
        <f>ROW(CantoralDB[[#This Row],[Título]])-1</f>
        <v>2065</v>
      </c>
      <c r="B2066" s="1" t="s">
        <v>184</v>
      </c>
      <c r="C2066" s="1" t="s">
        <v>475</v>
      </c>
      <c r="D2066" s="1" t="s">
        <v>1065</v>
      </c>
      <c r="G2066" s="1" t="s">
        <v>208</v>
      </c>
      <c r="H2066" s="1" t="s">
        <v>1027</v>
      </c>
      <c r="J2066" s="1" t="s">
        <v>607</v>
      </c>
      <c r="M2066" s="15" t="s">
        <v>2133</v>
      </c>
      <c r="O2066" s="15"/>
      <c r="P2066" s="15" t="str" cm="1">
        <f t="array" ref="P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6" s="15" t="str" cm="1">
        <f t="array" ref="Q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2066" s="1"/>
      <c r="T2066" s="1"/>
      <c r="U2066" s="15"/>
      <c r="V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2066" s="15" t="str">
        <f>_xlfn.TEXTBEFORE(_xlfn.TEXTAFTER(CantoralDB[[#This Row],[index.html]],"&gt;"),"&gt;")&amp;"&gt;"</f>
        <v>&lt;a href="canciones/villancicos/pastores_venid.html"&gt;</v>
      </c>
      <c r="X2066"/>
      <c r="AB2066" s="1"/>
    </row>
    <row r="2067" spans="1:28" x14ac:dyDescent="0.3">
      <c r="A2067" s="1">
        <f>ROW(CantoralDB[[#This Row],[Título]])-1</f>
        <v>2066</v>
      </c>
      <c r="B2067" s="1" t="s">
        <v>1345</v>
      </c>
      <c r="C2067" s="1" t="s">
        <v>475</v>
      </c>
      <c r="D2067" s="1" t="s">
        <v>1066</v>
      </c>
      <c r="E2067" s="1" t="s">
        <v>2945</v>
      </c>
      <c r="H2067" s="1" t="s">
        <v>530</v>
      </c>
      <c r="J2067" s="1" t="s">
        <v>607</v>
      </c>
      <c r="M2067" s="15" t="s">
        <v>2133</v>
      </c>
      <c r="O2067" s="15"/>
      <c r="P2067" s="15" t="str" cm="1">
        <f t="array" ref="P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7" s="15" t="str" cm="1">
        <f t="array" ref="Q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2067" s="1"/>
      <c r="T2067" s="1"/>
      <c r="U2067" s="15"/>
      <c r="V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2067" s="15" t="str">
        <f>_xlfn.TEXTBEFORE(_xlfn.TEXTAFTER(CantoralDB[[#This Row],[index.html]],"&gt;"),"&gt;")&amp;"&gt;"</f>
        <v>&lt;a href="canciones/villancicos/venid_fieles_todos_(adeste_fideles).html"&gt;</v>
      </c>
      <c r="X2067"/>
      <c r="AB2067" s="1"/>
    </row>
    <row r="2068" spans="1:28" x14ac:dyDescent="0.3">
      <c r="A2068" s="1">
        <f>ROW(CantoralDB[[#This Row],[Título]])-1</f>
        <v>2067</v>
      </c>
      <c r="B2068" s="1" t="s">
        <v>189</v>
      </c>
      <c r="C2068" s="1" t="s">
        <v>475</v>
      </c>
      <c r="D2068" s="1" t="s">
        <v>1068</v>
      </c>
      <c r="G2068" s="1" t="s">
        <v>208</v>
      </c>
      <c r="H2068" s="1" t="s">
        <v>1027</v>
      </c>
      <c r="J2068" s="1" t="s">
        <v>607</v>
      </c>
      <c r="M2068" s="15" t="s">
        <v>2133</v>
      </c>
      <c r="O2068" s="15"/>
      <c r="P2068" s="15" t="str" cm="1">
        <f t="array" ref="P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2068" s="15" t="str" cm="1">
        <f t="array" ref="Q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2068" s="1"/>
      <c r="T2068" s="1"/>
      <c r="U2068" s="15"/>
      <c r="V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2068" s="15" t="str">
        <f>_xlfn.TEXTBEFORE(_xlfn.TEXTAFTER(CantoralDB[[#This Row],[index.html]],"&gt;"),"&gt;")&amp;"&gt;"</f>
        <v>&lt;a href="canciones/villancicos/ya_vienen_los_reyes_magos.html"&gt;</v>
      </c>
      <c r="X2068"/>
      <c r="AB2068" s="1"/>
    </row>
  </sheetData>
  <phoneticPr fontId="2" type="noConversion"/>
  <conditionalFormatting sqref="B1970:B1048576 B1:B1967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981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U1:U1048576">
    <cfRule type="duplicateValues" dxfId="6" priority="1"/>
    <cfRule type="expression" dxfId="5" priority="2">
      <formula>LEN($U1)=43</formula>
    </cfRule>
  </conditionalFormatting>
  <conditionalFormatting sqref="W2069:W1048576 V1:V2068">
    <cfRule type="duplicateValues" dxfId="4" priority="6"/>
  </conditionalFormatting>
  <dataValidations disablePrompts="1" count="1">
    <dataValidation type="list" allowBlank="1" showInputMessage="1" showErrorMessage="1" sqref="C2:C97 C99:C848" xr:uid="{750FF66E-F374-4C3D-8FF6-E9D1568A2116}">
      <formula1>INDIRECT("Categorías[Categorías]")</formula1>
    </dataValidation>
  </dataValidations>
  <hyperlinks>
    <hyperlink ref="U1334" r:id="rId1" xr:uid="{DA6D7995-44D6-4045-83D4-3266E2A25FB4}"/>
    <hyperlink ref="U164" r:id="rId2" xr:uid="{21BF8848-126E-4C25-B417-5F1669A04D1C}"/>
    <hyperlink ref="U169" r:id="rId3" xr:uid="{280AE6E9-4FA8-4531-B556-D3D175297CA7}"/>
    <hyperlink ref="U243" r:id="rId4" xr:uid="{5A062E01-09FE-4AEF-B1C3-B4BDE77D4678}"/>
    <hyperlink ref="U254" r:id="rId5" xr:uid="{91A3A74D-7832-469D-AA27-F069878C6FEC}"/>
    <hyperlink ref="U257" r:id="rId6" xr:uid="{8D344D56-50D6-477E-8BF6-2CFD53A472DA}"/>
    <hyperlink ref="U260" r:id="rId7" xr:uid="{C5A83AB8-9E1A-4535-A199-8BE73C0B5471}"/>
    <hyperlink ref="U262" r:id="rId8" xr:uid="{E9F3201B-715F-4098-8E6D-D392B197A5B3}"/>
    <hyperlink ref="U307" r:id="rId9" xr:uid="{490C640F-E680-4634-BB3E-AF7C0DAD88A5}"/>
    <hyperlink ref="U314" r:id="rId10" xr:uid="{F42495B3-88C6-47C8-B657-1B2B61D548EF}"/>
    <hyperlink ref="U438" r:id="rId11" xr:uid="{94DB8158-D535-4E5F-88E7-271FEE5769F3}"/>
    <hyperlink ref="U372" r:id="rId12" xr:uid="{5DD15421-192B-4611-B4D3-4D136D73D060}"/>
    <hyperlink ref="U437" r:id="rId13" xr:uid="{9C1345B1-458E-4731-A3A0-AD108D913833}"/>
    <hyperlink ref="U772" r:id="rId14" xr:uid="{BDC4F0B6-5619-4F46-8846-DB0DDEB477A2}"/>
    <hyperlink ref="U783" r:id="rId15" xr:uid="{94994174-E097-4F94-8378-57D9FD090C86}"/>
    <hyperlink ref="U788" r:id="rId16" xr:uid="{25EA3260-8E29-47E7-A954-519E86C6C57B}"/>
    <hyperlink ref="U789" r:id="rId17" xr:uid="{2343CBB7-11A5-459D-B24F-324111A058CD}"/>
    <hyperlink ref="U793" r:id="rId18" xr:uid="{FAEE7DBE-6192-4530-B3B9-A884E45CF445}"/>
    <hyperlink ref="U801" r:id="rId19" xr:uid="{9EEB61C2-29A9-44C0-ACC3-42D563D5D598}"/>
    <hyperlink ref="U1079" r:id="rId20" xr:uid="{079B832F-F3E7-4E4F-B070-B593E400FF2F}"/>
    <hyperlink ref="U1226" r:id="rId21" xr:uid="{2D173748-96C6-4F6A-BEE9-C674CD6EE77E}"/>
    <hyperlink ref="U1275" r:id="rId22" xr:uid="{B2CD2234-7C6A-4EF5-95C5-BAD0D6E698D3}"/>
    <hyperlink ref="U1160" r:id="rId23" xr:uid="{04A1525B-1EE5-4333-85EA-3BBDDC370940}"/>
    <hyperlink ref="U1269" r:id="rId24" xr:uid="{45561249-FC48-4E19-99EC-5B395F439E7A}"/>
    <hyperlink ref="U1315" r:id="rId25" xr:uid="{D2635188-B379-4BB5-9F10-1275A6DEA96A}"/>
    <hyperlink ref="U1316" r:id="rId26" xr:uid="{D32DD765-16D3-4FA8-97B7-1D3FA23D3793}"/>
    <hyperlink ref="U1278" r:id="rId27" xr:uid="{16E058A8-C23B-459F-A694-79F7E3F8F9AF}"/>
    <hyperlink ref="U1279" r:id="rId28" xr:uid="{CAD6B09B-7346-4426-B993-39B5BF870443}"/>
    <hyperlink ref="U1489" r:id="rId29" xr:uid="{EBCBDDB5-8CC4-4C1C-8DB2-55EC10F926DE}"/>
    <hyperlink ref="U1515" r:id="rId30" xr:uid="{449ADC59-BF0D-437B-A353-5DA2E313DAF4}"/>
    <hyperlink ref="U1518" r:id="rId31" xr:uid="{14D86472-D553-429A-9116-265BFA79E76B}"/>
    <hyperlink ref="U1623" r:id="rId32" xr:uid="{C25DA0ED-6E20-4FF1-A893-57EF7DB34D94}"/>
    <hyperlink ref="U1551" r:id="rId33" xr:uid="{F5E74ADF-BBA8-4F62-9A7E-054B5A8D4BBE}"/>
    <hyperlink ref="U1351" r:id="rId34" xr:uid="{D3A96B3B-6FAB-41D0-A6D7-F0A2AE0DBE37}"/>
    <hyperlink ref="U1615" r:id="rId35" xr:uid="{C2363F0D-7145-42BA-9539-D32E29FFBDC2}"/>
    <hyperlink ref="U1546" r:id="rId36" xr:uid="{DFE6E2EA-52EB-4198-B263-04CEE8A47BF0}"/>
    <hyperlink ref="U1571" r:id="rId37" xr:uid="{DFA6AFDA-BC2C-462D-983F-EE2812E1B83A}"/>
    <hyperlink ref="U1382" r:id="rId38" xr:uid="{9544858F-3135-4C71-98FD-6C5E15050CAB}"/>
    <hyperlink ref="U1389" r:id="rId39" xr:uid="{1F1A106B-BA63-49E7-A5E2-C73A96132505}"/>
    <hyperlink ref="U1508" r:id="rId40" xr:uid="{06D4042E-5004-4D79-A315-EDCFE6040E75}"/>
    <hyperlink ref="U1492" r:id="rId41" xr:uid="{B2475CB1-A176-4304-AB1A-2B9C73BDF901}"/>
    <hyperlink ref="U1535" r:id="rId42" xr:uid="{6509825F-6E87-42D0-A8F7-8ECE07F8ADF6}"/>
    <hyperlink ref="U1490" r:id="rId43" xr:uid="{3A203355-B934-4573-A591-BC5E56C5AC0E}"/>
    <hyperlink ref="U1668" r:id="rId44" xr:uid="{F7CCAC66-65A6-4E2A-ADE0-76D9D85C9270}"/>
    <hyperlink ref="U1216" r:id="rId45" xr:uid="{BA9E23ED-6124-4584-A61F-30294789B61D}"/>
    <hyperlink ref="U258" r:id="rId46" xr:uid="{3E857284-88EA-4A1D-B90D-0D74CE458F24}"/>
    <hyperlink ref="U1154" r:id="rId47" xr:uid="{6D7D7613-7CA5-4548-9B11-21345A21FA85}"/>
    <hyperlink ref="U389" r:id="rId48" xr:uid="{F8AAFEA3-FE70-4F13-9AD2-ADCAA544E7E1}"/>
    <hyperlink ref="U388" r:id="rId49" xr:uid="{127EED9D-017B-4731-97C6-FBFDE3D64EBE}"/>
    <hyperlink ref="U1406" r:id="rId50" xr:uid="{7EE925C8-BF51-4642-9C9A-43569222C443}"/>
    <hyperlink ref="U1588" r:id="rId51" xr:uid="{06F19AAA-16CE-4AD1-9279-1A4012B04BE5}"/>
    <hyperlink ref="U1565" r:id="rId52" xr:uid="{F71B81CD-F255-4D0B-A3A5-E9AF34D7345A}"/>
    <hyperlink ref="U170" r:id="rId53" xr:uid="{34B857EB-4A72-49A7-A260-2226856934E4}"/>
    <hyperlink ref="U1103" r:id="rId54" xr:uid="{0F80E320-9263-4279-914F-86433DA8B6C6}"/>
    <hyperlink ref="U1593" r:id="rId55" xr:uid="{A01A0643-EDF8-437E-B5EC-E193CB0A2571}"/>
    <hyperlink ref="U263" r:id="rId56" xr:uid="{5C208C0D-6486-412F-9142-4124B23EEBD6}"/>
    <hyperlink ref="U264" r:id="rId57" xr:uid="{5F234FF5-9DD4-45CF-8F7F-38CE23D18398}"/>
    <hyperlink ref="U1268" r:id="rId58" xr:uid="{9D253E0B-31F5-472D-B007-C42B726660A5}"/>
    <hyperlink ref="U265" r:id="rId59" xr:uid="{89FADE87-83C4-4FAF-A3D5-466027642EA2}"/>
    <hyperlink ref="U390" r:id="rId60" xr:uid="{75509568-26F3-4919-873C-35DEB89C81DD}"/>
    <hyperlink ref="U391" r:id="rId61" xr:uid="{07F73227-86AE-4153-9FA4-9EAB1EF745FD}"/>
    <hyperlink ref="U392" r:id="rId62" xr:uid="{28B0DE62-C062-4DD3-815F-F21AA0914C81}"/>
    <hyperlink ref="U393" r:id="rId63" xr:uid="{820A1108-CB56-44DE-88C2-8FBDA9BDB356}"/>
    <hyperlink ref="U394" r:id="rId64" xr:uid="{2FC53817-6FEF-41CB-9C41-BCA568804A75}"/>
    <hyperlink ref="U395" r:id="rId65" xr:uid="{FFA78936-0212-4B30-B872-8A70607A597B}"/>
    <hyperlink ref="U1481" r:id="rId66" xr:uid="{464B5E3D-AFE7-4668-8F91-385748A9C9C5}"/>
    <hyperlink ref="U396" r:id="rId67" xr:uid="{FACF9609-CC95-4E88-9336-5A02D7B67D46}"/>
    <hyperlink ref="U397" r:id="rId68" xr:uid="{D3EDF185-F132-4C92-B2E9-FEA90FCF4EF5}"/>
    <hyperlink ref="U1130" r:id="rId69" xr:uid="{23063EB3-0F73-4F63-9B59-DFA945F041B2}"/>
    <hyperlink ref="U1276" r:id="rId70" xr:uid="{2667F921-65BB-4F8D-ABD1-55B6B72669CB}"/>
    <hyperlink ref="U765" r:id="rId71" xr:uid="{5FFD04EF-BD61-44B8-9623-D93526B4E015}"/>
    <hyperlink ref="U1199" r:id="rId72" xr:uid="{972FEDEB-F03B-4663-8587-DB1B18014DC6}"/>
    <hyperlink ref="U1119" r:id="rId73" xr:uid="{5ABFD726-9ADA-4CE0-844C-2CBD282084DA}"/>
    <hyperlink ref="U803" r:id="rId74" xr:uid="{363AC7A2-9A8B-4497-8669-20CFE34EC20B}"/>
    <hyperlink ref="U434" r:id="rId75" xr:uid="{A5DF8460-4394-4773-AA6B-6A78C3585599}"/>
    <hyperlink ref="U436" r:id="rId76" xr:uid="{900FA351-1353-4D27-899B-256B41FAE0A7}"/>
    <hyperlink ref="U435" r:id="rId77" xr:uid="{13F379FC-DD95-4F2A-9B50-DBF9EC514A6A}"/>
    <hyperlink ref="U429" r:id="rId78" xr:uid="{555A969F-AAFC-4D98-9F05-FF3EC031A868}"/>
    <hyperlink ref="U430" r:id="rId79" xr:uid="{9ABAF122-FE8A-4F71-B3F8-B6EB3D709497}"/>
    <hyperlink ref="U431" r:id="rId80" xr:uid="{7E8797EB-83AC-4F51-AC03-9CD719F2D2FF}"/>
    <hyperlink ref="U432" r:id="rId81" xr:uid="{8853B987-5865-47A6-AB6A-DC11CAB49131}"/>
    <hyperlink ref="U433" r:id="rId82" xr:uid="{32D30A0E-4A6A-4992-9BD6-B1053C511579}"/>
    <hyperlink ref="U1086" r:id="rId83" xr:uid="{33A7A773-825F-4687-9636-F8844D483EDF}"/>
    <hyperlink ref="U408" r:id="rId84" xr:uid="{492470EF-E38F-4857-A92F-4735A876AEE3}"/>
    <hyperlink ref="U409" r:id="rId85" xr:uid="{9DDE8B2D-DB45-4642-B6A0-7977FB993A52}"/>
    <hyperlink ref="U410" r:id="rId86" xr:uid="{62894734-B80A-4025-81C4-E8CDB7C15BC0}"/>
    <hyperlink ref="U411" r:id="rId87" xr:uid="{6C5F4B1E-5A3A-418C-862F-844088FDCBE8}"/>
    <hyperlink ref="U412" r:id="rId88" xr:uid="{596FC8DF-220E-41CF-AB0D-95BDD5717581}"/>
    <hyperlink ref="U413" r:id="rId89" xr:uid="{E950A1FE-2FD3-48AA-A36E-BB9C2BC62209}"/>
    <hyperlink ref="U414" r:id="rId90" xr:uid="{6C954183-99F4-4107-AC29-36014DC928AF}"/>
    <hyperlink ref="U415" r:id="rId91" xr:uid="{804B83C3-909D-47AC-8945-92A3B36314B1}"/>
    <hyperlink ref="U416" r:id="rId92" xr:uid="{58D27C17-7A5B-4862-A52C-EE439CB5394C}"/>
    <hyperlink ref="U417" r:id="rId93" xr:uid="{1DEBB616-003E-482F-833A-2589F33465D5}"/>
    <hyperlink ref="U398" r:id="rId94" xr:uid="{7B27F535-2CB2-4CD8-AFD6-BE2021B37CCE}"/>
    <hyperlink ref="U399" r:id="rId95" xr:uid="{A14571E1-37CE-4248-ACA0-9CE0C77C34AE}"/>
    <hyperlink ref="U400" r:id="rId96" xr:uid="{CA4FF4B8-78A6-4DC8-9552-8A6059D5B512}"/>
    <hyperlink ref="U401" r:id="rId97" xr:uid="{4EA4BE77-A493-47B9-A0DC-23DDA3738ED7}"/>
    <hyperlink ref="U402" r:id="rId98" xr:uid="{C72C4860-A9F4-448D-890E-6C4FFA71F243}"/>
    <hyperlink ref="U403" r:id="rId99" xr:uid="{8BCC2AE4-F9C4-44C5-986B-0A34C0C657F3}"/>
    <hyperlink ref="U404" r:id="rId100" xr:uid="{59A05759-F700-47D3-A43E-2B22309C3110}"/>
    <hyperlink ref="U405" r:id="rId101" xr:uid="{78B9912C-9F3A-4CF1-8071-A491D2616C11}"/>
    <hyperlink ref="U406" r:id="rId102" xr:uid="{4DD8E84A-C2F3-477A-9610-C823E572C8AC}"/>
    <hyperlink ref="U407" r:id="rId103" xr:uid="{3B20846D-EC01-493D-9DD3-138F24148AF4}"/>
    <hyperlink ref="U745" r:id="rId104" xr:uid="{DB1CA5E6-42F8-4851-8059-0AB662E92A51}"/>
    <hyperlink ref="U747" r:id="rId105" xr:uid="{220B3648-52A6-4AC3-9075-64905D7145E5}"/>
    <hyperlink ref="U750" r:id="rId106" xr:uid="{3570CD5B-EF12-4518-908D-444E1690775D}"/>
    <hyperlink ref="U748" r:id="rId107" xr:uid="{1942F552-3CD5-43F0-964C-4FB3B1396EC7}"/>
    <hyperlink ref="U749" r:id="rId108" xr:uid="{CBEB0998-DF78-45D7-91ED-20EDA7279CD1}"/>
    <hyperlink ref="U751" r:id="rId109" xr:uid="{059CE517-4420-4B62-8FE3-73BF149C8E78}"/>
    <hyperlink ref="U752" r:id="rId110" xr:uid="{DDD69CED-B445-4185-8873-EA928424E13C}"/>
    <hyperlink ref="U753" r:id="rId111" xr:uid="{A6250805-408E-4AD0-9848-9EFAAFE1EA31}"/>
    <hyperlink ref="U766" r:id="rId112" xr:uid="{92785729-AFA5-4F18-9EA0-28BEEF15BCFF}"/>
    <hyperlink ref="U767" r:id="rId113" xr:uid="{8A71B694-F49F-4E48-AE46-34F1F325311D}"/>
    <hyperlink ref="U768" r:id="rId114" xr:uid="{BDB2C689-47C3-49F5-9084-DE1C43735A9F}"/>
    <hyperlink ref="U769" r:id="rId115" xr:uid="{A1AAC8D4-8A0A-4409-9D63-3FA16A6626C8}"/>
    <hyperlink ref="U770" r:id="rId116" xr:uid="{C0FA217E-20CF-411B-BA06-B6982B17720C}"/>
    <hyperlink ref="U771" r:id="rId117" xr:uid="{44B58DD6-60BA-447F-96DF-0CCF3A8418C6}"/>
    <hyperlink ref="U773" r:id="rId118" xr:uid="{20604009-49A1-45B8-A628-BC9F6079D96D}"/>
    <hyperlink ref="U774" r:id="rId119" xr:uid="{8FB94D31-5392-4ED8-BEFE-A7FDCABE3960}"/>
    <hyperlink ref="U1258" r:id="rId120" xr:uid="{A736E746-C3E0-472C-A399-3C6F28CEABEF}"/>
    <hyperlink ref="U1259" r:id="rId121" xr:uid="{C2618B96-ECDC-4F2F-9E23-4AEBC7F3E8D1}"/>
    <hyperlink ref="U1260" r:id="rId122" xr:uid="{336048F5-061F-4CCA-B289-D9A0A681EAE6}"/>
    <hyperlink ref="U1249" r:id="rId123" xr:uid="{B657B32C-2439-4446-A260-E5089BC5D7B7}"/>
    <hyperlink ref="U1250" r:id="rId124" xr:uid="{97F12C0A-6CFD-421B-92D8-1412E823486E}"/>
    <hyperlink ref="U1256" r:id="rId125" xr:uid="{4C5750C4-E0BD-4B9F-AEAD-E0BC9214F8ED}"/>
    <hyperlink ref="U586" r:id="rId126" xr:uid="{8E9A6707-B93F-4CFF-B3B3-60F7A7C9930A}"/>
    <hyperlink ref="U664" r:id="rId127" xr:uid="{BDF044D2-FBC3-49E7-9E18-EA061A9E864B}"/>
    <hyperlink ref="U638" r:id="rId128" xr:uid="{23A15D14-AE46-4E34-B001-CC688637FB97}"/>
    <hyperlink ref="U630" r:id="rId129" xr:uid="{40AA1D70-A3B9-41FD-8A12-4BCC3435C117}"/>
    <hyperlink ref="U199" r:id="rId130" xr:uid="{D881F592-FB56-4C23-85A2-C953D31BE5BA}"/>
    <hyperlink ref="U201" r:id="rId131" xr:uid="{2F7673D0-50EE-4F0C-8497-E2D5239FA113}"/>
    <hyperlink ref="U668" r:id="rId132" xr:uid="{EE56FFD6-B22E-4C19-8D92-4686F18E683E}"/>
    <hyperlink ref="U667" r:id="rId133" xr:uid="{C2755666-85A3-4D6D-8616-761BC0B6CE9F}"/>
    <hyperlink ref="U671" r:id="rId134" xr:uid="{38A79056-83A2-4078-B5F9-2DD915561446}"/>
    <hyperlink ref="U672" r:id="rId135" xr:uid="{4254D9C8-8F66-4648-A4C6-906121A92762}"/>
    <hyperlink ref="U681" r:id="rId136" xr:uid="{45552199-50BC-49F2-8A7E-D344E2821AC6}"/>
    <hyperlink ref="U683" r:id="rId137" xr:uid="{85DA44E8-8FC7-4F25-8A1B-20712D1517B0}"/>
    <hyperlink ref="U684" r:id="rId138" xr:uid="{A4170A61-9662-454B-8BB2-FB4E4843FE32}"/>
    <hyperlink ref="U685" r:id="rId139" xr:uid="{F2153D84-9823-423F-8CC0-13D7E1443243}"/>
    <hyperlink ref="U700" r:id="rId140" xr:uid="{C31537E7-7FA3-462D-80C2-8ECAA1F45486}"/>
    <hyperlink ref="U790" r:id="rId141" xr:uid="{ACC7433C-1A0E-4F7D-9A34-CECCDE2CF7A1}"/>
    <hyperlink ref="U17" r:id="rId142" xr:uid="{AEF97D76-D32B-4DF9-BAE5-B266B6288999}"/>
    <hyperlink ref="U18" r:id="rId143" xr:uid="{B593A7B8-C33B-4605-B606-36159C75EF85}"/>
    <hyperlink ref="U19" r:id="rId144" xr:uid="{3943386F-9FAF-479F-BD47-66F4A3B5165C}"/>
    <hyperlink ref="U20" r:id="rId145" xr:uid="{F7EFF53F-13E8-4016-BFAD-52E3DAC1EDAB}"/>
    <hyperlink ref="U21" r:id="rId146" xr:uid="{A69D6966-4C49-4386-B9F5-16091C127297}"/>
    <hyperlink ref="U22" r:id="rId147" xr:uid="{CDB1F0CE-B0E7-4C1B-B760-A1C6B729B330}"/>
    <hyperlink ref="U23" r:id="rId148" xr:uid="{5FAE3771-F595-4F7D-932F-A81604EEEFBD}"/>
    <hyperlink ref="U24" r:id="rId149" xr:uid="{32485FDE-5546-4FCE-BFEC-75086D63302C}"/>
    <hyperlink ref="U25" r:id="rId150" xr:uid="{8DF716D8-5602-4F64-A393-787D5127989E}"/>
    <hyperlink ref="U26" r:id="rId151" xr:uid="{27B6F67D-AED3-431E-AA0F-C3065AC1B895}"/>
    <hyperlink ref="U27" r:id="rId152" xr:uid="{CE5E6385-17BB-478E-B3D6-3C1043F35BB0}"/>
    <hyperlink ref="U28" r:id="rId153" xr:uid="{4DDEF026-6C72-4DCA-83B0-D0AAA2D09826}"/>
    <hyperlink ref="U29" r:id="rId154" xr:uid="{13E40F29-7910-42CC-B943-C0A8AAC26366}"/>
    <hyperlink ref="U30" r:id="rId155" xr:uid="{A738A9C1-5A35-441B-8C0B-2953041A38EB}"/>
    <hyperlink ref="U31" r:id="rId156" xr:uid="{46A9C2A0-F725-4636-BAC1-7D33CE0B93D2}"/>
    <hyperlink ref="U32" r:id="rId157" xr:uid="{D7236038-4E0B-4CA0-8AB7-1ECA30DE94A4}"/>
    <hyperlink ref="U33" r:id="rId158" xr:uid="{7E4DB6F7-533E-46E6-9091-A485204E3455}"/>
    <hyperlink ref="U34" r:id="rId159" xr:uid="{0BD8B2FC-B0F7-4872-976B-7FDFD6ABB131}"/>
    <hyperlink ref="U35" r:id="rId160" xr:uid="{265E1260-8433-4F66-BEDE-5314274AA429}"/>
    <hyperlink ref="U36" r:id="rId161" xr:uid="{31AD68C9-5BAB-4497-826F-7F50B88AFD6D}"/>
    <hyperlink ref="U37" r:id="rId162" xr:uid="{BE830B89-650D-48BA-A325-64291B398A67}"/>
    <hyperlink ref="U38" r:id="rId163" xr:uid="{E741C0DE-091D-4985-B8F1-32B4A1ADF953}"/>
    <hyperlink ref="U39" r:id="rId164" xr:uid="{B2FCF8F0-EF8A-481E-926C-3F5928700CC3}"/>
    <hyperlink ref="U40" r:id="rId165" xr:uid="{DE09E872-0804-4912-99F2-0022E8F785AD}"/>
    <hyperlink ref="U41" r:id="rId166" xr:uid="{631497F8-DA95-4376-8B80-B725176F0AB3}"/>
    <hyperlink ref="U42" r:id="rId167" xr:uid="{FBD2D2FE-2FE2-438A-B9C7-ED986D044699}"/>
    <hyperlink ref="U43" r:id="rId168" xr:uid="{3B8C09E7-C394-4431-815F-E87A9F512665}"/>
    <hyperlink ref="U44" r:id="rId169" xr:uid="{98076859-15E3-48E4-BC0A-99F5D0C5B4E3}"/>
    <hyperlink ref="U45" r:id="rId170" xr:uid="{A2CD9439-1564-4D9E-8097-7CF277F50D9B}"/>
    <hyperlink ref="U46" r:id="rId171" xr:uid="{507EEA1E-2205-40EF-8C0F-39CE9A6302E2}"/>
    <hyperlink ref="U47" r:id="rId172" xr:uid="{C396DF0D-8DA9-4FD3-A9A0-468AB909C1FA}"/>
    <hyperlink ref="U48" r:id="rId173" xr:uid="{2E2FA59A-42F9-404E-AE19-F7D864AEB49F}"/>
    <hyperlink ref="U49" r:id="rId174" xr:uid="{5A1C0C09-BAB2-436E-9800-B698A7E063E4}"/>
    <hyperlink ref="U50" r:id="rId175" xr:uid="{15D8F7B0-BD5E-471A-84E9-9FF7843570BD}"/>
    <hyperlink ref="U51" r:id="rId176" xr:uid="{7AD64C9F-D434-4D89-9ADC-D4809BD3FB4B}"/>
    <hyperlink ref="U52" r:id="rId177" xr:uid="{9D2947E4-32C5-4F29-B9D8-39F217E413EB}"/>
    <hyperlink ref="U53" r:id="rId178" xr:uid="{1CD40275-4448-452E-B5C2-44BDB0B7158A}"/>
    <hyperlink ref="U54" r:id="rId179" xr:uid="{BFC57EB6-1C21-4097-BEED-DF671E315CA7}"/>
    <hyperlink ref="U55" r:id="rId180" xr:uid="{8355C40C-C39C-4E15-80E3-FDE6B93F1BD2}"/>
    <hyperlink ref="U56" r:id="rId181" xr:uid="{AC10DAA1-53D6-44E7-ABFB-7C8B942F257C}"/>
    <hyperlink ref="U57" r:id="rId182" xr:uid="{F8359D16-5892-4F73-BF50-C1261FEACA40}"/>
    <hyperlink ref="U58" r:id="rId183" xr:uid="{C69BB6D6-28C7-40C1-B1EE-9B8F512955B6}"/>
    <hyperlink ref="U59" r:id="rId184" xr:uid="{2901D054-3200-4D81-A0FF-71E7A41249D4}"/>
    <hyperlink ref="U60" r:id="rId185" xr:uid="{FEF5E6F9-9250-4841-8B0E-FE7A46BD1599}"/>
    <hyperlink ref="U61" r:id="rId186" xr:uid="{C9621907-E5F7-447B-956C-14E3F6D76AA5}"/>
    <hyperlink ref="U62" r:id="rId187" xr:uid="{C4381404-3CA2-453A-BE1D-220130D9347B}"/>
    <hyperlink ref="U63" r:id="rId188" xr:uid="{586A4C81-C13C-422C-BF4F-907C0287BD95}"/>
    <hyperlink ref="U64" r:id="rId189" xr:uid="{79C53E89-D9F0-45C6-9576-2DF80733B9C3}"/>
    <hyperlink ref="U65" r:id="rId190" xr:uid="{E81DC488-0892-42C6-9C29-A6C4726BEE01}"/>
    <hyperlink ref="U66" r:id="rId191" xr:uid="{BDA0D59A-DB36-4D8F-A1AF-BAE3FBA1A1C0}"/>
    <hyperlink ref="U67" r:id="rId192" xr:uid="{A50FB5A2-CE9C-4E55-B6A0-68F25CEBF033}"/>
    <hyperlink ref="U68" r:id="rId193" xr:uid="{35BADCC6-5838-4D5F-AEB4-117E898AE184}"/>
    <hyperlink ref="U69" r:id="rId194" xr:uid="{6F9C31DB-3388-45CC-B5BC-98948EBF595E}"/>
    <hyperlink ref="U70" r:id="rId195" xr:uid="{C0CDACC1-CBB0-4026-98F9-4D52CBD1A9CF}"/>
    <hyperlink ref="U71" r:id="rId196" xr:uid="{418FC4E4-135B-4B92-A4EB-71F139815AEB}"/>
    <hyperlink ref="U72" r:id="rId197" xr:uid="{0CFAA5FB-951F-4A94-9176-E1B22D1B990A}"/>
    <hyperlink ref="U73" r:id="rId198" xr:uid="{45F2B7FA-A8AD-4273-B755-A942D1FC7A1C}"/>
    <hyperlink ref="U74" r:id="rId199" xr:uid="{BC002B58-034D-4F0F-8A20-535E52603F3C}"/>
    <hyperlink ref="U75" r:id="rId200" xr:uid="{0F0EBBB7-3750-40F8-A075-13B6B5E95FC8}"/>
    <hyperlink ref="U76" r:id="rId201" xr:uid="{7131B0BF-A93D-49A2-A604-87B01F6B3410}"/>
    <hyperlink ref="U77" r:id="rId202" xr:uid="{E30D7756-2837-46AA-99AC-8B670B77AD8F}"/>
    <hyperlink ref="U78" r:id="rId203" xr:uid="{F364CAE6-E4F5-4BC1-86EE-D2BB282A3461}"/>
    <hyperlink ref="U79" r:id="rId204" xr:uid="{FF543705-C4E3-42E7-A1B7-B000718DF58C}"/>
    <hyperlink ref="U80" r:id="rId205" xr:uid="{7B18CC61-15BE-4254-8E08-6424D1C3A96C}"/>
    <hyperlink ref="U81" r:id="rId206" xr:uid="{A2FD6E11-F5C6-4BEE-BECB-930358D7B58C}"/>
    <hyperlink ref="U82" r:id="rId207" xr:uid="{0093CD32-D5CA-44D2-9550-04290489C354}"/>
    <hyperlink ref="U83" r:id="rId208" xr:uid="{41D5D320-1C06-442C-A7EB-6024E68BEE06}"/>
    <hyperlink ref="U84" r:id="rId209" xr:uid="{4E66FCA1-343A-41BC-958B-FF20246F818E}"/>
    <hyperlink ref="U85" r:id="rId210" xr:uid="{007B1E40-6C29-421F-A35F-B6592422D390}"/>
    <hyperlink ref="U86" r:id="rId211" xr:uid="{D80A9422-D591-4789-8AA6-8493C854204B}"/>
    <hyperlink ref="U87" r:id="rId212" xr:uid="{505C7985-D840-47FF-AE0C-A1447E025801}"/>
    <hyperlink ref="U88" r:id="rId213" xr:uid="{E59A7366-5633-4CC3-BE0C-B595B234D9C1}"/>
    <hyperlink ref="U89" r:id="rId214" xr:uid="{7DD2000F-7D7E-46E0-9CF6-55A05B5A76C7}"/>
    <hyperlink ref="U90" r:id="rId215" xr:uid="{405E297A-2D85-4D48-8D62-963F0F9CC813}"/>
    <hyperlink ref="U91" r:id="rId216" xr:uid="{9141BC7B-DD44-4BB2-87AC-03CD2514CDEA}"/>
    <hyperlink ref="U92" r:id="rId217" xr:uid="{26247246-4DDB-4CB6-BFEF-838D1039ADE4}"/>
    <hyperlink ref="U93" r:id="rId218" xr:uid="{6839F2F8-C92B-4E18-93D4-8E8B87F69B01}"/>
    <hyperlink ref="U94" r:id="rId219" xr:uid="{5CC37813-6D3C-47C0-BFC7-3582791DAFD8}"/>
    <hyperlink ref="U95" r:id="rId220" xr:uid="{170D1790-40EB-41FA-ABBD-77C88A060BAF}"/>
    <hyperlink ref="U96" r:id="rId221" xr:uid="{B64086B4-610B-47BD-84A2-B910806573D3}"/>
    <hyperlink ref="U97" r:id="rId222" xr:uid="{1A746AB3-33F9-4D96-A7BB-2D5456171F60}"/>
    <hyperlink ref="U98" r:id="rId223" xr:uid="{6B1AD784-204A-4B01-9A87-9B77D27BEB79}"/>
    <hyperlink ref="U99" r:id="rId224" xr:uid="{61E4831A-C3C7-46FD-97E3-7ABCAED3DD9C}"/>
    <hyperlink ref="U100" r:id="rId225" xr:uid="{C2ADA156-EBC6-4DC5-B293-8A398C7DAC4B}"/>
    <hyperlink ref="U101" r:id="rId226" xr:uid="{E5C3119E-23CC-4607-A257-2F779FD55B0E}"/>
    <hyperlink ref="U102" r:id="rId227" xr:uid="{04D4BE18-0EAA-4DA2-A7C8-E90347EF4737}"/>
    <hyperlink ref="U103" r:id="rId228" xr:uid="{BD9B0A58-B07E-4FA1-8BA3-3F9190FAEA1F}"/>
    <hyperlink ref="U104" r:id="rId229" xr:uid="{52ECCB49-C23B-4DF7-BEE3-766C10BE29D9}"/>
    <hyperlink ref="U105" r:id="rId230" xr:uid="{2459ADEB-7A84-4376-AA17-791EC2F9FFFC}"/>
    <hyperlink ref="U106" r:id="rId231" xr:uid="{5FA9C2FC-C873-4E41-9B6E-21743254D6CF}"/>
    <hyperlink ref="U107" r:id="rId232" xr:uid="{6F57B336-70EC-422C-82FE-FA2C8028D744}"/>
    <hyperlink ref="U108" r:id="rId233" xr:uid="{BDBE43F6-1F5D-4C0A-82DA-59B337023E53}"/>
    <hyperlink ref="U122" r:id="rId234" xr:uid="{FFC1AA01-F639-48EB-89B2-6B9F9D74D58B}"/>
    <hyperlink ref="U123" r:id="rId235" xr:uid="{870FBBC3-601A-4647-B66F-D1D8E2F91FCB}"/>
    <hyperlink ref="U124" r:id="rId236" xr:uid="{A6FB2402-451B-476B-88FE-47302489EF0D}"/>
    <hyperlink ref="U125" r:id="rId237" xr:uid="{33375AA0-8587-4591-B6C6-4064E7E073B0}"/>
    <hyperlink ref="U126" r:id="rId238" xr:uid="{8B49FAD5-D5AE-48B3-97DE-2E2B80696ADA}"/>
    <hyperlink ref="U127" r:id="rId239" xr:uid="{535354A3-816D-4390-978F-18F98ED837F4}"/>
    <hyperlink ref="U128" r:id="rId240" xr:uid="{E240D85C-B5F1-45AA-8D68-4AA010FD92AD}"/>
    <hyperlink ref="U129" r:id="rId241" xr:uid="{F0DE1EA2-A3C3-48D1-B6C1-F3B2A4A9A669}"/>
    <hyperlink ref="U130" r:id="rId242" xr:uid="{0C8554F2-2241-455A-A7DB-03926155A8E5}"/>
    <hyperlink ref="U131" r:id="rId243" xr:uid="{D5978629-6DFF-431D-8B35-3AE0BE80E082}"/>
    <hyperlink ref="U132" r:id="rId244" xr:uid="{DD1A79C0-02EC-4333-8E8B-EBDEDDD1CD91}"/>
    <hyperlink ref="U133" r:id="rId245" xr:uid="{9D9F9F4C-D8E8-4577-AC27-2221897359C6}"/>
    <hyperlink ref="U134" r:id="rId246" xr:uid="{F14EE23B-B5B6-4B5B-817D-5A85FB334292}"/>
    <hyperlink ref="U135" r:id="rId247" xr:uid="{A3726357-E0DD-4E7D-A831-C61B822D3526}"/>
    <hyperlink ref="U136" r:id="rId248" xr:uid="{6B0B45A5-3E74-4986-81F6-07E093C136BB}"/>
    <hyperlink ref="U137" r:id="rId249" xr:uid="{BE530759-6871-4C1E-86E2-C9D78A12D31D}"/>
    <hyperlink ref="U315" r:id="rId250" xr:uid="{532491CD-8CDA-4BC7-AFBF-AF9FF446CF9C}"/>
    <hyperlink ref="U316" r:id="rId251" xr:uid="{EFCFD03F-D4A8-449D-A4D9-6D3DF1FC8421}"/>
    <hyperlink ref="U317" r:id="rId252" xr:uid="{C71EDF78-6E39-4990-A80F-B8469129C0C9}"/>
    <hyperlink ref="U318" r:id="rId253" xr:uid="{925E7B04-442F-4AB9-9365-CAB56DD3CB06}"/>
    <hyperlink ref="U319" r:id="rId254" xr:uid="{4851EBA7-3F17-4861-95FA-538F3F2A70B4}"/>
    <hyperlink ref="U320" r:id="rId255" xr:uid="{B9B3D8F4-2556-4325-AC68-2995560DC57E}"/>
    <hyperlink ref="U321" r:id="rId256" xr:uid="{C4C09FF8-12F0-414E-92D9-50A3882E5650}"/>
    <hyperlink ref="U322" r:id="rId257" xr:uid="{17556313-2C04-4761-A9F0-C49AE6834B94}"/>
    <hyperlink ref="U323" r:id="rId258" xr:uid="{C0282CBE-BA9F-4F95-B751-4EB51ED13E92}"/>
    <hyperlink ref="U324" r:id="rId259" xr:uid="{9A172986-A598-441A-B88A-F150CDE85A59}"/>
    <hyperlink ref="U325" r:id="rId260" xr:uid="{FA20B21F-F934-450C-B498-4EAEAD7A6C6A}"/>
    <hyperlink ref="U360" r:id="rId261" xr:uid="{A9B12AF0-A9E1-41E8-9F1E-B5E4B88B78FF}"/>
    <hyperlink ref="U361" r:id="rId262" xr:uid="{74D4EA9C-7F5E-4D08-ABA3-BC4C8EDC4D39}"/>
    <hyperlink ref="U362" r:id="rId263" xr:uid="{6F25A3E7-C193-4AED-AA28-1E3D690A6824}"/>
    <hyperlink ref="U363" r:id="rId264" xr:uid="{F8857F0A-7818-4F4E-8BF9-52B50DD4D875}"/>
    <hyperlink ref="U364" r:id="rId265" xr:uid="{1A1EBCED-5D4A-4AF7-A4C0-F9A41EC23945}"/>
    <hyperlink ref="U365" r:id="rId266" xr:uid="{92FF67A1-BC98-4D57-9F11-6C43CD367BED}"/>
    <hyperlink ref="U366" r:id="rId267" xr:uid="{B319D587-D1E6-4B99-BE52-849C6F8B61F6}"/>
    <hyperlink ref="U367" r:id="rId268" xr:uid="{74DE9FF8-ABEF-48E4-8726-B9C749A8617D}"/>
    <hyperlink ref="U368" r:id="rId269" xr:uid="{6A09CE80-23BF-43C8-993C-DBB4F0722019}"/>
    <hyperlink ref="U369" r:id="rId270" xr:uid="{74FFBA3F-555C-4FE4-A743-D475608AD9FB}"/>
    <hyperlink ref="U370" r:id="rId271" xr:uid="{4E9C583C-D73B-45CE-A7D3-37B61C31687A}"/>
    <hyperlink ref="U371" r:id="rId272" xr:uid="{8DA1E54E-9E7D-4CB1-B583-70F511F2D150}"/>
    <hyperlink ref="U373" r:id="rId273" xr:uid="{341BC719-5236-4644-A21B-1713C0226FD6}"/>
    <hyperlink ref="U374" r:id="rId274" xr:uid="{2CC2C5AA-321A-41FE-9C55-BFA6B157D19E}"/>
    <hyperlink ref="U375" r:id="rId275" xr:uid="{2F72D0D1-B76A-4D01-B63F-EA6516E9FCCA}"/>
    <hyperlink ref="U376" r:id="rId276" xr:uid="{9D7C87FA-8E44-4660-99C2-BC4C6047683F}"/>
    <hyperlink ref="U377" r:id="rId277" xr:uid="{AFD537B7-A780-48FA-A54A-AA78BF8DBA2B}"/>
    <hyperlink ref="U378" r:id="rId278" xr:uid="{FEA7791A-4827-4DCB-8336-1656C09E36FD}"/>
    <hyperlink ref="U379" r:id="rId279" xr:uid="{18CF8C94-9020-42A7-B98E-993BEFCDBF46}"/>
    <hyperlink ref="U380" r:id="rId280" xr:uid="{90A0A106-AC1C-42BF-8FE1-6B6C306AAE9E}"/>
    <hyperlink ref="U381" r:id="rId281" xr:uid="{BDEDBB9C-2311-4BB9-BB1D-6E8AF6B54D15}"/>
    <hyperlink ref="U382" r:id="rId282" xr:uid="{0E7DCE23-82A3-4B5E-8802-D014A41F0C09}"/>
    <hyperlink ref="U383" r:id="rId283" xr:uid="{153EC89A-31D0-4551-9A61-6F0056B97006}"/>
    <hyperlink ref="U384" r:id="rId284" xr:uid="{4082489D-8792-49DC-B78B-F124C2F7450C}"/>
    <hyperlink ref="U385" r:id="rId285" xr:uid="{5A082664-BAB8-410E-8889-FC614B35742D}"/>
    <hyperlink ref="U386" r:id="rId286" xr:uid="{941FCDBC-2A05-4A7D-9644-5A1AB5C2B153}"/>
    <hyperlink ref="U387" r:id="rId287" xr:uid="{092D262F-8989-42DD-931E-B07841C297FD}"/>
    <hyperlink ref="U348" r:id="rId288" xr:uid="{C4B4FF6E-1BCE-4079-8513-0AACE43E2D64}"/>
    <hyperlink ref="U349" r:id="rId289" xr:uid="{8D282092-70DE-4D28-B0DD-6137E6EDDFC7}"/>
    <hyperlink ref="U350" r:id="rId290" xr:uid="{0B476515-ED4C-4CF9-8445-90C110C426BE}"/>
    <hyperlink ref="U351" r:id="rId291" xr:uid="{434E2E9A-7B1E-4611-BF3E-E4CEF2A14445}"/>
    <hyperlink ref="U352" r:id="rId292" xr:uid="{B3EB4EB6-C67C-4C9F-99F6-B24DA0AAD6C7}"/>
    <hyperlink ref="U353" r:id="rId293" xr:uid="{685428D2-D2A9-4F0B-BF2A-8EE406EE0290}"/>
    <hyperlink ref="U354" r:id="rId294" xr:uid="{12CCA1B7-0DE4-4967-8BAD-65F609B66021}"/>
    <hyperlink ref="U355" r:id="rId295" xr:uid="{DEEF4D09-2951-489C-9DF9-A1C182E53902}"/>
    <hyperlink ref="U356" r:id="rId296" xr:uid="{10004282-ED21-438E-B8C9-01BFF3222ED8}"/>
    <hyperlink ref="U357" r:id="rId297" xr:uid="{C8418340-D8CF-4011-9E1B-15D7978AB33F}"/>
    <hyperlink ref="U358" r:id="rId298" xr:uid="{C43FD684-C620-4D86-B4C9-54C7AB4E6610}"/>
    <hyperlink ref="U419" r:id="rId299" xr:uid="{8B8BDE55-442E-4BC8-BEE6-332684588B50}"/>
    <hyperlink ref="U420" r:id="rId300" xr:uid="{E172C5E1-51F7-4B6A-9A43-26B5958631A0}"/>
    <hyperlink ref="U421" r:id="rId301" xr:uid="{16E2A13C-C019-4FA9-9AFA-CA215971F3CC}"/>
    <hyperlink ref="U422" r:id="rId302" xr:uid="{50949CA0-892B-45B0-931E-4B30A18CBC50}"/>
    <hyperlink ref="U423" r:id="rId303" xr:uid="{A79628F2-0A29-4958-BA61-CADA3A1E2DF9}"/>
    <hyperlink ref="U424" r:id="rId304" xr:uid="{7D8FDB1F-AAAC-4EE5-AF07-F27E14ED6F5A}"/>
    <hyperlink ref="U425" r:id="rId305" xr:uid="{C08449B8-7D5A-4250-B066-79B61C128294}"/>
    <hyperlink ref="U426" r:id="rId306" xr:uid="{2B114AFE-DF39-4438-8C3E-A17BD3BF1677}"/>
    <hyperlink ref="U427" r:id="rId307" xr:uid="{F00EF2E9-8D39-40C9-A05A-C198FCD5E8A1}"/>
    <hyperlink ref="U428" r:id="rId308" xr:uid="{E700845D-DE43-47B4-90F2-AA900168D8C9}"/>
    <hyperlink ref="U746" r:id="rId309" xr:uid="{699ADF11-3091-45D1-A5B6-DDED0E2BF930}"/>
    <hyperlink ref="U2011" r:id="rId310" xr:uid="{B78EF065-E9E6-41AC-BC24-E36C2C8037AD}"/>
    <hyperlink ref="U2009" r:id="rId311" xr:uid="{56D0A7E3-3A38-4FB3-93E0-5E9E9E9DC375}"/>
    <hyperlink ref="U2013" r:id="rId312" xr:uid="{F38F28D8-519E-434F-8BAD-252AD3A0F6AF}"/>
    <hyperlink ref="U2006" r:id="rId313" xr:uid="{5DFA8692-3A9F-4FD5-B76B-23A4EACC7DCC}"/>
    <hyperlink ref="U2017" r:id="rId314" xr:uid="{89C2710E-7A1B-4F5C-9499-B2C8C2D826EE}"/>
    <hyperlink ref="U2007" r:id="rId315" xr:uid="{6988E2E4-4BAB-4817-9D7B-D946209B0A18}"/>
    <hyperlink ref="U2010" r:id="rId316" xr:uid="{C8EED193-2205-4058-AFC7-FE0F1DA869A6}"/>
    <hyperlink ref="U2008" r:id="rId317" xr:uid="{2A3656B8-25BF-4886-A8E2-7F94A6518E76}"/>
    <hyperlink ref="U2015" r:id="rId318" xr:uid="{50B637E6-88E5-4D74-9D1C-F47826E44714}"/>
    <hyperlink ref="U2016" r:id="rId319" xr:uid="{C7F5E234-6E3D-4A8F-9356-FF545F7C9296}"/>
    <hyperlink ref="U2014" r:id="rId320" xr:uid="{F95B9E81-8744-4951-AE3D-797BD0F5C308}"/>
    <hyperlink ref="U2012" r:id="rId321" xr:uid="{5794C5BB-5F48-4CB1-AACE-ECCF6B7C6CA9}"/>
    <hyperlink ref="U2018" r:id="rId322" xr:uid="{4795BAD8-9EF3-4C50-8979-1802F99FBF9D}"/>
    <hyperlink ref="U2019" r:id="rId323" xr:uid="{B4707A4F-ECA8-4E12-8B83-15831C9729CF}"/>
    <hyperlink ref="U2020" r:id="rId324" xr:uid="{564BDDF2-510F-4446-AB4C-C81FCFB6A843}"/>
    <hyperlink ref="U2021" r:id="rId325" xr:uid="{EF8D1853-7A44-4E2C-9F6A-F91620CA84D1}"/>
    <hyperlink ref="U2022" r:id="rId326" xr:uid="{3DD87F33-6F73-4F2C-A21D-C93036264886}"/>
    <hyperlink ref="U2023" r:id="rId327" xr:uid="{B7278CF2-AAAE-431B-86CF-A6692341BDA3}"/>
    <hyperlink ref="U2024" r:id="rId328" xr:uid="{106E0A52-C70E-4608-BD51-2E8D58BD9009}"/>
    <hyperlink ref="U2025" r:id="rId329" xr:uid="{F6D8F07B-04EA-4B5B-88E7-2C14D3929636}"/>
    <hyperlink ref="U2026" r:id="rId330" xr:uid="{8F024F5D-1476-4FDE-95EC-8893E99463CE}"/>
    <hyperlink ref="U2027" r:id="rId331" xr:uid="{B316361A-9F63-408A-9272-0281BE5A0F66}"/>
    <hyperlink ref="U2028" r:id="rId332" xr:uid="{CEF45F0F-0169-4288-ABEE-D212B1462B2D}"/>
    <hyperlink ref="U2029" r:id="rId333" xr:uid="{C04F1670-2CC1-4957-BA60-39291D7C3549}"/>
    <hyperlink ref="U2030" r:id="rId334" xr:uid="{1FFDC1A9-300A-4E5D-A44A-3C0F2A2FF942}"/>
    <hyperlink ref="U2031" r:id="rId335" xr:uid="{A016A3E5-FE52-49E7-AEE5-E7206C4F4EBD}"/>
    <hyperlink ref="U2032" r:id="rId336" xr:uid="{F498906E-ADDA-4287-B593-BC11BB524BBA}"/>
    <hyperlink ref="U2033" r:id="rId337" xr:uid="{B7A99649-9402-4B22-8788-FF33651EEEE3}"/>
    <hyperlink ref="U2034" r:id="rId338" xr:uid="{6DA963E5-889E-42EB-8FAC-8FBF06158BC7}"/>
    <hyperlink ref="U2035" r:id="rId339" xr:uid="{9BF844B8-DE32-430A-9778-720F457531E1}"/>
    <hyperlink ref="U2036" r:id="rId340" xr:uid="{DAF4879A-D19E-475F-B8E7-D1563503C683}"/>
    <hyperlink ref="U2037" r:id="rId341" xr:uid="{53055D8B-C87E-4390-9FBB-8B686F575E45}"/>
    <hyperlink ref="U2038" r:id="rId342" xr:uid="{0DBE78A8-F1F9-47DE-AE97-06C2AA5D24AF}"/>
    <hyperlink ref="U2039" r:id="rId343" xr:uid="{3444DA95-525A-428A-8839-F9A9747156C8}"/>
    <hyperlink ref="U2040" r:id="rId344" xr:uid="{149A751D-BEF2-4E67-9C49-04B812714AE0}"/>
    <hyperlink ref="U2041" r:id="rId345" xr:uid="{9525E3DC-D16B-4C2A-90F8-4436FB3AD62C}"/>
    <hyperlink ref="U2042" r:id="rId346" xr:uid="{136E7EA7-F25A-4F04-9C6B-DFE0E68D6456}"/>
    <hyperlink ref="U2043" r:id="rId347" xr:uid="{6AA5BABC-1138-4673-A9AB-B6488C487CE0}"/>
    <hyperlink ref="U2044" r:id="rId348" xr:uid="{3908EDA5-58D8-43D5-BFD3-ED5BDB50C290}"/>
    <hyperlink ref="U2045" r:id="rId349" xr:uid="{B822AAB8-086C-409C-B610-A057832030CC}"/>
    <hyperlink ref="U2046" r:id="rId350" xr:uid="{47DCC9FA-ED9D-4F12-AAE5-8781B43CE3D7}"/>
    <hyperlink ref="U2047" r:id="rId351" xr:uid="{3FCEE7FF-8616-4891-AC7B-9AF06C7387E8}"/>
    <hyperlink ref="U2048" r:id="rId352" xr:uid="{BBA76DD6-06CB-4AF1-8AF1-07CB0F3B66BB}"/>
    <hyperlink ref="U2049" r:id="rId353" xr:uid="{ADC53A1C-764C-4B4E-A23E-2DC569F91236}"/>
    <hyperlink ref="U807" r:id="rId354" xr:uid="{7C52547B-BBC0-4090-ABE9-D7A7C26660A8}"/>
    <hyperlink ref="U808" r:id="rId355" xr:uid="{EFEBA5EB-B6E0-482D-8AC5-6A3E15DC0816}"/>
    <hyperlink ref="U809" r:id="rId356" xr:uid="{1BE99056-D927-46F0-AE66-66B8C474DD0C}"/>
    <hyperlink ref="U810" r:id="rId357" xr:uid="{ECC14692-2300-49CE-B400-7A3C3533B9D1}"/>
    <hyperlink ref="U811" r:id="rId358" xr:uid="{5B1AA1E6-5710-43D2-8DB9-5F1BB5B54463}"/>
    <hyperlink ref="U812" r:id="rId359" xr:uid="{754FEA50-D9B1-4815-8EED-C052145E084E}"/>
    <hyperlink ref="U813" r:id="rId360" xr:uid="{49F7239D-D6EB-4EC8-A902-1F453F41A4B1}"/>
    <hyperlink ref="U814" r:id="rId361" xr:uid="{BD3D62F3-8B4E-4F43-AF78-6A94DE95ADFD}"/>
    <hyperlink ref="U815" r:id="rId362" xr:uid="{3F6BE81C-132A-4144-AA3E-E0014EE1C922}"/>
    <hyperlink ref="U816" r:id="rId363" xr:uid="{F8BA96B5-FE09-4E94-A963-B8A7F3559AAC}"/>
    <hyperlink ref="U817" r:id="rId364" xr:uid="{036A1521-E972-4B4F-994B-8DDC6F8C10A3}"/>
    <hyperlink ref="U818" r:id="rId365" xr:uid="{2E3D524E-F816-4B36-BE5B-1E42CDBBD076}"/>
    <hyperlink ref="U819" r:id="rId366" xr:uid="{7424C1AC-830B-40E6-A6F3-93CF2ADF67C8}"/>
    <hyperlink ref="U820" r:id="rId367" xr:uid="{255B5A58-D9DB-4FE7-A862-39422F3B8310}"/>
    <hyperlink ref="U821" r:id="rId368" xr:uid="{74AE49DB-C0EE-4808-A0A4-744993D7DB00}"/>
    <hyperlink ref="U822" r:id="rId369" xr:uid="{B2D615E8-C8B5-4949-88E9-DF265FF61132}"/>
    <hyperlink ref="U823" r:id="rId370" xr:uid="{9BE312CE-C1BB-44B5-AF62-1B353F57B980}"/>
    <hyperlink ref="U824" r:id="rId371" xr:uid="{14338634-57CE-4504-AE69-3BA3561BC55F}"/>
    <hyperlink ref="U825" r:id="rId372" xr:uid="{E681ADB2-109A-43E8-8A8A-27FF51821759}"/>
    <hyperlink ref="U826" r:id="rId373" xr:uid="{CF549389-F6FF-4332-A47A-AA904F4200C1}"/>
    <hyperlink ref="U827" r:id="rId374" xr:uid="{F85E2EBC-4F00-4181-AA35-79BB29D59A42}"/>
    <hyperlink ref="U828" r:id="rId375" xr:uid="{A91B0CB5-82D4-4DF2-AAA9-B689FC2000B2}"/>
    <hyperlink ref="U829" r:id="rId376" xr:uid="{D82F6F15-CA5C-4921-AB6E-503872CCA49F}"/>
    <hyperlink ref="U830" r:id="rId377" xr:uid="{60D27208-3E0D-49B2-8556-CD91456101B6}"/>
    <hyperlink ref="U831" r:id="rId378" xr:uid="{17BCDCA6-6C6B-4174-862A-1D95EC15EEC0}"/>
    <hyperlink ref="U832" r:id="rId379" xr:uid="{5FAE41E2-9F15-46E1-9099-C1A200AA2941}"/>
    <hyperlink ref="U833" r:id="rId380" xr:uid="{BA13D785-36AF-4498-B0C0-2B35C342E7E3}"/>
    <hyperlink ref="U834" r:id="rId381" xr:uid="{810EA0E8-C8EA-4D75-A0B8-C1EDC4F496FF}"/>
    <hyperlink ref="U835" r:id="rId382" xr:uid="{05EB10BC-CF65-475D-9F5F-F0D16785B8AE}"/>
    <hyperlink ref="U836" r:id="rId383" xr:uid="{4084A877-7BF4-4440-A0F5-217B8FE5EF92}"/>
    <hyperlink ref="U837" r:id="rId384" xr:uid="{8DF7E8D8-BFBE-4F1B-AA97-97EB63734AE2}"/>
    <hyperlink ref="U838" r:id="rId385" xr:uid="{8BA5A9C9-BE9A-4FE8-89A6-1BEF68CDC89D}"/>
    <hyperlink ref="U839" r:id="rId386" xr:uid="{028DEBFE-C8B4-4965-9D35-418365B81ECD}"/>
    <hyperlink ref="U840" r:id="rId387" xr:uid="{34B9E5D6-88F8-4FD6-8F83-33774F3CA9B0}"/>
    <hyperlink ref="U841" r:id="rId388" xr:uid="{C77A0FA8-7A8E-4E5C-8312-B3FA73952537}"/>
    <hyperlink ref="U842" r:id="rId389" xr:uid="{BD1F7EDF-ADD5-4DD6-BECE-2016F2E51E2F}"/>
    <hyperlink ref="U843" r:id="rId390" xr:uid="{2C89BFA0-6257-4D4D-B47D-0B31AD501133}"/>
    <hyperlink ref="U844" r:id="rId391" xr:uid="{FEE41889-4195-4C9C-A23F-4C1728AA7DB2}"/>
    <hyperlink ref="U845" r:id="rId392" xr:uid="{46C60578-E513-47AC-B1E9-5366BF698397}"/>
    <hyperlink ref="U846" r:id="rId393" xr:uid="{EBC3C626-CD4E-4551-ABE9-1D2CB16AFC7A}"/>
    <hyperlink ref="U847" r:id="rId394" xr:uid="{40E4B5B1-4289-4183-970F-713FE3ABE097}"/>
    <hyperlink ref="U848" r:id="rId395" xr:uid="{9CE83437-1B61-469D-A8A3-D7E6E65250F5}"/>
    <hyperlink ref="U849" r:id="rId396" xr:uid="{4F72FF36-DD5D-46D3-975C-EA5F54E65F4D}"/>
    <hyperlink ref="U850" r:id="rId397" xr:uid="{AC538E1D-D13F-43E5-B93D-C88B59077C3E}"/>
    <hyperlink ref="U851" r:id="rId398" xr:uid="{92E5599C-BE50-4948-8F25-938622647F9B}"/>
    <hyperlink ref="U852" r:id="rId399" xr:uid="{C05B1E87-1681-4C2F-BE7C-C8C0EDFFD3EF}"/>
    <hyperlink ref="U853" r:id="rId400" xr:uid="{C1CED728-CFCB-4470-B2E8-9EC9645634CF}"/>
    <hyperlink ref="U854" r:id="rId401" xr:uid="{73F28728-6095-48CC-B817-0E3FBB9E4B4C}"/>
    <hyperlink ref="U855" r:id="rId402" xr:uid="{E044B753-D5A1-4775-A197-9DE04251AF93}"/>
    <hyperlink ref="U856" r:id="rId403" xr:uid="{1C6A89E6-76D1-4196-B73A-59CEBEA4EB99}"/>
    <hyperlink ref="U857" r:id="rId404" xr:uid="{252A2089-6DD0-44E5-828E-DAF7A43A0B9A}"/>
    <hyperlink ref="U858" r:id="rId405" xr:uid="{5CB8CAC6-EFDE-4F64-9F47-9B513C9CDEC8}"/>
    <hyperlink ref="U859" r:id="rId406" xr:uid="{0328BB40-A7A0-498E-8505-F15E7A920F61}"/>
    <hyperlink ref="U860" r:id="rId407" xr:uid="{0C6B5DEE-DC45-4A97-AEA5-032D5079DC50}"/>
    <hyperlink ref="U861" r:id="rId408" xr:uid="{A5511225-CC32-4A43-AC3B-BAFD4A3E723C}"/>
    <hyperlink ref="U862" r:id="rId409" xr:uid="{8B96BBFE-D498-4E95-931C-865E94E55A75}"/>
    <hyperlink ref="U863" r:id="rId410" xr:uid="{7A1CFB71-41CA-4DBC-B7AC-BEB9FE50552C}"/>
    <hyperlink ref="U864" r:id="rId411" xr:uid="{687C10D5-6AB8-4BD7-BE5A-6E850BBCAB9E}"/>
    <hyperlink ref="U865" r:id="rId412" xr:uid="{41FF52AF-F983-478E-A2AC-B1EFDBC5FE22}"/>
    <hyperlink ref="U866" r:id="rId413" xr:uid="{C8DFC26A-E786-4D54-8BED-D0F2D9C4BD6B}"/>
    <hyperlink ref="U867" r:id="rId414" xr:uid="{717D1D9C-39CE-4945-B324-CC9CB0DDCDD5}"/>
    <hyperlink ref="U868" r:id="rId415" xr:uid="{E3244B5F-315F-411B-9D47-632FB7FCD5D2}"/>
    <hyperlink ref="U869" r:id="rId416" xr:uid="{9F11FB3B-9AA6-448A-8251-A2224A6845DE}"/>
    <hyperlink ref="U870" r:id="rId417" xr:uid="{298FDBF9-17D0-49F5-BFA7-87A15EA8AFAA}"/>
    <hyperlink ref="U871" r:id="rId418" xr:uid="{302A0DDE-6CF8-456C-917E-CB52666B2171}"/>
    <hyperlink ref="U872" r:id="rId419" xr:uid="{26254BBD-7D83-47DE-B270-265356363F63}"/>
    <hyperlink ref="U873" r:id="rId420" xr:uid="{CE9D971B-C4DE-4EC9-BC68-15D514F6E3C3}"/>
    <hyperlink ref="U874" r:id="rId421" xr:uid="{4E9DDAC8-FF27-4322-BA2B-5B1F6FC63061}"/>
    <hyperlink ref="U875" r:id="rId422" xr:uid="{F4084CF2-0474-41C0-A250-5952A08ABA5D}"/>
    <hyperlink ref="U876" r:id="rId423" xr:uid="{D94A2878-3F6C-417F-80EF-27242A8D1CA5}"/>
    <hyperlink ref="U877" r:id="rId424" xr:uid="{778057C0-2367-478C-A52A-418BFDA1FA74}"/>
    <hyperlink ref="U878" r:id="rId425" xr:uid="{2727EDD2-7A61-41F9-BAB7-88127C6874E0}"/>
    <hyperlink ref="U879" r:id="rId426" xr:uid="{D8D67392-A495-4D78-B114-D9B0EBEE920C}"/>
    <hyperlink ref="U880" r:id="rId427" xr:uid="{16690583-6F4A-4A72-BBE3-2B561C2C20A2}"/>
    <hyperlink ref="U881" r:id="rId428" xr:uid="{1095CA23-3F50-4D47-8128-F17B988B0229}"/>
    <hyperlink ref="U882" r:id="rId429" xr:uid="{EA09DDAA-9C5C-4042-89BF-C08A0116FF5D}"/>
    <hyperlink ref="U883" r:id="rId430" xr:uid="{64958BC5-7DAF-4900-969F-0F19EA7EBB6C}"/>
    <hyperlink ref="U885" r:id="rId431" xr:uid="{0FE222DB-0FA0-433B-9406-FC7D49AE31E1}"/>
    <hyperlink ref="U884" r:id="rId432" xr:uid="{11B64467-3E7C-484D-9D3E-F2B3D4717D7B}"/>
    <hyperlink ref="U887" r:id="rId433" xr:uid="{5120D001-C0DA-434E-911A-FC4A964D0D7C}"/>
    <hyperlink ref="U886" r:id="rId434" xr:uid="{BDB1D0CE-BEB0-43C0-8EC6-69B8EEF91096}"/>
    <hyperlink ref="U888" r:id="rId435" xr:uid="{B2176BD1-3E20-483C-B326-44DB3EDB285F}"/>
    <hyperlink ref="U889" r:id="rId436" xr:uid="{58902A7E-4F6D-4F19-8A1C-7937CD4DEF7C}"/>
    <hyperlink ref="U890" r:id="rId437" xr:uid="{70F7E2F0-0D3C-4C7F-A457-E6928564B0C7}"/>
    <hyperlink ref="U891" r:id="rId438" xr:uid="{2FDC8F9A-43BD-4BB7-A93B-0E82F0F554DA}"/>
    <hyperlink ref="U892" r:id="rId439" xr:uid="{F94FF0F7-DAEF-40F4-9341-600676925336}"/>
    <hyperlink ref="U893" r:id="rId440" xr:uid="{C39FF832-DA1F-4A71-B03E-A3D67B2544B4}"/>
    <hyperlink ref="U894" r:id="rId441" xr:uid="{1406ADE6-AAFC-4650-A8D4-B99B3FE38878}"/>
    <hyperlink ref="U895" r:id="rId442" xr:uid="{E70068ED-1BAA-4CCC-9933-DDD947BC7473}"/>
    <hyperlink ref="U896" r:id="rId443" xr:uid="{C79B817F-A160-4D48-8BC5-4E23FF1E9D30}"/>
    <hyperlink ref="U897" r:id="rId444" xr:uid="{8403BE8B-8D4F-4D04-BDB2-489A2D5EAB3C}"/>
    <hyperlink ref="U898" r:id="rId445" xr:uid="{1B360F89-FF5C-408B-8A46-1EB0C86B7155}"/>
    <hyperlink ref="U899" r:id="rId446" xr:uid="{F4495CF7-714E-4025-82E8-5F82C16A82B5}"/>
    <hyperlink ref="U900" r:id="rId447" xr:uid="{B0B607DC-DE89-4308-B925-8FF33A2B06C1}"/>
    <hyperlink ref="U901" r:id="rId448" xr:uid="{D02590BA-DEAB-47DB-8561-05BD460B3E25}"/>
    <hyperlink ref="U902" r:id="rId449" xr:uid="{3C40B812-F4FD-4BFA-A248-503B0563543E}"/>
    <hyperlink ref="U903" r:id="rId450" xr:uid="{92738BD2-8D5F-4B82-8CC8-24AEED2CB662}"/>
    <hyperlink ref="U904" r:id="rId451" xr:uid="{33D106DD-9CC9-4EAB-AE00-8C99FBC2E027}"/>
    <hyperlink ref="U905" r:id="rId452" xr:uid="{5020676A-5BF1-4579-9E38-7EB94D70AFA9}"/>
    <hyperlink ref="U906" r:id="rId453" xr:uid="{AAC01882-E770-4F23-935C-62A177BE4655}"/>
    <hyperlink ref="U907" r:id="rId454" xr:uid="{52F5C55C-D999-4B6E-B4F3-9737DEA326B6}"/>
    <hyperlink ref="U908" r:id="rId455" xr:uid="{EED98927-4110-488C-AA82-BF75005FF1AE}"/>
    <hyperlink ref="U909" r:id="rId456" xr:uid="{C743CCDF-A940-4BB5-9F2D-B321030B57BB}"/>
    <hyperlink ref="U910" r:id="rId457" xr:uid="{F785FA7A-9784-40FD-9C67-FB762E33C6AF}"/>
    <hyperlink ref="U911" r:id="rId458" xr:uid="{1354D961-E2E8-4EC2-A3FD-B60B1F1D1AA4}"/>
    <hyperlink ref="U912" r:id="rId459" xr:uid="{2BB78D31-F985-4F57-A789-B0C72CAFA82C}"/>
    <hyperlink ref="U913" r:id="rId460" xr:uid="{7114014D-BCA3-47A6-A5EA-A697494D01E0}"/>
    <hyperlink ref="U914" r:id="rId461" xr:uid="{91D6568C-98D7-43FE-A994-7C2B1FE5D2B5}"/>
    <hyperlink ref="U915" r:id="rId462" xr:uid="{3821F2D5-74EF-461C-A6C8-5F2975E8637E}"/>
    <hyperlink ref="U916" r:id="rId463" xr:uid="{5398A603-4562-434E-B98A-330637BB6910}"/>
    <hyperlink ref="U917" r:id="rId464" xr:uid="{BEA6DB65-6C20-4ED2-9C6E-A0972936B1E4}"/>
    <hyperlink ref="U918" r:id="rId465" xr:uid="{CD58B173-45CF-4150-BF0B-3D80EAF232F7}"/>
    <hyperlink ref="U919" r:id="rId466" xr:uid="{5B8BDFE5-29B5-487E-96DA-6711C97BB057}"/>
    <hyperlink ref="U920" r:id="rId467" xr:uid="{C56B0547-0724-4598-8343-0C4088D502E7}"/>
    <hyperlink ref="U921" r:id="rId468" xr:uid="{41466065-AB06-4C33-8367-D9C6FDEEC990}"/>
    <hyperlink ref="U922" r:id="rId469" xr:uid="{E7ECF72D-B8A6-41E8-88C9-DBA95BD442A0}"/>
    <hyperlink ref="U923" r:id="rId470" xr:uid="{75A024D7-7BBB-4055-AEE1-23A039D55B34}"/>
    <hyperlink ref="U924" r:id="rId471" xr:uid="{8DBB5AEB-347F-4D48-A493-2A9BF41C6141}"/>
    <hyperlink ref="U925" r:id="rId472" xr:uid="{FC1193EE-92BA-41A6-B43B-BF9BC5C98A7B}"/>
    <hyperlink ref="U926" r:id="rId473" xr:uid="{9A483674-6055-4C41-BDEA-CBFEDF0FD860}"/>
    <hyperlink ref="U927" r:id="rId474" xr:uid="{97CD2DDA-AE82-4058-9A52-6FBC2BF3E1DA}"/>
    <hyperlink ref="U928" r:id="rId475" xr:uid="{20F4BD17-0651-408C-BD21-94123E6C3AC5}"/>
    <hyperlink ref="U929" r:id="rId476" xr:uid="{3980DB79-1E85-43B1-A283-DF14EBB8085F}"/>
    <hyperlink ref="U930" r:id="rId477" xr:uid="{300688B2-DD4E-48BD-B119-E565D6464989}"/>
    <hyperlink ref="U931" r:id="rId478" xr:uid="{3B6DBA2E-00C1-4358-BD34-0D4F693D34F0}"/>
    <hyperlink ref="U932" r:id="rId479" xr:uid="{EC974772-7D45-4BFB-9103-CDC9B9C5F0A8}"/>
    <hyperlink ref="U933" r:id="rId480" xr:uid="{79A45E0E-F64E-4B33-A7DE-FDC0F31FC019}"/>
    <hyperlink ref="U934" r:id="rId481" xr:uid="{BAC36382-85BC-4FFE-87DF-67BF1B88E2E6}"/>
    <hyperlink ref="U935" r:id="rId482" xr:uid="{1D81934E-7D63-4E07-8C85-0D00C4E04C43}"/>
    <hyperlink ref="U936" r:id="rId483" xr:uid="{AC3452EC-3FC8-4742-A875-1613C82EFDBA}"/>
    <hyperlink ref="U937" r:id="rId484" xr:uid="{4ED9A609-3874-4997-B55E-41214A18D22F}"/>
    <hyperlink ref="U938" r:id="rId485" xr:uid="{76E3F9E5-A4BD-4D1D-BA91-611C863851FD}"/>
    <hyperlink ref="U939" r:id="rId486" xr:uid="{656658FB-11E7-48EE-BE72-FA62DA772127}"/>
    <hyperlink ref="U940" r:id="rId487" xr:uid="{20758C52-5935-4C02-A018-E5BD4681D2BC}"/>
    <hyperlink ref="U941" r:id="rId488" xr:uid="{9F9D50AE-CD58-47CB-81A4-985A058BDB3B}"/>
    <hyperlink ref="U942" r:id="rId489" xr:uid="{3AD9E735-9968-4A53-869C-BD72C1CD6A22}"/>
    <hyperlink ref="U943" r:id="rId490" xr:uid="{78B5AA52-0DF3-4AED-839E-790C5F8456FE}"/>
    <hyperlink ref="U944" r:id="rId491" xr:uid="{5D8A5F8C-FE7C-4AB8-A699-3285806647B8}"/>
    <hyperlink ref="U945" r:id="rId492" xr:uid="{9DEA6789-6FEA-4002-8A0A-439BF3FD872F}"/>
    <hyperlink ref="U946" r:id="rId493" xr:uid="{91C3482F-20E0-4E3F-BEBE-0910903A82A4}"/>
    <hyperlink ref="U947" r:id="rId494" xr:uid="{D1AE1D6E-10B6-4EB4-9E3E-0E87D419445F}"/>
    <hyperlink ref="U948" r:id="rId495" xr:uid="{056E4C18-63A1-46B9-B7DA-37883D7C89DD}"/>
    <hyperlink ref="U949" r:id="rId496" xr:uid="{366572F1-649C-4FEC-928D-BE8A613D3713}"/>
    <hyperlink ref="U950" r:id="rId497" xr:uid="{50B194A0-8775-46F8-87F3-17F0752AE106}"/>
    <hyperlink ref="U951" r:id="rId498" xr:uid="{91F98E0B-2E55-4BDA-B210-13F66E891BF9}"/>
    <hyperlink ref="U952" r:id="rId499" xr:uid="{73EEDF3D-A871-48C5-A7F5-556625C2DFB2}"/>
    <hyperlink ref="U953" r:id="rId500" xr:uid="{4BD890F4-44D5-4377-B597-F2ED1F5AD5E8}"/>
    <hyperlink ref="U954" r:id="rId501" xr:uid="{01839C34-9623-49A7-A9A8-DB7F78D34A88}"/>
    <hyperlink ref="U955" r:id="rId502" xr:uid="{B2CED520-A5AD-4B3A-ABA0-527B4B181C0B}"/>
    <hyperlink ref="U956" r:id="rId503" xr:uid="{657BCD72-2768-4D19-AAD1-BE873C91DC68}"/>
    <hyperlink ref="U957" r:id="rId504" xr:uid="{A3F404DC-DA0F-48D4-A5AF-45A6974A5A87}"/>
    <hyperlink ref="U958" r:id="rId505" xr:uid="{0E7E9C63-D933-48AC-BAC1-F313471F8470}"/>
    <hyperlink ref="U959" r:id="rId506" xr:uid="{4B16972E-7069-40F7-B977-5D8864CE3C32}"/>
    <hyperlink ref="U960" r:id="rId507" xr:uid="{993C5EBA-8065-45F0-AA30-9F3A9183265F}"/>
    <hyperlink ref="U961" r:id="rId508" xr:uid="{080127A5-B573-48D6-BD76-576FAC7BCFAA}"/>
    <hyperlink ref="U962" r:id="rId509" xr:uid="{C721313C-9A02-4534-9D94-8805C26F89E9}"/>
    <hyperlink ref="U963" r:id="rId510" xr:uid="{0BC1DA81-5D01-4370-8A81-654F8ADFD1FE}"/>
    <hyperlink ref="U964" r:id="rId511" xr:uid="{BD5731B8-8766-44AD-9B5E-5BE6172DA448}"/>
    <hyperlink ref="U965" r:id="rId512" xr:uid="{9097CCB6-7410-49C5-B4F6-9DA8641697D5}"/>
    <hyperlink ref="U966" r:id="rId513" xr:uid="{54F39A8D-CE0E-45B7-8094-EBD2C878E477}"/>
    <hyperlink ref="U967" r:id="rId514" xr:uid="{599F0F60-D507-4F34-8810-F0A5CEBADDDC}"/>
    <hyperlink ref="U968" r:id="rId515" xr:uid="{7028F181-BB4C-4BA3-86A3-9FBA0C074A08}"/>
    <hyperlink ref="U969" r:id="rId516" xr:uid="{18B082CB-DB14-46B6-A37F-225A73E56944}"/>
    <hyperlink ref="U970" r:id="rId517" xr:uid="{69AB4D5D-838C-4F0F-A6CB-CDB545285F07}"/>
    <hyperlink ref="U971" r:id="rId518" xr:uid="{16052FE4-C95D-4FBB-B9BC-DB55CB231485}"/>
    <hyperlink ref="U972" r:id="rId519" xr:uid="{67594140-B3CE-4B42-9EA1-25FB5C2A02E8}"/>
    <hyperlink ref="U973" r:id="rId520" xr:uid="{94BBA238-C0B4-4E6D-9004-3AA61554510A}"/>
    <hyperlink ref="U974" r:id="rId521" xr:uid="{D074507A-08AF-44F3-81A3-DDFD5CB92A8E}"/>
    <hyperlink ref="U975" r:id="rId522" xr:uid="{7604260F-0436-4DD7-9EB8-9D9F54CDBDA9}"/>
    <hyperlink ref="U976" r:id="rId523" xr:uid="{C94E50C3-89E1-4BA7-BA64-31EAF8C1DB65}"/>
    <hyperlink ref="U977" r:id="rId524" xr:uid="{19F2A8E7-385A-4369-9A4E-871243AA4E32}"/>
    <hyperlink ref="U978" r:id="rId525" xr:uid="{CADB745A-E6A0-44E1-9BF6-B3234414EBD4}"/>
    <hyperlink ref="U979" r:id="rId526" xr:uid="{532ED6A1-EB25-4287-B017-E2F8A4729885}"/>
    <hyperlink ref="U980" r:id="rId527" xr:uid="{6774ABA3-066D-4B91-AD84-55F2DD573595}"/>
    <hyperlink ref="U981" r:id="rId528" xr:uid="{B25B6871-750D-4A6A-B729-8A88118D4513}"/>
    <hyperlink ref="U982" r:id="rId529" xr:uid="{A890C554-1D9D-4284-92D4-299D037D098A}"/>
    <hyperlink ref="U983" r:id="rId530" xr:uid="{3D478258-C10F-4F19-9846-7B86C123AF37}"/>
    <hyperlink ref="U984" r:id="rId531" xr:uid="{674F1043-4A29-42E1-8634-B536F4B651CB}"/>
    <hyperlink ref="U985" r:id="rId532" xr:uid="{84958DD2-8CAD-40F1-98A4-1B84CF581B01}"/>
    <hyperlink ref="U986" r:id="rId533" xr:uid="{AE4F7440-62ED-4F93-AE22-A341C4EA55CD}"/>
    <hyperlink ref="U987" r:id="rId534" xr:uid="{B844D84B-AED5-48CC-A7AA-BFEBBCC67417}"/>
    <hyperlink ref="U988" r:id="rId535" xr:uid="{CEF9C635-D058-44EB-B12F-5E6D58B64792}"/>
    <hyperlink ref="U989" r:id="rId536" xr:uid="{8BACCF20-40FD-47AA-8721-65B07BA0EF2C}"/>
    <hyperlink ref="U990" r:id="rId537" xr:uid="{B483FC6A-5604-4594-A5E6-C61DCDD843A3}"/>
    <hyperlink ref="U991" r:id="rId538" xr:uid="{8E1C975A-1ED4-4AA9-BD2D-428FCAD85B04}"/>
    <hyperlink ref="U992" r:id="rId539" xr:uid="{682AF5EA-0875-4FA1-8E3C-A8AC075B2EFE}"/>
    <hyperlink ref="U993" r:id="rId540" xr:uid="{F9FBEFAC-6F2E-40FC-B6A4-EB51947A2D79}"/>
    <hyperlink ref="U994" r:id="rId541" xr:uid="{FFD70AAB-150A-4C69-935E-18ACCF1EC42D}"/>
    <hyperlink ref="U995" r:id="rId542" xr:uid="{C92FF625-711F-4AED-9A36-84BB4A96A55A}"/>
    <hyperlink ref="U996" r:id="rId543" xr:uid="{AEA54722-6EA9-4F76-870B-7CD409748A72}"/>
    <hyperlink ref="U997" r:id="rId544" xr:uid="{201BB3E6-F820-44B6-93E0-3CFC56ECB320}"/>
    <hyperlink ref="U998" r:id="rId545" xr:uid="{1CE66835-D59B-4EA0-BEDD-1F76D09EB09A}"/>
    <hyperlink ref="U999" r:id="rId546" xr:uid="{6A2F72D6-4E1D-4931-953A-A9F8CD03AFDE}"/>
    <hyperlink ref="U1000" r:id="rId547" xr:uid="{7C2C6B13-CAD7-43D7-B3AD-285C9BF68A0C}"/>
    <hyperlink ref="U1001" r:id="rId548" xr:uid="{3B0C4A16-B8E7-4F7A-9FF2-59BA5FBCB71C}"/>
    <hyperlink ref="U1002" r:id="rId549" xr:uid="{6D5F8663-7E7A-4F1B-A445-A0FA4C077AF3}"/>
    <hyperlink ref="U1003" r:id="rId550" xr:uid="{463BF7BB-FCCD-4387-B8D7-9C250C89DE8B}"/>
    <hyperlink ref="U1004" r:id="rId551" xr:uid="{C15480B7-154C-4911-97EE-3002F15B777A}"/>
    <hyperlink ref="U1005" r:id="rId552" xr:uid="{29B24352-CE26-43F9-B22C-E2B6A7B5AED1}"/>
    <hyperlink ref="U1006" r:id="rId553" xr:uid="{2C7FBE1B-74F0-4D94-80FE-5AEFE6825041}"/>
    <hyperlink ref="U1007" r:id="rId554" xr:uid="{98DA212C-287E-4477-BEE5-67251D6E9E4F}"/>
    <hyperlink ref="U1008" r:id="rId555" xr:uid="{D850E1F9-8FBC-4CB2-8882-FBA05EFA3132}"/>
    <hyperlink ref="U1009" r:id="rId556" xr:uid="{0A5E3139-384E-4B95-85A1-2101FAEAE1A3}"/>
    <hyperlink ref="U1010" r:id="rId557" xr:uid="{DD3C0761-8203-4740-A53A-F49379827E43}"/>
    <hyperlink ref="U1011" r:id="rId558" xr:uid="{FF0E046D-9A82-4B38-BE91-274977890C7D}"/>
    <hyperlink ref="U1012" r:id="rId559" xr:uid="{D4A2D750-F88B-4B11-9831-A895FAB9D28C}"/>
    <hyperlink ref="U1013" r:id="rId560" xr:uid="{CE42DF49-0950-49FD-A07F-CCFD266E4C3C}"/>
    <hyperlink ref="U1014" r:id="rId561" xr:uid="{98DEF977-195A-45D2-8B04-6B45FCCB1971}"/>
    <hyperlink ref="U1015" r:id="rId562" xr:uid="{70ADA009-1B19-4260-A15B-0CA736BA145C}"/>
    <hyperlink ref="U1016" r:id="rId563" xr:uid="{9FA4AD60-A0D4-40ED-99FB-61EF193C1989}"/>
    <hyperlink ref="U1017" r:id="rId564" xr:uid="{2FB0EB5A-E767-41B5-87A8-8DE264A5EBE7}"/>
    <hyperlink ref="U1018" r:id="rId565" xr:uid="{C14D87A3-5B9F-44D1-8158-28E61ECC3F89}"/>
    <hyperlink ref="U1019" r:id="rId566" xr:uid="{80DB5738-2E3B-4DF8-ABB1-2277187A3D44}"/>
    <hyperlink ref="U1020" r:id="rId567" xr:uid="{DB13FA15-EDD6-4D70-B8E2-ED5DDF7F5EC4}"/>
    <hyperlink ref="U1021" r:id="rId568" xr:uid="{A0348381-8277-441E-9260-AF3DE2787934}"/>
    <hyperlink ref="U1022" r:id="rId569" xr:uid="{9B32BAE5-7D20-485C-9101-6D0C13EEEEB0}"/>
    <hyperlink ref="U1023" r:id="rId570" xr:uid="{5891CB40-35D8-45DE-969A-EE864F1BE33E}"/>
    <hyperlink ref="U1024" r:id="rId571" xr:uid="{FD5BFCE3-0915-4385-A86D-3FD59A82CF1C}"/>
    <hyperlink ref="U1025" r:id="rId572" xr:uid="{A7B1C97F-27F5-4149-A732-BFFAB8EA8C74}"/>
    <hyperlink ref="U1026" r:id="rId573" xr:uid="{653E96FA-6DE4-46B8-8B0E-D0735CBEA4B6}"/>
    <hyperlink ref="U1027" r:id="rId574" xr:uid="{8CE6F52D-1C71-4E21-984B-3911E1AAB9DD}"/>
    <hyperlink ref="U1028" r:id="rId575" xr:uid="{9354329E-FC74-423D-BFEF-C38A475C7160}"/>
    <hyperlink ref="U1029" r:id="rId576" xr:uid="{8250600B-5DCC-42B1-8845-B638AD89E017}"/>
    <hyperlink ref="U1030" r:id="rId577" xr:uid="{5F383C6E-9D3F-4473-A3ED-10EEB77F0721}"/>
    <hyperlink ref="U1031" r:id="rId578" xr:uid="{5DD1289D-C7D3-4C66-A8EF-712432C79A4D}"/>
    <hyperlink ref="U1032" r:id="rId579" xr:uid="{A22DA24A-FF1A-4FA2-AB12-F6FBFAE48004}"/>
    <hyperlink ref="U1033" r:id="rId580" xr:uid="{F501B52F-4730-4E5A-87C5-E5281CE8E992}"/>
    <hyperlink ref="U1034" r:id="rId581" xr:uid="{3359FCCF-A474-48D6-AF2E-82676EAF8C31}"/>
    <hyperlink ref="U1035" r:id="rId582" xr:uid="{D022C8CB-792E-45E2-A701-E576F4994ADC}"/>
    <hyperlink ref="U1036" r:id="rId583" xr:uid="{E922E072-7013-44BF-85B8-393899160BF7}"/>
    <hyperlink ref="U1037" r:id="rId584" xr:uid="{F25220D8-EBBC-4F13-80A6-89B52A239648}"/>
    <hyperlink ref="U1038" r:id="rId585" xr:uid="{3CA88A4A-72DD-4705-A82A-391208FAFFA4}"/>
    <hyperlink ref="U1039" r:id="rId586" xr:uid="{8A55B9FF-AA8F-4EDD-9FE3-0F2E09DA91C2}"/>
    <hyperlink ref="U1040" r:id="rId587" xr:uid="{6FD32EB7-24F9-469E-97F7-FF656F28E160}"/>
    <hyperlink ref="U1041" r:id="rId588" xr:uid="{3CEA5108-3C2A-4209-AD5B-5FFC71E3FEB2}"/>
    <hyperlink ref="U1042" r:id="rId589" xr:uid="{721DBFE2-B7BD-433B-9434-2C1A517E747D}"/>
    <hyperlink ref="U1047" r:id="rId590" xr:uid="{CE6241C6-EFC8-4BD5-984C-72721A570069}"/>
    <hyperlink ref="U1048" r:id="rId591" xr:uid="{E8FE5CB4-9EE3-44E6-9C95-7973803DF9C3}"/>
    <hyperlink ref="U1043:U1046" r:id="rId592" display="https://www.maristes.cat/sites/default/files/content/nodes/recurs/file/8806/4sientotullamadaelsenoreslaesperanzaelsenorestaaquicaminadacogemedios.mp3" xr:uid="{E85CC10B-6E66-4F50-9A7E-A25A7CF1D1FD}"/>
    <hyperlink ref="U1049" r:id="rId593" xr:uid="{245799D6-A14F-47E2-87A0-F6E5DDA3EE25}"/>
    <hyperlink ref="U1050" r:id="rId594" xr:uid="{4322BE48-EC69-4DDB-B446-1936473CE0D9}"/>
    <hyperlink ref="U1051" r:id="rId595" xr:uid="{79E3483E-2D9F-4437-99D4-2034D7D9D0DA}"/>
    <hyperlink ref="U1052" r:id="rId596" xr:uid="{171F8679-4843-45A2-AF7B-470780808566}"/>
    <hyperlink ref="U1053" r:id="rId597" xr:uid="{FD6995EE-3503-4CF2-AD90-5DEA685585A7}"/>
    <hyperlink ref="U1054" r:id="rId598" xr:uid="{ADC63184-2A1A-4841-A502-C24C847B8FED}"/>
    <hyperlink ref="U1055" r:id="rId599" xr:uid="{4A0EEFCC-19FE-4098-A458-37B305C317A5}"/>
    <hyperlink ref="U1056" r:id="rId600" xr:uid="{14326AD0-E360-4624-9830-06F85D87AA00}"/>
    <hyperlink ref="U1057" r:id="rId601" xr:uid="{A1D07FCF-03F9-4A09-AA0A-E451D730ED0A}"/>
    <hyperlink ref="U1058" r:id="rId602" xr:uid="{025018D7-CDD9-4C1C-BB8B-229F53CB260D}"/>
    <hyperlink ref="U1059" r:id="rId603" xr:uid="{1DF0BE99-A4D4-4FBB-98D5-5EE250DBD2D3}"/>
    <hyperlink ref="U1060" r:id="rId604" xr:uid="{C6D453A7-5CB4-413E-9F4E-DBF5417071EB}"/>
    <hyperlink ref="U1061" r:id="rId605" xr:uid="{58923B7F-B004-4C29-B704-FB293A733A2E}"/>
    <hyperlink ref="U1062" r:id="rId606" xr:uid="{41736C35-839D-4223-B992-6F3BBD1E60C5}"/>
    <hyperlink ref="U1063" r:id="rId607" xr:uid="{DD404352-54D9-4981-A5FB-5A8F92F6F044}"/>
    <hyperlink ref="U1064" r:id="rId608" xr:uid="{CFD6164B-1B28-4D72-AF7E-9FB90341A93F}"/>
    <hyperlink ref="U1065" r:id="rId609" xr:uid="{83A555F6-81B5-4960-AFD7-9BA9822D4ED6}"/>
    <hyperlink ref="U1066" r:id="rId610" xr:uid="{2E0A7496-B5A0-4BDA-BD66-0D564E1A76D9}"/>
    <hyperlink ref="U1067" r:id="rId611" xr:uid="{9F669E67-59A7-4022-BD6D-F1EB10B31BCE}"/>
    <hyperlink ref="U1068" r:id="rId612" xr:uid="{2AF0EB5F-B336-41BF-82C5-4A20AFE6EBD8}"/>
    <hyperlink ref="U1069" r:id="rId613" xr:uid="{BD2ECE37-B23F-4857-A677-91C9508CC53C}"/>
    <hyperlink ref="U1070" r:id="rId614" xr:uid="{4B077ED8-DF32-479F-A5E4-C716D3B84567}"/>
    <hyperlink ref="U1071" r:id="rId615" xr:uid="{56618B76-D045-4856-BED0-BB648840C82D}"/>
    <hyperlink ref="U1072" r:id="rId616" xr:uid="{A5F818BF-1C97-4E35-B05F-89705BF2D8C2}"/>
    <hyperlink ref="U1073" r:id="rId617" xr:uid="{EE254A78-47E6-42A6-8753-86E08076DD98}"/>
    <hyperlink ref="U1074" r:id="rId618" xr:uid="{45BBD2E8-D3B0-4604-A5B6-060848B8D63F}"/>
    <hyperlink ref="U1075" r:id="rId619" xr:uid="{AF8AD013-D70A-4A12-BAD4-03FFBB4FFEF3}"/>
    <hyperlink ref="U1076" r:id="rId620" xr:uid="{B8F8569E-6E6C-4A0B-A53B-D758BF9507AC}"/>
    <hyperlink ref="U1691" r:id="rId621" xr:uid="{30DB36A5-ADE1-41B7-80C1-18EA50302574}"/>
    <hyperlink ref="U1698" r:id="rId622" xr:uid="{B307E342-17DD-4341-8689-E69A456D5258}"/>
    <hyperlink ref="U1686" r:id="rId623" xr:uid="{444C0A52-B266-41F5-ACE2-6D42FFF81DF5}"/>
    <hyperlink ref="U1685" r:id="rId624" xr:uid="{5DD2F6D5-6D81-4F0A-9CC8-25199D2477F0}"/>
    <hyperlink ref="U1684" r:id="rId625" xr:uid="{6ECEC4E2-3EDA-43CA-B783-26B014C960F4}"/>
    <hyperlink ref="U1751" r:id="rId626" xr:uid="{C80B01DC-C622-4CDA-B10F-198CD32232F8}"/>
    <hyperlink ref="U1737" r:id="rId627" xr:uid="{36219483-9AE3-4D1A-9065-0D5D89487E35}"/>
    <hyperlink ref="U1736" r:id="rId628" xr:uid="{D3053E53-9D44-4724-89C8-B31353709020}"/>
    <hyperlink ref="U1749" r:id="rId629" xr:uid="{8239DD82-946E-4CAF-92A9-39259B02D753}"/>
    <hyperlink ref="U1743" r:id="rId630" xr:uid="{FB532555-9DB4-4D25-BD92-CEB113C85CAA}"/>
    <hyperlink ref="U1739" r:id="rId631" xr:uid="{A800D4CB-FFB0-429D-8DCA-72DFBC595B16}"/>
    <hyperlink ref="U1738" r:id="rId632" xr:uid="{678BCD47-0A40-41EF-B25C-67B36966FE9C}"/>
    <hyperlink ref="U1750" r:id="rId633" xr:uid="{4549DD52-4C66-461A-8533-A9C54FA84B06}"/>
    <hyperlink ref="U1746" r:id="rId634" xr:uid="{05E71E6A-7C8B-48B2-9F5D-D7921CDC886E}"/>
    <hyperlink ref="U1747" r:id="rId635" xr:uid="{A709683D-4963-4DD7-B174-F4AFE1124D33}"/>
    <hyperlink ref="U1744" r:id="rId636" xr:uid="{5904DE67-E61F-4AA8-A1CC-14E26E2A9FB2}"/>
    <hyperlink ref="U1709" r:id="rId637" xr:uid="{CA3D2D81-1D0E-4750-87AB-221DDCAA94E7}"/>
    <hyperlink ref="U1708" r:id="rId638" xr:uid="{3203DE61-A0A5-4FE3-9D82-86CF4AF8631D}"/>
    <hyperlink ref="U1707" r:id="rId639" xr:uid="{006ADFD0-3036-4769-AC74-18D14DACDB11}"/>
    <hyperlink ref="U1832" r:id="rId640" xr:uid="{E5821499-DB17-4BE5-AF35-B9B7C7B19AD1}"/>
    <hyperlink ref="U1833" r:id="rId641" xr:uid="{20FFFEEC-5CDE-41B3-A78A-1FC08419B7E9}"/>
    <hyperlink ref="U1834" r:id="rId642" xr:uid="{70B6EB89-CEA2-4AA2-85B9-E0EFA69BEB5F}"/>
    <hyperlink ref="U1835" r:id="rId643" xr:uid="{92EA2C1B-3F11-410B-B84B-567048422BF9}"/>
    <hyperlink ref="U1836" r:id="rId644" xr:uid="{3870E981-1CC6-474D-9969-E30BD99BF7B3}"/>
    <hyperlink ref="U1837" r:id="rId645" xr:uid="{33302667-53ED-40AD-B6A7-4004D63C9282}"/>
    <hyperlink ref="U1838" r:id="rId646" xr:uid="{71F16430-3EB7-496D-B978-2161C4C4DE30}"/>
    <hyperlink ref="U1839" r:id="rId647" xr:uid="{763B4310-D2BE-4607-BA54-3E5723471740}"/>
    <hyperlink ref="U1840" r:id="rId648" xr:uid="{1DFA5D02-B54C-49B8-8A7D-C16644A16210}"/>
    <hyperlink ref="U1841" r:id="rId649" xr:uid="{6B1B6C00-7BB3-4FCE-8C7A-429CC72F62DC}"/>
    <hyperlink ref="U1842" r:id="rId650" xr:uid="{396725C1-6BE0-4F42-837F-B7E04FD1FBB9}"/>
    <hyperlink ref="U1843" r:id="rId651" xr:uid="{F0CB54D9-10C2-4DCB-84CB-5D4B911D51EE}"/>
    <hyperlink ref="U1844" r:id="rId652" xr:uid="{84567282-4784-411C-ABC1-236C1633C2C5}"/>
    <hyperlink ref="U1845" r:id="rId653" xr:uid="{6E711F66-B55C-43FD-AB39-77B2D7E82B67}"/>
    <hyperlink ref="U1846" r:id="rId654" xr:uid="{D2259F19-02EF-45AD-A745-41319FED2805}"/>
    <hyperlink ref="U1847" r:id="rId655" xr:uid="{D561C5D1-39F5-4DAC-8603-2ACE55411361}"/>
    <hyperlink ref="U1848" r:id="rId656" xr:uid="{916DF2FD-9C6B-4A0E-B87F-18FD4E0C5382}"/>
    <hyperlink ref="U1849" r:id="rId657" xr:uid="{57764D3F-AA32-44F5-B2BF-E77C444881C3}"/>
    <hyperlink ref="U1850" r:id="rId658" xr:uid="{F78D0B09-0B07-4832-A46A-3498FC543D4B}"/>
    <hyperlink ref="U1851" r:id="rId659" xr:uid="{E924536F-BF05-4341-984B-3EEF548DA507}"/>
    <hyperlink ref="U1852" r:id="rId660" xr:uid="{2FA4857B-0A33-4478-92A4-4B540EC42A27}"/>
    <hyperlink ref="U1853" r:id="rId661" xr:uid="{3380F35F-5C80-4215-8AF4-D2B4337B4AEC}"/>
    <hyperlink ref="U1854" r:id="rId662" xr:uid="{80C8AA08-3527-4243-A6BC-C48577C36E98}"/>
    <hyperlink ref="U1855" r:id="rId663" xr:uid="{9D0C1E8E-6716-4675-B519-2D29B535CF9B}"/>
    <hyperlink ref="U1856" r:id="rId664" xr:uid="{F4A02E00-97FD-4B54-92E2-E5B5B6B9BABD}"/>
    <hyperlink ref="U1857" r:id="rId665" xr:uid="{139C43B7-5779-4536-B39A-B85F1A63866E}"/>
    <hyperlink ref="U1858" r:id="rId666" xr:uid="{876248F2-7783-4B43-A64C-BF865C8BCD27}"/>
    <hyperlink ref="U1859" r:id="rId667" xr:uid="{122A9B2D-ACC2-48BA-92C7-4F9B04DCF909}"/>
    <hyperlink ref="U1860" r:id="rId668" xr:uid="{608B9CA1-1462-4AFE-B537-3BFB912660D4}"/>
    <hyperlink ref="U1861" r:id="rId669" xr:uid="{E95AF84D-13D8-4416-9138-87A3B6B2EB68}"/>
    <hyperlink ref="U1862" r:id="rId670" xr:uid="{D0BCF13A-170F-46B1-BBC8-5C75F1ECFEBA}"/>
    <hyperlink ref="U1863" r:id="rId671" xr:uid="{5C1F336C-5612-4C42-AFF2-4748AFC7ECC3}"/>
    <hyperlink ref="U1864" r:id="rId672" xr:uid="{1315F84D-9AD5-4366-8075-2C304F9DFCE0}"/>
    <hyperlink ref="U1865" r:id="rId673" xr:uid="{507416E7-17FC-42AC-B308-280319F7740A}"/>
    <hyperlink ref="U1866" r:id="rId674" xr:uid="{F15A20FD-B82F-49B9-8F29-08F8972EB461}"/>
    <hyperlink ref="U1867" r:id="rId675" xr:uid="{A7C37783-5729-4B22-B881-4A2468217C2F}"/>
    <hyperlink ref="U1868" r:id="rId676" xr:uid="{223966AE-5576-4971-B043-6107CEF77480}"/>
    <hyperlink ref="U1869" r:id="rId677" xr:uid="{8A34862B-00EA-4BE5-9FAB-18E07A84063E}"/>
    <hyperlink ref="U1870" r:id="rId678" xr:uid="{4EA76472-0965-4C3F-8B28-EFC21ACE4DEA}"/>
    <hyperlink ref="U1871" r:id="rId679" xr:uid="{5B3F403D-52C1-4DA4-BA3E-C7F442C5E0F5}"/>
    <hyperlink ref="U1872" r:id="rId680" xr:uid="{8FD9D7AE-FF39-4DF5-AC8E-7AAA3EF466F4}"/>
    <hyperlink ref="U1873" r:id="rId681" xr:uid="{73432C41-4011-4CC1-9B8E-2E98D51B5343}"/>
    <hyperlink ref="U1874" r:id="rId682" xr:uid="{4A8CB8C3-9661-4C98-8B77-BF0D906A7A7A}"/>
    <hyperlink ref="U1875" r:id="rId683" xr:uid="{C314EB9C-1B48-4133-9864-7C5CA94C5C6F}"/>
    <hyperlink ref="U1876" r:id="rId684" xr:uid="{354D6655-E937-4829-A230-BF8AFFCB9EC2}"/>
    <hyperlink ref="U1877" r:id="rId685" xr:uid="{21732F54-6681-45AA-8E2E-4A9FF1D1C0A5}"/>
    <hyperlink ref="U1878" r:id="rId686" xr:uid="{23E34555-B4C1-41B8-9E86-95E4B4BA4373}"/>
    <hyperlink ref="U1879" r:id="rId687" xr:uid="{0E225523-4EBE-4074-983D-42866C89646A}"/>
    <hyperlink ref="U1880" r:id="rId688" xr:uid="{143FDCC2-B962-4322-81D9-12EDECD89E9A}"/>
    <hyperlink ref="U1881" r:id="rId689" xr:uid="{26ED39C7-7815-4B09-96F1-CCC4BFA27EC8}"/>
    <hyperlink ref="U1882" r:id="rId690" xr:uid="{BAB10FA8-EFB5-4A21-B74E-913BEC0DE219}"/>
    <hyperlink ref="U1883" r:id="rId691" xr:uid="{5722D9CD-2B34-4C07-A7BB-20CFB309F523}"/>
    <hyperlink ref="U1884" r:id="rId692" xr:uid="{D3148B0F-31E9-4794-B6D8-D566BCC9295A}"/>
    <hyperlink ref="U1885" r:id="rId693" xr:uid="{EC7E7DD5-5BB0-4767-A98A-F3A1BED14EA4}"/>
    <hyperlink ref="U1886" r:id="rId694" xr:uid="{5471F980-923F-4DE6-8B20-D63715D968E8}"/>
    <hyperlink ref="U1887" r:id="rId695" xr:uid="{132FD023-B080-4423-A733-E743ECC65A78}"/>
    <hyperlink ref="U1889" r:id="rId696" xr:uid="{C59D077C-F28E-4730-B968-886D7E5264E0}"/>
    <hyperlink ref="U1888" r:id="rId697" xr:uid="{446DC2AD-4601-40D9-A8CF-1E6ADA346F86}"/>
    <hyperlink ref="U1890" r:id="rId698" xr:uid="{4EAC2161-D6F7-44DE-92E0-61E4E4A7E34A}"/>
    <hyperlink ref="U1891" r:id="rId699" xr:uid="{0EA3A307-BC41-4A53-968E-115C0B3164CF}"/>
    <hyperlink ref="U1892" r:id="rId700" xr:uid="{7536B240-57F1-42F1-8E2F-9D547BACD8C5}"/>
    <hyperlink ref="U1893" r:id="rId701" xr:uid="{0BABF9B3-40F8-4C40-BB9F-491C2AB9663B}"/>
    <hyperlink ref="U1894" r:id="rId702" xr:uid="{440F8B1C-AF4F-460C-AD7E-2FE1AD9CB159}"/>
    <hyperlink ref="U1895" r:id="rId703" xr:uid="{71418A6A-D3A0-4F10-8771-C9F14651F6FA}"/>
    <hyperlink ref="U1896" r:id="rId704" xr:uid="{3B08BDB6-46BA-4D52-9AD9-8F224A34EC85}"/>
    <hyperlink ref="U1897" r:id="rId705" xr:uid="{BB069A32-0244-47A7-ACE5-B7C7983F73BD}"/>
    <hyperlink ref="U1898" r:id="rId706" xr:uid="{58CE543D-45F9-4B6A-ADA2-ED327CFB78C5}"/>
    <hyperlink ref="U1899" r:id="rId707" xr:uid="{A8D6F1B4-72A8-4B74-B579-128C93CB106F}"/>
    <hyperlink ref="U1900" r:id="rId708" xr:uid="{37F9D667-0628-4F98-99C7-DEB0D37ACEC4}"/>
    <hyperlink ref="U1901" r:id="rId709" xr:uid="{B3A60BD1-AD84-4A17-B490-1E6EA833518C}"/>
    <hyperlink ref="U1902" r:id="rId710" xr:uid="{CACC1BDC-5854-4BE4-98C7-4BEEF9CFE1C0}"/>
    <hyperlink ref="U1903" r:id="rId711" xr:uid="{D97B63E5-F781-48F6-AB33-40874C89AEA8}"/>
    <hyperlink ref="U1904" r:id="rId712" xr:uid="{E8746BF4-324B-4FE0-8EC2-21C846469579}"/>
    <hyperlink ref="U1905" r:id="rId713" xr:uid="{FB2C16A5-DB32-4B88-A924-C143C697D179}"/>
    <hyperlink ref="U1906" r:id="rId714" xr:uid="{D9E48503-3A69-4998-A49A-FE437F1AA1E5}"/>
    <hyperlink ref="U1907" r:id="rId715" xr:uid="{04F030EF-E3ED-492F-A999-C7D4F5CF1113}"/>
    <hyperlink ref="U1908" r:id="rId716" xr:uid="{567843DD-02A3-4A01-995A-4873BA767294}"/>
    <hyperlink ref="U1909" r:id="rId717" xr:uid="{F25DDAAC-7754-4D78-8EBA-9184F4BFF3E7}"/>
    <hyperlink ref="U1910" r:id="rId718" xr:uid="{325225CB-1CEF-461B-82DB-F6DCA1210952}"/>
    <hyperlink ref="U1911" r:id="rId719" xr:uid="{9032C7F1-E6B4-476B-9603-E33C88092411}"/>
    <hyperlink ref="U1912" r:id="rId720" xr:uid="{685D0B7B-B830-4189-839A-5CD5372DFCB4}"/>
    <hyperlink ref="U1913" r:id="rId721" xr:uid="{FD2649D5-DE22-41DE-B5FB-AFD4A95F4D4E}"/>
    <hyperlink ref="U1914" r:id="rId722" xr:uid="{98232EB4-5F6D-495F-A14E-65E2724869BD}"/>
    <hyperlink ref="U1915" r:id="rId723" xr:uid="{FD0AF2F0-382A-40AF-BDEC-E25D58B60D21}"/>
    <hyperlink ref="U1916" r:id="rId724" xr:uid="{B97A1CCD-0583-4980-A502-135802BFFCED}"/>
    <hyperlink ref="U1917" r:id="rId725" xr:uid="{EC383024-E90C-49A2-A003-4A4A8F1A3CAA}"/>
    <hyperlink ref="U1918" r:id="rId726" xr:uid="{D9DC95EA-E291-4D67-866A-5147B456E5D3}"/>
    <hyperlink ref="U1919" r:id="rId727" xr:uid="{10650BCB-3F8B-4A44-8BC9-C0FA33DB7E60}"/>
    <hyperlink ref="U1920" r:id="rId728" xr:uid="{94EF0E46-1F49-45DC-BAA6-9EABDFFE0101}"/>
    <hyperlink ref="U1921" r:id="rId729" xr:uid="{BB1520D1-882E-4073-B436-215BBAAEBD8C}"/>
    <hyperlink ref="U1922" r:id="rId730" xr:uid="{A168BC73-7ADD-47AD-9C9C-5CA7A0B7C1E6}"/>
    <hyperlink ref="U1923" r:id="rId731" xr:uid="{CAA78420-2F53-41D2-A8AB-365F60BFEAA7}"/>
    <hyperlink ref="U1924" r:id="rId732" xr:uid="{A5290396-C0AA-46F0-B197-40431E5042EC}"/>
    <hyperlink ref="U1925" r:id="rId733" xr:uid="{27C5465D-F4E6-41BD-8AC9-815F7B8BB0B7}"/>
    <hyperlink ref="U1926" r:id="rId734" xr:uid="{96557932-FAEC-4239-B14E-2627A5B5EF82}"/>
    <hyperlink ref="U1927" r:id="rId735" xr:uid="{83D2F954-20A3-4E87-A9B7-07FF23EACE59}"/>
    <hyperlink ref="U1928" r:id="rId736" xr:uid="{E02A1B31-DDA0-4924-ACBE-2946CE0324C6}"/>
    <hyperlink ref="U1929" r:id="rId737" xr:uid="{A40753B0-EB89-4693-B7D8-52CC743BBC9D}"/>
    <hyperlink ref="U1930" r:id="rId738" xr:uid="{F43B1679-E38A-4498-AA98-CB0E68BACCCA}"/>
    <hyperlink ref="U1931" r:id="rId739" xr:uid="{BFF6A4EE-8407-467A-8FF1-7F49EFFF8CC9}"/>
    <hyperlink ref="U1932" r:id="rId740" xr:uid="{FD706E8C-A195-438E-8584-D843B416EDB8}"/>
    <hyperlink ref="U1933" r:id="rId741" xr:uid="{6D9F2480-976D-4B17-B5FE-967F1008EEA8}"/>
    <hyperlink ref="U1934" r:id="rId742" xr:uid="{5C4370FD-A50E-4EA7-A415-75B7AD6B5323}"/>
    <hyperlink ref="U1935" r:id="rId743" xr:uid="{E7376C61-8297-4B24-9803-4CAEDCCC15C0}"/>
    <hyperlink ref="U1936" r:id="rId744" xr:uid="{5B9442A7-01C8-4316-8138-8F536DD709F7}"/>
    <hyperlink ref="U1937" r:id="rId745" xr:uid="{B7AEF782-0BCC-4D08-97DA-7A7F4F9647E6}"/>
    <hyperlink ref="U1938" r:id="rId746" xr:uid="{700703D0-CE5B-48C1-914E-060DAA970429}"/>
    <hyperlink ref="U1939" r:id="rId747" xr:uid="{99D07750-54FB-42EE-8C18-432A8D4C3F32}"/>
    <hyperlink ref="U1940" r:id="rId748" xr:uid="{495E8C50-8B8B-4686-A3C8-51CD5CF64B50}"/>
    <hyperlink ref="U1941" r:id="rId749" xr:uid="{AF921894-8614-413F-9903-B15B9BF26C38}"/>
    <hyperlink ref="U1942" r:id="rId750" xr:uid="{79D256B0-0ABD-4E72-BB54-595C8ED2C842}"/>
    <hyperlink ref="U1943" r:id="rId751" xr:uid="{2FF3C0B7-73D6-4CD8-A127-E37B80B0D435}"/>
    <hyperlink ref="U1944" r:id="rId752" xr:uid="{88A812F0-8863-4D9A-A1CB-F8FB8D0BCE72}"/>
    <hyperlink ref="U1945" r:id="rId753" xr:uid="{D2F06BFE-3B6F-41E6-8A4C-9755C2D45BA6}"/>
    <hyperlink ref="U1946" r:id="rId754" xr:uid="{BC3832C4-7C7B-44A4-9BC3-E17DE3BE5830}"/>
    <hyperlink ref="U1947" r:id="rId755" xr:uid="{7E09CCDB-7942-40EF-9FE4-8E8C62103C32}"/>
    <hyperlink ref="U1948" r:id="rId756" xr:uid="{8E2FAB1C-C42A-4453-AB1E-9053E46B888F}"/>
    <hyperlink ref="U1949" r:id="rId757" xr:uid="{79EF42D3-8722-4CC7-BBB9-546001A71294}"/>
    <hyperlink ref="U1950" r:id="rId758" xr:uid="{5F2A622D-5C9B-47E7-B178-45B64881BEB0}"/>
    <hyperlink ref="U1951" r:id="rId759" xr:uid="{DA4533E4-9764-4766-8202-B29CD46E800B}"/>
    <hyperlink ref="U1952" r:id="rId760" xr:uid="{76B7A4A0-703A-4967-8CD8-96CFF6CD324E}"/>
    <hyperlink ref="U1953" r:id="rId761" xr:uid="{B77A629E-1CB6-404B-8BAB-49B6EF6F0EAC}"/>
    <hyperlink ref="U1954" r:id="rId762" xr:uid="{3E6ED38A-48FB-4FAA-A0EB-9CA419FC1EEF}"/>
    <hyperlink ref="U1955" r:id="rId763" xr:uid="{886A494B-A3E9-4960-88D6-54EB7902BBA4}"/>
    <hyperlink ref="U1956" r:id="rId764" xr:uid="{9F77F6B4-099A-451F-920B-29E0950D29C9}"/>
    <hyperlink ref="U1957" r:id="rId765" xr:uid="{27B872F3-35D2-4D93-BC59-0EECBE7D44E3}"/>
    <hyperlink ref="U1958" r:id="rId766" xr:uid="{5B6AD654-D8B3-4634-9657-451EEBA3B4C4}"/>
    <hyperlink ref="U1959" r:id="rId767" xr:uid="{7864FF5A-688B-4313-9130-B5E0E77F61D4}"/>
    <hyperlink ref="U1960" r:id="rId768" xr:uid="{22F7E1B4-046A-4247-8774-777BB7F1D5BF}"/>
    <hyperlink ref="U1961" r:id="rId769" xr:uid="{EDBE6B55-F7FF-4BF4-B1E2-6BFC63542686}"/>
    <hyperlink ref="U1962" r:id="rId770" xr:uid="{B9CF0D73-59F4-4878-9003-70706981DC2E}"/>
    <hyperlink ref="U1963" r:id="rId771" xr:uid="{2ADC9DFF-FAA4-46DF-A49D-8482295868F0}"/>
    <hyperlink ref="U1964" r:id="rId772" xr:uid="{0F1B60AE-2963-4705-9650-CD00F2514F59}"/>
    <hyperlink ref="U1965" r:id="rId773" xr:uid="{776C681D-E7DF-4BB0-80CE-A3EADCC7B139}"/>
    <hyperlink ref="U1966" r:id="rId774" xr:uid="{6AC3545B-866D-4C5E-90D7-E9F61F45E653}"/>
    <hyperlink ref="U1967" r:id="rId775" xr:uid="{5CA517C7-012B-48C0-80CB-C61F254CC5C5}"/>
    <hyperlink ref="U1968" r:id="rId776" xr:uid="{DB7AD119-C15A-462A-B10D-ED2AD5086453}"/>
    <hyperlink ref="U1969" r:id="rId777" xr:uid="{E9E5098E-C29D-43CC-A8C4-C802647DA31B}"/>
    <hyperlink ref="U1970" r:id="rId778" xr:uid="{4A0EDD80-10B7-429D-BE9F-4897CE4AC972}"/>
    <hyperlink ref="U1971" r:id="rId779" xr:uid="{2C65525E-3616-4B08-9A66-7386546AA188}"/>
    <hyperlink ref="U1972" r:id="rId780" xr:uid="{CB1D029B-F109-44D9-9271-B1133C92D946}"/>
    <hyperlink ref="U1973" r:id="rId781" xr:uid="{3272A8EF-84A7-4D55-B89B-A984FD30E243}"/>
    <hyperlink ref="U1974" r:id="rId782" xr:uid="{6C5F7518-63BA-4006-957B-D501D7825CDB}"/>
    <hyperlink ref="U1975" r:id="rId783" xr:uid="{49E9F684-012D-4559-827B-D0B44F87C676}"/>
    <hyperlink ref="U1976" r:id="rId784" xr:uid="{850C5FE4-71BE-4502-8C50-AD983D08D39D}"/>
    <hyperlink ref="U1977" r:id="rId785" xr:uid="{386A331F-3322-400E-8FCA-0F82E00517D6}"/>
    <hyperlink ref="U1978" r:id="rId786" xr:uid="{6393C2C1-16D0-4565-B5DA-6A6151BBEA1B}"/>
    <hyperlink ref="U1979" r:id="rId787" xr:uid="{A2EF6D69-1009-4188-A2AB-A1A550652D2E}"/>
    <hyperlink ref="U1980" r:id="rId788" xr:uid="{CD2EA02E-127E-4CA9-8314-6576DC37A074}"/>
    <hyperlink ref="U1981" r:id="rId789" xr:uid="{15BC6B79-BABD-4F1D-ABE1-6F73840C5FC2}"/>
    <hyperlink ref="U1982" r:id="rId790" xr:uid="{7B5574DF-B79F-49A5-848D-1034D6C6A76A}"/>
    <hyperlink ref="U1983" r:id="rId791" xr:uid="{888670BF-4769-4C5B-BFB7-B02C3B64D20A}"/>
    <hyperlink ref="U1984" r:id="rId792" xr:uid="{CF39516A-E16B-4325-A556-F3A157F9819C}"/>
    <hyperlink ref="U1985" r:id="rId793" xr:uid="{CA7F3187-315C-441F-9A88-00F3BD6AB1E3}"/>
    <hyperlink ref="U1986" r:id="rId794" xr:uid="{B951C62F-B4D5-4883-A449-105C40C669CA}"/>
    <hyperlink ref="U1987" r:id="rId795" xr:uid="{AD3ABC71-6157-4FA1-874D-06F2DF57FF17}"/>
    <hyperlink ref="U1988" r:id="rId796" xr:uid="{552479C3-70B8-4A2D-8E34-127B737FAC0A}"/>
    <hyperlink ref="U1989" r:id="rId797" xr:uid="{78986405-589E-413E-A21F-90DAA1028BFC}"/>
    <hyperlink ref="U1990" r:id="rId798" xr:uid="{3F6589BA-7CCC-4300-8914-9EB4234C76F1}"/>
    <hyperlink ref="U1991" r:id="rId799" xr:uid="{7ABE003F-62BC-44FE-9E33-36BC5D26D09D}"/>
    <hyperlink ref="U1992" r:id="rId800" xr:uid="{8481821A-9AA9-4836-A907-1CE13BC59526}"/>
    <hyperlink ref="U1993" r:id="rId801" xr:uid="{ADD89ADF-AB8A-4CC8-8441-0EF16FC17A8C}"/>
    <hyperlink ref="U1994" r:id="rId802" xr:uid="{0149AAF0-C327-4739-8DB8-D544B4D56C62}"/>
    <hyperlink ref="U1995" r:id="rId803" xr:uid="{B35B55A0-6FE0-4E06-B53F-C811B8142C03}"/>
    <hyperlink ref="U1996" r:id="rId804" xr:uid="{93513300-B2A6-4E76-8172-EDC203D53E13}"/>
    <hyperlink ref="U1997" r:id="rId805" xr:uid="{C25FEAB1-DC59-4AEB-B7E2-90BDC7624F71}"/>
    <hyperlink ref="U1998" r:id="rId806" xr:uid="{F0034CF3-8E17-4A26-A65C-53BF607ED7EA}"/>
    <hyperlink ref="U1999" r:id="rId807" xr:uid="{277C0C9D-19CB-41F6-9C7C-4AE70F0AD6E8}"/>
    <hyperlink ref="U2000" r:id="rId808" xr:uid="{8CB3D681-9EC3-47F4-8608-BF1A3111E4DA}"/>
    <hyperlink ref="U2001" r:id="rId809" xr:uid="{298D827D-50F8-411B-89D5-96B8D3A740B3}"/>
    <hyperlink ref="U2002" r:id="rId810" xr:uid="{02D847C3-8274-489E-B42C-FC9EF73EE7B6}"/>
    <hyperlink ref="U2003" r:id="rId811" xr:uid="{46C91C24-9CA0-4EEB-BE30-FFD4BD6F6FF8}"/>
    <hyperlink ref="U2004" r:id="rId812" xr:uid="{BE489BE0-581E-457E-88C1-9455B3793E4F}"/>
    <hyperlink ref="U2005" r:id="rId813" xr:uid="{B3E7D97E-4349-4DE5-B36E-BD6B1490CAC1}"/>
    <hyperlink ref="U1802" r:id="rId814" xr:uid="{0B6E3658-B905-4D7D-AFF8-D4ED80B423C1}"/>
  </hyperlinks>
  <pageMargins left="0.7" right="0.7" top="0.75" bottom="0.75" header="0.3" footer="0.3"/>
  <pageSetup paperSize="9" orientation="portrait" r:id="rId815"/>
  <tableParts count="1">
    <tablePart r:id="rId81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J1" zoomScale="85" zoomScaleNormal="85" workbookViewId="0">
      <selection activeCell="O3" sqref="O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2066</v>
      </c>
      <c r="G1" s="14" t="s">
        <v>640</v>
      </c>
      <c r="Y1" t="s">
        <v>2903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2299</v>
      </c>
      <c r="Z2" t="s">
        <v>2223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2939</v>
      </c>
      <c r="L3" s="3" t="s">
        <v>2865</v>
      </c>
      <c r="M3" s="23" t="s">
        <v>607</v>
      </c>
      <c r="N3" s="24" t="s">
        <v>2866</v>
      </c>
      <c r="U3" s="3" t="s">
        <v>2865</v>
      </c>
      <c r="V3" s="23" t="s">
        <v>607</v>
      </c>
      <c r="W3" s="24" t="s">
        <v>2866</v>
      </c>
      <c r="Y3" t="s">
        <v>2257</v>
      </c>
      <c r="Z3" t="s">
        <v>2223</v>
      </c>
      <c r="AA3" t="s">
        <v>2255</v>
      </c>
      <c r="AB3">
        <v>2</v>
      </c>
    </row>
    <row r="4" spans="1:28" x14ac:dyDescent="0.3">
      <c r="A4" s="1" t="s">
        <v>206</v>
      </c>
      <c r="B4" s="1">
        <f>B1-B2</f>
        <v>1584</v>
      </c>
      <c r="C4" s="2">
        <f t="shared" ref="C4:C20" si="0">B4/$B$1</f>
        <v>0.76669893514036791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0.64906988436400204</v>
      </c>
      <c r="P4" s="21" t="s">
        <v>2864</v>
      </c>
      <c r="T4" t="s">
        <v>2905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2276</v>
      </c>
      <c r="Z4" t="s">
        <v>2223</v>
      </c>
      <c r="AA4" t="s">
        <v>2253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5.324298160696999E-3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2906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2239</v>
      </c>
      <c r="Z5" t="s">
        <v>2223</v>
      </c>
      <c r="AA5" t="s">
        <v>2238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2.1297192642787996E-2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136</v>
      </c>
      <c r="M6" s="16">
        <v>115</v>
      </c>
      <c r="N6" s="22">
        <v>0.84558823529411764</v>
      </c>
      <c r="O6" s="20" cm="1">
        <f t="array" ref="O6">L4+SUM(_xlfn.ANCHORARRAY(L5))-_xlfn.XLOOKUP("Taizé en Español",_xlfn.ANCHORARRAY(J5),_xlfn.ANCHORARRAY(L5))</f>
        <v>1989</v>
      </c>
      <c r="P6" t="s">
        <v>2865</v>
      </c>
      <c r="Q6" cm="1">
        <f t="array" ref="Q6">_xlfn.XLOOKUP("Taizé en Español",_xlfn.ANCHORARRAY(J5),_xlfn.ANCHORARRAY(L5))</f>
        <v>78</v>
      </c>
      <c r="R6" t="s">
        <v>2889</v>
      </c>
      <c r="T6" t="s">
        <v>2170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2235</v>
      </c>
      <c r="Z6" t="s">
        <v>2223</v>
      </c>
      <c r="AA6" t="s">
        <v>2224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4.0174249757986447E-2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1291</v>
      </c>
      <c r="P7" t="s">
        <v>2868</v>
      </c>
      <c r="Q7">
        <f>O6+Q6</f>
        <v>2067</v>
      </c>
      <c r="R7" t="s">
        <v>2890</v>
      </c>
      <c r="T7" t="s">
        <v>3007</v>
      </c>
      <c r="U7">
        <f>COUNTA(CantoralDB[link])</f>
        <v>1075</v>
      </c>
      <c r="W7" s="25">
        <f>U7/O7</f>
        <v>0.83268783888458564</v>
      </c>
      <c r="Y7" t="s">
        <v>2304</v>
      </c>
      <c r="Z7" t="s">
        <v>2223</v>
      </c>
      <c r="AA7" t="s">
        <v>2304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2.9041626331074541E-3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1369</v>
      </c>
      <c r="R8" t="s">
        <v>2942</v>
      </c>
      <c r="Y8" t="s">
        <v>1872</v>
      </c>
      <c r="Z8" t="s">
        <v>2223</v>
      </c>
      <c r="AA8" t="s">
        <v>2304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4.3562439496611814E-3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2354</v>
      </c>
      <c r="Z9" t="s">
        <v>2223</v>
      </c>
      <c r="AA9" t="s">
        <v>2348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2.1297192642787996E-2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2264</v>
      </c>
      <c r="Z10" t="s">
        <v>2223</v>
      </c>
      <c r="AA10" t="s">
        <v>2255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2.9041626331074541E-3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2223</v>
      </c>
      <c r="AA11" t="s">
        <v>2253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2.4201355275895449E-3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2223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3.8722168441432721E-3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2223</v>
      </c>
      <c r="AA13" t="s">
        <v>2253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1.1616650532429816E-2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2248</v>
      </c>
      <c r="Z14" t="s">
        <v>2223</v>
      </c>
      <c r="AA14" t="s">
        <v>2238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9.6805421103581795E-3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2328</v>
      </c>
      <c r="Z15" t="s">
        <v>2223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9.6805421103581795E-3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2310</v>
      </c>
      <c r="Z16" t="s">
        <v>2223</v>
      </c>
      <c r="AA16" t="s">
        <v>2304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2.9041626331074541E-3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2339</v>
      </c>
      <c r="Z17" t="s">
        <v>2223</v>
      </c>
      <c r="AA17" t="s">
        <v>2251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4.8402710551790898E-3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2331</v>
      </c>
      <c r="Z18" t="s">
        <v>2223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4.3562439496611814E-3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2336</v>
      </c>
      <c r="Z19" t="s">
        <v>2223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6.7763794772507258E-3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2317</v>
      </c>
      <c r="Z20" t="s">
        <v>2223</v>
      </c>
      <c r="AA20" t="s">
        <v>2304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3.7754114230396901E-2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2352</v>
      </c>
      <c r="Z21" t="s">
        <v>2223</v>
      </c>
      <c r="AA21" t="s">
        <v>2348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4.1142303969022263E-2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2245</v>
      </c>
      <c r="Z22" t="s">
        <v>2223</v>
      </c>
      <c r="AA22" t="s">
        <v>2238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2263</v>
      </c>
      <c r="Z23" t="s">
        <v>2223</v>
      </c>
      <c r="AA23" t="s">
        <v>2255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2305</v>
      </c>
      <c r="Z24" t="s">
        <v>2223</v>
      </c>
      <c r="AA24" t="s">
        <v>2304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2337</v>
      </c>
      <c r="Z25" t="s">
        <v>2223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2353</v>
      </c>
      <c r="Z26" t="s">
        <v>2223</v>
      </c>
      <c r="AA26" t="s">
        <v>2348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2273</v>
      </c>
      <c r="Z27" t="s">
        <v>2223</v>
      </c>
      <c r="AA27" t="s">
        <v>2253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2281</v>
      </c>
      <c r="Z28" t="s">
        <v>2223</v>
      </c>
      <c r="AA28" t="s">
        <v>2254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2258</v>
      </c>
      <c r="Z29" t="s">
        <v>2223</v>
      </c>
      <c r="AA29" t="s">
        <v>2255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2240</v>
      </c>
      <c r="Z30" t="s">
        <v>2223</v>
      </c>
      <c r="AA30" t="s">
        <v>2238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2303</v>
      </c>
      <c r="Z31" t="s">
        <v>2223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2223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2319</v>
      </c>
      <c r="Z33" t="s">
        <v>2223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2351</v>
      </c>
      <c r="Z34" t="s">
        <v>2223</v>
      </c>
      <c r="AA34" t="s">
        <v>2348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2315</v>
      </c>
      <c r="Z35" t="s">
        <v>2223</v>
      </c>
      <c r="AA35" t="s">
        <v>2304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2231</v>
      </c>
      <c r="Z36" t="s">
        <v>2223</v>
      </c>
      <c r="AA36" t="s">
        <v>2224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2246</v>
      </c>
      <c r="Z37" t="s">
        <v>2223</v>
      </c>
      <c r="AA37" t="s">
        <v>2238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2306</v>
      </c>
      <c r="Z38" t="s">
        <v>2223</v>
      </c>
      <c r="AA38" t="s">
        <v>2304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2341</v>
      </c>
      <c r="Z39" t="s">
        <v>2223</v>
      </c>
      <c r="AA39" t="s">
        <v>2340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2307</v>
      </c>
      <c r="Z40" t="s">
        <v>2223</v>
      </c>
      <c r="AA40" t="s">
        <v>2304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2335</v>
      </c>
      <c r="Z41" t="s">
        <v>2223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2271</v>
      </c>
      <c r="Z42" t="s">
        <v>2223</v>
      </c>
      <c r="AA42" t="s">
        <v>2253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2277</v>
      </c>
      <c r="Z43" t="s">
        <v>2223</v>
      </c>
      <c r="AA43" t="s">
        <v>2253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2270</v>
      </c>
      <c r="Z44" t="s">
        <v>2223</v>
      </c>
      <c r="AA44" t="s">
        <v>2253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2296</v>
      </c>
      <c r="Z45" t="s">
        <v>2223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2322</v>
      </c>
      <c r="Z46" t="s">
        <v>2223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2241</v>
      </c>
      <c r="Z47" t="s">
        <v>2223</v>
      </c>
      <c r="AA47" t="s">
        <v>2238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2272</v>
      </c>
      <c r="Z48" t="s">
        <v>2223</v>
      </c>
      <c r="AA48" t="s">
        <v>2253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2223</v>
      </c>
      <c r="AA49" t="s">
        <v>2253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2266</v>
      </c>
      <c r="Z50" t="s">
        <v>2223</v>
      </c>
      <c r="AA50" t="s">
        <v>2255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2223</v>
      </c>
      <c r="AA51" t="s">
        <v>2255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2275</v>
      </c>
      <c r="Z52" t="s">
        <v>2223</v>
      </c>
      <c r="AA52" t="s">
        <v>2253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2223</v>
      </c>
      <c r="AA53" t="s">
        <v>2253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2230</v>
      </c>
      <c r="Z54" t="s">
        <v>2223</v>
      </c>
      <c r="AA54" t="s">
        <v>2224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2223</v>
      </c>
      <c r="AA55" t="s">
        <v>2253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2250</v>
      </c>
      <c r="Z56" t="s">
        <v>2223</v>
      </c>
      <c r="AA56" t="s">
        <v>2238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2324</v>
      </c>
      <c r="Z57" t="s">
        <v>2223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2226</v>
      </c>
      <c r="Z58" t="s">
        <v>2223</v>
      </c>
      <c r="AA58" t="s">
        <v>2224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2279</v>
      </c>
      <c r="Z59" t="s">
        <v>2223</v>
      </c>
      <c r="AA59" t="s">
        <v>2254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2244</v>
      </c>
      <c r="Z60" t="s">
        <v>2223</v>
      </c>
      <c r="AA60" t="s">
        <v>2238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2260</v>
      </c>
      <c r="Z61" t="s">
        <v>2223</v>
      </c>
      <c r="AA61" t="s">
        <v>2255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2229</v>
      </c>
      <c r="Z62" t="s">
        <v>2223</v>
      </c>
      <c r="AA62" t="s">
        <v>2224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2347</v>
      </c>
      <c r="Z63" t="s">
        <v>2223</v>
      </c>
      <c r="AA63" t="s">
        <v>2340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2314</v>
      </c>
      <c r="Z64" t="s">
        <v>2223</v>
      </c>
      <c r="AA64" t="s">
        <v>2304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2327</v>
      </c>
      <c r="Z65" t="s">
        <v>2223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2294</v>
      </c>
      <c r="Z66" t="s">
        <v>2223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2284</v>
      </c>
      <c r="Z67" t="s">
        <v>2223</v>
      </c>
      <c r="AA67" t="s">
        <v>2254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2223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2343</v>
      </c>
      <c r="Z69" t="s">
        <v>2223</v>
      </c>
      <c r="AA69" t="s">
        <v>2340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2247</v>
      </c>
      <c r="Z70" t="s">
        <v>2223</v>
      </c>
      <c r="AA70" t="s">
        <v>2238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2274</v>
      </c>
      <c r="Z71" t="s">
        <v>2223</v>
      </c>
      <c r="AA71" t="s">
        <v>2253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2261</v>
      </c>
      <c r="Z72" t="s">
        <v>2223</v>
      </c>
      <c r="AA72" t="s">
        <v>2255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2259</v>
      </c>
      <c r="Z73" t="s">
        <v>2223</v>
      </c>
      <c r="AA73" t="s">
        <v>2255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2308</v>
      </c>
      <c r="Z74" t="s">
        <v>2223</v>
      </c>
      <c r="AA74" t="s">
        <v>2304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2329</v>
      </c>
      <c r="Z75" t="s">
        <v>2223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2256</v>
      </c>
      <c r="Z76" t="s">
        <v>2223</v>
      </c>
      <c r="AA76" t="s">
        <v>2255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2265</v>
      </c>
      <c r="Z77" t="s">
        <v>2223</v>
      </c>
      <c r="AA77" t="s">
        <v>2255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2267</v>
      </c>
      <c r="Z78" t="s">
        <v>2223</v>
      </c>
      <c r="AA78" t="s">
        <v>2255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2287</v>
      </c>
      <c r="Z79" t="s">
        <v>2223</v>
      </c>
      <c r="AA79" t="s">
        <v>2254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102</v>
      </c>
      <c r="N80" s="22">
        <v>0.79069767441860461</v>
      </c>
      <c r="Y80" t="s">
        <v>2252</v>
      </c>
      <c r="Z80" t="s">
        <v>2223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2262</v>
      </c>
      <c r="Z81" t="s">
        <v>2223</v>
      </c>
      <c r="AA81" t="s">
        <v>2255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2282</v>
      </c>
      <c r="Z82" t="s">
        <v>2223</v>
      </c>
      <c r="AA82" t="s">
        <v>2254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2321</v>
      </c>
      <c r="Z83" t="s">
        <v>2223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2326</v>
      </c>
      <c r="Z84" t="s">
        <v>2223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2332</v>
      </c>
      <c r="Z85" t="s">
        <v>2223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2334</v>
      </c>
      <c r="Z86" t="s">
        <v>2223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2268</v>
      </c>
      <c r="Z87" t="s">
        <v>2223</v>
      </c>
      <c r="AA87" t="s">
        <v>2255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2318</v>
      </c>
      <c r="Z88" t="s">
        <v>2223</v>
      </c>
      <c r="AA88" t="s">
        <v>2304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2350</v>
      </c>
      <c r="Z89" t="s">
        <v>2223</v>
      </c>
      <c r="AA89" t="s">
        <v>2348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2255</v>
      </c>
      <c r="Z90" t="s">
        <v>2223</v>
      </c>
      <c r="AA90" t="s">
        <v>2255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2243</v>
      </c>
      <c r="Z91" t="s">
        <v>2223</v>
      </c>
      <c r="AA91" t="s">
        <v>2238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2344</v>
      </c>
      <c r="Z92" t="s">
        <v>2223</v>
      </c>
      <c r="AA92" t="s">
        <v>2340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2302</v>
      </c>
      <c r="Z93" t="s">
        <v>2223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2233</v>
      </c>
      <c r="Z94" t="s">
        <v>2223</v>
      </c>
      <c r="AA94" t="s">
        <v>2224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2278</v>
      </c>
      <c r="Z95" t="s">
        <v>2223</v>
      </c>
      <c r="AA95" t="s">
        <v>2254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2227</v>
      </c>
      <c r="Z96" t="s">
        <v>2223</v>
      </c>
      <c r="AA96" t="s">
        <v>2224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2249</v>
      </c>
      <c r="Z97" t="s">
        <v>2223</v>
      </c>
      <c r="AA97" t="s">
        <v>2238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2311</v>
      </c>
      <c r="Z98" t="s">
        <v>2223</v>
      </c>
      <c r="AA98" t="s">
        <v>2304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2312</v>
      </c>
      <c r="Z99" t="s">
        <v>2223</v>
      </c>
      <c r="AA99" t="s">
        <v>2304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2325</v>
      </c>
      <c r="Z100" t="s">
        <v>2223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2223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2316</v>
      </c>
      <c r="Z102" t="s">
        <v>2223</v>
      </c>
      <c r="AA102" t="s">
        <v>2304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2345</v>
      </c>
      <c r="Z103" t="s">
        <v>2223</v>
      </c>
      <c r="AA103" t="s">
        <v>2340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2342</v>
      </c>
      <c r="Z104" t="s">
        <v>2223</v>
      </c>
      <c r="AA104" t="s">
        <v>2340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2320</v>
      </c>
      <c r="Z105" t="s">
        <v>2223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2330</v>
      </c>
      <c r="Z106" t="s">
        <v>2223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2288</v>
      </c>
      <c r="Z107" t="s">
        <v>2223</v>
      </c>
      <c r="AA107" t="s">
        <v>2254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2333</v>
      </c>
      <c r="Z108" t="s">
        <v>2223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2295</v>
      </c>
      <c r="Z109" t="s">
        <v>2223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2297</v>
      </c>
      <c r="Z110" t="s">
        <v>2223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2242</v>
      </c>
      <c r="Z111" t="s">
        <v>2223</v>
      </c>
      <c r="AA111" t="s">
        <v>2238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2313</v>
      </c>
      <c r="Z112" t="s">
        <v>2223</v>
      </c>
      <c r="AA112" t="s">
        <v>2304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2346</v>
      </c>
      <c r="Z113" t="s">
        <v>2223</v>
      </c>
      <c r="AA113" t="s">
        <v>2340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2298</v>
      </c>
      <c r="Z114" t="s">
        <v>2223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2292</v>
      </c>
      <c r="Z115" t="s">
        <v>2223</v>
      </c>
      <c r="AA115" t="s">
        <v>2254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2283</v>
      </c>
      <c r="Z116" t="s">
        <v>2223</v>
      </c>
      <c r="AA116" t="s">
        <v>2254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2291</v>
      </c>
      <c r="Z117" t="s">
        <v>2223</v>
      </c>
      <c r="AA117" t="s">
        <v>2254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2285</v>
      </c>
      <c r="Z118" t="s">
        <v>2223</v>
      </c>
      <c r="AA118" t="s">
        <v>2254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2234</v>
      </c>
      <c r="Z119" t="s">
        <v>2223</v>
      </c>
      <c r="AA119" t="s">
        <v>2224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2349</v>
      </c>
      <c r="Z120" t="s">
        <v>2223</v>
      </c>
      <c r="AA120" t="s">
        <v>2348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2225</v>
      </c>
      <c r="Z121" t="s">
        <v>2223</v>
      </c>
      <c r="AA121" t="s">
        <v>2224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2236</v>
      </c>
      <c r="Z122" t="s">
        <v>2223</v>
      </c>
      <c r="AA122" t="s">
        <v>2224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2223</v>
      </c>
      <c r="AA123" t="s">
        <v>2224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2228</v>
      </c>
      <c r="Z124" t="s">
        <v>2223</v>
      </c>
      <c r="AA124" t="s">
        <v>2224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2309</v>
      </c>
      <c r="Z125" t="s">
        <v>2223</v>
      </c>
      <c r="AA125" t="s">
        <v>2304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2338</v>
      </c>
      <c r="Z126" t="s">
        <v>2223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2323</v>
      </c>
      <c r="Z127" t="s">
        <v>2223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68</v>
      </c>
      <c r="M235" s="16">
        <v>50</v>
      </c>
      <c r="N235" s="22">
        <v>0.73529411764705888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2</v>
      </c>
      <c r="M248" s="16">
        <v>1</v>
      </c>
      <c r="N248" s="22">
        <v>0.5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174</v>
      </c>
      <c r="M250" s="16">
        <v>85</v>
      </c>
      <c r="N250" s="22">
        <v>0.4885057471264368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topLeftCell="I1" workbookViewId="0">
      <selection activeCell="P2" sqref="P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2937</v>
      </c>
      <c r="B1" s="26" t="s">
        <v>2936</v>
      </c>
      <c r="C1" s="26">
        <v>6</v>
      </c>
      <c r="H1" s="16">
        <f>SUM(I1:AE1)-Resumen!$Q$6</f>
        <v>1291</v>
      </c>
      <c r="I1" s="17">
        <f>COUNTA(_xlfn.ANCHORARRAY(I3))</f>
        <v>113</v>
      </c>
      <c r="J1" s="17">
        <f t="shared" ref="J1:Y1" si="0">COUNTA(_xlfn.ANCHORARRAY(J3))</f>
        <v>26</v>
      </c>
      <c r="K1" s="17">
        <f t="shared" si="0"/>
        <v>1</v>
      </c>
      <c r="L1" s="17">
        <f t="shared" si="0"/>
        <v>1</v>
      </c>
      <c r="M1" s="17">
        <f t="shared" si="0"/>
        <v>73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446</v>
      </c>
      <c r="S1" s="17">
        <f t="shared" si="0"/>
        <v>20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85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2939</v>
      </c>
      <c r="C2" s="23" t="s">
        <v>2865</v>
      </c>
      <c r="D2" s="23" t="s">
        <v>607</v>
      </c>
      <c r="F2" s="29" t="s">
        <v>2940</v>
      </c>
      <c r="G2" s="30">
        <v>0</v>
      </c>
      <c r="H2" s="23" t="s">
        <v>2937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136</v>
      </c>
      <c r="D3" s="16">
        <v>115</v>
      </c>
      <c r="F3" s="31" t="s">
        <v>2941</v>
      </c>
      <c r="G3" s="30">
        <v>1</v>
      </c>
      <c r="I3" s="17" t="str" cm="1">
        <f t="array" ref="I3:I115">IF($G$2=1,
_xlfn.CHOOSECOLS(_xlfn._xlws.FILTER(CantoralDB[],CantoralDB[Sección]=secciones!I2),IF($G$3=1,22,2)),
_xlfn.CHOOSECOLS(_xlfn._xlws.FILTER(CantoralDB[],(CantoralDB[Sección]=secciones!I2)*(CantoralDB[html]="OK")),IF($G$3=1,22,2)))</f>
        <v>&lt;li data-author="Ain Karem"&gt;&lt;a href="canciones/ain_karem/yo_soy_el_que_vive.html"&gt;Yo soy el que vive&lt;/a&gt;&lt;/li&gt;</v>
      </c>
      <c r="J3" s="17" t="str" cm="1">
        <f t="array" ref="J3:J28">IF($G$2=1,
_xlfn.CHOOSECOLS(_xlfn._xlws.FILTER(CantoralDB[],CantoralDB[Sección]=secciones!J2),IF($G$3=1,22,2)),
_xlfn.CHOOSECOLS(_xlfn._xlws.FILTER(CantoralDB[],(CantoralDB[Sección]=secciones!J2)*(CantoralDB[html]="OK")),IF($G$3=1,22,2)))</f>
        <v>&lt;li data-author="Brotes de Olivo"&gt;&lt;a href="canciones/brotes_de_olivo/señor_mirame.html"&gt;Señor, mírame&lt;/a&gt;&lt;/li&gt;</v>
      </c>
      <c r="K3" s="17" t="str" cm="1">
        <f t="array" ref="K3">IF($G$2=1,
_xlfn.CHOOSECOLS(_xlfn._xlws.FILTER(CantoralDB[],CantoralDB[Sección]=secciones!K2),IF($G$3=1,22,2)),
_xlfn.CHOOSECOLS(_xlfn._xlws.FILTER(CantoralDB[],(CantoralDB[Sección]=secciones!K2)*(CantoralDB[html]="OK")),IF($G$3=1,22,2)))</f>
        <v>&lt;li data-author="Carmelo Erdozáin"&gt;&lt;a href="canciones/carmelo_erdozain/este_pan_y_vino.html"&gt;Este pan y vino&lt;/a&gt;&lt;/li&gt;</v>
      </c>
      <c r="L3" s="17" t="str" cm="1">
        <f t="array" ref="L3">IF($G$2=1,
_xlfn.CHOOSECOLS(_xlfn._xlws.FILTER(CantoralDB[],CantoralDB[Sección]=secciones!L2),IF($G$3=1,22,2)),
_xlfn.CHOOSECOLS(_xlfn._xlws.FILTER(CantoralDB[],(CantoralDB[Sección]=secciones!L2)*(CantoralDB[html]="OK")),IF($G$3=1,22,2)))</f>
        <v>&lt;li data-author="Cesáreo Gabarain"&gt;&lt;a href="canciones/cesareo_gabarain/a_quien_temere.html"&gt;A quién temeré&lt;/a&gt;&lt;/li&gt;</v>
      </c>
      <c r="M3" s="17" t="str" cm="1">
        <f t="array" ref="M3:M75">IF($G$2=1,
_xlfn.CHOOSECOLS(_xlfn._xlws.FILTER(CantoralDB[],CantoralDB[Sección]=secciones!M2),IF($G$3=1,22,2)),
_xlfn.CHOOSECOLS(_xlfn._xlws.FILTER(CantoralDB[],(CantoralDB[Sección]=secciones!M2)*(CantoralDB[html]="OK")),IF($G$3=1,22,2)))</f>
        <v>&lt;li data-author="Francisco Palazón"&gt;&lt;a href="canciones/francisco_palazon/señor_ten_piedad_(alrededor_de_tu_mesa).html"&gt;Señor, ten piedad (Alrededor de tu mesa)&lt;/a&gt;&lt;/li&gt;</v>
      </c>
      <c r="N3" s="17" t="str" cm="1">
        <f t="array" ref="N3:N93">IF($G$2=1,
_xlfn.CHOOSECOLS(_xlfn._xlws.FILTER(CantoralDB[],CantoralDB[Sección]=secciones!N2),IF($G$3=1,22,2)),
_xlfn.CHOOSECOLS(_xlfn._xlws.FILTER(CantoralDB[],(CantoralDB[Sección]=secciones!N2)*(CantoralDB[html]="OK")),IF($G$3=1,22,2)))</f>
        <v>&lt;li data-author="Hakuna"&gt;&lt;a href="canciones/hakuna/olor_a_tostadas.html"&gt;Olor a tostadas&lt;/a&gt;&lt;/li&gt;</v>
      </c>
      <c r="O3" s="17" t="str" cm="1">
        <f t="array" ref="O3:O4">IF($G$2=1,
_xlfn.CHOOSECOLS(_xlfn._xlws.FILTER(CantoralDB[],CantoralDB[Sección]=secciones!O2),IF($G$3=1,22,2)),
_xlfn.CHOOSECOLS(_xlfn._xlws.FILTER(CantoralDB[],(CantoralDB[Sección]=secciones!O2)*(CantoralDB[html]="OK")),IF($G$3=1,22,2)))</f>
        <v>&lt;li data-author="Hermana Glenda"&gt;&lt;a href="canciones/hermana_glenda/el_señor_es_mi_pastor.html"&gt;El Señor es mi pastor&lt;/a&gt;&lt;/li&gt;</v>
      </c>
      <c r="P3" s="17" t="str" cm="1">
        <f t="array" ref="P3:P192">IF($G$2=1,
_xlfn.CHOOSECOLS(_xlfn._xlws.FILTER(CantoralDB[],CantoralDB[Sección]=secciones!P2),IF($G$3=1,22,2)),
_xlfn.CHOOSECOLS(_xlfn._xlws.FILTER(CantoralDB[],(CantoralDB[Sección]=secciones!P2)*(CantoralDB[html]="OK")),IF($G$3=1,22,2)))</f>
        <v>&lt;li data-author="Ixcís"&gt;&lt;a href="canciones/ixcis/entra_en_mi_noche.html"&gt;Entra en mi noche&lt;/a&gt;&lt;/li&gt;</v>
      </c>
      <c r="Q3" s="17" t="str" cm="1">
        <f t="array" ref="Q3:Q115">IF($G$2=1,
_xlfn.CHOOSECOLS(_xlfn._xlws.FILTER(CantoralDB[],CantoralDB[Sección]=secciones!Q2),IF($G$3=1,22,2)),
_xlfn.CHOOSECOLS(_xlfn._xlws.FILTER(CantoralDB[],(CantoralDB[Sección]=secciones!Q2)*(CantoralDB[html]="OK")),IF($G$3=1,22,2)))</f>
        <v>&lt;li data-author="Kairoi"&gt;&lt;a href="canciones/kairoi/vamos_hacia_ti_(gloria_a_dios).html"&gt;Vamos hacia ti (gloria a Dios)&lt;/a&gt;&lt;/li&gt;</v>
      </c>
      <c r="R3" s="17" t="str" cm="1">
        <f t="array" ref="R3:R448">IF($G$2=1,
_xlfn.CHOOSECOLS(_xlfn._xlws.FILTER(CantoralDB[],CantoralDB[Sección]=secciones!R2),IF($G$3=1,22,2)),
_xlfn.CHOOSECOLS(_xlfn._xlws.FILTER(CantoralDB[],(CantoralDB[Sección]=secciones!R2)*(CantoralDB[html]="OK")),IF($G$3=1,22,2)))</f>
        <v>&lt;li data-author="Ain Karem" data-momento="Antífonas" data-nnew="D20"&gt;&lt;a href="canciones/ain_karem/he_venido_a_servir.html"&gt;He venido a servir&lt;/a&gt;&lt;/li&gt;</v>
      </c>
      <c r="S3" s="17" t="str" cm="1">
        <f t="array" ref="S3:S22">IF($G$2=1,
_xlfn.CHOOSECOLS(_xlfn._xlws.FILTER(CantoralDB[],CantoralDB[Sección]=secciones!S2),IF($G$3=1,22,2)),
_xlfn.CHOOSECOLS(_xlfn._xlws.FILTER(CantoralDB[],(CantoralDB[Sección]=secciones!S2)*(CantoralDB[html]="OK")),IF($G$3=1,22,2)))</f>
        <v>&lt;li&gt;&lt;a href="canciones/nuevas/alma_de_cristo.html"&gt;Alma de Cristo&lt;/a&gt;&lt;/li&gt;</v>
      </c>
      <c r="T3" s="17" t="str" cm="1">
        <f t="array" ref="T3:T36">IF($G$2=1,
_xlfn.CHOOSECOLS(_xlfn._xlws.FILTER(CantoralDB[],CantoralDB[Sección]=secciones!T2),IF($G$3=1,22,2)),
_xlfn.CHOOSECOLS(_xlfn._xlws.FILTER(CantoralDB[],(CantoralDB[Sección]=secciones!T2)*(CantoralDB[html]="OK")),IF($G$3=1,22,2)))</f>
        <v>&lt;li data-author="Alejandro Ruiz"&gt;&lt;a href="canciones/alejandro_ruiz/arranca_de_mi_pecho.html"&gt;Arranca de mi pecho&lt;/a&gt;&lt;/li&gt;</v>
      </c>
      <c r="U3" s="17" t="str" cm="1">
        <f t="array" ref="U3:U52">IF($G$2=1,
_xlfn.CHOOSECOLS(_xlfn._xlws.FILTER(CantoralDB[],CantoralDB[Sección]=secciones!U2),IF($G$3=1,22,2)),
_xlfn.CHOOSECOLS(_xlfn._xlws.FILTER(CantoralDB[],(CantoralDB[Sección]=secciones!U2)*(CantoralDB[html]="OK")),IF($G$3=1,22,2)))</f>
        <v>&lt;li data-author="Ruah"&gt;&lt;a href="canciones/ruah/adentrate.html"&gt;Adéntrate&lt;/a&gt;&lt;/li&gt;</v>
      </c>
      <c r="V3" s="17" t="str" cm="1">
        <f t="array" ref="V3:V80">IF($G$2=1,
_xlfn.CHOOSECOLS(_xlfn._xlws.FILTER(CantoralDB[],CantoralDB[Sección]=secciones!V2),IF($G$3=1,22,2)),
_xlfn.CHOOSECOLS(_xlfn._xlws.FILTER(CantoralDB[],(CantoralDB[Sección]=secciones!V2)*(CantoralDB[html]="OK")),IF($G$3=1,22,2)))</f>
        <v>&lt;li data-author="Taizé en español" data-momento="TaizéESP" data-nnew="Q83"&gt;&lt;a href="canciones/taize/zu_wem_sollen_wir_gehen.html"&gt;A quién iremos, Señor&lt;/a&gt;&lt;/li&gt;</v>
      </c>
      <c r="W3" s="17" t="str" cm="1">
        <f t="array" ref="W3:W87">IF($G$2=1,
_xlfn.CHOOSECOLS(_xlfn._xlws.FILTER(CantoralDB[],CantoralDB[Sección]=secciones!W2),IF($G$3=1,22,2)),
_xlfn.CHOOSECOLS(_xlfn._xlws.FILTER(CantoralDB[],(CantoralDB[Sección]=secciones!W2)*(CantoralDB[html]="OK")),IF($G$3=1,22,2)))</f>
        <v>&lt;li data-author="Taizé original" data-momento="TaizéORIG" data-nnew="Q17"&gt;&lt;a href="canciones/taize/bless_the_lord.html"&gt;Bless the Lord&lt;/a&gt;&lt;/li&gt;</v>
      </c>
      <c r="X3" s="17" t="str" cm="1">
        <f t="array" ref="X3:X29">IF($G$2=1,
_xlfn.CHOOSECOLS(_xlfn._xlws.FILTER(CantoralDB[],CantoralDB[Sección]=secciones!X2),IF($G$3=1,22,2)),
_xlfn.CHOOSECOLS(_xlfn._xlws.FILTER(CantoralDB[],(CantoralDB[Sección]=secciones!X2)*(CantoralDB[html]="OK")),IF($G$3=1,22,2)))</f>
        <v>&lt;li data-author="Toño Casado"&gt;&lt;a href="canciones/toño_casado/señor_ten_piedad_i.html"&gt;Señor, ten piedad I&lt;/a&gt;&lt;/li&gt;</v>
      </c>
      <c r="Y3" s="17" t="str" cm="1">
        <f t="array" ref="Y3:Y21">IF($G$2=1,
_xlfn.CHOOSECOLS(_xlfn._xlws.FILTER(CantoralDB[],CantoralDB[Sección]=secciones!Y2),IF($G$3=1,22,2)),
_xlfn.CHOOSECOLS(_xlfn._xlws.FILTER(CantoralDB[],(CantoralDB[Sección]=secciones!Y2)*(CantoralDB[html]="OK")),IF($G$3=1,22,2)))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J4" s="17" t="str">
        <v>&lt;li data-author="Brotes de Olivo"&gt;&lt;a href="canciones/brotes_de_olivo/ten_piedad.html"&gt;Ten piedad&lt;/a&gt;&lt;/li&gt;</v>
      </c>
      <c r="M4" s="17" t="str">
        <v>&lt;li data-author="Francisco Palazón"&gt;&lt;a href="canciones/francisco_palazon/acabamos_de_oir_tu_palabra.html"&gt;Acabamos de oír tu palabra&lt;/a&gt;&lt;/li&gt;</v>
      </c>
      <c r="N4" s="17" t="str">
        <v>&lt;li data-author="Hakuna"&gt;&lt;a href="canciones/hakuna/baila_y_dejate_de_historias.html"&gt;Baila y déjate de historias&lt;/a&gt;&lt;/li&gt;</v>
      </c>
      <c r="O4" s="17" t="str">
        <v>&lt;li data-author="Hermana Glenda"&gt;&lt;a href="canciones/hermana_glenda/ahi_tienes_a_tu_madre.html"&gt;Ahí tienes a tu madre&lt;/a&gt;&lt;/li&gt;</v>
      </c>
      <c r="P4" s="17" t="str">
        <v>&lt;li data-author="Ixcís"&gt;&lt;a href="canciones/ixcis/como_la_lluvia.html"&gt;Como la lluvia&lt;/a&gt;&lt;/li&gt;</v>
      </c>
      <c r="Q4" s="17" t="str">
        <v>&lt;li data-author="Kairoi"&gt;&lt;a href="canciones/kairoi/quedate_aqui_señor.html"&gt;Quédate aquí, Señor&lt;/a&gt;&lt;/li&gt;</v>
      </c>
      <c r="R4" s="17" t="str">
        <v>&lt;li data-author="Ain Karem" data-momento="Antífonas" data-nnew="D22"&gt;&lt;a href="canciones/ain_karem/lampara_es_tu_palabra.html"&gt;Lámpara es tu palabra&lt;/a&gt;&lt;/li&gt;</v>
      </c>
      <c r="S4" s="17" t="str">
        <v>&lt;li&gt;&lt;a href="canciones/nuevas/en_los_brazos_de_una_virgen.html"&gt;En los brazos de una virgen&lt;/a&gt;&lt;/li&gt;</v>
      </c>
      <c r="T4" s="17" t="str">
        <v>&lt;li data-author="Alejandro Ruiz"&gt;&lt;a href="canciones/alejandro_ruiz/tu_rompes_cadenas.html"&gt;Tú rompes cadenas&lt;/a&gt;&lt;/li&gt;</v>
      </c>
      <c r="U4" s="17" t="str">
        <v>&lt;li data-author="Ruah"&gt;&lt;a href="canciones/ruah/pedid_y_se_os_dara.html"&gt;Pedid y se os dará&lt;/a&gt;&lt;/li&gt;</v>
      </c>
      <c r="V4" s="17" t="str">
        <v>&lt;li data-author="Taizé en español" data-momento="TaizéESP" data-nnew="Q51"&gt;&lt;a href="canciones/taize/jubilate_deo.html"&gt;Al Señor alabe&lt;/a&gt;&lt;/li&gt;</v>
      </c>
      <c r="W4" s="17" t="str">
        <v>&lt;li data-author="Taizé original" data-momento="TaizéORIG" data-nnew="Q05"&gt;&lt;a href="canciones/taize/alleluia_11.html"&gt;Alleluia 11&lt;/a&gt;&lt;/li&gt;</v>
      </c>
      <c r="X4" s="17" t="str">
        <v>&lt;li data-author="Toño Casado"&gt;&lt;a href="canciones/toño_casado/aleluya_i.html"&gt;Aleluya I&lt;/a&gt;&lt;/li&gt;</v>
      </c>
      <c r="Y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&lt;li data-author="Ain Karem"&gt;&lt;a href="canciones/ain_karem/palabra.html"&gt;Palabra&lt;/a&gt;&lt;/li&gt;</v>
      </c>
      <c r="J5" s="17" t="str">
        <v>&lt;li data-author="Brotes de Olivo"&gt;&lt;a href="canciones/brotes_de_olivo/he_oido_tu_voz.html"&gt;He oído tu voz&lt;/a&gt;&lt;/li&gt;</v>
      </c>
      <c r="M5" s="17" t="str">
        <v>&lt;li data-author="Francisco Palazón"&gt;&lt;a href="canciones/francisco_palazon/bendito_seas_señor.html"&gt;Bendito seas, Señor&lt;/a&gt;&lt;/li&gt;</v>
      </c>
      <c r="N5" s="17" t="str">
        <v>&lt;li data-author="Hakuna"&gt;&lt;a href="canciones/hakuna/ojala.html"&gt;Ojalá&lt;/a&gt;&lt;/li&gt;</v>
      </c>
      <c r="P5" s="17" t="str">
        <v>&lt;li data-author="Ixcís"&gt;&lt;a href="canciones/ixcis/vuelvo.html"&gt;Vuelvo&lt;/a&gt;&lt;/li&gt;</v>
      </c>
      <c r="Q5" s="17" t="str">
        <v>&lt;li data-author="Kairoi"&gt;&lt;a href="canciones/kairoi/a_tu_lado_señor.html"&gt;A tu lado, Señor&lt;/a&gt;&lt;/li&gt;</v>
      </c>
      <c r="R5" s="17" t="str">
        <v>&lt;li data-author="Alejandro Ruiz" data-momento="Entrada" data-nnew="A02" data-nold="401"&gt;&lt;a href="canciones/alejandro_ruiz/abba_padre.html"&gt;Abbá, Padre&lt;/a&gt;&lt;/li&gt;</v>
      </c>
      <c r="S5" s="17" t="str">
        <v>&lt;li&gt;&lt;a href="canciones/nuevas/es_maria_la_blanca_paloma.html"&gt;Es María la blanca paloma&lt;/a&gt;&lt;/li&gt;</v>
      </c>
      <c r="T5" s="17" t="str">
        <v>&lt;li data-author="Brotes de Olivo"&gt;&lt;a href="canciones/brotes_de_olivo/se_que_voy_contigo.html"&gt;Sé que voy contigo&lt;/a&gt;&lt;/li&gt;</v>
      </c>
      <c r="U5" s="17" t="str">
        <v>&lt;li data-author="Ruah"&gt;&lt;a href="canciones/ruah/cada_mañana.html"&gt;Cada mañana&lt;/a&gt;&lt;/li&gt;</v>
      </c>
      <c r="V5" s="17" t="str">
        <v>&lt;li data-author="Taizé en español" data-momento="TaizéESP" data-nnew="Q82"&gt;&lt;a href="canciones/taize/wysławiajcie_pana.html"&gt;Alabado sea el Señor&lt;/a&gt;&lt;/li&gt;</v>
      </c>
      <c r="W5" s="17" t="str">
        <v>&lt;li data-author="Taizé original" data-momento="TaizéORIG" data-nnew="Q28"&gt;&lt;a href="canciones/taize/dans_nos_obscurites.html"&gt;Dans nos obscurités&lt;/a&gt;&lt;/li&gt;</v>
      </c>
      <c r="X5" s="17" t="str">
        <v>&lt;li data-author="Toño Casado"&gt;&lt;a href="canciones/toño_casado/traeras_la_paz.html"&gt;Traerás la paz&lt;/a&gt;&lt;/li&gt;</v>
      </c>
      <c r="Y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&lt;li data-author="Ain Karem"&gt;&lt;a href="canciones/ain_karem/atraviesas.html"&gt;Atraviesas&lt;/a&gt;&lt;/li&gt;</v>
      </c>
      <c r="J6" s="17" t="str">
        <v>&lt;li data-author="Brotes de Olivo"&gt;&lt;a href="canciones/brotes_de_olivo/pan_y_vino_de_amor.html"&gt;Pan y vino de amor&lt;/a&gt;&lt;/li&gt;</v>
      </c>
      <c r="M6" s="17" t="str">
        <v>&lt;li data-author="Francisco Palazón"&gt;&lt;a href="canciones/francisco_palazon/anunciamos_tu_muerte.html"&gt;Anunciamos tu muerte&lt;/a&gt;&lt;/li&gt;</v>
      </c>
      <c r="N6" s="17" t="str">
        <v>&lt;li data-author="Hakuna"&gt;&lt;a href="canciones/hakuna/cuarto_lugar.html"&gt;Cuarto lugar&lt;/a&gt;&lt;/li&gt;</v>
      </c>
      <c r="P6" s="17" t="str">
        <v>&lt;li data-author="Ixcís"&gt;&lt;a href="canciones/ixcis/vengo_a_orar.html"&gt;Vengo a orar&lt;/a&gt;&lt;/li&gt;</v>
      </c>
      <c r="Q6" s="17" t="str">
        <v>&lt;li data-author="Kairoi"&gt;&lt;a href="canciones/kairoi/canto_de_maria.html"&gt;Canto de María&lt;/a&gt;&lt;/li&gt;</v>
      </c>
      <c r="R6" s="17" t="str">
        <v>&lt;li data-author="Al-Haraca" data-nold="56"&gt;&lt;a href="canciones/al-haraca/como_jonas.html"&gt;Como Jonás&lt;/a&gt;&lt;/li&gt;</v>
      </c>
      <c r="S6" s="17" t="str">
        <v>&lt;li&gt;&lt;a href="canciones/nuevas/evenu_shalom_alejem.html"&gt;Evenu shalom alejem&lt;/a&gt;&lt;/li&gt;</v>
      </c>
      <c r="T6" s="17" t="str">
        <v>&lt;li data-author="Juanjo Elezkano"&gt;&lt;a href="canciones/juanjo_elezkano/santo_tu_eres_señor.html"&gt;Santo tú eres, Señor&lt;/a&gt;&lt;/li&gt;</v>
      </c>
      <c r="U6" s="17" t="str">
        <v>&lt;li data-author="Ruah"&gt;&lt;a href="canciones/ruah/fija_en_ti.html"&gt;Fija en ti&lt;/a&gt;&lt;/li&gt;</v>
      </c>
      <c r="V6" s="17" t="str">
        <v>&lt;li data-author="Taizé en español" data-momento="TaizéESP" data-nnew="Q50"&gt;&lt;a href="canciones/taize/jubelt_und_freut_euch.html"&gt;Alégrate y goza en el Señor&lt;/a&gt;&lt;/li&gt;</v>
      </c>
      <c r="W6" s="17" t="str">
        <v>&lt;li data-author="Taizé original" data-momento="TaizéORIG" data-nnew="Q24"&gt;&lt;a href="canciones/taize/confitemini_domino.html"&gt;Confitemini Domino&lt;/a&gt;&lt;/li&gt;</v>
      </c>
      <c r="X6" s="17" t="str">
        <v>&lt;li data-author="Toño Casado"&gt;&lt;a href="canciones/toño_casado/señor_ten_piedad_ii.html"&gt;Señor, ten piedad II&lt;/a&gt;&lt;/li&gt;</v>
      </c>
      <c r="Y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 t="str">
        <v>&lt;li data-author="Ain Karem"&gt;&lt;a href="canciones/ain_karem/los_incontables.html"&gt;Los incontables&lt;/a&gt;&lt;/li&gt;</v>
      </c>
      <c r="J7" s="17" t="str">
        <v>&lt;li data-author="Brotes de Olivo"&gt;&lt;a href="canciones/brotes_de_olivo/santo.html"&gt;Santo&lt;/a&gt;&lt;/li&gt;</v>
      </c>
      <c r="M7" s="17" t="str">
        <v>&lt;li data-author="Francisco Palazón"&gt;&lt;a href="canciones/francisco_palazon/padre_nuestro.html"&gt;Padre nuestro&lt;/a&gt;&lt;/li&gt;</v>
      </c>
      <c r="N7" s="17" t="str">
        <v>&lt;li data-author="Hakuna"&gt;&lt;a href="canciones/hakuna/capricho.html"&gt;Capricho&lt;/a&gt;&lt;/li&gt;</v>
      </c>
      <c r="P7" s="17" t="str">
        <v>&lt;li data-author="Ixcís"&gt;&lt;a href="canciones/ixcis/despiertame.html"&gt;Despiértame&lt;/a&gt;&lt;/li&gt;</v>
      </c>
      <c r="Q7" s="17" t="str">
        <v>&lt;li data-author="Kairoi"&gt;&lt;a href="canciones/kairoi/tu_jesus.html"&gt;Tú, Jesús&lt;/a&gt;&lt;/li&gt;</v>
      </c>
      <c r="R7" s="17" t="str">
        <v>&lt;li data-author="Al-Haraca" data-nold="197"&gt;&lt;a href="canciones/al-haraca/padre_me_pongo_en_tu_regazo.html"&gt;Padre, me pongo en tu regazo&lt;/a&gt;&lt;/li&gt;</v>
      </c>
      <c r="S7" s="17" t="str">
        <v>&lt;li&gt;&lt;a href="canciones/nuevas/vamos_amigos.html"&gt;Vamos, amigos&lt;/a&gt;&lt;/li&gt;</v>
      </c>
      <c r="T7" s="17" t="str">
        <v>&lt;li data-author="Kairoi"&gt;&lt;a href="canciones/kairoi/himno_a_dios.html"&gt;Himno a Dios&lt;/a&gt;&lt;/li&gt;</v>
      </c>
      <c r="U7" s="17" t="str">
        <v>&lt;li data-author="Ruah"&gt;&lt;a href="canciones/ruah/tu_y_no_yo.html"&gt;Tú y no yo&lt;/a&gt;&lt;/li&gt;</v>
      </c>
      <c r="V7" s="17" t="str">
        <v>&lt;li data-author="Taizé en español" data-momento="TaizéESP" data-nnew="Q46"&gt;&lt;a href="canciones/taize/in_resurrectione_tua.html"&gt;Alégrense el Cielo y la Tierra&lt;/a&gt;&lt;/li&gt;</v>
      </c>
      <c r="W7" s="17" t="str">
        <v>&lt;li data-author="Taizé original" data-momento="TaizéORIG" data-nnew="Q61"&gt;&lt;a href="canciones/taize/magnificat_(canon).html"&gt;Magnificat (canon)&lt;/a&gt;&lt;/li&gt;</v>
      </c>
      <c r="X7" s="17" t="str">
        <v>&lt;li data-author="Toño Casado"&gt;&lt;a href="canciones/toño_casado/gloria_(por_pintar_amaneceres).html"&gt;Gloria (por pintar amaneceres)&lt;/a&gt;&lt;/li&gt;</v>
      </c>
      <c r="Y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J8" s="17" t="str">
        <v>&lt;li data-author="Brotes de Olivo"&gt;&lt;a href="canciones/brotes_de_olivo/padre_nuestro.html"&gt;Padre nuestro&lt;/a&gt;&lt;/li&gt;</v>
      </c>
      <c r="M8" s="17" t="str">
        <v>&lt;li data-author="Francisco Palazón"&gt;&lt;a href="canciones/francisco_palazon/cordero_de_dios.html"&gt;Cordero de Dios&lt;/a&gt;&lt;/li&gt;</v>
      </c>
      <c r="N8" s="17" t="str">
        <v>&lt;li data-author="Hakuna"&gt;&lt;a href="canciones/hakuna/pluma_de_escribano.html"&gt;Pluma de escribano&lt;/a&gt;&lt;/li&gt;</v>
      </c>
      <c r="P8" s="17" t="str">
        <v>&lt;li data-author="Ixcís"&gt;&lt;a href="canciones/ixcis/deja_tus_redes.html"&gt;Deja tus redes&lt;/a&gt;&lt;/li&gt;</v>
      </c>
      <c r="Q8" s="17" t="str">
        <v>&lt;li data-author="Kairoi"&gt;&lt;a href="canciones/kairoi/confianza_en_dios.html"&gt;Confianza en Dios&lt;/a&gt;&lt;/li&gt;</v>
      </c>
      <c r="R8" s="17" t="str">
        <v>&lt;li data-author="Al-Haraca" data-momento="Paz" data-nnew="I09" data-nold="209"&gt;&lt;a href="canciones/al-haraca/por_la_paz_no_callare.html"&gt;Por la paz no callaré&lt;/a&gt;&lt;/li&gt;</v>
      </c>
      <c r="S8" s="17" t="str">
        <v>&lt;li data-author="Alberto Taulé"&gt;&lt;a href="canciones/nuevas/el_señor_nos_llama_y_nos_reune.html"&gt;El Señor nos llama y nos reúne&lt;/a&gt;&lt;/li&gt;</v>
      </c>
      <c r="T8" s="17" t="str">
        <v>&lt;li data-author="Kairoi"&gt;&lt;a href="canciones/kairoi/padre_me_pongo_en_tus_manos.html"&gt;Padre, me pongo en tus manos&lt;/a&gt;&lt;/li&gt;</v>
      </c>
      <c r="U8" s="17" t="str">
        <v>&lt;li data-author="Ruah"&gt;&lt;a href="canciones/ruah/tu_me_sondeas.html"&gt;Tú me sondeas&lt;/a&gt;&lt;/li&gt;</v>
      </c>
      <c r="V8" s="17" t="str">
        <v>&lt;li data-author="Taizé en español" data-momento="TaizéESP" data-nnew="Q05"&gt;&lt;a href="canciones/taize/alleluia_11.html"&gt;Aleluya 11&lt;/a&gt;&lt;/li&gt;</v>
      </c>
      <c r="W8" s="17" t="str">
        <v>&lt;li data-author="Taizé original" data-momento="TaizéORIG" data-nnew="Q29"&gt;&lt;a href="canciones/taize/de_noche.html"&gt;De noche&lt;/a&gt;&lt;/li&gt;</v>
      </c>
      <c r="X8" s="17" t="str">
        <v>&lt;li data-author="Toño Casado"&gt;&lt;a href="canciones/toño_casado/tu_palabra_se_hace_vida.html"&gt;Tu palabra se hace vida&lt;/a&gt;&lt;/li&gt;</v>
      </c>
      <c r="Y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 t="str">
        <v>&lt;li data-author="Ain Karem"&gt;&lt;a href="canciones/ain_karem/la_mujer_cananea.html"&gt;La mujer cananea&lt;/a&gt;&lt;/li&gt;</v>
      </c>
      <c r="J9" s="17" t="str">
        <v>&lt;li data-author="Brotes de Olivo"&gt;&lt;a href="canciones/brotes_de_olivo/ven_junto_a_mi.html"&gt;Ven junto a mí&lt;/a&gt;&lt;/li&gt;</v>
      </c>
      <c r="M9" s="17" t="str">
        <v>&lt;li data-author="Francisco Palazón"&gt;&lt;a href="canciones/francisco_palazon/anunciando_tu_venida.html"&gt;Anunciando tu venida&lt;/a&gt;&lt;/li&gt;</v>
      </c>
      <c r="N9" s="17" t="str">
        <v>&lt;li data-author="Hakuna"&gt;&lt;a href="canciones/hakuna/nacidos_de_lo_alto.html"&gt;Nacidos de lo alto&lt;/a&gt;&lt;/li&gt;</v>
      </c>
      <c r="P9" s="17" t="str">
        <v>&lt;li data-author="Ixcís"&gt;&lt;a href="canciones/ixcis/ven_serename.html"&gt;Ven, seréname&lt;/a&gt;&lt;/li&gt;</v>
      </c>
      <c r="Q9" s="17" t="str">
        <v>&lt;li data-author="Kairoi"&gt;&lt;a href="canciones/kairoi/en_la_esperanza_madre.html"&gt;En la esperanza, Madre&lt;/a&gt;&lt;/li&gt;</v>
      </c>
      <c r="R9" s="17" t="str">
        <v>&lt;li data-author="Al-Haraca" data-nold="213"&gt;&lt;a href="canciones/al-haraca/santa_maria_servidora.html"&gt;Santa María, servidora&lt;/a&gt;&lt;/li&gt;</v>
      </c>
      <c r="S9" s="17" t="str">
        <v>&lt;li data-author="Álvaro Fraile"&gt;&lt;a href="canciones/nuevas/contigo_me_la_juego.html"&gt;Contigo me la juego&lt;/a&gt;&lt;/li&gt;</v>
      </c>
      <c r="T9" s="17" t="str">
        <v>&lt;li data-author="Kairoi"&gt;&lt;a href="canciones/kairoi/tu_me_sondeas.html"&gt;Tú me sondeas&lt;/a&gt;&lt;/li&gt;</v>
      </c>
      <c r="U9" s="17" t="str">
        <v>&lt;li data-author="Ruah"&gt;&lt;a href="canciones/ruah/ten_compasion.html"&gt;Ten compasión&lt;/a&gt;&lt;/li&gt;</v>
      </c>
      <c r="V9" s="17" t="str">
        <v>&lt;li data-author="Taizé en español" data-momento="TaizéESP" data-nnew="Q06"&gt;&lt;a href="canciones/taize/alleluia_17.html"&gt;Aleluya 17&lt;/a&gt;&lt;/li&gt;</v>
      </c>
      <c r="W9" s="17" t="str">
        <v>&lt;li data-author="Taizé original" data-momento="TaizéORIG" data-nnew="Q66"&gt;&lt;a href="canciones/taize/per_crucem.html"&gt;Per crucem&lt;/a&gt;&lt;/li&gt;</v>
      </c>
      <c r="X9" s="17" t="str">
        <v>&lt;li data-author="Toño Casado"&gt;&lt;a href="canciones/toño_casado/aleluya_ii.html"&gt;Aleluya II&lt;/a&gt;&lt;/li&gt;</v>
      </c>
      <c r="Y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J10" s="17" t="str">
        <v>&lt;li data-author="Brotes de Olivo"&gt;&lt;a href="canciones/brotes_de_olivo/nadie_contesto.html"&gt;Nadie contestó&lt;/a&gt;&lt;/li&gt;</v>
      </c>
      <c r="M10" s="17" t="str">
        <v>&lt;li data-author="Francisco Palazón"&gt;&lt;a href="canciones/francisco_palazon/junto_a_los_canales_de_babilonia.html"&gt;Junto a los canales de Babilonia&lt;/a&gt;&lt;/li&gt;</v>
      </c>
      <c r="N10" s="17" t="str">
        <v>&lt;li data-author="Hakuna"&gt;&lt;a href="canciones/hakuna/por_que_lloras.html"&gt;Por qué lloras&lt;/a&gt;&lt;/li&gt;</v>
      </c>
      <c r="P10" s="17" t="str">
        <v>&lt;li data-author="Ixcís"&gt;&lt;a href="canciones/ixcis/quiero_verte.html"&gt;Quiero verte&lt;/a&gt;&lt;/li&gt;</v>
      </c>
      <c r="Q10" s="17" t="str">
        <v>&lt;li data-author="Kairoi"&gt;&lt;a href="canciones/kairoi/con_sencillo_corazon.html"&gt;Con sencillo corazón&lt;/a&gt;&lt;/li&gt;</v>
      </c>
      <c r="R10" s="17" t="str">
        <v>&lt;li data-author="Al-Haraca" data-momento="Entrada" data-nnew="A44" data-nold="294"&gt;&lt;a href="canciones/al-haraca/yo_soy_la_luz_del_mundo.html"&gt;Yo soy la luz del mundo&lt;/a&gt;&lt;/li&gt;</v>
      </c>
      <c r="S10" s="17" t="str">
        <v>&lt;li data-author="Athenas"&gt;&lt;a href="canciones/nuevas/acaso_no_estoy_yo_aqui_que_soy_tu_madre.html"&gt;Acaso no estoy yo aquí que soy tu madre&lt;/a&gt;&lt;/li&gt;</v>
      </c>
      <c r="T10" s="17" t="str">
        <v>&lt;li data-author="Kairoi"&gt;&lt;a href="canciones/kairoi/el_agua_del_señor.html"&gt;El agua del Señor&lt;/a&gt;&lt;/li&gt;</v>
      </c>
      <c r="U10" s="17" t="str">
        <v>&lt;li data-author="Ruah"&gt;&lt;a href="canciones/ruah/a_fuego.html"&gt;A fuego&lt;/a&gt;&lt;/li&gt;</v>
      </c>
      <c r="V10" s="17" t="str">
        <v>&lt;li data-author="Taizé en español" data-momento="TaizéESP" data-nnew="Q07"&gt;&lt;a href="canciones/taize/alleluia_22.html"&gt;Aleluya 22&lt;/a&gt;&lt;/li&gt;</v>
      </c>
      <c r="W10" s="17" t="str">
        <v>&lt;li data-author="Taizé original" data-momento="TaizéORIG" data-nnew="Q59"&gt;&lt;a href="canciones/taize/laudate_omnes_gentes.html"&gt;Laudate omnes gentes&lt;/a&gt;&lt;/li&gt;</v>
      </c>
      <c r="X10" s="17" t="str">
        <v>&lt;li data-author="Toño Casado"&gt;&lt;a href="canciones/toño_casado/padre_nuestro_ii.html"&gt;Padre nuestro II&lt;/a&gt;&lt;/li&gt;</v>
      </c>
      <c r="Y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J11" s="17" t="str">
        <v>&lt;li data-author="Brotes de Olivo"&gt;&lt;a href="canciones/brotes_de_olivo/tras_las_huellas_del_padre.html"&gt;Tras las huellas del Padre&lt;/a&gt;&lt;/li&gt;</v>
      </c>
      <c r="M11" s="17" t="str">
        <v>&lt;li data-author="Francisco Palazón"&gt;&lt;a href="canciones/francisco_palazon/dichoso_quien_se_acuerda_del_hermano.html"&gt;Dichoso quien se acuerda del hermano&lt;/a&gt;&lt;/li&gt;</v>
      </c>
      <c r="N11" s="17" t="str">
        <v>&lt;li data-author="Hakuna"&gt;&lt;a href="canciones/hakuna/entre_anestesias.html"&gt;Entre anestesias&lt;/a&gt;&lt;/li&gt;</v>
      </c>
      <c r="P11" s="17" t="str">
        <v>&lt;li data-author="Ixcís"&gt;&lt;a href="canciones/ixcis/ellos_son_tu_rostro.html"&gt;Ellos son tu rostro&lt;/a&gt;&lt;/li&gt;</v>
      </c>
      <c r="Q11" s="17" t="str">
        <v>&lt;li data-author="Kairoi"&gt;&lt;a href="canciones/kairoi/fraternidad.html"&gt;Fraternidad&lt;/a&gt;&lt;/li&gt;</v>
      </c>
      <c r="R11" s="17" t="str">
        <v>&lt;li data-author="Antonio Alcalde" data-nold="88"&gt;&lt;a href="canciones/antonio_alcalde/de_la_virgen_ha_nacido_el_niño.html"&gt;De la Virgen ha nacido el Niño&lt;/a&gt;&lt;/li&gt;</v>
      </c>
      <c r="S11" s="17" t="str">
        <v>&lt;li data-author="Athenas"&gt;&lt;a href="canciones/nuevas/todo_es_tuyo.html"&gt;Todo es tuyo&lt;/a&gt;&lt;/li&gt;</v>
      </c>
      <c r="T11" s="17" t="str">
        <v>&lt;li data-author="Kairoi"&gt;&lt;a href="canciones/kairoi/padre_nuestro_i.html"&gt;Padre nuestro I&lt;/a&gt;&lt;/li&gt;</v>
      </c>
      <c r="U11" s="17" t="str">
        <v>&lt;li data-author="Ruah"&gt;&lt;a href="canciones/ruah/aprendiendo.html"&gt;Aprendiendo&lt;/a&gt;&lt;/li&gt;</v>
      </c>
      <c r="V11" s="17" t="str">
        <v>&lt;li data-author="Taizé en español" data-momento="TaizéESP" data-nnew="Q04"&gt;&lt;a href="canciones/taize/alleluia_7.html"&gt;Aleluya 7&lt;/a&gt;&lt;/li&gt;</v>
      </c>
      <c r="W11" s="17" t="str">
        <v>&lt;li data-author="Taizé original" data-momento="TaizéORIG" data-nnew="Q38"&gt;&lt;a href="canciones/taize/el_senyor.html"&gt;El Senyor&lt;/a&gt;&lt;/li&gt;</v>
      </c>
      <c r="X11" s="17" t="str">
        <v>&lt;li data-author="Toño Casado"&gt;&lt;a href="canciones/toño_casado/danos_paz.html"&gt;Danos paz&lt;/a&gt;&lt;/li&gt;</v>
      </c>
      <c r="Y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102</v>
      </c>
      <c r="I12" s="17" t="str">
        <v>&lt;li data-author="Ain Karem"&gt;&lt;a href="canciones/ain_karem/señor_mio_y_dios_mio.html"&gt;Señor mío y Dios mío&lt;/a&gt;&lt;/li&gt;</v>
      </c>
      <c r="J12" s="17" t="str">
        <v>&lt;li data-author="Brotes de Olivo"&gt;&lt;a href="canciones/brotes_de_olivo/tierra.html"&gt;Tierra&lt;/a&gt;&lt;/li&gt;</v>
      </c>
      <c r="M12" s="17" t="str">
        <v>&lt;li data-author="Francisco Palazón"&gt;&lt;a href="canciones/francisco_palazon/señor_escucha_mi_oracion.html"&gt;Señor, escucha mi oración&lt;/a&gt;&lt;/li&gt;</v>
      </c>
      <c r="N12" s="17" t="str">
        <v>&lt;li data-author="Hakuna"&gt;&lt;a href="canciones/hakuna/dime_padre.html"&gt;Dime, Padre&lt;/a&gt;&lt;/li&gt;</v>
      </c>
      <c r="P12" s="17" t="str">
        <v>&lt;li data-author="Ixcís"&gt;&lt;a href="canciones/ixcis/mas_que_el_oro.html"&gt;Más que el oro&lt;/a&gt;&lt;/li&gt;</v>
      </c>
      <c r="Q12" s="17" t="str">
        <v>&lt;li data-author="Kairoi"&gt;&lt;a href="canciones/kairoi/mantas_de_carton.html"&gt;Mantas de cartón&lt;/a&gt;&lt;/li&gt;</v>
      </c>
      <c r="R12" s="17" t="str">
        <v>&lt;li data-author="Antonio Alcalde" data-nold="120"&gt;&lt;a href="canciones/antonio_alcalde/esta_noche_he_visto_a_dios.html"&gt;Esta noche he visto a Dios&lt;/a&gt;&lt;/li&gt;</v>
      </c>
      <c r="S12" s="17" t="str">
        <v>&lt;li data-author="Jesús Adrián Romero"&gt;&lt;a href="canciones/nuevas/enamorame_de_ti.html"&gt;Enamórame de ti&lt;/a&gt;&lt;/li&gt;</v>
      </c>
      <c r="T12" s="17" t="str">
        <v>&lt;li data-author="Lázaro Iparraguirre"&gt;&lt;a href="canciones/lazaro_iparraguirre/caminaremos.html"&gt;Caminaremos&lt;/a&gt;&lt;/li&gt;</v>
      </c>
      <c r="U12" s="17" t="str">
        <v>&lt;li data-author="Ruah"&gt;&lt;a href="canciones/ruah/alianza.html"&gt;Alianza&lt;/a&gt;&lt;/li&gt;</v>
      </c>
      <c r="V12" s="17" t="str">
        <v>&lt;li data-author="Taizé en español" data-momento="TaizéESP" data-nnew="Q08"&gt;&lt;a href="canciones/taize/alleluia_94.html"&gt;Aleluya 94&lt;/a&gt;&lt;/li&gt;</v>
      </c>
      <c r="W12" s="17" t="str">
        <v>&lt;li data-author="Taizé original" data-momento="TaizéORIG" data-nnew="Q02"&gt;&lt;a href="canciones/taize/adoramus_te_o_christe.html"&gt;Adoramus te O Christe&lt;/a&gt;&lt;/li&gt;</v>
      </c>
      <c r="X12" s="17" t="str">
        <v>&lt;li data-author="Toño Casado"&gt;&lt;a href="canciones/toño_casado/hoy_jesus_vendras_a_mi.html"&gt;Hoy, Jesús, vendrás a mí&lt;/a&gt;&lt;/li&gt;</v>
      </c>
      <c r="Y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J13" s="17" t="str">
        <v>&lt;li data-author="Brotes de Olivo"&gt;&lt;a href="canciones/brotes_de_olivo/todos_juntos.html"&gt;Todos juntos&lt;/a&gt;&lt;/li&gt;</v>
      </c>
      <c r="M13" s="17" t="str">
        <v>&lt;li data-author="Francisco Palazón"&gt;&lt;a href="canciones/francisco_palazon/es_bueno_dar_gracias_al_señor.html"&gt;Es bueno dar gracias al Señor&lt;/a&gt;&lt;/li&gt;</v>
      </c>
      <c r="N13" s="17" t="str">
        <v>&lt;li data-author="Hakuna"&gt;&lt;a href="canciones/hakuna/exulte_mi_alma.html"&gt;Exulte mi alma&lt;/a&gt;&lt;/li&gt;</v>
      </c>
      <c r="P13" s="17" t="str">
        <v>&lt;li data-author="Ixcís"&gt;&lt;a href="canciones/ixcis/mi_roca.html"&gt;Mi roca&lt;/a&gt;&lt;/li&gt;</v>
      </c>
      <c r="Q13" s="17" t="str">
        <v>&lt;li data-author="Kairoi"&gt;&lt;a href="canciones/kairoi/soñar_un_mundo_mas_feliz.html"&gt;Soñar un mundo más feliz&lt;/a&gt;&lt;/li&gt;</v>
      </c>
      <c r="R13" s="17" t="str">
        <v>&lt;li data-author="Antonio Alcalde" data-momento="Despedida" data-nnew="L05" data-nold="152"&gt;&lt;a href="canciones/antonio_alcalde/lo_que_hemos_visto_y_oido.html"&gt;Lo que hemos visto y oído&lt;/a&gt;&lt;/li&gt;</v>
      </c>
      <c r="S13" s="17" t="str">
        <v>&lt;li data-author="José Luis Reyes"&gt;&lt;a href="canciones/nuevas/algo_esta_cayendo_aqui.html"&gt;Algo está cayendo aquí&lt;/a&gt;&lt;/li&gt;</v>
      </c>
      <c r="T13" s="17" t="str">
        <v>&lt;li data-author="Lázaro Iparraguirre"&gt;&lt;a href="canciones/lazaro_iparraguirre/si_lo_que_buscas.html"&gt;Si lo que buscas&lt;/a&gt;&lt;/li&gt;</v>
      </c>
      <c r="U13" s="17" t="str">
        <v>&lt;li data-author="Ruah"&gt;&lt;a href="canciones/ruah/gracias.html"&gt;Gracias&lt;/a&gt;&lt;/li&gt;</v>
      </c>
      <c r="V13" s="17" t="str">
        <v>&lt;li data-author="Taizé en español" data-momento="TaizéESP" data-nnew="Q09"&gt;&lt;a href="canciones/taize/alleluia_96.html"&gt;Aleluya 96&lt;/a&gt;&lt;/li&gt;</v>
      </c>
      <c r="W13" s="17" t="str">
        <v>&lt;li data-author="Taizé original" data-momento="TaizéORIG" data-nnew="Q20"&gt;&lt;a href="canciones/taize/cantarei_ao_senhor.html"&gt;Cantarei ao Senhor&lt;/a&gt;&lt;/li&gt;</v>
      </c>
      <c r="X13" s="17" t="str">
        <v>&lt;li data-author="Toño Casado"&gt;&lt;a href="canciones/toño_casado/familia_de_dios.html"&gt;Familia de Dios&lt;/a&gt;&lt;/li&gt;</v>
      </c>
      <c r="Y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J14" s="17" t="str">
        <v>&lt;li data-author="Brotes de Olivo"&gt;&lt;a href="canciones/brotes_de_olivo/allanad_los_caminos.html"&gt;Allanad los caminos&lt;/a&gt;&lt;/li&gt;</v>
      </c>
      <c r="M14" s="17" t="str">
        <v>&lt;li data-author="Francisco Palazón"&gt;&lt;a href="canciones/francisco_palazon/el_cielo_proclama_la_gloria_de_dios.html"&gt;El cielo proclama la gloria de Dios&lt;/a&gt;&lt;/li&gt;</v>
      </c>
      <c r="N14" s="17" t="str">
        <v>&lt;li data-author="Hakuna"&gt;&lt;a href="canciones/hakuna/un_sitio.html"&gt;Un sitio&lt;/a&gt;&lt;/li&gt;</v>
      </c>
      <c r="P14" s="17" t="str">
        <v>&lt;li data-author="Ixcís"&gt;&lt;a href="canciones/ixcis/danos_pastores.html"&gt;Danos pastores&lt;/a&gt;&lt;/li&gt;</v>
      </c>
      <c r="Q14" s="17" t="str">
        <v>&lt;li data-author="Kairoi"&gt;&lt;a href="canciones/kairoi/somos_cancion.html"&gt;Somos canción&lt;/a&gt;&lt;/li&gt;</v>
      </c>
      <c r="R14" s="17" t="str">
        <v>&lt;li data-author="Antonio Alcalde" data-nold="181"&gt;&lt;a href="canciones/antonio_alcalde/nos_has_llamado_al_desierto.html"&gt;Nos has llamado al desierto&lt;/a&gt;&lt;/li&gt;</v>
      </c>
      <c r="S14" s="17" t="str">
        <v>&lt;li data-author="Leonard Cohen"&gt;&lt;a href="canciones/nuevas/aleluya_(cohen).html"&gt;Aleluya (Cohen)&lt;/a&gt;&lt;/li&gt;</v>
      </c>
      <c r="T14" s="17" t="str">
        <v>&lt;li data-author="Luis Alfredo Díaz"&gt;&lt;a href="canciones/luis_alfredo_diaz/quiero_decir_que_si.html"&gt;Quiero decir que sí&lt;/a&gt;&lt;/li&gt;</v>
      </c>
      <c r="U14" s="17" t="str">
        <v>&lt;li data-author="Ruah"&gt;&lt;a href="canciones/ruah/dios_de_la_historia.html"&gt;Dios de la Historia&lt;/a&gt;&lt;/li&gt;</v>
      </c>
      <c r="V14" s="17" t="str">
        <v>&lt;li data-author="Taizé en español" data-momento="TaizéESP" data-nnew="Q10"&gt;&lt;a href="canciones/taize/alleluia_97.html"&gt;Aleluya 97&lt;/a&gt;&lt;/li&gt;</v>
      </c>
      <c r="W14" s="17" t="str">
        <v>&lt;li data-author="Taizé original" data-momento="TaizéORIG" data-nnew="Q12"&gt;&lt;a href="canciones/taize/behüte_mich_gott.html"&gt;Behüte mich Gott&lt;/a&gt;&lt;/li&gt;</v>
      </c>
      <c r="X14" s="17" t="str">
        <v>&lt;li data-author="Toño Casado"&gt;&lt;a href="canciones/toño_casado/via_crucis_introduccion.html"&gt;Vía Crucis Introducción&lt;/a&gt;&lt;/li&gt;</v>
      </c>
      <c r="Y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J15" s="17" t="str">
        <v>&lt;li data-author="Brotes de Olivo"&gt;&lt;a href="canciones/brotes_de_olivo/las_bodas_de_cana.html"&gt;Las bodas de Caná&lt;/a&gt;&lt;/li&gt;</v>
      </c>
      <c r="M15" s="17" t="str">
        <v>&lt;li data-author="Francisco Palazón"&gt;&lt;a href="canciones/francisco_palazon/llena_esta_la_tierra_de_tus_criaturas.html"&gt;Llena está la tierra de tus criaturas&lt;/a&gt;&lt;/li&gt;</v>
      </c>
      <c r="N15" s="17" t="str">
        <v>&lt;li data-author="Hakuna"&gt;&lt;a href="canciones/hakuna/el_arte_de_vivir.html"&gt;El arte de vivir&lt;/a&gt;&lt;/li&gt;</v>
      </c>
      <c r="P15" s="17" t="str">
        <v>&lt;li data-author="Ixcís"&gt;&lt;a href="canciones/ixcis/cinco_panes_y_dos_peces.html"&gt;Cinco panes y dos peces&lt;/a&gt;&lt;/li&gt;</v>
      </c>
      <c r="Q15" s="17" t="str">
        <v>&lt;li data-author="Kairoi"&gt;&lt;a href="canciones/kairoi/ten_piedad_de_mi.html"&gt;Ten piedad de mí&lt;/a&gt;&lt;/li&gt;</v>
      </c>
      <c r="R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S15" s="17" t="str">
        <v>&lt;li data-author="Lili Zaidín"&gt;&lt;a href="canciones/nuevas/entra_en_el_corazon_de_dios.html"&gt;Entra en el corazón de Dios&lt;/a&gt;&lt;/li&gt;</v>
      </c>
      <c r="T15" s="17" t="str">
        <v>&lt;li data-author="Marcos Witt"&gt;&lt;a href="canciones/marcos_witt/heme_aqui.html"&gt;Heme aquí&lt;/a&gt;&lt;/li&gt;</v>
      </c>
      <c r="U15" s="17" t="str">
        <v>&lt;li data-author="Ruah"&gt;&lt;a href="canciones/ruah/para_estar_contigo.html"&gt;Para estar contigo&lt;/a&gt;&lt;/li&gt;</v>
      </c>
      <c r="V15" s="17" t="str">
        <v>&lt;li data-author="Taizé en español" data-momento="TaizéESP" data-nnew="Q15"&gt;&lt;a href="canciones/taize/benissez_le_seigneur.html"&gt;Bendecid al Señor&lt;/a&gt;&lt;/li&gt;</v>
      </c>
      <c r="W15" s="17" t="str">
        <v>&lt;li data-author="Taizé original" data-momento="TaizéORIG" data-nnew="Q42"&gt;&lt;a href="canciones/taize/i_am_sure_i_shall_see.html"&gt;I am sure I shall see&lt;/a&gt;&lt;/li&gt;</v>
      </c>
      <c r="X15" s="17" t="str">
        <v>&lt;li data-author="Toño Casado"&gt;&lt;a href="canciones/toño_casado/via_crucis_i_jesus_cautivo.html"&gt;Via Crucis I Jesús cautivo&lt;/a&gt;&lt;/li&gt;</v>
      </c>
      <c r="Y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J16" s="17" t="str">
        <v>&lt;li data-author="Brotes de Olivo"&gt;&lt;a href="canciones/brotes_de_olivo/el_soplo_de_dios.html"&gt;El soplo de Dios&lt;/a&gt;&lt;/li&gt;</v>
      </c>
      <c r="M16" s="17" t="str">
        <v>&lt;li data-author="Francisco Palazón"&gt;&lt;a href="canciones/francisco_palazon/quien_puede_entrar_en_tu_templo.html"&gt;Quién puede entrar en tu templo&lt;/a&gt;&lt;/li&gt;</v>
      </c>
      <c r="N16" s="17" t="str">
        <v>&lt;li data-author="Hakuna"&gt;&lt;a href="canciones/hakuna/mi_amado.html"&gt;Mi amado&lt;/a&gt;&lt;/li&gt;</v>
      </c>
      <c r="P16" s="17" t="str">
        <v>&lt;li data-author="Ixcís"&gt;&lt;a href="canciones/ixcis/ven_a_mi.html"&gt;Ven a mí&lt;/a&gt;&lt;/li&gt;</v>
      </c>
      <c r="Q16" s="17" t="str">
        <v>&lt;li data-author="Kairoi"&gt;&lt;a href="canciones/kairoi/gloria.html"&gt;Gloria&lt;/a&gt;&lt;/li&gt;</v>
      </c>
      <c r="R16" s="17" t="str">
        <v>&lt;li data-author="Antonio Alcalde" data-momento="Comunión" data-nnew="K59" data-nold="217"&gt;&lt;a href="canciones/antonio_alcalde/que_tendra_lo_pequeño.html"&gt;Qué tendrá lo pequeño&lt;/a&gt;&lt;/li&gt;</v>
      </c>
      <c r="S16" s="17" t="str">
        <v>&lt;li data-author="Luispo"&gt;&lt;a href="canciones/nuevas/dijiste_si.html"&gt;Dijiste sí&lt;/a&gt;&lt;/li&gt;</v>
      </c>
      <c r="T16" s="17" t="str">
        <v>&lt;li data-author="Marcos Witt"&gt;&lt;a href="canciones/marcos_witt/yeshua.html"&gt;Yeshua&lt;/a&gt;&lt;/li&gt;</v>
      </c>
      <c r="U16" s="17" t="str">
        <v>&lt;li data-author="Ruah"&gt;&lt;a href="canciones/ruah/no_lo_notais.html"&gt;No lo notáis&lt;/a&gt;&lt;/li&gt;</v>
      </c>
      <c r="V16" s="17" t="str">
        <v>&lt;li data-author="Taizé en español" data-momento="TaizéESP" data-nnew="Q13"&gt;&lt;a href="canciones/taize/benedictus_qui_venit_(canon).html"&gt;Bendito el que viene (canon)&lt;/a&gt;&lt;/li&gt;</v>
      </c>
      <c r="W16" s="17" t="str">
        <v>&lt;li data-author="Taizé original" data-momento="TaizéORIG" data-nnew="Q22"&gt;&lt;a href="canciones/taize/cantate_domino_canticum_novum.html"&gt;Cantate Domino canticum novum&lt;/a&gt;&lt;/li&gt;</v>
      </c>
      <c r="X16" s="17" t="str">
        <v>&lt;li data-author="Toño Casado"&gt;&lt;a href="canciones/toño_casado/via_crucis_ii_jesus_carga_con_la_cruz.html"&gt;Via Crucis II Jesús carga con la Cruz&lt;/a&gt;&lt;/li&gt;</v>
      </c>
      <c r="Y16" s="17" t="str">
        <v>&lt;li data-author="Villancicos" data-nold="170"&gt;&lt;a href="canciones/villancicos/noche_de_dios.html"&gt;Noche de Dios&lt;/a&gt;&lt;/li&gt;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J17" s="17" t="str">
        <v>&lt;li data-author="Brotes de Olivo"&gt;&lt;a href="canciones/brotes_de_olivo/el_agua_viva.html"&gt;El agua viva&lt;/a&gt;&lt;/li&gt;</v>
      </c>
      <c r="M17" s="17" t="str">
        <v>&lt;li data-author="Francisco Palazón"&gt;&lt;a href="canciones/francisco_palazon/alabad_siervos_de_dios.html"&gt;Alabad, siervos de Dios&lt;/a&gt;&lt;/li&gt;</v>
      </c>
      <c r="N17" s="17" t="str">
        <v>&lt;li data-author="Hakuna"&gt;&lt;a href="canciones/hakuna/la_fila.html"&gt;La fila&lt;/a&gt;&lt;/li&gt;</v>
      </c>
      <c r="P17" s="17" t="str">
        <v>&lt;li data-author="Ixcís"&gt;&lt;a href="canciones/ixcis/morir.html"&gt;Morir&lt;/a&gt;&lt;/li&gt;</v>
      </c>
      <c r="Q17" s="17" t="str">
        <v>&lt;li data-author="Kairoi"&gt;&lt;a href="canciones/kairoi/aleluya.html"&gt;Aleluya&lt;/a&gt;&lt;/li&gt;</v>
      </c>
      <c r="R17" s="17" t="str">
        <v>&lt;li data-author="Antonio Alcalde" data-nold="291"&gt;&lt;a href="canciones/antonio_alcalde/ven_señor_a_nuestra_vida.html"&gt;Ven, Señor, a nuestra vida&lt;/a&gt;&lt;/li&gt;</v>
      </c>
      <c r="S17" s="17" t="str">
        <v>&lt;li data-author="Luispo"&gt;&lt;a href="canciones/nuevas/petrus_(in_illo_uno_unum).html"&gt;Petrus (In illo uno unum)&lt;/a&gt;&lt;/li&gt;</v>
      </c>
      <c r="T17" s="17" t="str">
        <v>&lt;li&gt;&lt;a href="canciones/nuevas/estamos_de_fiesta.html"&gt;Estamos de fiesta&lt;/a&gt;&lt;/li&gt;</v>
      </c>
      <c r="U17" s="17" t="str">
        <v>&lt;li data-author="Ruah"&gt;&lt;a href="canciones/ruah/mirame.html"&gt;Mírame&lt;/a&gt;&lt;/li&gt;</v>
      </c>
      <c r="V17" s="17" t="str">
        <v>&lt;li data-author="Taizé en español" data-momento="TaizéESP" data-nnew="Q20"&gt;&lt;a href="canciones/taize/cantarei_ao_senhor.html"&gt;Cantaré al Señor&lt;/a&gt;&lt;/li&gt;</v>
      </c>
      <c r="W17" s="17" t="str">
        <v>&lt;li data-author="Taizé original" data-momento="TaizéORIG" data-nnew="Q56"&gt;&lt;a href="canciones/taize/kyrie_20.html"&gt;Kyrie 20&lt;/a&gt;&lt;/li&gt;</v>
      </c>
      <c r="X17" s="17" t="str">
        <v>&lt;li data-author="Toño Casado"&gt;&lt;a href="canciones/toño_casado/via_crucis_iii_jesus_cae_por_primera_vez.html"&gt;Via Crucis III Jesús cae por primera vez&lt;/a&gt;&lt;/li&gt;</v>
      </c>
      <c r="Y17" s="17" t="str">
        <v>&lt;li data-author="Villancicos" data-momento="Navidad" data-nnew="O15"&gt;&lt;a href="canciones/villancicos/noche_de_paz.html"&gt;Noche de paz&lt;/a&gt;&lt;/li&gt;</v>
      </c>
    </row>
    <row r="18" spans="1:25" x14ac:dyDescent="0.3">
      <c r="A18" s="16" t="str">
        <v>Juan Antonio Espinosa</v>
      </c>
      <c r="B18" s="16" t="str">
        <v>juan_antonio_espinosa</v>
      </c>
      <c r="C18" s="16">
        <v>31</v>
      </c>
      <c r="D18" s="16">
        <v>31</v>
      </c>
      <c r="I18" s="17" t="str">
        <v>&lt;li data-author="Ain Karem"&gt;&lt;a href="canciones/ain_karem/poneos_en_pie.html"&gt;Poneos en pie&lt;/a&gt;&lt;/li&gt;</v>
      </c>
      <c r="J18" s="17" t="str">
        <v>&lt;li data-author="Brotes de Olivo"&gt;&lt;a href="canciones/brotes_de_olivo/el_pan_de_vida.html"&gt;El pan de vida&lt;/a&gt;&lt;/li&gt;</v>
      </c>
      <c r="M18" s="17" t="str">
        <v>&lt;li data-author="Francisco Palazón"&gt;&lt;a href="canciones/francisco_palazon/que_en_nuestros_dias_reine_la_paz.html"&gt;Que en nuestros días reine la paz&lt;/a&gt;&lt;/li&gt;</v>
      </c>
      <c r="N18" s="17" t="str">
        <v>&lt;li data-author="Hakuna"&gt;&lt;a href="canciones/hakuna/loco.html"&gt;Loco&lt;/a&gt;&lt;/li&gt;</v>
      </c>
      <c r="P18" s="17" t="str">
        <v>&lt;li data-author="Ixcís"&gt;&lt;a href="canciones/ixcis/mi_vida_es_cristo.html"&gt;Mi vida es Cristo&lt;/a&gt;&lt;/li&gt;</v>
      </c>
      <c r="Q18" s="17" t="str">
        <v>&lt;li data-author="Kairoi"&gt;&lt;a href="canciones/kairoi/estoy_creyendo_en_ti_(credo).html"&gt;Estoy creyendo en ti (credo)&lt;/a&gt;&lt;/li&gt;</v>
      </c>
      <c r="R18" s="17" t="str">
        <v>&lt;li data-author="Brotes de Olivo" data-momento="Perdón - Agua" data-nnew="B01"&gt;&lt;a href="canciones/brotes_de_olivo/agua_lavame.html"&gt;Agua, lávame&lt;/a&gt;&lt;/li&gt;</v>
      </c>
      <c r="S18" s="17" t="str">
        <v>&lt;li data-author="Luispo"&gt;&lt;a href="canciones/nuevas/ungidos.html"&gt;Ungidos&lt;/a&gt;&lt;/li&gt;</v>
      </c>
      <c r="T18" s="17" t="str">
        <v>&lt;li&gt;&lt;a href="canciones/nuevas/llename_señor.html"&gt;Lléname, Señor&lt;/a&gt;&lt;/li&gt;</v>
      </c>
      <c r="U18" s="17" t="str">
        <v>&lt;li data-author="Ruah"&gt;&lt;a href="canciones/ruah/suelta_el_timon.html"&gt;Suelta el timón&lt;/a&gt;&lt;/li&gt;</v>
      </c>
      <c r="V18" s="17" t="str">
        <v>&lt;li data-author="Taizé en español" data-momento="TaizéESP" data-nnew="Q36"&gt;&lt;a href="canciones/taize/eat_this_bread.html"&gt;Come este pan&lt;/a&gt;&lt;/li&gt;</v>
      </c>
      <c r="W18" s="17" t="str">
        <v>&lt;li data-author="Taizé original" data-momento="TaizéORIG" data-nnew="Q21"&gt;&lt;a href="canciones/taize/christe_lux_mundi.html"&gt;Christe, lux mundi&lt;/a&gt;&lt;/li&gt;</v>
      </c>
      <c r="X18" s="17" t="str">
        <v>&lt;li data-author="Toño Casado"&gt;&lt;a href="canciones/toño_casado/via_crucis_iv_jesus_se_encuentra_con_su_madre.html"&gt;Via Crucis IV Jesús se encuentra con su madre&lt;/a&gt;&lt;/li&gt;</v>
      </c>
      <c r="Y18" s="17" t="str">
        <v>&lt;li data-author="Villancicos" data-momento="Navidad" data-nnew="O16"&gt;&lt;a href="canciones/villancicos/nunca_suenan_las_campanas.html"&gt;Nunca suenan las campanas&lt;/a&gt;&lt;/li&gt;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J19" s="17" t="str">
        <v>&lt;li data-author="Brotes de Olivo"&gt;&lt;a href="canciones/brotes_de_olivo/quien_tirara_la_primera_piedra.html"&gt;Quién tirará la primera piedra&lt;/a&gt;&lt;/li&gt;</v>
      </c>
      <c r="M19" s="17" t="str">
        <v>&lt;li data-author="Francisco Palazón"&gt;&lt;a href="canciones/francisco_palazon/contra_ti_solo_peque.html"&gt;Contra ti solo pequé&lt;/a&gt;&lt;/li&gt;</v>
      </c>
      <c r="N19" s="17" t="str">
        <v>&lt;li data-author="Hakuna"&gt;&lt;a href="canciones/hakuna/no_te_vas.html"&gt;No te vas&lt;/a&gt;&lt;/li&gt;</v>
      </c>
      <c r="P19" s="17" t="str">
        <v>&lt;li data-author="Ixcís"&gt;&lt;a href="canciones/ixcis/solo_el_amor.html"&gt;Sólo el amor&lt;/a&gt;&lt;/li&gt;</v>
      </c>
      <c r="Q19" s="17" t="str">
        <v>&lt;li data-author="Kairoi"&gt;&lt;a href="canciones/kairoi/conviviendo_en_armonia.html"&gt;Conviviendo en armonía&lt;/a&gt;&lt;/li&gt;</v>
      </c>
      <c r="R19" s="17" t="str">
        <v>&lt;li data-author="Brotes de Olivo" data-momento="Aleluya" data-nnew="E04" data-nold="405"&gt;&lt;a href="canciones/brotes_de_olivo/aleluya_cantara.html"&gt;Aleluya cantará&lt;/a&gt;&lt;/li&gt;</v>
      </c>
      <c r="S19" s="17" t="str">
        <v>&lt;li data-author="Pablo Cebrián"&gt;&lt;a href="canciones/nuevas/alza_la_mirada.html"&gt;Alza la mirada&lt;/a&gt;&lt;/li&gt;</v>
      </c>
      <c r="T19" s="17" t="str">
        <v>&lt;li data-author="Benedetto Conte"&gt;&lt;a href="canciones/nuevas/shalom_te_doy_la_paz.html"&gt;Shalom, te doy la paz&lt;/a&gt;&lt;/li&gt;</v>
      </c>
      <c r="U19" s="17" t="str">
        <v>&lt;li data-author="Ruah"&gt;&lt;a href="canciones/ruah/quiero_confiar.html"&gt;Quiero confiar&lt;/a&gt;&lt;/li&gt;</v>
      </c>
      <c r="V19" s="17" t="str">
        <v>&lt;li data-author="Taizé en español" data-momento="TaizéESP" data-nnew="Q33"&gt;&lt;a href="canciones/taize/dominus_spiritus_est.html"&gt;Cristo es Espíritu y Dios&lt;/a&gt;&lt;/li&gt;</v>
      </c>
      <c r="W19" s="17" t="str">
        <v>&lt;li data-author="Taizé original" data-momento="TaizéORIG" data-nnew="Q33"&gt;&lt;a href="canciones/taize/dominus_spiritus_est.html"&gt;Dominus spiritus est&lt;/a&gt;&lt;/li&gt;</v>
      </c>
      <c r="X19" s="17" t="str">
        <v>&lt;li data-author="Toño Casado"&gt;&lt;a href="canciones/toño_casado/via_crucis_v_el_cireneo.html"&gt;Via Crucis V El Cireneo&lt;/a&gt;&lt;/li&gt;</v>
      </c>
      <c r="Y19" s="17" t="str">
        <v>&lt;li data-author="Villancicos" data-momento="Navidad" data-nnew="O17"&gt;&lt;a href="canciones/villancicos/pastores_venid.html"&gt;Pastores, venid&lt;/a&gt;&lt;/li&gt;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J20" s="17" t="str">
        <v>&lt;li data-author="Brotes de Olivo"&gt;&lt;a href="canciones/brotes_de_olivo/el_buen_pastor.html"&gt;El buen pastor&lt;/a&gt;&lt;/li&gt;</v>
      </c>
      <c r="M20" s="17" t="str">
        <v>&lt;li data-author="Francisco Palazón"&gt;&lt;a href="canciones/francisco_palazon/cantare_eternamente_(ii).html"&gt;Cantaré eternamente (II)&lt;/a&gt;&lt;/li&gt;</v>
      </c>
      <c r="N20" s="17" t="str">
        <v>&lt;li data-author="Hakuna"&gt;&lt;a href="canciones/hakuna/nada.html"&gt;Nada&lt;/a&gt;&lt;/li&gt;</v>
      </c>
      <c r="P20" s="17" t="str">
        <v>&lt;li data-author="Ixcís"&gt;&lt;a href="canciones/ixcis/como_maria.html"&gt;Como María&lt;/a&gt;&lt;/li&gt;</v>
      </c>
      <c r="Q20" s="17" t="str">
        <v>&lt;li data-author="Kairoi"&gt;&lt;a href="canciones/kairoi/padre_nuestro_ii.html"&gt;Padre nuestro II&lt;/a&gt;&lt;/li&gt;</v>
      </c>
      <c r="R20" s="17" t="str">
        <v>&lt;li data-author="Brotes de Olivo" data-momento="Comunión" data-nnew="K25" data-nold="419"&gt;&lt;a href="canciones/brotes_de_olivo/el_calor_de_tu_palabra.html"&gt;El calor de tu palabra&lt;/a&gt;&lt;/li&gt;</v>
      </c>
      <c r="S20" s="17" t="str">
        <v>&lt;li data-author="RCCE"&gt;&lt;a href="canciones/nuevas/pregon_pascual_(neocatecumenal).html"&gt;Pregón Pascual (neocatecumenal)&lt;/a&gt;&lt;/li&gt;</v>
      </c>
      <c r="T20" s="17" t="str">
        <v>&lt;li data-author="Chema"&gt;&lt;a href="canciones/nuevas/salvame.html"&gt;Sálvame&lt;/a&gt;&lt;/li&gt;</v>
      </c>
      <c r="U20" s="17" t="str">
        <v>&lt;li data-author="Ruah"&gt;&lt;a href="canciones/ruah/soy_de_ti.html"&gt;Soy de ti&lt;/a&gt;&lt;/li&gt;</v>
      </c>
      <c r="V20" s="17" t="str">
        <v>&lt;li data-author="Taizé en español" data-momento="TaizéESP" data-nnew="Q72"&gt;&lt;a href="canciones/taize/surrexit_christus.html"&gt;Cristo está vivo&lt;/a&gt;&lt;/li&gt;</v>
      </c>
      <c r="W20" s="17" t="str">
        <v>&lt;li data-author="Taizé original" data-momento="TaizéORIG" data-nnew="Q40"&gt;&lt;a href="canciones/taize/herre_visa_mig_vägen.html"&gt;Herre, visa mig vägen&lt;/a&gt;&lt;/li&gt;</v>
      </c>
      <c r="X20" s="17" t="str">
        <v>&lt;li data-author="Toño Casado"&gt;&lt;a href="canciones/toño_casado/via_crucis_vi_la_veronica.html"&gt;Via Crucis VI La Verónica&lt;/a&gt;&lt;/li&gt;</v>
      </c>
      <c r="Y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J21" s="17" t="str">
        <v>&lt;li data-author="Brotes de Olivo"&gt;&lt;a href="canciones/brotes_de_olivo/vivir_en_el_señor.html"&gt;Vivir en el Señor&lt;/a&gt;&lt;/li&gt;</v>
      </c>
      <c r="M21" s="17" t="str">
        <v>&lt;li data-author="Francisco Palazón"&gt;&lt;a href="canciones/francisco_palazon/acuerdate_señor.html"&gt;Acuérdate, Señor&lt;/a&gt;&lt;/li&gt;</v>
      </c>
      <c r="N21" s="17" t="str">
        <v>&lt;li data-author="Hakuna"&gt;&lt;a href="canciones/hakuna/trueno.html"&gt;Trueno&lt;/a&gt;&lt;/li&gt;</v>
      </c>
      <c r="P21" s="17" t="str">
        <v>&lt;li data-author="Ixcís"&gt;&lt;a href="canciones/ixcis/todos_uno.html"&gt;Todos uno&lt;/a&gt;&lt;/li&gt;</v>
      </c>
      <c r="Q21" s="17" t="str">
        <v>&lt;li data-author="Kairoi"&gt;&lt;a href="canciones/kairoi/te_agradezco.html"&gt;Te agradezco&lt;/a&gt;&lt;/li&gt;</v>
      </c>
      <c r="R21" s="17" t="str">
        <v>&lt;li data-author="Brotes de Olivo" data-momento="Antífonas" data-nnew="D16" data-nold="423"&gt;&lt;a href="canciones/brotes_de_olivo/en_mi_debilidad.html"&gt;En mi debilidad&lt;/a&gt;&lt;/li&gt;</v>
      </c>
      <c r="S21" s="17" t="str">
        <v>&lt;li data-author="Sagrada Familia"&gt;&lt;a href="canciones/nuevas/haz_de_tu_casa_un_nazaret.html"&gt;Haz de tu casa un Nazaret&lt;/a&gt;&lt;/li&gt;</v>
      </c>
      <c r="T21" s="17" t="str">
        <v>&lt;li data-author="Debbye Graafsma"&gt;&lt;a href="canciones/nuevas/al_que_esta_sentado_en_el_trono_y_al_cordero.html"&gt;Al que está sentado en el trono y al cordero&lt;/a&gt;&lt;/li&gt;</v>
      </c>
      <c r="U21" s="17" t="str">
        <v>&lt;li data-author="Ruah"&gt;&lt;a href="canciones/ruah/tuya_y_nueva.html"&gt;Tuya y nueva&lt;/a&gt;&lt;/li&gt;</v>
      </c>
      <c r="V21" s="17" t="str">
        <v>&lt;li data-author="Taizé en español" data-momento="TaizéESP" data-nnew="Q73"&gt;&lt;a href="canciones/taize/surrexit_dominus_vere_(canon).html"&gt;Cristo ha resucitado (canon)&lt;/a&gt;&lt;/li&gt;</v>
      </c>
      <c r="W21" s="17" t="str">
        <v>&lt;li data-author="Taizé original" data-momento="TaizéORIG" data-nnew="Q80"&gt;&lt;a href="canciones/taize/vieni_spirito_creatore_(canon).html"&gt;Vieni Spirito creatore (canon)&lt;/a&gt;&lt;/li&gt;</v>
      </c>
      <c r="X21" s="17" t="str">
        <v>&lt;li data-author="Toño Casado"&gt;&lt;a href="canciones/toño_casado/via_crucis_vii_jesus_cae_por_segunda_vez.html"&gt;Via Crucis VII Jesús cae por segunda vez&lt;/a&gt;&lt;/li&gt;</v>
      </c>
      <c r="Y21" s="17" t="str">
        <v>&lt;li data-author="Villancicos" data-momento="Navidad" data-nnew="O20"&gt;&lt;a href="canciones/villancicos/ya_vienen_los_reyes_magos.html"&gt;Ya vienen los Reyes Magos&lt;/a&gt;&lt;/li&gt;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&lt;li data-author="Ain Karem"&gt;&lt;a href="canciones/ain_karem/seducida.html"&gt;Seducida&lt;/a&gt;&lt;/li&gt;</v>
      </c>
      <c r="J22" s="17" t="str">
        <v>&lt;li data-author="Brotes de Olivo"&gt;&lt;a href="canciones/brotes_de_olivo/amaos_unos_a_otros.html"&gt;Amaos unos a otros&lt;/a&gt;&lt;/li&gt;</v>
      </c>
      <c r="M22" s="17" t="str">
        <v>&lt;li data-author="Francisco Palazón"&gt;&lt;a href="canciones/francisco_palazon/pidamos_al_señor.html"&gt;Pidamos al Señor&lt;/a&gt;&lt;/li&gt;</v>
      </c>
      <c r="N22" s="17" t="str">
        <v>&lt;li data-author="Hakuna"&gt;&lt;a href="canciones/hakuna/el_rey_de_la_gloria.html"&gt;El Rey de la Gloria&lt;/a&gt;&lt;/li&gt;</v>
      </c>
      <c r="P22" s="17" t="str">
        <v>&lt;li data-author="Ixcís"&gt;&lt;a href="canciones/ixcis/nada.html"&gt;Nada&lt;/a&gt;&lt;/li&gt;</v>
      </c>
      <c r="Q22" s="17" t="str">
        <v>&lt;li data-author="Kairoi"&gt;&lt;a href="canciones/kairoi/escucha_maria.html"&gt;Escucha, María&lt;/a&gt;&lt;/li&gt;</v>
      </c>
      <c r="R22" s="17" t="str">
        <v>&lt;li data-author="Brotes de Olivo" data-momento="Comunión" data-nnew="K31"&gt;&lt;a href="canciones/brotes_de_olivo/enviame.html"&gt;Envíame&lt;/a&gt;&lt;/li&gt;</v>
      </c>
      <c r="S22" s="17" t="str">
        <v>&lt;li data-author="Salomé Arricibita"&gt;&lt;a href="canciones/nuevas/estas_aqui_jesus.html"&gt;Estás aquí, Jesús&lt;/a&gt;&lt;/li&gt;</v>
      </c>
      <c r="T22" s="17" t="str">
        <v>&lt;li data-author="Donald Fishel"&gt;&lt;a href="canciones/nuevas/aleluya_demos_gracias.html"&gt;Aleluya, demos gracias&lt;/a&gt;&lt;/li&gt;</v>
      </c>
      <c r="U22" s="17" t="str">
        <v>&lt;li data-author="Ruah"&gt;&lt;a href="canciones/ruah/no_os_preocupeis.html"&gt;No os preocupéis&lt;/a&gt;&lt;/li&gt;</v>
      </c>
      <c r="V22" s="17" t="str">
        <v>&lt;li data-author="Taizé en español" data-momento="TaizéESP" data-nnew="Q47"&gt;&lt;a href="canciones/taize/jesus_le_christ.html"&gt;Cristo Jesús&lt;/a&gt;&lt;/li&gt;</v>
      </c>
      <c r="W22" s="17" t="str">
        <v>&lt;li data-author="Taizé original" data-momento="TaizéORIG" data-nnew="Q31"&gt;&lt;a href="canciones/taize/deus_deus_meus_(canon).html"&gt;Deus, Deus meus (canon)&lt;/a&gt;&lt;/li&gt;</v>
      </c>
      <c r="X22" s="17" t="str">
        <v>&lt;li data-author="Toño Casado"&gt;&lt;a href="canciones/toño_casado/via_crucis_viii_jesus_consuela_a_las_mujeres.html"&gt;Via Crucis VIII Jesús consuela a las mujeres&lt;/a&gt;&lt;/li&gt;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J23" s="17" t="str">
        <v>&lt;li data-author="Brotes de Olivo"&gt;&lt;a href="canciones/brotes_de_olivo/yo_soy_el_que_sirve.html"&gt;Yo soy el que sirve&lt;/a&gt;&lt;/li&gt;</v>
      </c>
      <c r="M23" s="17" t="str">
        <v>&lt;li data-author="Francisco Palazón"&gt;&lt;a href="canciones/francisco_palazon/tu_palabra_señor_es_gozo.html"&gt;Tu Palabra, Señor, es gozo&lt;/a&gt;&lt;/li&gt;</v>
      </c>
      <c r="N23" s="17" t="str">
        <v>&lt;li data-author="Hakuna"&gt;&lt;a href="canciones/hakuna/al_estar_en_la_presencia.html"&gt;Al estar en la presencia&lt;/a&gt;&lt;/li&gt;</v>
      </c>
      <c r="P23" s="17" t="str">
        <v>&lt;li data-author="Ixcís"&gt;&lt;a href="canciones/ixcis/donde_este_yo.html"&gt;Donde esté yo&lt;/a&gt;&lt;/li&gt;</v>
      </c>
      <c r="Q23" s="17" t="str">
        <v>&lt;li data-author="Kairoi"&gt;&lt;a href="canciones/kairoi/jesus_te_ama.html"&gt;Jesús te ama&lt;/a&gt;&lt;/li&gt;</v>
      </c>
      <c r="R23" s="17" t="str">
        <v>&lt;li data-author="Brotes de Olivo" data-momento="Comunión" data-nnew="K37"&gt;&lt;a href="canciones/brotes_de_olivo/hoy_señor_te_dare.html"&gt;Hoy, Señor, te daré&lt;/a&gt;&lt;/li&gt;</v>
      </c>
      <c r="T23" s="17" t="str">
        <v>&lt;li data-author="Esther Watanabe"&gt;&lt;a href="canciones/nuevas/con_mis_manos_alzadas.html"&gt;Con mis manos alzadas&lt;/a&gt;&lt;/li&gt;</v>
      </c>
      <c r="U23" s="17" t="str">
        <v>&lt;li data-author="Ruah"&gt;&lt;a href="canciones/ruah/sabes_bien.html"&gt;Sabes bien&lt;/a&gt;&lt;/li&gt;</v>
      </c>
      <c r="V23" s="17" t="str">
        <v>&lt;li data-author="Taizé en español" data-momento="TaizéESP" data-nnew="Q35"&gt;&lt;a href="canciones/taize/dona_nobis_pacem.html"&gt;Danos la paz del corazón&lt;/a&gt;&lt;/li&gt;</v>
      </c>
      <c r="W23" s="17" t="str">
        <v>&lt;li data-author="Taizé original" data-momento="TaizéORIG" data-nnew="Q79"&gt;&lt;a href="canciones/taize/v_tebi_je_izvir_življenja.html"&gt;V tebi je izvir življenja&lt;/a&gt;&lt;/li&gt;</v>
      </c>
      <c r="X23" s="17" t="str">
        <v>&lt;li data-author="Toño Casado"&gt;&lt;a href="canciones/toño_casado/via_crucis_ix_jesus_cae_por_tercera_vez.html"&gt;Via Crucis IX Jesús cae por tercera vez&lt;/a&gt;&lt;/li&gt;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J24" s="17" t="str">
        <v>&lt;li data-author="Brotes de Olivo"&gt;&lt;a href="canciones/brotes_de_olivo/la_vid_y_los_sarmientos.html"&gt;La vid y los sarmientos&lt;/a&gt;&lt;/li&gt;</v>
      </c>
      <c r="M24" s="17" t="str">
        <v>&lt;li data-author="Francisco Palazón"&gt;&lt;a href="canciones/francisco_palazon/vuelve_hacia_nosotros.html"&gt;Vuelve hacia nosotros&lt;/a&gt;&lt;/li&gt;</v>
      </c>
      <c r="N24" s="17" t="str">
        <v>&lt;li data-author="Hakuna"&gt;&lt;a href="canciones/hakuna/deseo.html"&gt;Deseo&lt;/a&gt;&lt;/li&gt;</v>
      </c>
      <c r="P24" s="17" t="str">
        <v>&lt;li data-author="Ixcís"&gt;&lt;a href="canciones/ixcis/fiate.html"&gt;Fíate&lt;/a&gt;&lt;/li&gt;</v>
      </c>
      <c r="Q24" s="17" t="str">
        <v>&lt;li data-author="Kairoi"&gt;&lt;a href="canciones/kairoi/cantico_de_las_criaturas.html"&gt;Cántico de las criaturas&lt;/a&gt;&lt;/li&gt;</v>
      </c>
      <c r="R24" s="17" t="str">
        <v>&lt;li data-author="Brotes de Olivo" data-momento="Antífonas" data-nnew="D23"&gt;&lt;a href="canciones/brotes_de_olivo/me_levantare.html"&gt;Me levantaré&lt;/a&gt;&lt;/li&gt;</v>
      </c>
      <c r="T24" s="17" t="str">
        <v>&lt;li data-author="Gen Rosso"&gt;&lt;a href="canciones/nuevas/santo_(gen_rosso).html"&gt;Santo (Gen Rosso)&lt;/a&gt;&lt;/li&gt;</v>
      </c>
      <c r="U24" s="17" t="str">
        <v>&lt;li data-author="Ruah"&gt;&lt;a href="canciones/ruah/alegraos.html"&gt;Alegraos&lt;/a&gt;&lt;/li&gt;</v>
      </c>
      <c r="V24" s="17" t="str">
        <v>&lt;li data-author="Taizé en español" data-momento="TaizéESP" data-nnew="Q34"&gt;&lt;a href="canciones/taize/dona_la_pace.html"&gt;Danos la paz, oh, Señor&lt;/a&gt;&lt;/li&gt;</v>
      </c>
      <c r="W24" s="17" t="str">
        <v>&lt;li data-author="Taizé original" data-momento="TaizéORIG" data-nnew="Q30"&gt;&lt;a href="canciones/taize/despierta_tu_que_duermes.html"&gt;Despierta tú que duermes&lt;/a&gt;&lt;/li&gt;</v>
      </c>
      <c r="X24" s="17" t="str">
        <v>&lt;li data-author="Toño Casado"&gt;&lt;a href="canciones/toño_casado/via_crucis_x_jesus_es_despojado.html"&gt;Via Crucis X Jesús es despojado&lt;/a&gt;&lt;/li&gt;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J25" s="17" t="str">
        <v>&lt;li data-author="Brotes de Olivo"&gt;&lt;a href="canciones/brotes_de_olivo/siempre_estare_con_vosotros.html"&gt;Siempre estaré con vosotros&lt;/a&gt;&lt;/li&gt;</v>
      </c>
      <c r="M25" s="17" t="str">
        <v>&lt;li data-author="Francisco Palazón"&gt;&lt;a href="canciones/francisco_palazon/el_alzar_de_mis_manos.html"&gt;El alzar de mis manos&lt;/a&gt;&lt;/li&gt;</v>
      </c>
      <c r="N25" s="17" t="str">
        <v>&lt;li data-author="Hakuna"&gt;&lt;a href="canciones/hakuna/bien_amado_señor.html"&gt;Bien amado Señor&lt;/a&gt;&lt;/li&gt;</v>
      </c>
      <c r="P25" s="17" t="str">
        <v>&lt;li data-author="Ixcís"&gt;&lt;a href="canciones/ixcis/tu_eres_mi_fuerza.html"&gt;Tú eres mi fuerza&lt;/a&gt;&lt;/li&gt;</v>
      </c>
      <c r="Q25" s="17" t="str">
        <v>&lt;li data-author="Kairoi"&gt;&lt;a href="canciones/kairoi/ya_no_te_queda_tiempo.html"&gt;Ya no te queda tiempo&lt;/a&gt;&lt;/li&gt;</v>
      </c>
      <c r="R25" s="17" t="str">
        <v>&lt;li data-author="Brotes de Olivo" data-momento="Antífonas" data-nnew="D25"&gt;&lt;a href="canciones/brotes_de_olivo/nada_has_pensado.html"&gt;Nada has pensado&lt;/a&gt;&lt;/li&gt;</v>
      </c>
      <c r="T25" s="17" t="str">
        <v>&lt;li data-author="Getsemaní"&gt;&lt;a href="canciones/nuevas/tierra_firme_(getsemani).html"&gt;Tierra firme (Getsemaní)&lt;/a&gt;&lt;/li&gt;</v>
      </c>
      <c r="U25" s="17" t="str">
        <v>&lt;li data-author="Ruah"&gt;&lt;a href="canciones/ruah/envianos_sin_miedo.html"&gt;Envíanos sin miedo&lt;/a&gt;&lt;/li&gt;</v>
      </c>
      <c r="V25" s="17" t="str">
        <v>&lt;li data-author="Taizé en español" data-momento="TaizéESP" data-nnew="Q27"&gt;&lt;a href="canciones/taize/da_pacem..._in_diebus.html"&gt;Danos la paz, Señor&lt;/a&gt;&lt;/li&gt;</v>
      </c>
      <c r="W25" s="17" t="str">
        <v>&lt;li data-author="Taizé original" data-momento="TaizéORIG" data-nnew="Q83"&gt;&lt;a href="canciones/taize/zu_wem_sollen_wir_gehen.html"&gt;Zu wem sollen wir gehen&lt;/a&gt;&lt;/li&gt;</v>
      </c>
      <c r="X25" s="17" t="str">
        <v>&lt;li data-author="Toño Casado"&gt;&lt;a href="canciones/toño_casado/via_crucis_xi_jesus_es_clavado_en_la_cruz.html"&gt;Via Crucis XI Jesús es clavado en la Cruz&lt;/a&gt;&lt;/li&gt;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J26" s="17" t="str">
        <v>&lt;li data-author="Brotes de Olivo"&gt;&lt;a href="canciones/brotes_de_olivo/el_juicio_de_cristo.html"&gt;El juicio de Cristo&lt;/a&gt;&lt;/li&gt;</v>
      </c>
      <c r="M26" s="17" t="str">
        <v>&lt;li data-author="Francisco Palazón"&gt;&lt;a href="canciones/francisco_palazon/el_señor_de_los_ejercitos.html"&gt;El Señor de los ejércitos&lt;/a&gt;&lt;/li&gt;</v>
      </c>
      <c r="N26" s="17" t="str">
        <v>&lt;li data-author="Hakuna"&gt;&lt;a href="canciones/hakuna/que_bien_se_esta_cuando_se_esta_bien.html"&gt;Qué bien se está cuando se está bien&lt;/a&gt;&lt;/li&gt;</v>
      </c>
      <c r="P26" s="17" t="str">
        <v>&lt;li data-author="Ixcís"&gt;&lt;a href="canciones/ixcis/al_otro_lado_del_mar.html"&gt;Al otro lado del mar&lt;/a&gt;&lt;/li&gt;</v>
      </c>
      <c r="Q26" s="17" t="str">
        <v>&lt;li data-author="Kairoi"&gt;&lt;a href="canciones/kairoi/el_don_de_la_fraternidad.html"&gt;El don de la fraternidad&lt;/a&gt;&lt;/li&gt;</v>
      </c>
      <c r="R26" s="17" t="str">
        <v>&lt;li data-author="Brotes de Olivo" data-momento="Antífonas" data-nnew="D26" data-nold="438"&gt;&lt;a href="canciones/brotes_de_olivo/nada_nos_separara.html"&gt;Nada nos separará&lt;/a&gt;&lt;/li&gt;</v>
      </c>
      <c r="T26" s="17" t="str">
        <v>&lt;li data-author="Graham Kendrick"&gt;&lt;a href="canciones/nuevas/brilla_jesus.html"&gt;Brilla, Jesús&lt;/a&gt;&lt;/li&gt;</v>
      </c>
      <c r="U26" s="17" t="str">
        <v>&lt;li data-author="Ruah"&gt;&lt;a href="canciones/ruah/aqui_y_ahora.html"&gt;Aquí y ahora&lt;/a&gt;&lt;/li&gt;</v>
      </c>
      <c r="V26" s="17" t="str">
        <v>&lt;li data-author="Taizé en español" data-momento="TaizéESP" data-nnew="Q26"&gt;&lt;a href="canciones/taize/da_pacem_cordium_(canon).html"&gt;Danos, Señor, la paz (canon)&lt;/a&gt;&lt;/li&gt;</v>
      </c>
      <c r="W26" s="17" t="str">
        <v>&lt;li data-author="Taizé original" data-momento="TaizéORIG" data-nnew="Q47"&gt;&lt;a href="canciones/taize/jesus_le_christ.html"&gt;Jésus le Christ&lt;/a&gt;&lt;/li&gt;</v>
      </c>
      <c r="X26" s="17" t="str">
        <v>&lt;li data-author="Toño Casado"&gt;&lt;a href="canciones/toño_casado/via_crucis_xii_jesus_muere_en_la_cruz.html"&gt;Via Crucis XII Jesús muere en la Cruz&lt;/a&gt;&lt;/li&gt;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J27" s="17" t="str">
        <v>&lt;li data-author="Brotes de Olivo"&gt;&lt;a href="canciones/brotes_de_olivo/aleluya_el_señor_resucito.html"&gt;Aleluya, el Señor resucitó&lt;/a&gt;&lt;/li&gt;</v>
      </c>
      <c r="M27" s="17" t="str">
        <v>&lt;li data-author="Francisco Palazón"&gt;&lt;a href="canciones/francisco_palazon/a_ti_suspiramos.html"&gt;A ti suspiramos&lt;/a&gt;&lt;/li&gt;</v>
      </c>
      <c r="N27" s="17" t="str">
        <v>&lt;li data-author="Hakuna"&gt;&lt;a href="canciones/hakuna/libertad.html"&gt;Libertad&lt;/a&gt;&lt;/li&gt;</v>
      </c>
      <c r="P27" s="17" t="str">
        <v>&lt;li data-author="Ixcís"&gt;&lt;a href="canciones/ixcis/y_mientras.html"&gt;Y mientras&lt;/a&gt;&lt;/li&gt;</v>
      </c>
      <c r="Q27" s="17" t="str">
        <v>&lt;li data-author="Kairoi"&gt;&lt;a href="canciones/kairoi/jesus_es_verdad.html"&gt;Jesús es verdad&lt;/a&gt;&lt;/li&gt;</v>
      </c>
      <c r="R27" s="17" t="str">
        <v>&lt;li data-author="Brotes de Olivo" data-momento="Despedida" data-nnew="L07"&gt;&lt;a href="canciones/brotes_de_olivo/que_sea_mi_vida_la_sal.html"&gt;Que sea mi vida la sal&lt;/a&gt;&lt;/li&gt;</v>
      </c>
      <c r="T27" s="17" t="str">
        <v>&lt;li data-author="Graham Kendrick"&gt;&lt;a href="canciones/nuevas/seduce_mi_corazon.html"&gt;Seduce mi corazón&lt;/a&gt;&lt;/li&gt;</v>
      </c>
      <c r="U27" s="17" t="str">
        <v>&lt;li data-author="Ruah"&gt;&lt;a href="canciones/ruah/te_seguire_llamando.html"&gt;Te seguiré llamando&lt;/a&gt;&lt;/li&gt;</v>
      </c>
      <c r="V27" s="17" t="str">
        <v>&lt;li data-author="Taizé en español" data-momento="TaizéESP" data-nnew="Q64"&gt;&lt;a href="canciones/taize/nunc_dimittis.html"&gt;Deja ahora&lt;/a&gt;&lt;/li&gt;</v>
      </c>
      <c r="W27" s="17" t="str">
        <v>&lt;li data-author="Taizé original" data-momento="TaizéORIG" data-nnew="Q58"&gt;&lt;a href="canciones/taize/laudate_dominum.html"&gt;Laudate Dominum&lt;/a&gt;&lt;/li&gt;</v>
      </c>
      <c r="X27" s="17" t="str">
        <v>&lt;li data-author="Toño Casado"&gt;&lt;a href="canciones/toño_casado/via_crucis_xiii_jesus_bajado_de_la_cruz.html"&gt;Via Crucis XIII Jesús bajado de la Cruz&lt;/a&gt;&lt;/li&gt;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J28" s="17" t="str">
        <v>&lt;li data-author="Brotes de Olivo"&gt;&lt;a href="canciones/brotes_de_olivo/señor_envianos_a_tu_hijo.html"&gt;Señor, envíanos a tu Hijo&lt;/a&gt;&lt;/li&gt;</v>
      </c>
      <c r="M28" s="17" t="str">
        <v>&lt;li data-author="Francisco Palazón"&gt;&lt;a href="canciones/francisco_palazon/magnificat.html"&gt;Magnificat&lt;/a&gt;&lt;/li&gt;</v>
      </c>
      <c r="N28" s="17" t="str">
        <v>&lt;li data-author="Hakuna"&gt;&lt;a href="canciones/hakuna/tan_cerca.html"&gt;Tan cerca&lt;/a&gt;&lt;/li&gt;</v>
      </c>
      <c r="P28" s="17" t="str">
        <v>&lt;li data-author="Ixcís"&gt;&lt;a href="canciones/ixcis/renovaos.html"&gt;Renovaos&lt;/a&gt;&lt;/li&gt;</v>
      </c>
      <c r="Q28" s="17" t="str">
        <v>&lt;li data-author="Kairoi"&gt;&lt;a href="canciones/kairoi/niño.html"&gt;Niño&lt;/a&gt;&lt;/li&gt;</v>
      </c>
      <c r="R28" s="17" t="str">
        <v>&lt;li data-author="Brotes de Olivo" data-momento="Antífonas" data-nnew="D40"&gt;&lt;a href="canciones/brotes_de_olivo/ven_no_apartes_de_mi_los_ojos.html"&gt;Ven, no apartes de mí los ojos&lt;/a&gt;&lt;/li&gt;</v>
      </c>
      <c r="T28" s="17" t="str">
        <v>&lt;li data-author="Juan Carlos Ayala"&gt;&lt;a href="canciones/nuevas/se_fue_pero_a_nuestro_lado_esta.html"&gt;Se fue pero a nuestro lado está&lt;/a&gt;&lt;/li&gt;</v>
      </c>
      <c r="U28" s="17" t="str">
        <v>&lt;li data-author="Ruah"&gt;&lt;a href="canciones/ruah/no_volvera_vacia.html"&gt;No volverá vacía&lt;/a&gt;&lt;/li&gt;</v>
      </c>
      <c r="V28" s="17" t="str">
        <v>&lt;li data-author="Taizé en español" data-momento="TaizéESP" data-nnew="Q79"&gt;&lt;a href="canciones/taize/v_tebi_je_izvir_življenja.html"&gt;Dentro llevas la fuente de vida&lt;/a&gt;&lt;/li&gt;</v>
      </c>
      <c r="W28" s="17" t="str">
        <v>&lt;li data-author="Taizé original" data-momento="TaizéORIG" data-nnew="Q15"&gt;&lt;a href="canciones/taize/benissez_le_seigneur.html"&gt;Bénissez le Seigneur&lt;/a&gt;&lt;/li&gt;</v>
      </c>
      <c r="X28" s="17" t="str">
        <v>&lt;li data-author="Toño Casado"&gt;&lt;a href="canciones/toño_casado/via_crucis_xiv_el_cuerpo_de_jesus.html"&gt;Via Crucis XIV El cuerpo de Jesús&lt;/a&gt;&lt;/li&gt;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M29" s="17" t="str">
        <v>&lt;li data-author="Francisco Palazón"&gt;&lt;a href="canciones/francisco_palazon/morada_de_la_luz.html"&gt;Morada de la luz&lt;/a&gt;&lt;/li&gt;</v>
      </c>
      <c r="N29" s="17" t="str">
        <v>&lt;li data-author="Hakuna"&gt;&lt;a href="canciones/hakuna/hoy_te_dejo.html"&gt;Hoy te dejo&lt;/a&gt;&lt;/li&gt;</v>
      </c>
      <c r="P29" s="17" t="str">
        <v>&lt;li data-author="Ixcís"&gt;&lt;a href="canciones/ixcis/agujas_del_reloj.html"&gt;Agujas del reloj&lt;/a&gt;&lt;/li&gt;</v>
      </c>
      <c r="Q29" s="17" t="str">
        <v>&lt;li data-author="Kairoi"&gt;&lt;a href="canciones/kairoi/una_vida.html"&gt;Una vida&lt;/a&gt;&lt;/li&gt;</v>
      </c>
      <c r="R29" s="17" t="str">
        <v>&lt;li data-author="Carmelo Erdozáin" data-momento="Entrada" data-nnew="A03" data-nold="8"&gt;&lt;a href="canciones/carmelo_erdozain/abre_tu_tienda_al_señor.html"&gt;Abre tu tienda al Señor&lt;/a&gt;&lt;/li&gt;</v>
      </c>
      <c r="T29" s="17" t="str">
        <v>&lt;li data-author="Kent Leroy"&gt;&lt;a href="canciones/nuevas/mejor_que_vida_es_tu_misericordia.html"&gt;Mejor que vida es tu misericordia&lt;/a&gt;&lt;/li&gt;</v>
      </c>
      <c r="U29" s="17" t="str">
        <v>&lt;li data-author="Ruah"&gt;&lt;a href="canciones/ruah/grietas.html"&gt;Grietas&lt;/a&gt;&lt;/li&gt;</v>
      </c>
      <c r="V29" s="17" t="str">
        <v>&lt;li data-author="Taizé en español" data-momento="TaizéESP" data-nnew="Q11"&gt;&lt;a href="canciones/taize/beati_voi_poveri.html"&gt;Dichosos los pobres&lt;/a&gt;&lt;/li&gt;</v>
      </c>
      <c r="W29" s="17" t="str">
        <v>&lt;li data-author="Taizé original" data-momento="TaizéORIG" data-nnew="Q19"&gt;&lt;a href="canciones/taize/bonum_est_confidere.html"&gt;Bonum est confidere&lt;/a&gt;&lt;/li&gt;</v>
      </c>
      <c r="X29" s="17" t="str">
        <v>&lt;li data-author="Toño Casado"&gt;&lt;a href="canciones/toño_casado/via_crucis_xv_la_fuerza_de_la_cruz.html"&gt;Via Crucis XV La fuerza de la Cruz&lt;/a&gt;&lt;/li&gt;</v>
      </c>
    </row>
    <row r="30" spans="1:25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M30" s="17" t="str">
        <v>&lt;li data-author="Francisco Palazón"&gt;&lt;a href="canciones/francisco_palazon/madre_del_redentor.html"&gt;Madre del Redentor&lt;/a&gt;&lt;/li&gt;</v>
      </c>
      <c r="N30" s="17" t="str">
        <v>&lt;li data-author="Hakuna"&gt;&lt;a href="canciones/hakuna/pasion_de_dios.html"&gt;Pasión de Dios&lt;/a&gt;&lt;/li&gt;</v>
      </c>
      <c r="P30" s="17" t="str">
        <v>&lt;li data-author="Ixcís"&gt;&lt;a href="canciones/ixcis/dejarme_hacer.html"&gt;Dejarme hacer&lt;/a&gt;&lt;/li&gt;</v>
      </c>
      <c r="Q30" s="17" t="str">
        <v>&lt;li data-author="Kairoi"&gt;&lt;a href="canciones/kairoi/dios_en_la_ciudad.html"&gt;Dios en la ciudad&lt;/a&gt;&lt;/li&gt;</v>
      </c>
      <c r="R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30" s="17" t="str">
        <v>&lt;li data-author="Maranatha"&gt;&lt;a href="canciones/nuevas/alegrate.html"&gt;Alégrate&lt;/a&gt;&lt;/li&gt;</v>
      </c>
      <c r="U30" s="17" t="str">
        <v>&lt;li data-author="Ruah"&gt;&lt;a href="canciones/ruah/en_parabolas.html"&gt;En parábolas&lt;/a&gt;&lt;/li&gt;</v>
      </c>
      <c r="V30" s="17" t="str">
        <v>&lt;li data-author="Taizé en español" data-momento="TaizéESP" data-nnew="Q23"&gt;&lt;a href="canciones/taize/christe_salvator.html"&gt;Dios de la vida&lt;/a&gt;&lt;/li&gt;</v>
      </c>
      <c r="W30" s="17" t="str">
        <v>&lt;li data-author="Taizé original" data-momento="TaizéORIG" data-nnew="Q49"&gt;&lt;a href="canciones/taize/jesus_remember_me.html"&gt;Jesus, remember me&lt;/a&gt;&lt;/li&gt;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M31" s="17" t="str">
        <v>&lt;li data-author="Francisco Palazón"&gt;&lt;a href="canciones/francisco_palazon/angelus.html"&gt;Ángelus&lt;/a&gt;&lt;/li&gt;</v>
      </c>
      <c r="N31" s="17" t="str">
        <v>&lt;li data-author="Hakuna"&gt;&lt;a href="canciones/hakuna/bendita_sea_tu_pureza.html"&gt;Bendita sea tu pureza&lt;/a&gt;&lt;/li&gt;</v>
      </c>
      <c r="P31" s="17" t="str">
        <v>&lt;li data-author="Ixcís"&gt;&lt;a href="canciones/ixcis/la_razon.html"&gt;La razón&lt;/a&gt;&lt;/li&gt;</v>
      </c>
      <c r="Q31" s="17" t="str">
        <v>&lt;li data-author="Kairoi"&gt;&lt;a href="canciones/kairoi/somos_una_familia.html"&gt;Somos una familia&lt;/a&gt;&lt;/li&gt;</v>
      </c>
      <c r="R31" s="17" t="str">
        <v>&lt;li data-author="Carmelo Erdozáin" data-momento="Ofertorio" data-nnew="F03" data-nold="24"&gt;&lt;a href="canciones/carmelo_erdozain/ante_ti_señor.html"&gt;Ante ti, Señor&lt;/a&gt;&lt;/li&gt;</v>
      </c>
      <c r="T31" s="17" t="str">
        <v>&lt;li data-author="Marco Barrientos"&gt;&lt;a href="canciones/nuevas/cristo_heme_aqui.html"&gt;Cristo, heme aquí&lt;/a&gt;&lt;/li&gt;</v>
      </c>
      <c r="U31" s="17" t="str">
        <v>&lt;li data-author="Ruah"&gt;&lt;a href="canciones/ruah/oyeme.html"&gt;Óyeme&lt;/a&gt;&lt;/li&gt;</v>
      </c>
      <c r="V31" s="17" t="str">
        <v>&lt;li data-author="Taizé en español" data-momento="TaizéESP" data-nnew="Q16"&gt;&lt;a href="canciones/taize/bog_jest_miłością.html"&gt;Dios es ternura&lt;/a&gt;&lt;/li&gt;</v>
      </c>
      <c r="W31" s="17" t="str">
        <v>&lt;li data-author="Taizé original" data-momento="TaizéORIG" data-nnew="Q50"&gt;&lt;a href="canciones/taize/jubelt_und_freut_euch.html"&gt;Jubelt und freut euch&lt;/a&gt;&lt;/li&gt;</v>
      </c>
    </row>
    <row r="32" spans="1:25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M32" s="17" t="str">
        <v>&lt;li data-author="Francisco Palazón"&gt;&lt;a href="canciones/francisco_palazon/madre_nuestra.html"&gt;Madre nuestra&lt;/a&gt;&lt;/li&gt;</v>
      </c>
      <c r="N32" s="17" t="str">
        <v>&lt;li data-author="Hakuna"&gt;&lt;a href="canciones/hakuna/tu_misericordia.html"&gt;Tu misericordia&lt;/a&gt;&lt;/li&gt;</v>
      </c>
      <c r="P32" s="17" t="str">
        <v>&lt;li data-author="Ixcís"&gt;&lt;a href="canciones/ixcis/acercate.html"&gt;Acércate&lt;/a&gt;&lt;/li&gt;</v>
      </c>
      <c r="Q32" s="17" t="str">
        <v>&lt;li data-author="Kairoi"&gt;&lt;a href="canciones/kairoi/me_has_seducido_señor.html"&gt;Me has seducido, Señor&lt;/a&gt;&lt;/li&gt;</v>
      </c>
      <c r="R32" s="17" t="str">
        <v>&lt;li data-author="Carmelo Erdozáin" data-nold="261"&gt;&lt;a href="canciones/carmelo_erdozain/arriesgate.html"&gt;Arriésgate&lt;/a&gt;&lt;/li&gt;</v>
      </c>
      <c r="T32" s="17" t="str">
        <v>&lt;li data-author="RCCE"&gt;&lt;a href="canciones/nuevas/aleluya_yo_creo_en_tu_amor.html"&gt;Aleluya, yo creo en tu amor&lt;/a&gt;&lt;/li&gt;</v>
      </c>
      <c r="U32" s="17" t="str">
        <v>&lt;li data-author="Ruah"&gt;&lt;a href="canciones/ruah/bosque.html"&gt;Bosque&lt;/a&gt;&lt;/li&gt;</v>
      </c>
      <c r="V32" s="17" t="str">
        <v>&lt;li data-author="Taizé en español" data-momento="TaizéESP" data-nnew="Q18"&gt;&lt;a href="canciones/taize/bogoroditse_dievo_1.html"&gt;Dios te salve&lt;/a&gt;&lt;/li&gt;</v>
      </c>
      <c r="W32" s="17" t="str">
        <v>&lt;li data-author="Taizé original" data-momento="TaizéORIG" data-nnew="Q68"&gt;&lt;a href="canciones/taize/sanasi_on_lamppu.html"&gt;Sanasi on lamppu&lt;/a&gt;&lt;/li&gt;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M33" s="17" t="str">
        <v>&lt;li data-author="Francisco Palazón"&gt;&lt;a href="canciones/francisco_palazon/ave_maria.html"&gt;Ave María&lt;/a&gt;&lt;/li&gt;</v>
      </c>
      <c r="N33" s="17" t="str">
        <v>&lt;li data-author="Hakuna"&gt;&lt;a href="canciones/hakuna/quiero_cenar_contigo.html"&gt;Quiero cenar contigo&lt;/a&gt;&lt;/li&gt;</v>
      </c>
      <c r="P33" s="17" t="str">
        <v>&lt;li data-author="Ixcís"&gt;&lt;a href="canciones/ixcis/por_que.html"&gt;Por qué&lt;/a&gt;&lt;/li&gt;</v>
      </c>
      <c r="Q33" s="17" t="str">
        <v>&lt;li data-author="Kairoi"&gt;&lt;a href="canciones/kairoi/una_vida_que_busca_libertad.html"&gt;Una vida que busca libertad&lt;/a&gt;&lt;/li&gt;</v>
      </c>
      <c r="R33" s="17" t="str">
        <v>&lt;li data-author="Carmelo Erdozáin" data-momento="Comunión" data-nnew="K15" data-nold="52"&gt;&lt;a href="canciones/carmelo_erdozain/cerca_esta_el_señor.html"&gt;Cerca está el Señor&lt;/a&gt;&lt;/li&gt;</v>
      </c>
      <c r="T33" s="17" t="str">
        <v>&lt;li data-author="Reuben Morgan"&gt;&lt;a href="canciones/nuevas/te_doy_mi_corazon.html"&gt;Te doy mi corazón&lt;/a&gt;&lt;/li&gt;</v>
      </c>
      <c r="U33" s="17" t="str">
        <v>&lt;li data-author="Ruah"&gt;&lt;a href="canciones/ruah/nuestro_lugar.html"&gt;Nuestro lugar&lt;/a&gt;&lt;/li&gt;</v>
      </c>
      <c r="V33" s="17" t="str">
        <v>&lt;li data-author="Taizé en español" data-momento="TaizéESP" data-nnew="Q40"&gt;&lt;a href="canciones/taize/herre_visa_mig_vägen.html"&gt;Dios, muéstrame tu senda&lt;/a&gt;&lt;/li&gt;</v>
      </c>
      <c r="W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M34" s="17" t="str">
        <v>&lt;li data-author="Francisco Palazón"&gt;&lt;a href="canciones/francisco_palazon/unidos_por_la_fe_y_el_amor.html"&gt;Unidos por la fe y el amor&lt;/a&gt;&lt;/li&gt;</v>
      </c>
      <c r="N34" s="17" t="str">
        <v>&lt;li data-author="Hakuna"&gt;&lt;a href="canciones/hakuna/un_paso_mas.html"&gt;Un paso más&lt;/a&gt;&lt;/li&gt;</v>
      </c>
      <c r="P34" s="17" t="str">
        <v>&lt;li data-author="Ixcís"&gt;&lt;a href="canciones/ixcis/una_vez_mas.html"&gt;Una vez más&lt;/a&gt;&lt;/li&gt;</v>
      </c>
      <c r="Q34" s="17" t="str">
        <v>&lt;li data-author="Kairoi"&gt;&lt;a href="canciones/kairoi/nuestra_buena_madre.html"&gt;Nuestra buena madre&lt;/a&gt;&lt;/li&gt;</v>
      </c>
      <c r="R34" s="17" t="str">
        <v>&lt;li data-author="Carmelo Erdozáin" data-momento="Antífonas" data-nnew="D10" data-nold="51"&gt;&lt;a href="canciones/carmelo_erdozain/compartir_junto_al_señor.html"&gt;Compartir junto al Señor&lt;/a&gt;&lt;/li&gt;</v>
      </c>
      <c r="T34" s="17" t="str">
        <v>&lt;li data-author="Salvatore Martínez"&gt;&lt;a href="canciones/nuevas/abba_padre_(escuchame).html"&gt;Abbá, Padre (escúchame)&lt;/a&gt;&lt;/li&gt;</v>
      </c>
      <c r="U34" s="17" t="str">
        <v>&lt;li data-author="Ruah"&gt;&lt;a href="canciones/ruah/a_tu_medida.html"&gt;A tu medida&lt;/a&gt;&lt;/li&gt;</v>
      </c>
      <c r="V34" s="17" t="str">
        <v>&lt;li data-author="Taizé en español" data-momento="TaizéESP" data-nnew="Q32"&gt;&lt;a href="canciones/taize/dieu_ne_peut_que_donner.html"&gt;Dios, que nos ama&lt;/a&gt;&lt;/li&gt;</v>
      </c>
      <c r="W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3" x14ac:dyDescent="0.3">
      <c r="I35" s="17" t="str">
        <v>&lt;li data-author="Ain Karem"&gt;&lt;a href="canciones/ain_karem/ten_piedad.html"&gt;Ten piedad&lt;/a&gt;&lt;/li&gt;</v>
      </c>
      <c r="M35" s="17" t="str">
        <v>&lt;li data-author="Francisco Palazón"&gt;&lt;a href="canciones/francisco_palazon/ten_piedad.html"&gt;Ten piedad&lt;/a&gt;&lt;/li&gt;</v>
      </c>
      <c r="N35" s="17" t="str">
        <v>&lt;li data-author="Hakuna"&gt;&lt;a href="canciones/hakuna/cuatro_vientos.html"&gt;Cuatro vientos&lt;/a&gt;&lt;/li&gt;</v>
      </c>
      <c r="P35" s="17" t="str">
        <v>&lt;li data-author="Ixcís"&gt;&lt;a href="canciones/ixcis/el_labrador.html"&gt;El labrador&lt;/a&gt;&lt;/li&gt;</v>
      </c>
      <c r="Q35" s="17" t="str">
        <v>&lt;li data-author="Kairoi"&gt;&lt;a href="canciones/kairoi/señor_yo_no_soy_digno.html"&gt;Señor, yo no soy digno&lt;/a&gt;&lt;/li&gt;</v>
      </c>
      <c r="R35" s="17" t="str">
        <v>&lt;li data-author="Carmelo Erdozáin" data-nold="44"&gt;&lt;a href="canciones/carmelo_erdozain/con_nosotros_esta_el_señor.html"&gt;Con nosotros está el Señor&lt;/a&gt;&lt;/li&gt;</v>
      </c>
      <c r="T35" s="17" t="str">
        <v>&lt;li data-author="Salvatore Martínez"&gt;&lt;a href="canciones/nuevas/salve_regina.html"&gt;Salve, Regina&lt;/a&gt;&lt;/li&gt;</v>
      </c>
      <c r="U35" s="17" t="str">
        <v>&lt;li data-author="Ruah"&gt;&lt;a href="canciones/ruah/mayor_que_todo.html"&gt;Mayor que todo&lt;/a&gt;&lt;/li&gt;</v>
      </c>
      <c r="V35" s="17" t="str">
        <v>&lt;li data-author="Taizé en español" data-momento="TaizéESP" data-nnew="Q78" data-nold="466"&gt;&lt;a href="canciones/taize/ubi_caritas.html"&gt;Donde hay amor&lt;/a&gt;&lt;/li&gt;</v>
      </c>
      <c r="W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3" x14ac:dyDescent="0.3">
      <c r="I36" s="17" t="str">
        <v>&lt;li data-author="Ain Karem"&gt;&lt;a href="canciones/ain_karem/busca_mi_rostro.html"&gt;Busca mi rostro&lt;/a&gt;&lt;/li&gt;</v>
      </c>
      <c r="M36" s="17" t="str">
        <v>&lt;li data-author="Francisco Palazón"&gt;&lt;a href="canciones/francisco_palazon/gloria_(misa_coral_en_re).html"&gt;Gloria (misa coral en Re)&lt;/a&gt;&lt;/li&gt;</v>
      </c>
      <c r="N36" s="17" t="str">
        <v>&lt;li data-author="Hakuna"&gt;&lt;a href="canciones/hakuna/siempre_imagine.html"&gt;Siempre imaginé&lt;/a&gt;&lt;/li&gt;</v>
      </c>
      <c r="P36" s="17" t="str">
        <v>&lt;li data-author="Ixcís"&gt;&lt;a href="canciones/ixcis/maria_enseñame.html"&gt;María, enséñame&lt;/a&gt;&lt;/li&gt;</v>
      </c>
      <c r="Q36" s="17" t="str">
        <v>&lt;li data-author="Kairoi"&gt;&lt;a href="canciones/kairoi/no_durmais.html"&gt;No durmáis&lt;/a&gt;&lt;/li&gt;</v>
      </c>
      <c r="R36" s="17" t="str">
        <v>&lt;li data-author="Carmelo Erdozáin" data-nold="301"&gt;&lt;a href="canciones/carmelo_erdozain/creo_en_jesus.html"&gt;Creo en Jesús&lt;/a&gt;&lt;/li&gt;</v>
      </c>
      <c r="T36" s="17" t="str">
        <v>&lt;li data-author="Steve Merkel"&gt;&lt;a href="canciones/nuevas/mas_de_ti_menos_de_mi.html"&gt;Más de ti, menos de mí&lt;/a&gt;&lt;/li&gt;</v>
      </c>
      <c r="U36" s="17" t="str">
        <v>&lt;li data-author="Ruah"&gt;&lt;a href="canciones/ruah/seas.html"&gt;Seas&lt;/a&gt;&lt;/li&gt;</v>
      </c>
      <c r="V36" s="17" t="str">
        <v>&lt;li data-author="Taizé en español" data-momento="TaizéESP" data-nnew="Q74"&gt;&lt;a href="canciones/taize/the_kingdom_of_god.html"&gt;El Reino de Dios&lt;/a&gt;&lt;/li&gt;</v>
      </c>
      <c r="W36" s="17" t="str">
        <v>&lt;li data-author="Taizé original" data-momento="TaizéORIG" data-nnew="Q71"&gt;&lt;a href="canciones/taize/staňte_se_soli.html"&gt;Staňte se solí&lt;/a&gt;&lt;/li&gt;</v>
      </c>
    </row>
    <row r="37" spans="1:23" x14ac:dyDescent="0.3">
      <c r="I37" s="17" t="str">
        <v>&lt;li data-author="Ain Karem"&gt;&lt;a href="canciones/ain_karem/señor_de_la_sabiduria.html"&gt;Señor de la sabiduría&lt;/a&gt;&lt;/li&gt;</v>
      </c>
      <c r="M37" s="17" t="str">
        <v>&lt;li data-author="Francisco Palazón"&gt;&lt;a href="canciones/francisco_palazon/aleluya_(misa_coral_en_re).html"&gt;Aleluya (misa coral en Re)&lt;/a&gt;&lt;/li&gt;</v>
      </c>
      <c r="N37" s="17" t="str">
        <v>&lt;li data-author="Hakuna"&gt;&lt;a href="canciones/hakuna/que_no_se_pierda_ninguno.html"&gt;Que no se pierda ninguno&lt;/a&gt;&lt;/li&gt;</v>
      </c>
      <c r="P37" s="17" t="str">
        <v>&lt;li data-author="Ixcís"&gt;&lt;a href="canciones/ixcis/mucho_mas.html"&gt;Mucho más&lt;/a&gt;&lt;/li&gt;</v>
      </c>
      <c r="Q37" s="17" t="str">
        <v>&lt;li data-author="Kairoi"&gt;&lt;a href="canciones/kairoi/señor_dios_me_tienes_ante_ti.html"&gt;Señor Dios, me tienes ante ti&lt;/a&gt;&lt;/li&gt;</v>
      </c>
      <c r="R37" s="17" t="str">
        <v>&lt;li data-author="Carmelo Erdozáin" data-nold="58"&gt;&lt;a href="canciones/carmelo_erdozain/cristo_es_la_imagen_de_dios.html"&gt;Cristo es la imagen de Dios&lt;/a&gt;&lt;/li&gt;</v>
      </c>
      <c r="U37" s="17" t="str">
        <v>&lt;li data-author="Ruah"&gt;&lt;a href="canciones/ruah/brasas.html"&gt;Brasas&lt;/a&gt;&lt;/li&gt;</v>
      </c>
      <c r="V37" s="17" t="str">
        <v>&lt;li data-author="Taizé en español" data-momento="TaizéESP" data-nnew="Q38"&gt;&lt;a href="canciones/taize/el_senyor.html"&gt;El Señor es mi fortaleza&lt;/a&gt;&lt;/li&gt;</v>
      </c>
      <c r="W37" s="17" t="str">
        <v>&lt;li data-author="Taizé original" data-momento="TaizéORIG" data-nnew="Q78" data-nold="466"&gt;&lt;a href="canciones/taize/ubi_caritas.html"&gt;Ubi caritas&lt;/a&gt;&lt;/li&gt;</v>
      </c>
    </row>
    <row r="38" spans="1:23" x14ac:dyDescent="0.3">
      <c r="I38" s="17" t="str">
        <v>&lt;li data-author="Ain Karem"&gt;&lt;a href="canciones/ain_karem/descansa_en_ti_su_mirada.html"&gt;Descansa en ti su mirada&lt;/a&gt;&lt;/li&gt;</v>
      </c>
      <c r="M38" s="17" t="str">
        <v>&lt;li data-author="Francisco Palazón"&gt;&lt;a href="canciones/francisco_palazon/santo_(misa_coral_en_re).html"&gt;Santo (misa coral en Re)&lt;/a&gt;&lt;/li&gt;</v>
      </c>
      <c r="N38" s="17" t="str">
        <v>&lt;li data-author="Hakuna"&gt;&lt;a href="canciones/hakuna/nombre_sobre_todo_nombre.html"&gt;Nombre sobre todo nombre&lt;/a&gt;&lt;/li&gt;</v>
      </c>
      <c r="P38" s="17" t="str">
        <v>&lt;li data-author="Ixcís"&gt;&lt;a href="canciones/ixcis/dame_señor.html"&gt;Dame, Señor&lt;/a&gt;&lt;/li&gt;</v>
      </c>
      <c r="Q38" s="17" t="str">
        <v>&lt;li data-author="Kairoi"&gt;&lt;a href="canciones/kairoi/tu_llamada.html"&gt;Tu llamada&lt;/a&gt;&lt;/li&gt;</v>
      </c>
      <c r="R38" s="17" t="str">
        <v>&lt;li data-author="Carmelo Erdozáin" data-nold="55"&gt;&lt;a href="canciones/carmelo_erdozain/cristo_fue_sincero.html"&gt;Cristo fue sincero&lt;/a&gt;&lt;/li&gt;</v>
      </c>
      <c r="U38" s="17" t="str">
        <v>&lt;li data-author="Ruah"&gt;&lt;a href="canciones/ruah/si_tu_quieres.html"&gt;Si tú quieres&lt;/a&gt;&lt;/li&gt;</v>
      </c>
      <c r="V38" s="17" t="str">
        <v>&lt;li data-author="Taizé en español" data-momento="TaizéESP" data-nnew="Q44"&gt;&lt;a href="canciones/taize/il_signore_ti_ristora.html"&gt;El Señor es quien restaura&lt;/a&gt;&lt;/li&gt;</v>
      </c>
      <c r="W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3" x14ac:dyDescent="0.3">
      <c r="I39" s="17" t="str">
        <v>&lt;li data-author="Ain Karem"&gt;&lt;a href="canciones/ain_karem/el_amor.html"&gt;El amor&lt;/a&gt;&lt;/li&gt;</v>
      </c>
      <c r="M39" s="17" t="str">
        <v>&lt;li data-author="Francisco Palazón"&gt;&lt;a href="canciones/francisco_palazon/padre_nuestro_(misa_coral_en_re).html"&gt;Padre nuestro (misa coral en Re)&lt;/a&gt;&lt;/li&gt;</v>
      </c>
      <c r="N39" s="17" t="str">
        <v>&lt;li data-author="Hakuna"&gt;&lt;a href="canciones/hakuna/tu_rostro.html"&gt;Tu rostro&lt;/a&gt;&lt;/li&gt;</v>
      </c>
      <c r="P39" s="17" t="str">
        <v>&lt;li data-author="Ixcís"&gt;&lt;a href="canciones/ixcis/sin_amarras.html"&gt;Sin amarras&lt;/a&gt;&lt;/li&gt;</v>
      </c>
      <c r="Q39" s="17" t="str">
        <v>&lt;li data-author="Kairoi"&gt;&lt;a href="canciones/kairoi/no_es_facil.html"&gt;No es fácil&lt;/a&gt;&lt;/li&gt;</v>
      </c>
      <c r="R39" s="17" t="str">
        <v>&lt;li data-author="Carmelo Erdozáin" data-momento="Comunión" data-nnew="K19" data-nold="63"&gt;&lt;a href="canciones/carmelo_erdozain/cristo_nos_da_la_libertad.html"&gt;Cristo nos da la libertad&lt;/a&gt;&lt;/li&gt;</v>
      </c>
      <c r="U39" s="17" t="str">
        <v>&lt;li data-author="Ruah"&gt;&lt;a href="canciones/ruah/donde.html"&gt;Dónde&lt;/a&gt;&lt;/li&gt;</v>
      </c>
      <c r="V39" s="17" t="str">
        <v>&lt;li data-author="Taizé en español" data-momento="TaizéESP" data-nnew="Q81"&gt;&lt;a href="canciones/taize/voici_dieu_qui_vient_à_mon_secours.html"&gt;El Señor, que viene en mi ayuda&lt;/a&gt;&lt;/li&gt;</v>
      </c>
      <c r="W39" s="17" t="str">
        <v>&lt;li data-author="Taizé original" data-momento="TaizéORIG" data-nnew="Q23"&gt;&lt;a href="canciones/taize/christe_salvator.html"&gt;Christe Salvator&lt;/a&gt;&lt;/li&gt;</v>
      </c>
    </row>
    <row r="40" spans="1:23" x14ac:dyDescent="0.3">
      <c r="I40" s="17" t="str">
        <v>&lt;li data-author="Ain Karem"&gt;&lt;a href="canciones/ain_karem/maria_de_nazaret.html"&gt;María de Nazaret&lt;/a&gt;&lt;/li&gt;</v>
      </c>
      <c r="M40" s="17" t="str">
        <v>&lt;li data-author="Francisco Palazón"&gt;&lt;a href="canciones/francisco_palazon/cordero_de_dios_(misa_coral_en_re).html"&gt;Cordero de Dios (misa coral en Re)&lt;/a&gt;&lt;/li&gt;</v>
      </c>
      <c r="N40" s="17" t="str">
        <v>&lt;li data-author="Hakuna"&gt;&lt;a href="canciones/hakuna/tonto.html"&gt;Tonto&lt;/a&gt;&lt;/li&gt;</v>
      </c>
      <c r="P40" s="17" t="str">
        <v>&lt;li data-author="Ixcís"&gt;&lt;a href="canciones/ixcis/no_temas.html"&gt;No temas&lt;/a&gt;&lt;/li&gt;</v>
      </c>
      <c r="Q40" s="17" t="str">
        <v>&lt;li data-author="Kairoi"&gt;&lt;a href="canciones/kairoi/nacidos_de_la_cruz.html"&gt;Nacidos de la cruz&lt;/a&gt;&lt;/li&gt;</v>
      </c>
      <c r="R40" s="17" t="str">
        <v>&lt;li data-author="Carmelo Erdozáin" data-momento="Antífonas" data-nnew="D11" data-nold="59"&gt;&lt;a href="canciones/carmelo_erdozain/cristo_por_nosotros.html"&gt;Cristo por nosotros&lt;/a&gt;&lt;/li&gt;</v>
      </c>
      <c r="U40" s="17" t="str">
        <v>&lt;li data-author="Ruah"&gt;&lt;a href="canciones/ruah/escuchame.html"&gt;Escúchame&lt;/a&gt;&lt;/li&gt;</v>
      </c>
      <c r="V40" s="17" t="str">
        <v>&lt;li data-author="Taizé en español" data-momento="TaizéESP" data-nnew="Q28"&gt;&lt;a href="canciones/taize/dans_nos_obscurites.html"&gt;En nuestra oscuridad&lt;/a&gt;&lt;/li&gt;</v>
      </c>
      <c r="W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3" x14ac:dyDescent="0.3">
      <c r="I41" s="17" t="str">
        <v>&lt;li data-author="Ain Karem"&gt;&lt;a href="canciones/ain_karem/miradle.html"&gt;Miradle&lt;/a&gt;&lt;/li&gt;</v>
      </c>
      <c r="M41" s="17" t="str">
        <v>&lt;li data-author="Francisco Palazón"&gt;&lt;a href="canciones/francisco_palazon/dales_señor_el_descanso_eterno.html"&gt;Dales, Señor, el descanso eterno&lt;/a&gt;&lt;/li&gt;</v>
      </c>
      <c r="N41" s="17" t="str">
        <v>&lt;li data-author="Hakuna"&gt;&lt;a href="canciones/hakuna/mi_pobre_loco.html"&gt;Mi pobre loco&lt;/a&gt;&lt;/li&gt;</v>
      </c>
      <c r="P41" s="17" t="str">
        <v>&lt;li data-author="Ixcís"&gt;&lt;a href="canciones/ixcis/desde_el_silencio.html"&gt;Desde el silencio&lt;/a&gt;&lt;/li&gt;</v>
      </c>
      <c r="Q41" s="17" t="str">
        <v>&lt;li data-author="Kairoi"&gt;&lt;a href="canciones/kairoi/ven_señor_jesus.html"&gt;Ven, Señor Jesús&lt;/a&gt;&lt;/li&gt;</v>
      </c>
      <c r="R41" s="17" t="str">
        <v>&lt;li data-author="Carmelo Erdozáin" data-nold="57"&gt;&lt;a href="canciones/carmelo_erdozain/cristo_se_entrego_por_nosotros.html"&gt;Cristo se entregó por nosotros&lt;/a&gt;&lt;/li&gt;</v>
      </c>
      <c r="U41" s="17" t="str">
        <v>&lt;li data-author="Ruah"&gt;&lt;a href="canciones/ruah/a_la_puerta.html"&gt;A la puerta&lt;/a&gt;&lt;/li&gt;</v>
      </c>
      <c r="V41" s="17" t="str">
        <v>&lt;li data-author="Taizé en español" data-momento="TaizéESP" data-nnew="Q70"&gt;&lt;a href="canciones/taize/spiritus_jesu_christi.html"&gt;Espíritu de Dios vivo&lt;/a&gt;&lt;/li&gt;</v>
      </c>
      <c r="W41" s="17" t="str">
        <v>&lt;li data-author="Taizé original" data-momento="TaizéORIG" data-nnew="Q64"&gt;&lt;a href="canciones/taize/nunc_dimittis.html"&gt;Nunc dimittis&lt;/a&gt;&lt;/li&gt;</v>
      </c>
    </row>
    <row r="42" spans="1:23" x14ac:dyDescent="0.3">
      <c r="I42" s="17" t="str">
        <v>&lt;li data-author="Ain Karem"&gt;&lt;a href="canciones/ain_karem/venid_conmigo.html"&gt;Venid conmigo&lt;/a&gt;&lt;/li&gt;</v>
      </c>
      <c r="M42" s="17" t="str">
        <v>&lt;li data-author="Francisco Palazón"&gt;&lt;a href="canciones/francisco_palazon/dale_señor.html"&gt;Dale, Señor&lt;/a&gt;&lt;/li&gt;</v>
      </c>
      <c r="N42" s="17" t="str">
        <v>&lt;li data-author="Hakuna"&gt;&lt;a href="canciones/hakuna/revolucion.html"&gt;Revolución&lt;/a&gt;&lt;/li&gt;</v>
      </c>
      <c r="P42" s="17" t="str">
        <v>&lt;li data-author="Ixcís"&gt;&lt;a href="canciones/ixcis/desierto.html"&gt;Desierto&lt;/a&gt;&lt;/li&gt;</v>
      </c>
      <c r="Q42" s="17" t="str">
        <v>&lt;li data-author="Kairoi"&gt;&lt;a href="canciones/kairoi/canta_jerusalen.html"&gt;Canta Jerusalén&lt;/a&gt;&lt;/li&gt;</v>
      </c>
      <c r="R42" s="17" t="str">
        <v>&lt;li data-author="Carmelo Erdozáin" data-nold="68"&gt;&lt;a href="canciones/carmelo_erdozain/cuantos_años_han_de_pasar.html"&gt;Cuántos años han de pasar&lt;/a&gt;&lt;/li&gt;</v>
      </c>
      <c r="U42" s="17" t="str">
        <v>&lt;li data-author="Ruah"&gt;&lt;a href="canciones/ruah/en_quien_si_no.html"&gt;En quién si no&lt;/a&gt;&lt;/li&gt;</v>
      </c>
      <c r="V42" s="17" t="str">
        <v>&lt;li data-author="Taizé en español" data-momento="TaizéESP" data-nnew="Q67"&gt;&lt;a href="canciones/taize/psallite_deo.html"&gt;Este es el día del Señor (Taizé)&lt;/a&gt;&lt;/li&gt;</v>
      </c>
      <c r="W42" s="17" t="str">
        <v>&lt;li data-author="Taizé original" data-momento="TaizéORIG" data-nnew="Q03"&gt;&lt;a href="canciones/taize/ad_te_jesu_christe.html"&gt;Ad te Jesu Christe&lt;/a&gt;&lt;/li&gt;</v>
      </c>
    </row>
    <row r="43" spans="1:23" x14ac:dyDescent="0.3">
      <c r="I43" s="17" t="str">
        <v>&lt;li data-author="Ain Karem"&gt;&lt;a href="canciones/ain_karem/dios_fiel.html"&gt;Dios fiel&lt;/a&gt;&lt;/li&gt;</v>
      </c>
      <c r="M43" s="17" t="str">
        <v>&lt;li data-author="Francisco Palazón"&gt;&lt;a href="canciones/francisco_palazon/dichosos_los_que_mueren_en_el_señor.html"&gt;Dichosos los que mueren en el Señor&lt;/a&gt;&lt;/li&gt;</v>
      </c>
      <c r="N43" s="17" t="str">
        <v>&lt;li data-author="Hakuna"&gt;&lt;a href="canciones/hakuna/imprescindible.html"&gt;Imprescindible&lt;/a&gt;&lt;/li&gt;</v>
      </c>
      <c r="P43" s="17" t="str">
        <v>&lt;li data-author="Ixcís"&gt;&lt;a href="canciones/ixcis/en_comun.html"&gt;En común&lt;/a&gt;&lt;/li&gt;</v>
      </c>
      <c r="Q43" s="17" t="str">
        <v>&lt;li data-author="Kairoi"&gt;&lt;a href="canciones/kairoi/diremos_que_si.html"&gt;Diremos que sí&lt;/a&gt;&lt;/li&gt;</v>
      </c>
      <c r="R43" s="17" t="str">
        <v>&lt;li data-author="Carmelo Erdozáin" data-momento="Entrada" data-nnew="A14"&gt;&lt;a href="canciones/carmelo_erdozain/dios_nos_convoca.html"&gt;Dios nos convoca&lt;/a&gt;&lt;/li&gt;</v>
      </c>
      <c r="U43" s="17" t="str">
        <v>&lt;li data-author="Ruah"&gt;&lt;a href="canciones/ruah/silencio.html"&gt;Silencio&lt;/a&gt;&lt;/li&gt;</v>
      </c>
      <c r="V43" s="17" t="str">
        <v>&lt;li data-author="Taizé en español" data-momento="TaizéESP" data-nnew="Q41"&gt;&lt;a href="canciones/taize/heureux_qui_s’abandonne_à_toi.html"&gt;Feliz quien se abandona&lt;/a&gt;&lt;/li&gt;</v>
      </c>
      <c r="W43" s="17" t="str">
        <v>&lt;li data-author="Taizé original" data-momento="TaizéORIG" data-nnew="Q44"&gt;&lt;a href="canciones/taize/il_signore_ti_ristora.html"&gt;Il Signore ti ristora&lt;/a&gt;&lt;/li&gt;</v>
      </c>
    </row>
    <row r="44" spans="1:23" x14ac:dyDescent="0.3">
      <c r="I44" s="17" t="str">
        <v>&lt;li data-author="Ain Karem"&gt;&lt;a href="canciones/ain_karem/hambre_y_sed_de_ti.html"&gt;Hambre y sed de Ti&lt;/a&gt;&lt;/li&gt;</v>
      </c>
      <c r="M44" s="17" t="str">
        <v>&lt;li data-author="Francisco Palazón"&gt;&lt;a href="canciones/francisco_palazon/kyrie_eleison.html"&gt;Kyrie eleison&lt;/a&gt;&lt;/li&gt;</v>
      </c>
      <c r="N44" s="17" t="str">
        <v>&lt;li data-author="Hakuna"&gt;&lt;a href="canciones/hakuna/pasion_i_no_se_que_viste_en_mi.html"&gt;Pasión I No sé qué viste en mí&lt;/a&gt;&lt;/li&gt;</v>
      </c>
      <c r="P44" s="17" t="str">
        <v>&lt;li data-author="Ixcís"&gt;&lt;a href="canciones/ixcis/el_tesoro.html"&gt;El tesoro&lt;/a&gt;&lt;/li&gt;</v>
      </c>
      <c r="Q44" s="17" t="str">
        <v>&lt;li data-author="Kairoi"&gt;&lt;a href="canciones/kairoi/gracias_por_tu_don.html"&gt;Gracias por tu don&lt;/a&gt;&lt;/li&gt;</v>
      </c>
      <c r="R44" s="17" t="str">
        <v>&lt;li data-author="Carmelo Erdozáin" data-nold="82"&gt;&lt;a href="canciones/carmelo_erdozain/dios_te_salve_maria.html"&gt;Dios te salve, María&lt;/a&gt;&lt;/li&gt;</v>
      </c>
      <c r="U44" s="17" t="str">
        <v>&lt;li data-author="Ruah"&gt;&lt;a href="canciones/ruah/de_repente.html"&gt;De repente&lt;/a&gt;&lt;/li&gt;</v>
      </c>
      <c r="V44" s="17" t="str">
        <v>&lt;li data-author="Taizé en español" data-momento="TaizéESP" data-nnew="Q49"&gt;&lt;a href="canciones/taize/jesus_remember_me.html"&gt;Jesús, acuérdate de mí&lt;/a&gt;&lt;/li&gt;</v>
      </c>
      <c r="W44" s="17" t="str">
        <v>&lt;li data-author="Taizé original" data-momento="TaizéORIG" data-nnew="Q07"&gt;&lt;a href="canciones/taize/alleluia_22.html"&gt;Alleluia 22&lt;/a&gt;&lt;/li&gt;</v>
      </c>
    </row>
    <row r="45" spans="1:23" x14ac:dyDescent="0.3">
      <c r="I45" s="17" t="str">
        <v>&lt;li data-author="Ain Karem"&gt;&lt;a href="canciones/ain_karem/confianza.html"&gt;Confianza&lt;/a&gt;&lt;/li&gt;</v>
      </c>
      <c r="M45" s="17" t="str">
        <v>&lt;li data-author="Francisco Palazón"&gt;&lt;a href="canciones/francisco_palazon/te_ofrecemos_señor_sacrificios_y_oblaciones.html"&gt;Te ofrecemos, Señor, sacrificios y oblaciones&lt;/a&gt;&lt;/li&gt;</v>
      </c>
      <c r="N45" s="17" t="str">
        <v>&lt;li data-author="Hakuna"&gt;&lt;a href="canciones/hakuna/pasion_ii_mi_peso_en_tus_hombros.html"&gt;Pasión II Mi peso en tus hombros&lt;/a&gt;&lt;/li&gt;</v>
      </c>
      <c r="P45" s="17" t="str">
        <v>&lt;li data-author="Ixcís"&gt;&lt;a href="canciones/ixcis/alegrate.html"&gt;Alégrate&lt;/a&gt;&lt;/li&gt;</v>
      </c>
      <c r="Q45" s="17" t="str">
        <v>&lt;li data-author="Kairoi"&gt;&lt;a href="canciones/kairoi/corto_la_roca.html"&gt;Cortó la roca&lt;/a&gt;&lt;/li&gt;</v>
      </c>
      <c r="R45" s="17" t="str">
        <v>&lt;li data-author="Carmelo Erdozáin" data-nold="87"&gt;&lt;a href="canciones/carmelo_erdozain/dios_te_salve_maria_llena_eres_de_gracia.html"&gt;Dios te salve, María, llena eres de gracia&lt;/a&gt;&lt;/li&gt;</v>
      </c>
      <c r="U45" s="17" t="str">
        <v>&lt;li data-author="Ruah"&gt;&lt;a href="canciones/ruah/quien_amo_primero.html"&gt;Quién amó primero&lt;/a&gt;&lt;/li&gt;</v>
      </c>
      <c r="V45" s="17" t="str">
        <v>&lt;li data-author="Taizé en español" data-momento="TaizéESP" data-nnew="Q48"&gt;&lt;a href="canciones/taize/jesus_ma_joie.html"&gt;Jesús, mi vida&lt;/a&gt;&lt;/li&gt;</v>
      </c>
      <c r="W45" s="17" t="str">
        <v>&lt;li data-author="Taizé original" data-momento="TaizéORIG" data-nnew="Q43"&gt;&lt;a href="canciones/taize/iedere_nacht_verlang_ik.html"&gt;Iedere nacht verlang ik&lt;/a&gt;&lt;/li&gt;</v>
      </c>
    </row>
    <row r="46" spans="1:23" x14ac:dyDescent="0.3">
      <c r="I46" s="17" t="str">
        <v>&lt;li data-author="Ain Karem"&gt;&lt;a href="canciones/ain_karem/pan_compartido.html"&gt;Pan compartido&lt;/a&gt;&lt;/li&gt;</v>
      </c>
      <c r="M46" s="17" t="str">
        <v>&lt;li data-author="Francisco Palazón"&gt;&lt;a href="canciones/francisco_palazon/santo_(requiem).html"&gt;Santo (Réquiem)&lt;/a&gt;&lt;/li&gt;</v>
      </c>
      <c r="N46" s="17" t="str">
        <v>&lt;li data-author="Hakuna"&gt;&lt;a href="canciones/hakuna/pasion_iii_paraisos_sin_tu_rostro.html"&gt;Pasión III Paraísos sin tu rostro&lt;/a&gt;&lt;/li&gt;</v>
      </c>
      <c r="P46" s="17" t="str">
        <v>&lt;li data-author="Ixcís"&gt;&lt;a href="canciones/ixcis/tu_ternura.html"&gt;Tu ternura&lt;/a&gt;&lt;/li&gt;</v>
      </c>
      <c r="Q46" s="17" t="str">
        <v>&lt;li data-author="Kairoi"&gt;&lt;a href="canciones/kairoi/ave_maria_i.html"&gt;Ave María I&lt;/a&gt;&lt;/li&gt;</v>
      </c>
      <c r="R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46" s="17" t="str">
        <v>&lt;li data-author="Ruah"&gt;&lt;a href="canciones/ruah/alabarte.html"&gt;Alabarte&lt;/a&gt;&lt;/li&gt;</v>
      </c>
      <c r="V46" s="17" t="str">
        <v>&lt;li data-author="Taizé en español" data-momento="TaizéESP" data-nnew="Q52"&gt;&lt;a href="canciones/taize/jubilate_coeli_(canon).html"&gt;Júbilo en el cielo (canon)&lt;/a&gt;&lt;/li&gt;</v>
      </c>
      <c r="W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3" x14ac:dyDescent="0.3">
      <c r="I47" s="17" t="str">
        <v>&lt;li data-author="Ain Karem"&gt;&lt;a href="canciones/ain_karem/gloria_trinitario.html"&gt;Gloria Trinitario&lt;/a&gt;&lt;/li&gt;</v>
      </c>
      <c r="M47" s="17" t="str">
        <v>&lt;li data-author="Francisco Palazón"&gt;&lt;a href="canciones/francisco_palazon/cordero_de_dios_(requiem).html"&gt;Cordero de Dios (Réquiem)&lt;/a&gt;&lt;/li&gt;</v>
      </c>
      <c r="N47" s="17" t="str">
        <v>&lt;li data-author="Hakuna"&gt;&lt;a href="canciones/hakuna/pasion_iv_un_dios_debil.html"&gt;Pasión IV Un dios débil&lt;/a&gt;&lt;/li&gt;</v>
      </c>
      <c r="P47" s="17" t="str">
        <v>&lt;li data-author="Ixcís"&gt;&lt;a href="canciones/ixcis/creadores.html"&gt;Creadores&lt;/a&gt;&lt;/li&gt;</v>
      </c>
      <c r="Q47" s="17" t="str">
        <v>&lt;li data-author="Kairoi"&gt;&lt;a href="canciones/kairoi/tu_estas_cerca.html"&gt;Tú estás cerca&lt;/a&gt;&lt;/li&gt;</v>
      </c>
      <c r="R47" s="17" t="str">
        <v>&lt;li data-author="Carmelo Erdozáin" data-nold="126"&gt;&lt;a href="canciones/carmelo_erdozain/gracias_señor_por_tu_palabra.html"&gt;Gracias, Señor, por tu Palabra&lt;/a&gt;&lt;/li&gt;</v>
      </c>
      <c r="U47" s="17" t="str">
        <v>&lt;li data-author="Ruah"&gt;&lt;a href="canciones/ruah/bailare.html"&gt;Bailaré&lt;/a&gt;&lt;/li&gt;</v>
      </c>
      <c r="V47" s="17" t="str">
        <v>&lt;li data-author="Taizé en español" data-momento="TaizéESP" data-nnew="Q57"&gt;&lt;a href="canciones/taize/l’ajuda_em_vindrà.html"&gt;La ayuda vendrá&lt;/a&gt;&lt;/li&gt;</v>
      </c>
      <c r="W47" s="17" t="str">
        <v>&lt;li data-author="Taizé original" data-momento="TaizéORIG" data-nnew="Q36"&gt;&lt;a href="canciones/taize/eat_this_bread.html"&gt;Eat this bread&lt;/a&gt;&lt;/li&gt;</v>
      </c>
    </row>
    <row r="48" spans="1:23" x14ac:dyDescent="0.3">
      <c r="I48" s="17" t="str">
        <v>&lt;li data-author="Ain Karem"&gt;&lt;a href="canciones/ain_karem/a_ti.html"&gt;A Ti&lt;/a&gt;&lt;/li&gt;</v>
      </c>
      <c r="M48" s="17" t="str">
        <v>&lt;li data-author="Francisco Palazón"&gt;&lt;a href="canciones/francisco_palazon/este_es_el_pan_que_nos_da_jesus.html"&gt;Este es el Pan que nos da Jesús&lt;/a&gt;&lt;/li&gt;</v>
      </c>
      <c r="N48" s="17" t="str">
        <v>&lt;li data-author="Hakuna"&gt;&lt;a href="canciones/hakuna/pasion_v_cirineo.html"&gt;Pasión V Cirineo&lt;/a&gt;&lt;/li&gt;</v>
      </c>
      <c r="P48" s="17" t="str">
        <v>&lt;li data-author="Ixcís"&gt;&lt;a href="canciones/ixcis/desde_mi_balcon.html"&gt;Desde mi balcón&lt;/a&gt;&lt;/li&gt;</v>
      </c>
      <c r="Q48" s="17" t="str">
        <v>&lt;li data-author="Kairoi"&gt;&lt;a href="canciones/kairoi/madre_de_los_hijos_pobres.html"&gt;Madre de los hijos pobres&lt;/a&gt;&lt;/li&gt;</v>
      </c>
      <c r="R48" s="17" t="str">
        <v>&lt;li data-author="Carmelo Erdozáin" data-momento="Especiales" data-nnew="P02" data-nold="136"&gt;&lt;a href="canciones/carmelo_erdozain/hosanna_hosanna_hosanna.html"&gt;Hosanna, hosanna, hosanna&lt;/a&gt;&lt;/li&gt;</v>
      </c>
      <c r="U48" s="17" t="str">
        <v>&lt;li data-author="Ruah"&gt;&lt;a href="canciones/ruah/por_ti_jerusalen.html"&gt;Por ti, Jerusalén&lt;/a&gt;&lt;/li&gt;</v>
      </c>
      <c r="V48" s="17" t="str">
        <v>&lt;li data-author="Taizé en español" data-momento="TaizéESP" data-nnew="Q62" data-nold="157"&gt;&lt;a href="canciones/taize/misericordias_domini.html"&gt;La misericordia del Señor&lt;/a&gt;&lt;/li&gt;</v>
      </c>
      <c r="W48" s="17" t="str">
        <v>&lt;li data-author="Taizé original" data-momento="TaizéORIG" data-nnew="Q36"&gt;&lt;a href="canciones/taize/jesus_christ_bread_of_life.html"&gt;Jesus Christ, bread of life&lt;/a&gt;&lt;/li&gt;</v>
      </c>
    </row>
    <row r="49" spans="9:23" x14ac:dyDescent="0.3">
      <c r="I49" s="17" t="str">
        <v>&lt;li data-author="Ain Karem"&gt;&lt;a href="canciones/ain_karem/tu_lo_sabes.html"&gt;Tú lo sabes&lt;/a&gt;&lt;/li&gt;</v>
      </c>
      <c r="M49" s="17" t="str">
        <v>&lt;li data-author="Francisco Palazón"&gt;&lt;a href="canciones/francisco_palazon/al_paraiso_te_lleven_los_angeles.html"&gt;Al Paraíso te lleven los ángeles&lt;/a&gt;&lt;/li&gt;</v>
      </c>
      <c r="N49" s="17" t="str">
        <v>&lt;li data-author="Hakuna"&gt;&lt;a href="canciones/hakuna/pasion_vi_veronica.html"&gt;Pasión VI Verónica&lt;/a&gt;&lt;/li&gt;</v>
      </c>
      <c r="P49" s="17" t="str">
        <v>&lt;li data-author="Ixcís"&gt;&lt;a href="canciones/ixcis/nadie_me_podra_robar.html"&gt;Nadie me podrá robar&lt;/a&gt;&lt;/li&gt;</v>
      </c>
      <c r="Q49" s="17" t="str">
        <v>&lt;li data-author="Kairoi"&gt;&lt;a href="canciones/kairoi/magnificat.html"&gt;Magnificat&lt;/a&gt;&lt;/li&gt;</v>
      </c>
      <c r="R49" s="17" t="str">
        <v>&lt;li data-author="Carmelo Erdozáin" data-nold="137"&gt;&lt;a href="canciones/carmelo_erdozain/hoy_me_siento_peregrino.html"&gt;Hoy me siento peregrino&lt;/a&gt;&lt;/li&gt;</v>
      </c>
      <c r="U49" s="17" t="str">
        <v>&lt;li data-author="Ruah"&gt;&lt;a href="canciones/ruah/frontera.html"&gt;Frontera&lt;/a&gt;&lt;/li&gt;</v>
      </c>
      <c r="V49" s="17" t="str">
        <v>&lt;li data-author="Taizé en español" data-momento="TaizéESP" data-nnew="Q03"&gt;&lt;a href="canciones/taize/ad_te_jesu_christe.html"&gt;Levanto mi alma&lt;/a&gt;&lt;/li&gt;</v>
      </c>
      <c r="W49" s="17" t="str">
        <v>&lt;li data-author="Taizé original" data-momento="TaizéORIG" data-nnew="Q39"&gt;&lt;a href="canciones/taize/esprit_consolateur.html"&gt;Esprit consolateur&lt;/a&gt;&lt;/li&gt;</v>
      </c>
    </row>
    <row r="50" spans="9:23" x14ac:dyDescent="0.3">
      <c r="I50" s="17" t="str">
        <v>&lt;li data-author="Ain Karem"&gt;&lt;a href="canciones/ain_karem/cana.html"&gt;Caná&lt;/a&gt;&lt;/li&gt;</v>
      </c>
      <c r="M50" s="17" t="str">
        <v>&lt;li data-author="Francisco Palazón"&gt;&lt;a href="canciones/francisco_palazon/eres_madre_dolorosa.html"&gt;Eres Madre dolorosa&lt;/a&gt;&lt;/li&gt;</v>
      </c>
      <c r="N50" s="17" t="str">
        <v>&lt;li data-author="Hakuna"&gt;&lt;a href="canciones/hakuna/pasion_vii_y_te_caes.html"&gt;Pasión VII Y te caes&lt;/a&gt;&lt;/li&gt;</v>
      </c>
      <c r="P50" s="17" t="str">
        <v>&lt;li data-author="Ixcís"&gt;&lt;a href="canciones/ixcis/llega_el_reino_de_dios.html"&gt;Llega el Reino de Dios&lt;/a&gt;&lt;/li&gt;</v>
      </c>
      <c r="Q50" s="17" t="str">
        <v>&lt;li data-author="Kairoi"&gt;&lt;a href="canciones/kairoi/angelus.html"&gt;Angelus&lt;/a&gt;&lt;/li&gt;</v>
      </c>
      <c r="R50" s="17" t="str">
        <v>&lt;li data-author="Carmelo Erdozáin" data-momento="Comunión" data-nnew="K38" data-nold="138"&gt;&lt;a href="canciones/carmelo_erdozain/hoy_vuelvo_de_lejos.html"&gt;Hoy vuelvo de lejos&lt;/a&gt;&lt;/li&gt;</v>
      </c>
      <c r="U50" s="17" t="str">
        <v>&lt;li data-author="Ruah"&gt;&lt;a href="canciones/ruah/despierto.html"&gt;Despierto&lt;/a&gt;&lt;/li&gt;</v>
      </c>
      <c r="V50" s="17" t="str">
        <v>&lt;li data-author="Taizé en español" data-momento="TaizéESP" data-nnew="Q24"&gt;&lt;a href="canciones/taize/confitemini_domino.html"&gt;Llénanos, Señor, de tu paz&lt;/a&gt;&lt;/li&gt;</v>
      </c>
      <c r="W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3" x14ac:dyDescent="0.3">
      <c r="I51" s="17" t="str">
        <v>&lt;li data-author="Ain Karem"&gt;&lt;a href="canciones/ain_karem/animo_soy_yo.html"&gt;Ánimo, soy yo&lt;/a&gt;&lt;/li&gt;</v>
      </c>
      <c r="M51" s="17" t="str">
        <v>&lt;li data-author="Francisco Palazón"&gt;&lt;a href="canciones/francisco_palazon/para_que_escuchase_el_viento.html"&gt;Para que escuchase el viento&lt;/a&gt;&lt;/li&gt;</v>
      </c>
      <c r="N51" s="17" t="str">
        <v>&lt;li data-author="Hakuna"&gt;&lt;a href="canciones/hakuna/pasion_viii_jerusalen.html"&gt;Pasión VIII Jerusalén&lt;/a&gt;&lt;/li&gt;</v>
      </c>
      <c r="P51" s="17" t="str">
        <v>&lt;li data-author="Ixcís"&gt;&lt;a href="canciones/ixcis/dame_de_beber.html"&gt;Dame de beber&lt;/a&gt;&lt;/li&gt;</v>
      </c>
      <c r="Q51" s="17" t="str">
        <v>&lt;li data-author="Kairoi"&gt;&lt;a href="canciones/kairoi/gracias_madre.html"&gt;Gracias, Madre&lt;/a&gt;&lt;/li&gt;</v>
      </c>
      <c r="R51" s="17" t="str">
        <v>&lt;li data-author="Carmelo Erdozáin" data-nold="154"&gt;&lt;a href="canciones/carmelo_erdozain/las_puertas_de_la_nueva_ciudad.html"&gt;Las puertas de la nueva ciudad&lt;/a&gt;&lt;/li&gt;</v>
      </c>
      <c r="U51" s="17" t="str">
        <v>&lt;li data-author="Ruah"&gt;&lt;a href="canciones/ruah/como_niños.html"&gt;Como niños&lt;/a&gt;&lt;/li&gt;</v>
      </c>
      <c r="V51" s="17" t="str">
        <v>&lt;li data-author="Taizé en español" data-momento="TaizéESP" data-nnew="Q61"&gt;&lt;a href="canciones/taize/magnificat_(canon).html"&gt;Magnificat (canon)&lt;/a&gt;&lt;/li&gt;</v>
      </c>
      <c r="W51" s="17" t="str">
        <v>&lt;li data-author="Taizé original" data-momento="TaizéORIG" data-nnew="Q06"&gt;&lt;a href="canciones/taize/alleluia_17.html"&gt;Alleluia 17&lt;/a&gt;&lt;/li&gt;</v>
      </c>
    </row>
    <row r="52" spans="9:23" x14ac:dyDescent="0.3">
      <c r="I52" s="17" t="str">
        <v>&lt;li data-author="Ain Karem"&gt;&lt;a href="canciones/ain_karem/santo.html"&gt;Santo&lt;/a&gt;&lt;/li&gt;</v>
      </c>
      <c r="M52" s="17" t="str">
        <v>&lt;li data-author="Francisco Palazón"&gt;&lt;a href="canciones/francisco_palazon/camino_a_jerico.html"&gt;Camino a Jericó&lt;/a&gt;&lt;/li&gt;</v>
      </c>
      <c r="N52" s="17" t="str">
        <v>&lt;li data-author="Hakuna"&gt;&lt;a href="canciones/hakuna/pasion_ix_por_que.html"&gt;Pasión IX Por qué&lt;/a&gt;&lt;/li&gt;</v>
      </c>
      <c r="P52" s="17" t="str">
        <v>&lt;li data-author="Ixcís"&gt;&lt;a href="canciones/ixcis/monte_horeb.html"&gt;Monte Horeb&lt;/a&gt;&lt;/li&gt;</v>
      </c>
      <c r="Q52" s="17" t="str">
        <v>&lt;li data-author="Kairoi"&gt;&lt;a href="canciones/kairoi/arcilla_entre_sus_manos.html"&gt;Arcilla entre sus manos&lt;/a&gt;&lt;/li&gt;</v>
      </c>
      <c r="R52" s="17" t="str">
        <v>&lt;li data-author="Carmelo Erdozáin" data-nold="156"&gt;&lt;a href="canciones/carmelo_erdozain/levantate_pueblo_mio.html"&gt;Levántate, pueblo mío&lt;/a&gt;&lt;/li&gt;</v>
      </c>
      <c r="U52" s="17" t="str">
        <v>&lt;li data-author="Ruah"&gt;&lt;a href="canciones/ruah/vivir.html"&gt;Vivir&lt;/a&gt;&lt;/li&gt;</v>
      </c>
      <c r="V52" s="17" t="str">
        <v>&lt;li data-author="Taizé en español" data-momento="TaizéESP" data-nnew="Q01"&gt;&lt;a href="canciones/taize/aber_du_weisst_den_weg_für_mich.html"&gt;Mas tú sabes que senda es para mí&lt;/a&gt;&lt;/li&gt;</v>
      </c>
      <c r="W52" s="17" t="str">
        <v>&lt;li data-author="Taizé original" data-momento="TaizéORIG" data-nnew="Q48"&gt;&lt;a href="canciones/taize/jesus_ma_joie.html"&gt;Jésus, ma joie&lt;/a&gt;&lt;/li&gt;</v>
      </c>
    </row>
    <row r="53" spans="9:23" x14ac:dyDescent="0.3">
      <c r="I53" s="17" t="str">
        <v>&lt;li data-author="Ain Karem"&gt;&lt;a href="canciones/ain_karem/la_mujer_del_perfume.html"&gt;La mujer del perfume&lt;/a&gt;&lt;/li&gt;</v>
      </c>
      <c r="M53" s="17" t="str">
        <v>&lt;li data-author="Francisco Palazón"&gt;&lt;a href="canciones/francisco_palazon/trigo_y_cizaña.html"&gt;Trigo y cizaña&lt;/a&gt;&lt;/li&gt;</v>
      </c>
      <c r="N53" s="17" t="str">
        <v>&lt;li data-author="Hakuna"&gt;&lt;a href="canciones/hakuna/pasion_x_despojado.html"&gt;Pasión X Despojado&lt;/a&gt;&lt;/li&gt;</v>
      </c>
      <c r="P53" s="17" t="str">
        <v>&lt;li data-author="Ixcís"&gt;&lt;a href="canciones/ixcis/mi_dios_en_una_cruz.html"&gt;Mi Dios en una Cruz&lt;/a&gt;&lt;/li&gt;</v>
      </c>
      <c r="Q53" s="17" t="str">
        <v>&lt;li data-author="Kairoi"&gt;&lt;a href="canciones/kairoi/tu_eres_del_señor.html"&gt;Tú eres del Señor&lt;/a&gt;&lt;/li&gt;</v>
      </c>
      <c r="R53" s="17" t="str">
        <v>&lt;li data-author="Carmelo Erdozáin" data-nold="159"&gt;&lt;a href="canciones/carmelo_erdozain/llego_la_noche.html"&gt;Llegó la noche&lt;/a&gt;&lt;/li&gt;</v>
      </c>
      <c r="V53" s="17" t="str">
        <v>&lt;li data-author="Taizé en español" data-momento="TaizéESP" data-nnew="Q43"&gt;&lt;a href="canciones/taize/iedere_nacht_verlang_ik.html"&gt;Mi corazón te anhela&lt;/a&gt;&lt;/li&gt;</v>
      </c>
      <c r="W53" s="17" t="str">
        <v>&lt;li data-author="Taizé original" data-momento="TaizéORIG" data-nnew="Q54"&gt;&lt;a href="canciones/taize/kyrie_6.html"&gt;Kyrie 6&lt;/a&gt;&lt;/li&gt;</v>
      </c>
    </row>
    <row r="54" spans="9:23" x14ac:dyDescent="0.3">
      <c r="I54" s="17" t="str">
        <v>&lt;li data-author="Ain Karem"&gt;&lt;a href="canciones/ain_karem/para_estar_contigo.html"&gt;Para estar contigo&lt;/a&gt;&lt;/li&gt;</v>
      </c>
      <c r="M54" s="17" t="str">
        <v>&lt;li data-author="Francisco Palazón"&gt;&lt;a href="canciones/francisco_palazon/administradores_del_amor.html"&gt;Administradores del amor&lt;/a&gt;&lt;/li&gt;</v>
      </c>
      <c r="N54" s="17" t="str">
        <v>&lt;li data-author="Hakuna"&gt;&lt;a href="canciones/hakuna/pasion_xi_la_medida_del_amor.html"&gt;Pasión XI La medida del amor&lt;/a&gt;&lt;/li&gt;</v>
      </c>
      <c r="P54" s="17" t="str">
        <v>&lt;li data-author="Ixcís"&gt;&lt;a href="canciones/ixcis/sueños_de_dios.html"&gt;Sueños de Dios&lt;/a&gt;&lt;/li&gt;</v>
      </c>
      <c r="Q54" s="17" t="str">
        <v>&lt;li data-author="Kairoi"&gt;&lt;a href="canciones/kairoi/tu_eres_maria.html"&gt;Tú eres María&lt;/a&gt;&lt;/li&gt;</v>
      </c>
      <c r="R54" s="17" t="str">
        <v>&lt;li data-author="Carmelo Erdozáin" data-nold="179"&gt;&lt;a href="canciones/carmelo_erdozain/nochebuena_nochebuena.html"&gt;Nochebuena, nochebuena&lt;/a&gt;&lt;/li&gt;</v>
      </c>
      <c r="V54" s="17" t="str">
        <v>&lt;li data-author="Taizé en español" data-momento="TaizéESP" data-nnew="Q39"&gt;&lt;a href="canciones/taize/esprit_consolateur.html"&gt;Oh, Dios consolador&lt;/a&gt;&lt;/li&gt;</v>
      </c>
      <c r="W54" s="17" t="str">
        <v>&lt;li data-author="Taizé original" data-momento="TaizéORIG" data-nnew="Q63" data-nold="173"&gt;&lt;a href="canciones/taize/nada_te_turbe.html"&gt;Nada te turbe&lt;/a&gt;&lt;/li&gt;</v>
      </c>
    </row>
    <row r="55" spans="9:23" x14ac:dyDescent="0.3">
      <c r="I55" s="17" t="str">
        <v>&lt;li data-author="Ain Karem"&gt;&lt;a href="canciones/ain_karem/samaritano.html"&gt;Samaritano&lt;/a&gt;&lt;/li&gt;</v>
      </c>
      <c r="M55" s="17" t="str">
        <v>&lt;li data-author="Francisco Palazón"&gt;&lt;a href="canciones/francisco_palazon/la_oveja_negra.html"&gt;La oveja negra&lt;/a&gt;&lt;/li&gt;</v>
      </c>
      <c r="N55" s="17" t="str">
        <v>&lt;li data-author="Hakuna"&gt;&lt;a href="canciones/hakuna/pasion_xiii_madre.html"&gt;Pasión XIII Madre&lt;/a&gt;&lt;/li&gt;</v>
      </c>
      <c r="P55" s="17" t="str">
        <v>&lt;li data-author="Ixcís"&gt;&lt;a href="canciones/ixcis/adonde_acudire.html"&gt;Adónde acudiré&lt;/a&gt;&lt;/li&gt;</v>
      </c>
      <c r="Q55" s="17" t="str">
        <v>&lt;li data-author="Kairoi"&gt;&lt;a href="canciones/kairoi/pregon_pascual_(aleluya).html"&gt;Pregón Pascual (Aleluya)&lt;/a&gt;&lt;/li&gt;</v>
      </c>
      <c r="R55" s="17" t="str">
        <v>&lt;li data-author="Carmelo Erdozáin" data-momento="Antífonas" data-nnew="D30" data-nold="189"&gt;&lt;a href="canciones/carmelo_erdozain/oh_mi_dios_crea_en_mi.html"&gt;Oh, mi Dios, crea en mí&lt;/a&gt;&lt;/li&gt;</v>
      </c>
      <c r="V55" s="17" t="str">
        <v>&lt;li data-author="Taizé en español" data-momento="TaizéESP" data-nnew="Q31"&gt;&lt;a href="canciones/taize/deus_deus_meus_(canon).html"&gt;Oh, Dios, tú, Dios mío (canon)&lt;/a&gt;&lt;/li&gt;</v>
      </c>
      <c r="W55" s="17" t="str">
        <v>&lt;li data-author="Taizé original" data-momento="TaizéORIG" data-nnew="Q34"&gt;&lt;a href="canciones/taize/dona_la_pace.html"&gt;Dona la pace&lt;/a&gt;&lt;/li&gt;</v>
      </c>
    </row>
    <row r="56" spans="9:23" x14ac:dyDescent="0.3">
      <c r="I56" s="17" t="str">
        <v>&lt;li data-author="Ain Karem"&gt;&lt;a href="canciones/ain_karem/no_hay_fronteras.html"&gt;No hay fronteras&lt;/a&gt;&lt;/li&gt;</v>
      </c>
      <c r="M56" s="17" t="str">
        <v>&lt;li data-author="Francisco Palazón"&gt;&lt;a href="canciones/francisco_palazon/noche_y_dia_en_altamar.html"&gt;Noche y día en altamar&lt;/a&gt;&lt;/li&gt;</v>
      </c>
      <c r="N56" s="17" t="str">
        <v>&lt;li data-author="Hakuna"&gt;&lt;a href="canciones/hakuna/pasion_xiv_donde_estas_tu.html"&gt;Pasión XIV Donde estás tú&lt;/a&gt;&lt;/li&gt;</v>
      </c>
      <c r="P56" s="17" t="str">
        <v>&lt;li data-author="Ixcís"&gt;&lt;a href="canciones/ixcis/gracias_señor.html"&gt;Gracias, Señor&lt;/a&gt;&lt;/li&gt;</v>
      </c>
      <c r="Q56" s="17" t="str">
        <v>&lt;li data-author="Kairoi"&gt;&lt;a href="canciones/kairoi/nacidos_de_mujer.html"&gt;Nacidos de mujer&lt;/a&gt;&lt;/li&gt;</v>
      </c>
      <c r="R56" s="17" t="str">
        <v>&lt;li data-author="Carmelo Erdozáin" data-nold="184"&gt;&lt;a href="canciones/carmelo_erdozain/oi_tu_voz.html"&gt;Oí tu voz&lt;/a&gt;&lt;/li&gt;</v>
      </c>
      <c r="V56" s="17" t="str">
        <v>&lt;li data-author="Taizé en español" data-momento="TaizéESP" data-nnew="Q45"&gt;&lt;a href="canciones/taize/in_manus_tuas.html"&gt;Oh, Padre, entre tus manos&lt;/a&gt;&lt;/li&gt;</v>
      </c>
      <c r="W56" s="17" t="str">
        <v>&lt;li data-author="Taizé original" data-momento="TaizéORIG" data-nnew="Q14"&gt;&lt;a href="canciones/taize/bleibet_hier.html"&gt;Bleibet hier&lt;/a&gt;&lt;/li&gt;</v>
      </c>
    </row>
    <row r="57" spans="9:23" x14ac:dyDescent="0.3">
      <c r="I57" s="17" t="str">
        <v>&lt;li data-author="Ain Karem"&gt;&lt;a href="canciones/ain_karem/descalzate.html"&gt;Descálzate&lt;/a&gt;&lt;/li&gt;</v>
      </c>
      <c r="M57" s="17" t="str">
        <v>&lt;li data-author="Francisco Palazón"&gt;&lt;a href="canciones/francisco_palazon/un_hombre_una_tierra.html"&gt;Un hombre, una tierra&lt;/a&gt;&lt;/li&gt;</v>
      </c>
      <c r="N57" s="17" t="str">
        <v>&lt;li data-author="Hakuna"&gt;&lt;a href="canciones/hakuna/pasion_xv_soy_libre.html"&gt;Pasión XV Soy libre&lt;/a&gt;&lt;/li&gt;</v>
      </c>
      <c r="P57" s="17" t="str">
        <v>&lt;li data-author="Ixcís"&gt;&lt;a href="canciones/ixcis/gentes_con_derecho.html"&gt;Gentes con derecho&lt;/a&gt;&lt;/li&gt;</v>
      </c>
      <c r="Q57" s="17" t="str">
        <v>&lt;li data-author="Kairoi"&gt;&lt;a href="canciones/kairoi/haced_lo_que_el_os_diga.html"&gt;Haced lo que Él os diga&lt;/a&gt;&lt;/li&gt;</v>
      </c>
      <c r="R57" s="17" t="str">
        <v>&lt;li data-author="Carmelo Erdozáin" data-momento="Padrenuestro" data-nnew="H02"&gt;&lt;a href="canciones/carmelo_erdozain/padre_nuestro_(erdozain).html"&gt;Padre nuestro (Erdozáin)&lt;/a&gt;&lt;/li&gt;</v>
      </c>
      <c r="V57" s="17" t="str">
        <v>&lt;li data-author="Taizé en español" data-momento="TaizéESP" data-nnew="Q65"&gt;&lt;a href="canciones/taize/para_mim_ser_feliz.html"&gt;Para mí ser feliz&lt;/a&gt;&lt;/li&gt;</v>
      </c>
      <c r="W57" s="17" t="str">
        <v>&lt;li data-author="Taizé original" data-momento="TaizéORIG" data-nnew="Q72"&gt;&lt;a href="canciones/taize/surrexit_christus.html"&gt;Surrexit Christus&lt;/a&gt;&lt;/li&gt;</v>
      </c>
    </row>
    <row r="58" spans="9:23" x14ac:dyDescent="0.3">
      <c r="I58" s="17" t="str">
        <v>&lt;li data-author="Ain Karem"&gt;&lt;a href="canciones/ain_karem/la_vid_verdadera.html"&gt;La vid verdadera&lt;/a&gt;&lt;/li&gt;</v>
      </c>
      <c r="M58" s="17" t="str">
        <v>&lt;li data-author="Francisco Palazón"&gt;&lt;a href="canciones/francisco_palazon/de_par_en_par.html"&gt;De par en par&lt;/a&gt;&lt;/li&gt;</v>
      </c>
      <c r="N58" s="17" t="str">
        <v>&lt;li data-author="Hakuna"&gt;&lt;a href="canciones/hakuna/pasion_xvi_por_mi_por_ti.html"&gt;Pasión XVI Por mí, por ti&lt;/a&gt;&lt;/li&gt;</v>
      </c>
      <c r="P58" s="17" t="str">
        <v>&lt;li data-author="Ixcís"&gt;&lt;a href="canciones/ixcis/oh_señor.html"&gt;Oh, Señor&lt;/a&gt;&lt;/li&gt;</v>
      </c>
      <c r="Q58" s="17" t="str">
        <v>&lt;li data-author="Kairoi"&gt;&lt;a href="canciones/kairoi/en_comunidad.html"&gt;En comunidad&lt;/a&gt;&lt;/li&gt;</v>
      </c>
      <c r="R58" s="17" t="str">
        <v>&lt;li data-author="Carmelo Erdozáin" data-momento="Comunión" data-nnew="K58" data-nold="211"&gt;&lt;a href="canciones/carmelo_erdozain/purificame_señor.html"&gt;Purifícame, Señor&lt;/a&gt;&lt;/li&gt;</v>
      </c>
      <c r="V58" s="17" t="str">
        <v>&lt;li data-author="Taizé en español" data-momento="TaizéESP" data-nnew="Q14"&gt;&lt;a href="canciones/taize/bleibet_hier.html"&gt;Permaneced conmigo&lt;/a&gt;&lt;/li&gt;</v>
      </c>
      <c r="W58" s="17" t="str">
        <v>&lt;li data-author="Taizé original" data-momento="TaizéORIG" data-nold="187"&gt;&lt;a href="canciones/taize/o_christe_domine_jesu.html"&gt;O Christe Domine Jesu&lt;/a&gt;&lt;/li&gt;</v>
      </c>
    </row>
    <row r="59" spans="9:23" x14ac:dyDescent="0.3">
      <c r="I59" s="17" t="str">
        <v>&lt;li data-author="Ain Karem"&gt;&lt;a href="canciones/ain_karem/ven_espiritu_de_dios.html"&gt;Ven, Espíritu de Dios&lt;/a&gt;&lt;/li&gt;</v>
      </c>
      <c r="M59" s="17" t="str">
        <v>&lt;li data-author="Francisco Palazón"&gt;&lt;a href="canciones/francisco_palazon/el_hijo_prodigo.html"&gt;El hijo pródigo&lt;/a&gt;&lt;/li&gt;</v>
      </c>
      <c r="N59" s="17" t="str">
        <v>&lt;li data-author="Hakuna"&gt;&lt;a href="canciones/hakuna/me_sobrepasa.html"&gt;Me sobrepasa&lt;/a&gt;&lt;/li&gt;</v>
      </c>
      <c r="P59" s="17" t="str">
        <v>&lt;li data-author="Ixcís"&gt;&lt;a href="canciones/ixcis/quererse.html"&gt;Quererse&lt;/a&gt;&lt;/li&gt;</v>
      </c>
      <c r="Q59" s="17" t="str">
        <v>&lt;li data-author="Kairoi"&gt;&lt;a href="canciones/kairoi/danos_tu_espiritu.html"&gt;Danos tu espíritu&lt;/a&gt;&lt;/li&gt;</v>
      </c>
      <c r="R59" s="17" t="str">
        <v>&lt;li data-author="Carmelo Erdozáin" data-nold="244"&gt;&lt;a href="canciones/carmelo_erdozain/se_acerca_el_reino_de_dios.html"&gt;Se acerca el reino de Dios&lt;/a&gt;&lt;/li&gt;</v>
      </c>
      <c r="V59" s="17" t="str">
        <v>&lt;li data-author="Taizé en español" data-momento="TaizéESP" data-nnew="Q66"&gt;&lt;a href="canciones/taize/per_crucem.html"&gt;Por tu Cruz&lt;/a&gt;&lt;/li&gt;</v>
      </c>
      <c r="W59" s="17" t="str">
        <v>&lt;li data-author="Taizé original" data-momento="TaizéORIG" data-nnew="Q04"&gt;&lt;a href="canciones/taize/alleluia_7.html"&gt;Alleluia 7&lt;/a&gt;&lt;/li&gt;</v>
      </c>
    </row>
    <row r="60" spans="9:23" x14ac:dyDescent="0.3">
      <c r="I60" s="17" t="str">
        <v>&lt;li data-author="Ain Karem"&gt;&lt;a href="canciones/ain_karem/realidad.html"&gt;Realidad&lt;/a&gt;&lt;/li&gt;</v>
      </c>
      <c r="M60" s="17" t="str">
        <v>&lt;li data-author="Francisco Palazón"&gt;&lt;a href="canciones/francisco_palazon/en_la_plaza_de_un_pueblo.html"&gt;En la plaza de un pueblo&lt;/a&gt;&lt;/li&gt;</v>
      </c>
      <c r="N60" s="17" t="str">
        <v>&lt;li data-author="Hakuna"&gt;&lt;a href="canciones/hakuna/descalzos.html"&gt;Descalzos&lt;/a&gt;&lt;/li&gt;</v>
      </c>
      <c r="P60" s="17" t="str">
        <v>&lt;li data-author="Ixcís"&gt;&lt;a href="canciones/ixcis/encima_del_altar.html"&gt;Encima del altar&lt;/a&gt;&lt;/li&gt;</v>
      </c>
      <c r="Q60" s="17" t="str">
        <v>&lt;li data-author="Kairoi"&gt;&lt;a href="canciones/kairoi/gloria_(por_maria).html"&gt;Gloria (por María)&lt;/a&gt;&lt;/li&gt;</v>
      </c>
      <c r="R60" s="17" t="str">
        <v>&lt;li data-author="Carmelo Erdozáin" data-nold="81b"&gt;&lt;a href="canciones/carmelo_erdozain/tened_encendida_la_lampara.html"&gt;Tened encendida la lámpara&lt;/a&gt;&lt;/li&gt;</v>
      </c>
      <c r="V60" s="17" t="str">
        <v>&lt;li data-author="Taizé en español" data-momento="TaizéESP" data-nnew="Q12"&gt;&lt;a href="canciones/taize/behüte_mich_gott.html"&gt;Protégeme, Dios&lt;/a&gt;&lt;/li&gt;</v>
      </c>
      <c r="W60" s="17" t="str">
        <v>&lt;li data-author="Taizé original" data-momento="TaizéORIG" data-nnew="Q35"&gt;&lt;a href="canciones/taize/dona_nobis_pacem.html"&gt;Dona nobis pacem&lt;/a&gt;&lt;/li&gt;</v>
      </c>
    </row>
    <row r="61" spans="9:23" x14ac:dyDescent="0.3">
      <c r="I61" s="17" t="str">
        <v>&lt;li data-author="Ain Karem"&gt;&lt;a href="canciones/ain_karem/boga_mar_adentro.html"&gt;Boga mar adentro&lt;/a&gt;&lt;/li&gt;</v>
      </c>
      <c r="M61" s="17" t="str">
        <v>&lt;li data-author="Francisco Palazón"&gt;&lt;a href="canciones/francisco_palazon/fariseo_y_publicano.html"&gt;Fariseo y publicano&lt;/a&gt;&lt;/li&gt;</v>
      </c>
      <c r="N61" s="17" t="str">
        <v>&lt;li data-author="Hakuna"&gt;&lt;a href="canciones/hakuna/un_segundo.html"&gt;Un segundo&lt;/a&gt;&lt;/li&gt;</v>
      </c>
      <c r="P61" s="17" t="str">
        <v>&lt;li data-author="Ixcís"&gt;&lt;a href="canciones/ixcis/cosas_pequeñas.html"&gt;Cosas pequeñas&lt;/a&gt;&lt;/li&gt;</v>
      </c>
      <c r="Q61" s="17" t="str">
        <v>&lt;li data-author="Kairoi"&gt;&lt;a href="canciones/kairoi/pequeño_corazon.html"&gt;Pequeño corazón&lt;/a&gt;&lt;/li&gt;</v>
      </c>
      <c r="R61" s="17" t="str">
        <v>&lt;li data-author="Carmelo Erdozáin" data-momento="Entrada" data-nnew="A36" data-nold="284"&gt;&lt;a href="canciones/carmelo_erdozain/vamos_a_preparar.html"&gt;Vamos a preparar&lt;/a&gt;&lt;/li&gt;</v>
      </c>
      <c r="V61" s="17" t="str">
        <v>&lt;li data-author="Taizé en español" data-momento="TaizéESP" data-nnew="Q58"&gt;&lt;a href="canciones/taize/laudate_dominum.html"&gt;Que alabe al Señor&lt;/a&gt;&lt;/li&gt;</v>
      </c>
      <c r="W61" s="17" t="str">
        <v>&lt;li data-author="Taizé original" data-momento="TaizéORIG" data-nnew="Q67"&gt;&lt;a href="canciones/taize/psallite_deo.html"&gt;Psallite Deo&lt;/a&gt;&lt;/li&gt;</v>
      </c>
    </row>
    <row r="62" spans="9:23" x14ac:dyDescent="0.3">
      <c r="I62" s="17" t="str">
        <v>&lt;li data-author="Ain Karem"&gt;&lt;a href="canciones/ain_karem/no_tengas_miedo.html"&gt;No tengas miedo&lt;/a&gt;&lt;/li&gt;</v>
      </c>
      <c r="M62" s="17" t="str">
        <v>&lt;li data-author="Francisco Palazón"&gt;&lt;a href="canciones/francisco_palazon/de_cosas_sencillas.html"&gt;De cosas sencillas&lt;/a&gt;&lt;/li&gt;</v>
      </c>
      <c r="N62" s="17" t="str">
        <v>&lt;li data-author="Hakuna"&gt;&lt;a href="canciones/hakuna/todo.html"&gt;Todo&lt;/a&gt;&lt;/li&gt;</v>
      </c>
      <c r="P62" s="17" t="str">
        <v>&lt;li data-author="Ixcís"&gt;&lt;a href="canciones/ixcis/beber_los_vientos.html"&gt;Beber los vientos&lt;/a&gt;&lt;/li&gt;</v>
      </c>
      <c r="Q62" s="17" t="str">
        <v>&lt;li data-author="Kairoi"&gt;&lt;a href="canciones/kairoi/credo.html"&gt;Credo&lt;/a&gt;&lt;/li&gt;</v>
      </c>
      <c r="R62" s="17" t="str">
        <v>&lt;li data-author="Carmelo Erdozáin" data-nold="290"&gt;&lt;a href="canciones/carmelo_erdozain/ven_espiritu_santo.html"&gt;Ven, Espíritu Santo&lt;/a&gt;&lt;/li&gt;</v>
      </c>
      <c r="V62" s="17" t="str">
        <v>&lt;li data-author="Taizé en español" data-momento="TaizéESP" data-nnew="Q19"&gt;&lt;a href="canciones/taize/bonum_est_confidere.html"&gt;Qué bueno es confiar en ti&lt;/a&gt;&lt;/li&gt;</v>
      </c>
      <c r="W62" s="17" t="str">
        <v>&lt;li data-author="Taizé original" data-momento="TaizéORIG" data-nnew="Q32"&gt;&lt;a href="canciones/taize/dieu_ne_peut_que_donner.html"&gt;Dieu ne peut que donner&lt;/a&gt;&lt;/li&gt;</v>
      </c>
    </row>
    <row r="63" spans="9:23" x14ac:dyDescent="0.3">
      <c r="I63" s="17" t="str">
        <v>&lt;li data-author="Ain Karem"&gt;&lt;a href="canciones/ain_karem/magnificat.html"&gt;Magnificat&lt;/a&gt;&lt;/li&gt;</v>
      </c>
      <c r="M63" s="17" t="str">
        <v>&lt;li data-author="Francisco Palazón"&gt;&lt;a href="canciones/francisco_palazon/y_ciegos_son_los_hombres.html"&gt;Y ciegos son los hombres&lt;/a&gt;&lt;/li&gt;</v>
      </c>
      <c r="N63" s="17" t="str">
        <v>&lt;li data-author="Hakuna"&gt;&lt;a href="canciones/hakuna/el_cielo_aguarda.html"&gt;El cielo aguarda&lt;/a&gt;&lt;/li&gt;</v>
      </c>
      <c r="P63" s="17" t="str">
        <v>&lt;li data-author="Ixcís"&gt;&lt;a href="canciones/ixcis/ven_y_sigueme.html"&gt;Ven y sígueme&lt;/a&gt;&lt;/li&gt;</v>
      </c>
      <c r="Q63" s="17" t="str">
        <v>&lt;li data-author="Kairoi"&gt;&lt;a href="canciones/kairoi/creo_en_ti.html"&gt;Creo en ti&lt;/a&gt;&lt;/li&gt;</v>
      </c>
      <c r="R63" s="17" t="str">
        <v>&lt;li data-author="Carmelo Erdozáin" data-momento="Entrada" data-nnew="A41" data-nold="283"&gt;&lt;a href="canciones/carmelo_erdozain/ven_salvador.html"&gt;Ven, Salvador&lt;/a&gt;&lt;/li&gt;</v>
      </c>
      <c r="V63" s="17" t="str">
        <v>&lt;li data-author="Taizé en español" data-momento="TaizéESP" data-nnew="Q59"&gt;&lt;a href="canciones/taize/laudate_omnes_gentes.html"&gt;Que todo el mundo alabe&lt;/a&gt;&lt;/li&gt;</v>
      </c>
      <c r="W63" s="17" t="str">
        <v>&lt;li data-author="Taizé original" data-momento="TaizéORIG" data-nnew="Q26"&gt;&lt;a href="canciones/taize/da_pacem_cordium_(canon).html"&gt;Da pacem cordium (canon)&lt;/a&gt;&lt;/li&gt;</v>
      </c>
    </row>
    <row r="64" spans="9:23" x14ac:dyDescent="0.3">
      <c r="I64" s="17" t="str">
        <v>&lt;li data-author="Ain Karem"&gt;&lt;a href="canciones/ain_karem/ardo_en_celo.html"&gt;Ardo en celo&lt;/a&gt;&lt;/li&gt;</v>
      </c>
      <c r="M64" s="17" t="str">
        <v>&lt;li data-author="Francisco Palazón"&gt;&lt;a href="canciones/francisco_palazon/en_la_viña_del_señor.html"&gt;En la viña del Señor&lt;/a&gt;&lt;/li&gt;</v>
      </c>
      <c r="N64" s="17" t="str">
        <v>&lt;li data-author="Hakuna"&gt;&lt;a href="canciones/hakuna/mirada.html"&gt;Mirada&lt;/a&gt;&lt;/li&gt;</v>
      </c>
      <c r="P64" s="17" t="str">
        <v>&lt;li data-author="Ixcís"&gt;&lt;a href="canciones/ixcis/dios_provee.html"&gt;Dios provee&lt;/a&gt;&lt;/li&gt;</v>
      </c>
      <c r="Q64" s="17" t="str">
        <v>&lt;li data-author="Kairoi"&gt;&lt;a href="canciones/kairoi/a_las_tres_de_la_tarde.html"&gt;A las tres de la tarde&lt;/a&gt;&lt;/li&gt;</v>
      </c>
      <c r="R64" s="17" t="str">
        <v>&lt;li data-author="Carmelo Erdozáin" data-nold="296"&gt;&lt;a href="canciones/carmelo_erdozain/yo_estare_con_vosotros.html"&gt;Yo estaré con vosotros&lt;/a&gt;&lt;/li&gt;</v>
      </c>
      <c r="V64" s="17" t="str">
        <v>&lt;li data-author="Taizé en español" data-momento="TaizéESP" data-nnew="Q60"&gt;&lt;a href="canciones/taize/let_all_who_are_thirsty_come.html"&gt;Que venga a ti&lt;/a&gt;&lt;/li&gt;</v>
      </c>
      <c r="W64" s="17" t="str">
        <v>&lt;li data-author="Taizé original" data-momento="TaizéORIG" data-nnew="Q77"&gt;&lt;a href="canciones/taize/tui_amoris.html"&gt;Tui amoris&lt;/a&gt;&lt;/li&gt;</v>
      </c>
    </row>
    <row r="65" spans="9:23" x14ac:dyDescent="0.3">
      <c r="I65" s="17" t="str">
        <v>&lt;li data-author="Ain Karem"&gt;&lt;a href="canciones/ain_karem/el_amor_no_dice_basta.html"&gt;El amor no dice basta&lt;/a&gt;&lt;/li&gt;</v>
      </c>
      <c r="M65" s="17" t="str">
        <v>&lt;li data-author="Francisco Palazón"&gt;&lt;a href="canciones/francisco_palazon/invitacion.html"&gt;Invitación&lt;/a&gt;&lt;/li&gt;</v>
      </c>
      <c r="N65" s="17" t="str">
        <v>&lt;li data-author="Hakuna"&gt;&lt;a href="canciones/hakuna/pringados.html"&gt;Pringados&lt;/a&gt;&lt;/li&gt;</v>
      </c>
      <c r="P65" s="17" t="str">
        <v>&lt;li data-author="Ixcís"&gt;&lt;a href="canciones/ixcis/me_desbordas.html"&gt;Me desbordas&lt;/a&gt;&lt;/li&gt;</v>
      </c>
      <c r="Q65" s="17" t="str">
        <v>&lt;li data-author="Kairoi"&gt;&lt;a href="canciones/kairoi/vino_nuevo.html"&gt;Vino nuevo&lt;/a&gt;&lt;/li&gt;</v>
      </c>
      <c r="R65" s="17" t="str">
        <v>&lt;li data-author="Cesáreo Gabarain" data-nold="105"&gt;&lt;a href="canciones/cesareo_gabarain/enseñame_señor_tus_caminos.html"&gt;Enséñame, Señor, tus caminos&lt;/a&gt;&lt;/li&gt;</v>
      </c>
      <c r="V65" s="17" t="str">
        <v>&lt;li data-author="Taizé en español" data-momento="TaizéESP" data-nnew="Q71"&gt;&lt;a href="canciones/taize/staňte_se_soli.html"&gt;Sé sal que sala&lt;/a&gt;&lt;/li&gt;</v>
      </c>
      <c r="W65" s="17" t="str">
        <v>&lt;li data-author="Taizé original" data-momento="TaizéORIG" data-nnew="Q27"&gt;&lt;a href="canciones/taize/da_pacem..._in_diebus.html"&gt;Da pacem... in diebus&lt;/a&gt;&lt;/li&gt;</v>
      </c>
    </row>
    <row r="66" spans="9:23" x14ac:dyDescent="0.3">
      <c r="I66" s="17" t="str">
        <v>&lt;li data-author="Ain Karem"&gt;&lt;a href="canciones/ain_karem/rut_y_noemi.html"&gt;Rut y Noemí&lt;/a&gt;&lt;/li&gt;</v>
      </c>
      <c r="M66" s="17" t="str">
        <v>&lt;li data-author="Francisco Palazón"&gt;&lt;a href="canciones/francisco_palazon/dos_señores.html"&gt;Dos señores&lt;/a&gt;&lt;/li&gt;</v>
      </c>
      <c r="N66" s="17" t="str">
        <v>&lt;li data-author="Hakuna"&gt;&lt;a href="canciones/hakuna/noche.html"&gt;Noche&lt;/a&gt;&lt;/li&gt;</v>
      </c>
      <c r="P66" s="17" t="str">
        <v>&lt;li data-author="Ixcís"&gt;&lt;a href="canciones/ixcis/el_que_se_ensalza.html"&gt;El que se ensalza&lt;/a&gt;&lt;/li&gt;</v>
      </c>
      <c r="Q66" s="17" t="str">
        <v>&lt;li data-author="Kairoi"&gt;&lt;a href="canciones/kairoi/te_seguire.html"&gt;Te seguiré&lt;/a&gt;&lt;/li&gt;</v>
      </c>
      <c r="R66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V66" s="17" t="str">
        <v>&lt;li data-author="Taizé en español" data-momento="TaizéESP" data-nnew="Q02"&gt;&lt;a href="canciones/taize/adoramus_te_o_christe.html"&gt;Te adoramos&lt;/a&gt;&lt;/li&gt;</v>
      </c>
      <c r="W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3" x14ac:dyDescent="0.3">
      <c r="I67" s="17" t="str">
        <v>&lt;li data-author="Ain Karem"&gt;&lt;a href="canciones/ain_karem/ven_espiritu.html"&gt;Ven, Espíritu&lt;/a&gt;&lt;/li&gt;</v>
      </c>
      <c r="M67" s="17" t="str">
        <v>&lt;li data-author="Francisco Palazón"&gt;&lt;a href="canciones/francisco_palazon/buen_pastor.html"&gt;Buen pastor&lt;/a&gt;&lt;/li&gt;</v>
      </c>
      <c r="N67" s="17" t="str">
        <v>&lt;li data-author="Hakuna"&gt;&lt;a href="canciones/hakuna/comunion_espiritual.html"&gt;Comunión espiritual&lt;/a&gt;&lt;/li&gt;</v>
      </c>
      <c r="P67" s="17" t="str">
        <v>&lt;li data-author="Ixcís"&gt;&lt;a href="canciones/ixcis/mis_señores_y_mis_amos.html"&gt;Mis señores y mis amos&lt;/a&gt;&lt;/li&gt;</v>
      </c>
      <c r="Q67" s="17" t="str">
        <v>&lt;li data-author="Kairoi"&gt;&lt;a href="canciones/kairoi/un_solo_corazon.html"&gt;Un solo corazón&lt;/a&gt;&lt;/li&gt;</v>
      </c>
      <c r="R67" s="17" t="str">
        <v>&lt;li data-author="Cesáreo Gabarain" data-nold="133"&gt;&lt;a href="canciones/cesareo_gabarain/haz_señor.html"&gt;Haz, Señor&lt;/a&gt;&lt;/li&gt;</v>
      </c>
      <c r="V67" s="17" t="str">
        <v>&lt;li data-author="Taizé en español" data-momento="TaizéESP" data-nnew="Q53"&gt;&lt;a href="canciones/taize/kyrie_1.html"&gt;Ten piedad, Señor 1&lt;/a&gt;&lt;/li&gt;</v>
      </c>
      <c r="W67" s="17" t="str">
        <v>&lt;li data-author="Taizé original" data-momento="TaizéORIG" data-nnew="Q25"&gt;&lt;a href="canciones/taize/crucem_tuam.html"&gt;Crucem tuam&lt;/a&gt;&lt;/li&gt;</v>
      </c>
    </row>
    <row r="68" spans="9:23" x14ac:dyDescent="0.3">
      <c r="I68" s="17" t="str">
        <v>&lt;li data-author="Ain Karem"&gt;&lt;a href="canciones/ain_karem/maria_magdalena.html"&gt;María Magdalena&lt;/a&gt;&lt;/li&gt;</v>
      </c>
      <c r="M68" s="17" t="str">
        <v>&lt;li data-author="Francisco Palazón"&gt;&lt;a href="canciones/francisco_palazon/el_pobre_lazaro.html"&gt;El pobre Lázaro&lt;/a&gt;&lt;/li&gt;</v>
      </c>
      <c r="N68" s="17" t="str">
        <v>&lt;li data-author="Hakuna"&gt;&lt;a href="canciones/hakuna/sencillamente.html"&gt;Sencillamente&lt;/a&gt;&lt;/li&gt;</v>
      </c>
      <c r="P68" s="17" t="str">
        <v>&lt;li data-author="Ixcís"&gt;&lt;a href="canciones/ixcis/enseñame_el_camino.html"&gt;Enséñame el camino&lt;/a&gt;&lt;/li&gt;</v>
      </c>
      <c r="Q68" s="17" t="str">
        <v>&lt;li data-author="Kairoi"&gt;&lt;a href="canciones/kairoi/cristo_señor.html"&gt;Cristo Señor&lt;/a&gt;&lt;/li&gt;</v>
      </c>
      <c r="R68" s="17" t="str">
        <v>&lt;li data-author="Cesáreo Gabarain" data-momento="Comunión" data-nnew="K04" data-nold="19"&gt;&lt;a href="canciones/cesareo_gabarain/al_atardecer_de_la_vida.html"&gt;Al atardecer de la vida&lt;/a&gt;&lt;/li&gt;</v>
      </c>
      <c r="V68" s="17" t="str">
        <v>&lt;li data-author="Taizé en español" data-momento="TaizéESP" data-nnew="Q56"&gt;&lt;a href="canciones/taize/kyrie_20.html"&gt;Ten piedad, Señor 20&lt;/a&gt;&lt;/li&gt;</v>
      </c>
      <c r="W68" s="17" t="str">
        <v>&lt;li data-author="Taizé original" data-momento="TaizéORIG" data-nnew="Q70"&gt;&lt;a href="canciones/taize/spiritus_jesu_christi.html"&gt;Spiritus Jesu Christi&lt;/a&gt;&lt;/li&gt;</v>
      </c>
    </row>
    <row r="69" spans="9:23" x14ac:dyDescent="0.3">
      <c r="I69" s="17" t="str">
        <v>&lt;li data-author="Ain Karem"&gt;&lt;a href="canciones/ain_karem/de_todo_corazon.html"&gt;De todo corazón&lt;/a&gt;&lt;/li&gt;</v>
      </c>
      <c r="M69" s="17" t="str">
        <v>&lt;li data-author="Francisco Palazón"&gt;&lt;a href="canciones/francisco_palazon/despues_de_la_medianoche.html"&gt;Después de la medianoche&lt;/a&gt;&lt;/li&gt;</v>
      </c>
      <c r="N69" s="17" t="str">
        <v>&lt;li data-author="Hakuna"&gt;&lt;a href="canciones/hakuna/ocupate_tu_de_todo.html"&gt;Ocúpate Tú de todo&lt;/a&gt;&lt;/li&gt;</v>
      </c>
      <c r="P69" s="17" t="str">
        <v>&lt;li data-author="Ixcís"&gt;&lt;a href="canciones/ixcis/padrenuestro_i.html"&gt;Padrenuestro I&lt;/a&gt;&lt;/li&gt;</v>
      </c>
      <c r="Q69" s="17" t="str">
        <v>&lt;li data-author="Kairoi"&gt;&lt;a href="canciones/kairoi/tu_seras_mi_hermano.html"&gt;Tú serás mi hermano&lt;/a&gt;&lt;/li&gt;</v>
      </c>
      <c r="R69" s="17" t="str">
        <v>&lt;li data-author="Cesáreo Gabarain" data-momento="Aleluya" data-nnew="E01" data-nold="20"&gt;&lt;a href="canciones/cesareo_gabarain/alelu-aleluya.html"&gt;Alelu-aleluya&lt;/a&gt;&lt;/li&gt;</v>
      </c>
      <c r="V69" s="17" t="str">
        <v>&lt;li data-author="Taizé en español" data-momento="TaizéESP" data-nnew="Q54"&gt;&lt;a href="canciones/taize/kyrie_6.html"&gt;Ten piedad, Señor 6&lt;/a&gt;&lt;/li&gt;</v>
      </c>
      <c r="W69" s="17" t="str">
        <v>&lt;li data-author="Taizé original" data-momento="TaizéORIG" data-nnew="Q52"&gt;&lt;a href="canciones/taize/jubilate_coeli_(canon).html"&gt;Jubilate coeli (canon)&lt;/a&gt;&lt;/li&gt;</v>
      </c>
    </row>
    <row r="70" spans="9:23" x14ac:dyDescent="0.3">
      <c r="I70" s="17" t="str">
        <v>&lt;li data-author="Ain Karem"&gt;&lt;a href="canciones/ain_karem/canto_de_ana.html"&gt;Canto de Ana&lt;/a&gt;&lt;/li&gt;</v>
      </c>
      <c r="M70" s="17" t="str">
        <v>&lt;li data-author="Francisco Palazón"&gt;&lt;a href="canciones/francisco_palazon/tuyo_es_el_reino.html"&gt;Tuyo es el reino&lt;/a&gt;&lt;/li&gt;</v>
      </c>
      <c r="N70" s="17" t="str">
        <v>&lt;li data-author="Hakuna"&gt;&lt;a href="canciones/hakuna/la_piel_por_ti.html"&gt;La piel por Ti&lt;/a&gt;&lt;/li&gt;</v>
      </c>
      <c r="P70" s="17" t="str">
        <v>&lt;li data-author="Ixcís"&gt;&lt;a href="canciones/ixcis/adorare.html"&gt;Adoraré&lt;/a&gt;&lt;/li&gt;</v>
      </c>
      <c r="Q70" s="17" t="str">
        <v>&lt;li data-author="Kairoi"&gt;&lt;a href="canciones/kairoi/cristo.html"&gt;Cristo&lt;/a&gt;&lt;/li&gt;</v>
      </c>
      <c r="R70" s="17" t="str">
        <v>&lt;li data-author="Cesáreo Gabarain" data-momento="Aleluya" data-nnew="E06"&gt;&lt;a href="canciones/cesareo_gabarain/aleluya_creo_en_ti_señor.html"&gt;Aleluya, creo en Ti, Señor&lt;/a&gt;&lt;/li&gt;</v>
      </c>
      <c r="V70" s="17" t="str">
        <v>&lt;li data-author="Taizé en español" data-momento="TaizéESP" data-nnew="Q55"&gt;&lt;a href="canciones/taize/kyrie_8.html"&gt;Ten piedad, Señor 8&lt;/a&gt;&lt;/li&gt;</v>
      </c>
      <c r="W70" s="17" t="str">
        <v>&lt;li data-author="Taizé original" data-momento="TaizéORIG" data-nnew="Q37"&gt;&lt;a href="canciones/taize/el_alma_que_anda_en_amor.html"&gt;El alma que anda en amor&lt;/a&gt;&lt;/li&gt;</v>
      </c>
    </row>
    <row r="71" spans="9:23" x14ac:dyDescent="0.3">
      <c r="I71" s="17" t="str">
        <v>&lt;li data-author="Ain Karem"&gt;&lt;a href="canciones/ain_karem/seguirte.html"&gt;Seguirte&lt;/a&gt;&lt;/li&gt;</v>
      </c>
      <c r="M71" s="17" t="str">
        <v>&lt;li data-author="Francisco Palazón"&gt;&lt;a href="canciones/francisco_palazon/bendice_alma_mia_al_señor.html"&gt;Bendice, alma mía, al Señor&lt;/a&gt;&lt;/li&gt;</v>
      </c>
      <c r="N71" s="17" t="str">
        <v>&lt;li data-author="Hakuna"&gt;&lt;a href="canciones/hakuna/el_abrazo.html"&gt;El abrazo&lt;/a&gt;&lt;/li&gt;</v>
      </c>
      <c r="P71" s="17" t="str">
        <v>&lt;li data-author="Ixcís"&gt;&lt;a href="canciones/ixcis/me_llamais.html"&gt;Me llamáis&lt;/a&gt;&lt;/li&gt;</v>
      </c>
      <c r="Q71" s="17" t="str">
        <v>&lt;li data-author="Kairoi"&gt;&lt;a href="canciones/kairoi/alli_estas_tu.html"&gt;Allí estás tú&lt;/a&gt;&lt;/li&gt;</v>
      </c>
      <c r="R71" s="17" t="str">
        <v>&lt;li data-author="Cesáreo Gabarain" data-momento="Entrada" data-nnew="A10" data-nold="38"&gt;&lt;a href="canciones/cesareo_gabarain/caminando_voy.html"&gt;Caminando voy&lt;/a&gt;&lt;/li&gt;</v>
      </c>
      <c r="V71" s="17" t="str">
        <v>&lt;li data-author="Taizé en español" data-momento="TaizéESP" data-nnew="Q17"&gt;&lt;a href="canciones/taize/bless_the_lord.html"&gt;Tengo sed de ti&lt;/a&gt;&lt;/li&gt;</v>
      </c>
      <c r="W71" s="17" t="str">
        <v>&lt;li data-author="Taizé original" data-momento="TaizéORIG" data-nnew="Q74"&gt;&lt;a href="canciones/taize/the_kingdom_of_god.html"&gt;The kingdom of God&lt;/a&gt;&lt;/li&gt;</v>
      </c>
    </row>
    <row r="72" spans="9:23" x14ac:dyDescent="0.3">
      <c r="I72" s="17" t="str">
        <v>&lt;li data-author="Ain Karem"&gt;&lt;a href="canciones/ain_karem/pueblo_suyo.html"&gt;Pueblo Suyo&lt;/a&gt;&lt;/li&gt;</v>
      </c>
      <c r="M72" s="17" t="str">
        <v>&lt;li data-author="Francisco Palazón"&gt;&lt;a href="canciones/francisco_palazon/alegrate_y_goza_jerusalen.html"&gt;Alégrate y goza, Jerusalén&lt;/a&gt;&lt;/li&gt;</v>
      </c>
      <c r="N72" s="17" t="str">
        <v>&lt;li data-author="Hakuna"&gt;&lt;a href="canciones/hakuna/en_lo_hondo.html"&gt;En lo hondo&lt;/a&gt;&lt;/li&gt;</v>
      </c>
      <c r="P72" s="17" t="str">
        <v>&lt;li data-author="Ixcís"&gt;&lt;a href="canciones/ixcis/como_uno_de_tantos.html"&gt;Como uno de tantos&lt;/a&gt;&lt;/li&gt;</v>
      </c>
      <c r="Q72" s="17" t="str">
        <v>&lt;li data-author="Kairoi"&gt;&lt;a href="canciones/kairoi/deja_que_en_tu_vida_cante_el.html"&gt;Deja que en tu vida cante Él&lt;/a&gt;&lt;/li&gt;</v>
      </c>
      <c r="R72" s="17" t="str">
        <v>&lt;li data-author="Cesáreo Gabarain" data-nold="302"&gt;&lt;a href="canciones/cesareo_gabarain/cristo_te_necesita_para_amar.html"&gt;Cristo te necesita para amar&lt;/a&gt;&lt;/li&gt;</v>
      </c>
      <c r="V72" s="17" t="str">
        <v>&lt;li data-author="Taizé en español" data-momento="TaizéESP" data-nnew="Q76"&gt;&lt;a href="canciones/taize/tu_sei_sorgente_viva.html"&gt;Tú eres fuente viva&lt;/a&gt;&lt;/li&gt;</v>
      </c>
      <c r="W72" s="17" t="str">
        <v>&lt;li data-author="Taizé original" data-momento="TaizéORIG" data-nnew="Q16"&gt;&lt;a href="canciones/taize/bog_jest_miłością.html"&gt;Bóg jest miłością&lt;/a&gt;&lt;/li&gt;</v>
      </c>
    </row>
    <row r="73" spans="9:23" x14ac:dyDescent="0.3">
      <c r="I73" s="17" t="str">
        <v>&lt;li data-author="Ain Karem"&gt;&lt;a href="canciones/ain_karem/quedas_libre.html"&gt;Quedas libre&lt;/a&gt;&lt;/li&gt;</v>
      </c>
      <c r="M73" s="17" t="str">
        <v>&lt;li data-author="Francisco Palazón"&gt;&lt;a href="canciones/francisco_palazon/te_doy_gracias_señor.html"&gt;Te doy gracias, Señor&lt;/a&gt;&lt;/li&gt;</v>
      </c>
      <c r="N73" s="17" t="str">
        <v>&lt;li data-author="Hakuna"&gt;&lt;a href="canciones/hakuna/colombia.html"&gt;Colombia&lt;/a&gt;&lt;/li&gt;</v>
      </c>
      <c r="P73" s="17" t="str">
        <v>&lt;li data-author="Ixcís"&gt;&lt;a href="canciones/ixcis/en_medio_de_vosotros.html"&gt;En medio de vosotros&lt;/a&gt;&lt;/li&gt;</v>
      </c>
      <c r="Q73" s="17" t="str">
        <v>&lt;li data-author="Kairoi"&gt;&lt;a href="canciones/kairoi/grito_libertad.html"&gt;Grito libertad&lt;/a&gt;&lt;/li&gt;</v>
      </c>
      <c r="R73" s="17" t="str">
        <v>&lt;li data-author="Cesáreo Gabarain" data-nold="70"&gt;&lt;a href="canciones/cesareo_gabarain/cuando_rezamos_cuando_cantamos.html"&gt;Cuando rezamos, cuando cantamos&lt;/a&gt;&lt;/li&gt;</v>
      </c>
      <c r="V73" s="17" t="str">
        <v>&lt;li data-author="Taizé en español" data-momento="TaizéESP" data-nnew="Q68"&gt;&lt;a href="canciones/taize/sanasi_on_lamppu.html"&gt;Tu palabra alumbra&lt;/a&gt;&lt;/li&gt;</v>
      </c>
      <c r="W73" s="17" t="str">
        <v>&lt;li data-author="Taizé original" data-momento="TaizéORIG" data-nnew="Q18"&gt;&lt;a href="canciones/taize/bogoroditse_dievo_1.html"&gt;Bogoroditse Dievo 1&lt;/a&gt;&lt;/li&gt;</v>
      </c>
    </row>
    <row r="74" spans="9:23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data-author="Francisco Palazón"&gt;&lt;a href="canciones/francisco_palazon/aleluya_aleluya_aleluya.html"&gt;Aleluya, aleluya, aleluya&lt;/a&gt;&lt;/li&gt;</v>
      </c>
      <c r="N74" s="17" t="str">
        <v>&lt;li data-author="Hakuna"&gt;&lt;a href="canciones/hakuna/vertigo.html"&gt;Vértigo&lt;/a&gt;&lt;/li&gt;</v>
      </c>
      <c r="P74" s="17" t="str">
        <v>&lt;li data-author="Ixcís"&gt;&lt;a href="canciones/ixcis/mi_dios_y_mi_todo.html"&gt;Mi Dios y mi todo&lt;/a&gt;&lt;/li&gt;</v>
      </c>
      <c r="Q74" s="17" t="str">
        <v>&lt;li data-author="Kairoi"&gt;&lt;a href="canciones/kairoi/si_jesus.html"&gt;Sí, Jesús&lt;/a&gt;&lt;/li&gt;</v>
      </c>
      <c r="R74" s="17" t="str">
        <v>&lt;li data-author="Cesáreo Gabarain" data-momento="Entrada" data-nnew="A12"&gt;&lt;a href="canciones/cesareo_gabarain/dios_es_amor.html"&gt;Dios es amor&lt;/a&gt;&lt;/li&gt;</v>
      </c>
      <c r="V74" s="17" t="str">
        <v>&lt;li data-author="Taizé en español" data-momento="TaizéESP" data-nnew="Q25"&gt;&lt;a href="canciones/taize/crucem_tuam.html"&gt;Tu santa cruz&lt;/a&gt;&lt;/li&gt;</v>
      </c>
      <c r="W74" s="17" t="str">
        <v>&lt;li data-author="Taizé original" data-momento="TaizéORIG" data-nnew="Q11"&gt;&lt;a href="canciones/taize/beati_voi_poveri.html"&gt;Beati voi poveri&lt;/a&gt;&lt;/li&gt;</v>
      </c>
    </row>
    <row r="75" spans="9:23" x14ac:dyDescent="0.3">
      <c r="I75" s="17" t="str">
        <v>&lt;li data-author="Ain Karem"&gt;&lt;a href="canciones/ain_karem/es_mi_hermano.html"&gt;Es mi hermano&lt;/a&gt;&lt;/li&gt;</v>
      </c>
      <c r="M75" s="17" t="str">
        <v>&lt;li data-author="Francisco Palazón"&gt;&lt;a href="canciones/francisco_palazon/alabad_al_señor_por_su_inmensa_grandeza.html"&gt;Alabad al Señor por su inmensa grandeza&lt;/a&gt;&lt;/li&gt;</v>
      </c>
      <c r="N75" s="17" t="str">
        <v>&lt;li data-author="Hakuna"&gt;&lt;a href="canciones/hakuna/concienciame.html"&gt;Conciénciame&lt;/a&gt;&lt;/li&gt;</v>
      </c>
      <c r="P75" s="17" t="str">
        <v>&lt;li data-author="Ixcís"&gt;&lt;a href="canciones/ixcis/maria_enseñame_a_vivir_el_evangelio.html"&gt;María, enséñame a vivir el Evangelio&lt;/a&gt;&lt;/li&gt;</v>
      </c>
      <c r="Q75" s="17" t="str">
        <v>&lt;li data-author="Kairoi"&gt;&lt;a href="canciones/kairoi/no_temais.html"&gt;No temáis&lt;/a&gt;&lt;/li&gt;</v>
      </c>
      <c r="R75" s="17" t="str">
        <v>&lt;li data-author="Cesáreo Gabarain" data-momento="Navidad" data-nnew="O07"&gt;&lt;a href="canciones/cesareo_gabarain/el_niño_dios_ha_nacido_en_belen.html"&gt;El niño Dios ha nacido en Belén&lt;/a&gt;&lt;/li&gt;</v>
      </c>
      <c r="V75" s="17" t="str">
        <v>&lt;li data-author="Taizé en español" data-momento="TaizéESP" data-nold="187"&gt;&lt;a href="canciones/taize/o_christe_domine_jesu.html"&gt;Tú, Cristo, oh, Jesucristo&lt;/a&gt;&lt;/li&gt;</v>
      </c>
      <c r="W75" s="17" t="str">
        <v>&lt;li data-author="Taizé original" data-momento="TaizéORIG" data-nnew="Q45"&gt;&lt;a href="canciones/taize/in_manus_tuas.html"&gt;In manus tuas&lt;/a&gt;&lt;/li&gt;</v>
      </c>
    </row>
    <row r="76" spans="9:23" x14ac:dyDescent="0.3">
      <c r="I76" s="17" t="str">
        <v>&lt;li data-author="Ain Karem"&gt;&lt;a href="canciones/ain_karem/jesus.html"&gt;Jesús&lt;/a&gt;&lt;/li&gt;</v>
      </c>
      <c r="N76" s="17" t="str">
        <v>&lt;li data-author="Hakuna"&gt;&lt;a href="canciones/hakuna/bendito.html"&gt;Bendito&lt;/a&gt;&lt;/li&gt;</v>
      </c>
      <c r="P76" s="17" t="str">
        <v>&lt;li data-author="Ixcís"&gt;&lt;a href="canciones/ixcis/pastor_bone.html"&gt;Pastor bone&lt;/a&gt;&lt;/li&gt;</v>
      </c>
      <c r="Q76" s="17" t="str">
        <v>&lt;li data-author="Kairoi"&gt;&lt;a href="canciones/kairoi/la_libertad_del_espiritu.html"&gt;La libertad del Espíritu&lt;/a&gt;&lt;/li&gt;</v>
      </c>
      <c r="R76" s="17" t="str">
        <v>&lt;li data-author="Cesáreo Gabarain" data-nold="89"&gt;&lt;a href="canciones/cesareo_gabarain/en_el_trabajo_de_cada_dia.html"&gt;En el trabajo de cada día&lt;/a&gt;&lt;/li&gt;</v>
      </c>
      <c r="V76" s="17" t="str">
        <v>&lt;li data-author="Taizé en español" data-momento="TaizéESP" data-nnew="Q21"&gt;&lt;a href="canciones/taize/christe_lux_mundi.html"&gt;Tú, luz del mundo&lt;/a&gt;&lt;/li&gt;</v>
      </c>
      <c r="W76" s="17" t="str">
        <v>&lt;li data-author="Taizé original" data-momento="TaizéORIG" data-nnew="Q51"&gt;&lt;a href="canciones/taize/jubilate_deo_omnis_terra.html"&gt;Jubilate Deo omnis terra&lt;/a&gt;&lt;/li&gt;</v>
      </c>
    </row>
    <row r="77" spans="9:23" x14ac:dyDescent="0.3">
      <c r="I77" s="17" t="str">
        <v>&lt;li data-author="Ain Karem"&gt;&lt;a href="canciones/ain_karem/el_reino_de_dios.html"&gt;El Reino de Dios&lt;/a&gt;&lt;/li&gt;</v>
      </c>
      <c r="N77" s="17" t="str">
        <v>&lt;li data-author="Hakuna"&gt;&lt;a href="canciones/hakuna/arde_(san_jose).html"&gt;Arde (San José)&lt;/a&gt;&lt;/li&gt;</v>
      </c>
      <c r="P77" s="17" t="str">
        <v>&lt;li data-author="Ixcís"&gt;&lt;a href="canciones/ixcis/señor_expropiame.html"&gt;Señor, exprópiame&lt;/a&gt;&lt;/li&gt;</v>
      </c>
      <c r="Q77" s="17" t="str">
        <v>&lt;li data-author="Kairoi"&gt;&lt;a href="canciones/kairoi/quejate_si_puedes.html"&gt;Quéjate si puedes&lt;/a&gt;&lt;/li&gt;</v>
      </c>
      <c r="R77" s="17" t="str">
        <v>&lt;li data-author="Cesáreo Gabarain" data-momento="Comunión" data-nnew="K32" data-nold="106"&gt;&lt;a href="canciones/cesareo_gabarain/eres_mi_riqueza.html"&gt;Eres mi riqueza&lt;/a&gt;&lt;/li&gt;</v>
      </c>
      <c r="V77" s="17" t="str">
        <v>&lt;li data-author="Taizé en español" data-momento="TaizéESP" data-nnew="Q22"&gt;&lt;a href="canciones/taize/cantate_domino_canticum_novum.html"&gt;Un canto nuevo&lt;/a&gt;&lt;/li&gt;</v>
      </c>
      <c r="W77" s="17" t="str">
        <v>&lt;li data-author="Taizé original" data-momento="TaizéORIG" data-nnew="Q46"&gt;&lt;a href="canciones/taize/in_resurrectione_tua.html"&gt;In resurrectione tua&lt;/a&gt;&lt;/li&gt;</v>
      </c>
    </row>
    <row r="78" spans="9:23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data-author="Hakuna"&gt;&lt;a href="canciones/hakuna/todos_por_todos.html"&gt;Todos por todos&lt;/a&gt;&lt;/li&gt;</v>
      </c>
      <c r="P78" s="17" t="str">
        <v>&lt;li data-author="Ixcís"&gt;&lt;a href="canciones/ixcis/confio.html"&gt;Confío&lt;/a&gt;&lt;/li&gt;</v>
      </c>
      <c r="Q78" s="17" t="str">
        <v>&lt;li data-author="Kairoi"&gt;&lt;a href="canciones/kairoi/lo_entregaron_todo.html"&gt;Lo entregaron todo&lt;/a&gt;&lt;/li&gt;</v>
      </c>
      <c r="R78" s="17" t="str">
        <v>&lt;li data-author="Cesáreo Gabarain" data-nold="115"&gt;&lt;a href="canciones/cesareo_gabarain/esperando_esperando.html"&gt;Esperando, esperando&lt;/a&gt;&lt;/li&gt;</v>
      </c>
      <c r="V78" s="17" t="str">
        <v>&lt;li data-author="Taizé en español" data-momento="TaizéESP" data-nnew="Q80"&gt;&lt;a href="canciones/taize/vieni_spirito_creatore_(canon).html"&gt;Ven, Espíritu (canon)&lt;/a&gt;&lt;/li&gt;</v>
      </c>
      <c r="W78" s="17" t="str">
        <v>&lt;li data-author="Taizé original" data-momento="TaizéORIG" data-nnew="Q76"&gt;&lt;a href="canciones/taize/tu_sei_sorgente_viva.html"&gt;Tu sei sorgente viva&lt;/a&gt;&lt;/li&gt;</v>
      </c>
    </row>
    <row r="79" spans="9:23" x14ac:dyDescent="0.3">
      <c r="I79" s="17" t="str">
        <v>&lt;li data-author="Ain Karem"&gt;&lt;a href="canciones/ain_karem/confia.html"&gt;Confía&lt;/a&gt;&lt;/li&gt;</v>
      </c>
      <c r="N79" s="17" t="str">
        <v>&lt;li data-author="Hakuna"&gt;&lt;a href="canciones/hakuna/forofos.html"&gt;Forofos&lt;/a&gt;&lt;/li&gt;</v>
      </c>
      <c r="P79" s="17" t="str">
        <v>&lt;li data-author="Ixcís"&gt;&lt;a href="canciones/ixcis/nada_es_imposible.html"&gt;Nada es imposible&lt;/a&gt;&lt;/li&gt;</v>
      </c>
      <c r="Q79" s="17" t="str">
        <v>&lt;li data-author="Kairoi"&gt;&lt;a href="canciones/kairoi/vale_mas_hablar_con_dios.html"&gt;Vale más hablar con Dios&lt;/a&gt;&lt;/li&gt;</v>
      </c>
      <c r="R79" s="17" t="str">
        <v>&lt;li data-author="Cesáreo Gabarain" data-momento="Comunión" data-nnew="K40" data-nold="142"&gt;&lt;a href="canciones/cesareo_gabarain/iglesia_soy.html"&gt;Iglesia soy&lt;/a&gt;&lt;/li&gt;</v>
      </c>
      <c r="V79" s="17" t="str">
        <v>&lt;li data-author="Taizé en español" data-momento="TaizéESP" data-nnew="Q77"&gt;&lt;a href="canciones/taize/tui_amoris.html"&gt;Ven, Espíritu de Dios&lt;/a&gt;&lt;/li&gt;</v>
      </c>
      <c r="W79" s="17" t="str">
        <v>&lt;li data-author="Taizé original" data-momento="TaizéORIG" data-nnew="Q57"&gt;&lt;a href="canciones/taize/l’ajuda_em_vindrà.html"&gt;L’ajuda em vindrà&lt;/a&gt;&lt;/li&gt;</v>
      </c>
    </row>
    <row r="80" spans="9:23" x14ac:dyDescent="0.3">
      <c r="I80" s="17" t="str">
        <v>&lt;li data-author="Ain Karem"&gt;&lt;a href="canciones/ain_karem/como_tu.html"&gt;Como Tú&lt;/a&gt;&lt;/li&gt;</v>
      </c>
      <c r="N80" s="17" t="str">
        <v>&lt;li data-author="Hakuna"&gt;&lt;a href="canciones/hakuna/a_ti_te_alabo.html"&gt;A ti te alabo&lt;/a&gt;&lt;/li&gt;</v>
      </c>
      <c r="P80" s="17" t="str">
        <v>&lt;li data-author="Ixcís"&gt;&lt;a href="canciones/ixcis/tu_saber_me_sobrepasa.html"&gt;Tu saber me sobrepasa&lt;/a&gt;&lt;/li&gt;</v>
      </c>
      <c r="Q80" s="17" t="str">
        <v>&lt;li data-author="Kairoi"&gt;&lt;a href="canciones/kairoi/de_lo_debil_saca_fuerzas_dios.html"&gt;De lo débil saca fuerzas Dios&lt;/a&gt;&lt;/li&gt;</v>
      </c>
      <c r="R80" s="17" t="str">
        <v>&lt;li data-author="Cesáreo Gabarain" data-momento="Entrada" data-nnew="A23" data-nold="145"&gt;&lt;a href="canciones/cesareo_gabarain/juntos_como_hermanos.html"&gt;Juntos como hermanos&lt;/a&gt;&lt;/li&gt;</v>
      </c>
      <c r="V80" s="17" t="str">
        <v>&lt;li data-author="Taizé en español" data-momento="TaizéESP" data-nnew="Q42"&gt;&lt;a href="canciones/taize/i_am_sure_i_shall_see.html"&gt;Yo ya sé qué veré&lt;/a&gt;&lt;/li&gt;</v>
      </c>
      <c r="W80" s="17" t="str">
        <v>&lt;li data-author="Taizé original" data-momento="TaizéORIG" data-nnew="Q09"&gt;&lt;a href="canciones/taize/alleluia_96.html"&gt;Alleluia 96&lt;/a&gt;&lt;/li&gt;</v>
      </c>
    </row>
    <row r="81" spans="9:23" x14ac:dyDescent="0.3">
      <c r="I81" s="17" t="str">
        <v>&lt;li data-author="Ain Karem"&gt;&lt;a href="canciones/ain_karem/pequeño_israel.html"&gt;Pequeño Israel&lt;/a&gt;&lt;/li&gt;</v>
      </c>
      <c r="N81" s="17" t="str">
        <v>&lt;li data-author="Hakuna"&gt;&lt;a href="canciones/hakuna/los_coros_del_universo.html"&gt;Los coros del universo&lt;/a&gt;&lt;/li&gt;</v>
      </c>
      <c r="P81" s="17" t="str">
        <v>&lt;li data-author="Ixcís"&gt;&lt;a href="canciones/ixcis/nada_vale_la_pena.html"&gt;Nada vale la pena&lt;/a&gt;&lt;/li&gt;</v>
      </c>
      <c r="Q81" s="17" t="str">
        <v>&lt;li data-author="Kairoi"&gt;&lt;a href="canciones/kairoi/fueron_valientes.html"&gt;Fueron valientes&lt;/a&gt;&lt;/li&gt;</v>
      </c>
      <c r="R81" s="17" t="str">
        <v>&lt;li data-author="Cesáreo Gabarain" data-nold="306"&gt;&lt;a href="canciones/cesareo_gabarain/la_misa_es_una_fiesta_muy_alegre.html"&gt;La misa es una fiesta muy alegre&lt;/a&gt;&lt;/li&gt;</v>
      </c>
      <c r="W81" s="17" t="str">
        <v>&lt;li data-author="Taizé original" data-momento="TaizéORIG" data-nnew="Q82"&gt;&lt;a href="canciones/taize/wysławiajcie_pana.html"&gt;Wysławiajcie Pana&lt;/a&gt;&lt;/li&gt;</v>
      </c>
    </row>
    <row r="82" spans="9:23" x14ac:dyDescent="0.3">
      <c r="I82" s="17" t="str">
        <v>&lt;li data-author="Ain Karem"&gt;&lt;a href="canciones/ain_karem/vivid_en_comunion.html"&gt;Vivid en comunión&lt;/a&gt;&lt;/li&gt;</v>
      </c>
      <c r="N82" s="17" t="str">
        <v>&lt;li data-author="Hakuna"&gt;&lt;a href="canciones/hakuna/en_medio_del_fuego.html"&gt;En medio del fuego&lt;/a&gt;&lt;/li&gt;</v>
      </c>
      <c r="P82" s="17" t="str">
        <v>&lt;li data-author="Ixcís"&gt;&lt;a href="canciones/ixcis/un_solo_corazon.html"&gt;Un solo corazón&lt;/a&gt;&lt;/li&gt;</v>
      </c>
      <c r="Q82" s="17" t="str">
        <v>&lt;li data-author="Kairoi"&gt;&lt;a href="canciones/kairoi/te_reclamaran_la_vida.html"&gt;Te reclamarán la vida&lt;/a&gt;&lt;/li&gt;</v>
      </c>
      <c r="R82" s="17" t="str">
        <v>&lt;li data-author="Cesáreo Gabarain" data-nold="307"&gt;&lt;a href="canciones/cesareo_gabarain/la_misa_no_termina_aqui_en_la_iglesia.html"&gt;La misa no termina aquí en la iglesia&lt;/a&gt;&lt;/li&gt;</v>
      </c>
      <c r="W82" s="17" t="str">
        <v>&lt;li data-author="Taizé original" data-momento="TaizéORIG" data-nnew="Q08"&gt;&lt;a href="canciones/taize/alleluia_94.html"&gt;Alleluia 94&lt;/a&gt;&lt;/li&gt;</v>
      </c>
    </row>
    <row r="83" spans="9:23" x14ac:dyDescent="0.3">
      <c r="I83" s="17" t="str">
        <v>&lt;li data-author="Ain Karem"&gt;&lt;a href="canciones/ain_karem/vengan_a_mi.html"&gt;Vengan a mí&lt;/a&gt;&lt;/li&gt;</v>
      </c>
      <c r="N83" s="17" t="str">
        <v>&lt;li data-author="Hakuna"&gt;&lt;a href="canciones/hakuna/aleluya.html"&gt;Aleluya&lt;/a&gt;&lt;/li&gt;</v>
      </c>
      <c r="P83" s="17" t="str">
        <v>&lt;li data-author="Ixcís"&gt;&lt;a href="canciones/ixcis/aqui_estoy.html"&gt;Aquí estoy&lt;/a&gt;&lt;/li&gt;</v>
      </c>
      <c r="Q83" s="17" t="str">
        <v>&lt;li data-author="Kairoi"&gt;&lt;a href="canciones/kairoi/esperad_al_señor.html"&gt;Esperad al Señor&lt;/a&gt;&lt;/li&gt;</v>
      </c>
      <c r="R83" s="17" t="str">
        <v>&lt;li data-author="Cesáreo Gabarain" data-nold="308"&gt;&lt;a href="canciones/cesareo_gabarain/nadie_hay_tan_grande_como_tu.html"&gt;Nadie hay tan grande como tú&lt;/a&gt;&lt;/li&gt;</v>
      </c>
      <c r="W83" s="17" t="str">
        <v>&lt;li data-author="Taizé original" data-momento="TaizéORIG" data-nnew="Q10"&gt;&lt;a href="canciones/taize/alleluia_97.html"&gt;Alleluia 97&lt;/a&gt;&lt;/li&gt;</v>
      </c>
    </row>
    <row r="84" spans="9:23" x14ac:dyDescent="0.3">
      <c r="I84" s="17" t="str">
        <v>&lt;li data-author="Ain Karem"&gt;&lt;a href="canciones/ain_karem/os_envio.html"&gt;Os envío&lt;/a&gt;&lt;/li&gt;</v>
      </c>
      <c r="N84" s="17" t="str">
        <v>&lt;li data-author="Hakuna"&gt;&lt;a href="canciones/hakuna/ruah.html"&gt;Ruah&lt;/a&gt;&lt;/li&gt;</v>
      </c>
      <c r="P84" s="17" t="str">
        <v>&lt;li data-author="Ixcís"&gt;&lt;a href="canciones/ixcis/en_los_pobres_yo_te_vi.html"&gt;En los pobres yo te vi&lt;/a&gt;&lt;/li&gt;</v>
      </c>
      <c r="Q84" s="17" t="str">
        <v>&lt;li data-author="Kairoi"&gt;&lt;a href="canciones/kairoi/buena_madre.html"&gt;Buena Madre&lt;/a&gt;&lt;/li&gt;</v>
      </c>
      <c r="R84" s="17" t="str">
        <v>&lt;li data-author="Cesáreo Gabarain" data-momento="Entrada" data-nnew="A25"&gt;&lt;a href="canciones/cesareo_gabarain/peregrino_(exodo_y_liberacion).html"&gt;Peregrino (Éxodo y liberación)&lt;/a&gt;&lt;/li&gt;</v>
      </c>
      <c r="W84" s="17" t="str">
        <v>&lt;li data-author="Taizé original" data-momento="TaizéORIG" data-nnew="Q53"&gt;&lt;a href="canciones/taize/kyrie_1.html"&gt;Kyrie 1&lt;/a&gt;&lt;/li&gt;</v>
      </c>
    </row>
    <row r="85" spans="9:23" x14ac:dyDescent="0.3">
      <c r="I85" s="17" t="str">
        <v>&lt;li data-author="Ain Karem"&gt;&lt;a href="canciones/ain_karem/fuego.html"&gt;Fuego&lt;/a&gt;&lt;/li&gt;</v>
      </c>
      <c r="N85" s="17" t="str">
        <v>&lt;li data-author="Hakuna"&gt;&lt;a href="canciones/hakuna/padre.html"&gt;Padre&lt;/a&gt;&lt;/li&gt;</v>
      </c>
      <c r="P85" s="17" t="str">
        <v>&lt;li data-author="Ixcís"&gt;&lt;a href="canciones/ixcis/me_sedujiste.html"&gt;Me sedujiste&lt;/a&gt;&lt;/li&gt;</v>
      </c>
      <c r="Q85" s="17" t="str">
        <v>&lt;li data-author="Kairoi"&gt;&lt;a href="canciones/kairoi/construyenos_la_casa.html"&gt;Constrúyenos la casa&lt;/a&gt;&lt;/li&gt;</v>
      </c>
      <c r="R85" s="17" t="str">
        <v>&lt;li data-author="Cesáreo Gabarain" data-momento="Comunión" data-nnew="K54" data-nold="313"&gt;&lt;a href="canciones/cesareo_gabarain/pescador_de_hombres.html"&gt;Pescador de hombres&lt;/a&gt;&lt;/li&gt;</v>
      </c>
      <c r="W85" s="17" t="str">
        <v>&lt;li data-author="Taizé original" data-momento="TaizéORIG" data-nnew="Q55"&gt;&lt;a href="canciones/taize/kyrie_8.html"&gt;Kyrie 8&lt;/a&gt;&lt;/li&gt;</v>
      </c>
    </row>
    <row r="86" spans="9:23" x14ac:dyDescent="0.3">
      <c r="I86" s="17" t="str">
        <v>&lt;li data-author="Ain Karem"&gt;&lt;a href="canciones/ain_karem/mujeres_en_camino.html"&gt;Mujeres en camino&lt;/a&gt;&lt;/li&gt;</v>
      </c>
      <c r="N86" s="17" t="str">
        <v>&lt;li data-author="Hakuna"&gt;&lt;a href="canciones/hakuna/te_alabare.html"&gt;Te alabaré&lt;/a&gt;&lt;/li&gt;</v>
      </c>
      <c r="P86" s="17" t="str">
        <v>&lt;li data-author="Ixcís"&gt;&lt;a href="canciones/ixcis/podare.html"&gt;Podaré&lt;/a&gt;&lt;/li&gt;</v>
      </c>
      <c r="Q86" s="17" t="str">
        <v>&lt;li data-author="Kairoi"&gt;&lt;a href="canciones/kairoi/hermano_entre_los_hombres.html"&gt;Hermano entre los hombres&lt;/a&gt;&lt;/li&gt;</v>
      </c>
      <c r="R86" s="17" t="str">
        <v>&lt;li data-author="Cesáreo Gabarain" data-momento="Comunión" data-nnew="K68" data-nold="241"&gt;&lt;a href="canciones/cesareo_gabarain/sois_la_semilla.html"&gt;Sois la semilla&lt;/a&gt;&lt;/li&gt;</v>
      </c>
      <c r="W86" s="17" t="str">
        <v>&lt;li data-author="Taizé original" data-momento="TaizéORIG" data-nnew="Q65"&gt;&lt;a href="canciones/taize/para_mim_ser_feliz.html"&gt;Para mim, ser feliz&lt;/a&gt;&lt;/li&gt;</v>
      </c>
    </row>
    <row r="87" spans="9:23" x14ac:dyDescent="0.3">
      <c r="I87" s="17" t="str">
        <v>&lt;li data-author="Ain Karem"&gt;&lt;a href="canciones/ain_karem/no_temas.html"&gt;No temas&lt;/a&gt;&lt;/li&gt;</v>
      </c>
      <c r="N87" s="17" t="str">
        <v>&lt;li data-author="Hakuna"&gt;&lt;a href="canciones/hakuna/sanas.html"&gt;Sanas&lt;/a&gt;&lt;/li&gt;</v>
      </c>
      <c r="P87" s="17" t="str">
        <v>&lt;li data-author="Ixcís"&gt;&lt;a href="canciones/ixcis/ven_espiritu_de_dios.html"&gt;Ven, Espíritu de Dios&lt;/a&gt;&lt;/li&gt;</v>
      </c>
      <c r="Q87" s="17" t="str">
        <v>&lt;li data-author="Kairoi"&gt;&lt;a href="canciones/kairoi/en_torno_al_pan.html"&gt;En torno al pan&lt;/a&gt;&lt;/li&gt;</v>
      </c>
      <c r="R87" s="17" t="str">
        <v>&lt;li data-author="Cesáreo Gabarain" data-momento="Comunión" data-nnew="K74" data-nold="266"&gt;&lt;a href="canciones/cesareo_gabarain/todos_unidos.html"&gt;Todos unidos&lt;/a&gt;&lt;/li&gt;</v>
      </c>
      <c r="W87" s="17" t="str">
        <v>&lt;li data-author="Taizé original" data-momento="TaizéORIG" data-nnew="Q75"&gt;&lt;a href="canciones/taize/tu_palabra_señor.html"&gt;Tu palabra, Señor&lt;/a&gt;&lt;/li&gt;</v>
      </c>
    </row>
    <row r="88" spans="9:23" x14ac:dyDescent="0.3">
      <c r="I88" s="17" t="str">
        <v>&lt;li data-author="Ain Karem"&gt;&lt;a href="canciones/ain_karem/abre_mis_puertas.html"&gt;Abre mis puertas&lt;/a&gt;&lt;/li&gt;</v>
      </c>
      <c r="N88" s="17" t="str">
        <v>&lt;li data-author="Hakuna"&gt;&lt;a href="canciones/hakuna/solo_tu.html"&gt;Sólo Tú&lt;/a&gt;&lt;/li&gt;</v>
      </c>
      <c r="P88" s="17" t="str">
        <v>&lt;li data-author="Ixcís"&gt;&lt;a href="canciones/ixcis/a_pesar_de_todo.html"&gt;A pesar de todo&lt;/a&gt;&lt;/li&gt;</v>
      </c>
      <c r="Q88" s="17" t="str">
        <v>&lt;li data-author="Kairoi"&gt;&lt;a href="canciones/kairoi/acuerdate_maria.html"&gt;Acuérdate, María&lt;/a&gt;&lt;/li&gt;</v>
      </c>
      <c r="R88" s="17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89" spans="9:23" x14ac:dyDescent="0.3">
      <c r="I89" s="17" t="str">
        <v>&lt;li data-author="Ain Karem"&gt;&lt;a href="canciones/ain_karem/danos_de_beber.html"&gt;Danos de beber&lt;/a&gt;&lt;/li&gt;</v>
      </c>
      <c r="N89" s="17" t="str">
        <v>&lt;li data-author="Hakuna"&gt;&lt;a href="canciones/hakuna/el_unico_rey.html"&gt;El único rey&lt;/a&gt;&lt;/li&gt;</v>
      </c>
      <c r="P89" s="17" t="str">
        <v>&lt;li data-author="Ixcís"&gt;&lt;a href="canciones/ixcis/me_fui.html"&gt;Me fui&lt;/a&gt;&lt;/li&gt;</v>
      </c>
      <c r="Q89" s="17" t="str">
        <v>&lt;li data-author="Kairoi"&gt;&lt;a href="canciones/kairoi/hermano_adios.html"&gt;Hermano, adiós&lt;/a&gt;&lt;/li&gt;</v>
      </c>
      <c r="R89" s="17" t="str">
        <v>&lt;li data-author="Cesáreo Gabarain" data-nold="312"&gt;&lt;a href="canciones/cesareo_gabarain/tu_que_siempre_nos_perdonas.html"&gt;Tú, que siempre nos perdonas&lt;/a&gt;&lt;/li&gt;</v>
      </c>
    </row>
    <row r="90" spans="9:23" x14ac:dyDescent="0.3">
      <c r="I90" s="17" t="str">
        <v>&lt;li data-author="Ain Karem"&gt;&lt;a href="canciones/ain_karem/secuencia_pascual.html"&gt;Secuencia pascual&lt;/a&gt;&lt;/li&gt;</v>
      </c>
      <c r="N90" s="17" t="str">
        <v>&lt;li data-author="Hakuna"&gt;&lt;a href="canciones/hakuna/hoy_en_belen.html"&gt;Hoy en Belén&lt;/a&gt;&lt;/li&gt;</v>
      </c>
      <c r="P90" s="17" t="str">
        <v>&lt;li data-author="Ixcís"&gt;&lt;a href="canciones/ixcis/cambios.html"&gt;Cambios&lt;/a&gt;&lt;/li&gt;</v>
      </c>
      <c r="Q90" s="17" t="str">
        <v>&lt;li data-author="Kairoi"&gt;&lt;a href="canciones/kairoi/en_tu_cruz_sigues_hoy.html"&gt;En tu cruz sigues hoy&lt;/a&gt;&lt;/li&gt;</v>
      </c>
      <c r="R90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1" spans="9:23" x14ac:dyDescent="0.3">
      <c r="I91" s="17" t="str">
        <v>&lt;li data-author="Ain Karem"&gt;&lt;a href="canciones/ain_karem/solo_en_dios.html"&gt;Sólo en Dios&lt;/a&gt;&lt;/li&gt;</v>
      </c>
      <c r="N91" s="17" t="str">
        <v>&lt;li data-author="Hakuna"&gt;&lt;a href="canciones/hakuna/lo_imposible.html"&gt;Lo imposible&lt;/a&gt;&lt;/li&gt;</v>
      </c>
      <c r="P91" s="17" t="str">
        <v>&lt;li data-author="Ixcís"&gt;&lt;a href="canciones/ixcis/toma_mi_libertad.html"&gt;Toma mi libertad&lt;/a&gt;&lt;/li&gt;</v>
      </c>
      <c r="Q91" s="17" t="str">
        <v>&lt;li data-author="Kairoi"&gt;&lt;a href="canciones/kairoi/en_la_cruz_nos_das_la_vida.html"&gt;En la cruz nos das la vida&lt;/a&gt;&lt;/li&gt;</v>
      </c>
      <c r="R91" s="17" t="str">
        <v>&lt;li data-author="Cesáreo Gabarain" data-momento="Ofertorio" data-nnew="F19" data-nold="271"&gt;&lt;a href="canciones/cesareo_gabarain/una_espiga_dorada.html"&gt;Una espiga dorada&lt;/a&gt;&lt;/li&gt;</v>
      </c>
    </row>
    <row r="92" spans="9:23" x14ac:dyDescent="0.3">
      <c r="I92" s="17" t="str">
        <v>&lt;li data-author="Ain Karem"&gt;&lt;a href="canciones/ain_karem/cantad_al_señor.html"&gt;Cantad al Señor&lt;/a&gt;&lt;/li&gt;</v>
      </c>
      <c r="N92" s="17" t="str">
        <v>&lt;li data-author="Hakuna"&gt;&lt;a href="canciones/hakuna/del_cielo.html"&gt;Del cielo&lt;/a&gt;&lt;/li&gt;</v>
      </c>
      <c r="P92" s="17" t="str">
        <v>&lt;li data-author="Ixcís"&gt;&lt;a href="canciones/ixcis/gracias.html"&gt;Gracias&lt;/a&gt;&lt;/li&gt;</v>
      </c>
      <c r="Q92" s="17" t="str">
        <v>&lt;li data-author="Kairoi"&gt;&lt;a href="canciones/kairoi/siento_tu_llamada.html"&gt;Siento tu llamada&lt;/a&gt;&lt;/li&gt;</v>
      </c>
      <c r="R92" s="17" t="str">
        <v>&lt;li data-author="Cesáreo Gabarain" data-momento="Perdón - Agua" data-nnew="B09" data-nold="274"&gt;&lt;a href="canciones/cesareo_gabarain/una_nueva_vida.html"&gt;Una nueva vida&lt;/a&gt;&lt;/li&gt;</v>
      </c>
    </row>
    <row r="93" spans="9:23" x14ac:dyDescent="0.3">
      <c r="I93" s="17" t="str">
        <v>&lt;li data-author="Ain Karem"&gt;&lt;a href="canciones/ain_karem/agua_viva.html"&gt;Agua viva&lt;/a&gt;&lt;/li&gt;</v>
      </c>
      <c r="N93" s="17" t="str">
        <v>&lt;li data-author="Hakuna"&gt;&lt;a href="canciones/hakuna/juntos.html"&gt;Juntos&lt;/a&gt;&lt;/li&gt;</v>
      </c>
      <c r="P93" s="17" t="str">
        <v>&lt;li data-author="Ixcís"&gt;&lt;a href="canciones/ixcis/que_buscais.html"&gt;Qué buscáis&lt;/a&gt;&lt;/li&gt;</v>
      </c>
      <c r="Q93" s="17" t="str">
        <v>&lt;li data-author="Kairoi"&gt;&lt;a href="canciones/kairoi/el_señor_es_la_esperanza.html"&gt;El Señor es la esperanza&lt;/a&gt;&lt;/li&gt;</v>
      </c>
      <c r="R93" s="17" t="str">
        <v>&lt;li data-author="Cesáreo Gabarain" data-momento="Entrada" data-nnew="A43" data-nold="278"&gt;&lt;a href="canciones/cesareo_gabarain/vienen_con_alegria.html"&gt;Vienen con alegría&lt;/a&gt;&lt;/li&gt;</v>
      </c>
    </row>
    <row r="94" spans="9:23" x14ac:dyDescent="0.3">
      <c r="I94" s="17" t="str">
        <v>&lt;li data-author="Ain Karem"&gt;&lt;a href="canciones/ain_karem/fuego_y_abrazo.html"&gt;Fuego y abrazo&lt;/a&gt;&lt;/li&gt;</v>
      </c>
      <c r="P94" s="17" t="str">
        <v>&lt;li data-author="Ixcís"&gt;&lt;a href="canciones/ixcis/el_mayor.html"&gt;El mayor&lt;/a&gt;&lt;/li&gt;</v>
      </c>
      <c r="Q94" s="17" t="str">
        <v>&lt;li data-author="Kairoi"&gt;&lt;a href="canciones/kairoi/el_señor_esta_aqui.html"&gt;El Señor está aquí&lt;/a&gt;&lt;/li&gt;</v>
      </c>
      <c r="R94" s="17" t="str">
        <v>&lt;li data-author="Cesáreo Gabarain" data-nold="292"&gt;&lt;a href="canciones/cesareo_gabarain/yo_confio_en_ti_señor.html"&gt;Yo confío en ti, Señor&lt;/a&gt;&lt;/li&gt;</v>
      </c>
    </row>
    <row r="95" spans="9:23" x14ac:dyDescent="0.3">
      <c r="I95" s="17" t="str">
        <v>&lt;li data-author="Ain Karem"&gt;&lt;a href="canciones/ain_karem/habitare.html"&gt;Habitaré&lt;/a&gt;&lt;/li&gt;</v>
      </c>
      <c r="P95" s="17" t="str">
        <v>&lt;li data-author="Ixcís"&gt;&lt;a href="canciones/ixcis/hagase.html"&gt;Hágase&lt;/a&gt;&lt;/li&gt;</v>
      </c>
      <c r="Q95" s="17" t="str">
        <v>&lt;li data-author="Kairoi"&gt;&lt;a href="canciones/kairoi/caminad.html"&gt;Caminad&lt;/a&gt;&lt;/li&gt;</v>
      </c>
      <c r="R95" s="17" t="str">
        <v>&lt;li data-author="Cesáreo Gabarain" data-nold="315"&gt;&lt;a href="canciones/cesareo_gabarain/yo_pensaba_que_el_hombre_era_grande.html"&gt;Yo pensaba que el hombre era grande&lt;/a&gt;&lt;/li&gt;</v>
      </c>
    </row>
    <row r="96" spans="9:23" x14ac:dyDescent="0.3">
      <c r="I96" s="17" t="str">
        <v>&lt;li data-author="Ain Karem"&gt;&lt;a href="canciones/ain_karem/discipulos.html"&gt;Discípulos&lt;/a&gt;&lt;/li&gt;</v>
      </c>
      <c r="P96" s="17" t="str">
        <v>&lt;li data-author="Ixcís"&gt;&lt;a href="canciones/ixcis/abre_una_grieta.html"&gt;Abre una grieta&lt;/a&gt;&lt;/li&gt;</v>
      </c>
      <c r="Q96" s="17" t="str">
        <v>&lt;li data-author="Kairoi"&gt;&lt;a href="canciones/kairoi/acogeme_dios.html"&gt;Acógeme, Dios&lt;/a&gt;&lt;/li&gt;</v>
      </c>
      <c r="R96" s="17" t="str">
        <v>&lt;li data-author="Cesáreo Gabarain" data-nold="311"&gt;&lt;a href="canciones/cesareo_gabarain/yo_tengo_un_amigo_que_me_ama.html"&gt;Yo tengo un amigo que me ama&lt;/a&gt;&lt;/li&gt;</v>
      </c>
    </row>
    <row r="97" spans="9:18" x14ac:dyDescent="0.3">
      <c r="I97" s="17" t="str">
        <v>&lt;li data-author="Ain Karem"&gt;&lt;a href="canciones/ain_karem/no_os_dejo_solos.html"&gt;No os dejo solos&lt;/a&gt;&lt;/li&gt;</v>
      </c>
      <c r="P97" s="17" t="str">
        <v>&lt;li data-author="Ixcís"&gt;&lt;a href="canciones/ixcis/en_espiritu_y_en_verdad.html"&gt;En espíritu y en verdad&lt;/a&gt;&lt;/li&gt;</v>
      </c>
      <c r="Q97" s="17" t="str">
        <v>&lt;li data-author="Kairoi"&gt;&lt;a href="canciones/kairoi/maria_madre_del_dolor.html"&gt;María, madre del dolor&lt;/a&gt;&lt;/li&gt;</v>
      </c>
      <c r="R97" s="17" t="str">
        <v>&lt;li data-author="Emilio Vicente Mateu" data-momento="Comunión" data-nnew="K08" data-nold="410"&gt;&lt;a href="canciones/emilio_vicente_mateu/amar_es_darse.html"&gt;Amar es darse&lt;/a&gt;&lt;/li&gt;</v>
      </c>
    </row>
    <row r="98" spans="9:18" x14ac:dyDescent="0.3">
      <c r="I98" s="17" t="str">
        <v>&lt;li data-author="Ain Karem"&gt;&lt;a href="canciones/ain_karem/por_amor_a_tu_pueblo.html"&gt;Por amor a tu pueblo&lt;/a&gt;&lt;/li&gt;</v>
      </c>
      <c r="P98" s="17" t="str">
        <v>&lt;li data-author="Ixcís"&gt;&lt;a href="canciones/ixcis/solo_tu_espiritu.html"&gt;Sólo tu espíritu&lt;/a&gt;&lt;/li&gt;</v>
      </c>
      <c r="Q98" s="17" t="str">
        <v>&lt;li data-author="Kairoi"&gt;&lt;a href="canciones/kairoi/llama_de_vida.html"&gt;Llama de vida&lt;/a&gt;&lt;/li&gt;</v>
      </c>
      <c r="R98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9" spans="9:18" x14ac:dyDescent="0.3">
      <c r="I99" s="17" t="str">
        <v>&lt;li data-author="Ain Karem"&gt;&lt;a href="canciones/ain_karem/llama_de_amor_viva.html"&gt;Llama de amor viva&lt;/a&gt;&lt;/li&gt;</v>
      </c>
      <c r="P99" s="17" t="str">
        <v>&lt;li data-author="Ixcís"&gt;&lt;a href="canciones/ixcis/sueño_una_iglesia.html"&gt;Sueño una iglesia&lt;/a&gt;&lt;/li&gt;</v>
      </c>
      <c r="Q99" s="17" t="str">
        <v>&lt;li data-author="Kairoi"&gt;&lt;a href="canciones/kairoi/venga_tu_reino.html"&gt;Venga tu reino&lt;/a&gt;&lt;/li&gt;</v>
      </c>
      <c r="R99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0" spans="9:18" x14ac:dyDescent="0.3">
      <c r="I100" s="17" t="str">
        <v>&lt;li data-author="Ain Karem"&gt;&lt;a href="canciones/ain_karem/la_piedra_angular.html"&gt;La piedra angular&lt;/a&gt;&lt;/li&gt;</v>
      </c>
      <c r="P100" s="17" t="str">
        <v>&lt;li data-author="Ixcís"&gt;&lt;a href="canciones/ixcis/somos_pueblo_de_dios.html"&gt;Somos Pueblo de Dios&lt;/a&gt;&lt;/li&gt;</v>
      </c>
      <c r="Q100" s="17" t="str">
        <v>&lt;li data-author="Kairoi"&gt;&lt;a href="canciones/kairoi/somos_testigos.html"&gt;Somos testigos&lt;/a&gt;&lt;/li&gt;</v>
      </c>
      <c r="R100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1" spans="9:18" x14ac:dyDescent="0.3">
      <c r="I101" s="17" t="str">
        <v>&lt;li data-author="Ain Karem"&gt;&lt;a href="canciones/ain_karem/como_pan_pequeño.html"&gt;Como pan pequeño&lt;/a&gt;&lt;/li&gt;</v>
      </c>
      <c r="P101" s="17" t="str">
        <v>&lt;li data-author="Ixcís"&gt;&lt;a href="canciones/ixcis/la_historia_se_repite.html"&gt;La historia se repite&lt;/a&gt;&lt;/li&gt;</v>
      </c>
      <c r="Q101" s="17" t="str">
        <v>&lt;li data-author="Kairoi"&gt;&lt;a href="canciones/kairoi/tu_camino_y_tu_verdad.html"&gt;Tu camino y tu verdad&lt;/a&gt;&lt;/li&gt;</v>
      </c>
      <c r="R101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2" spans="9:18" x14ac:dyDescent="0.3">
      <c r="I102" s="17" t="str">
        <v>&lt;li data-author="Ain Karem"&gt;&lt;a href="canciones/ain_karem/en_ti.html"&gt;En ti&lt;/a&gt;&lt;/li&gt;</v>
      </c>
      <c r="P102" s="17" t="str">
        <v>&lt;li data-author="Ixcís"&gt;&lt;a href="canciones/ixcis/llega_el_dia.html"&gt;Llega el día&lt;/a&gt;&lt;/li&gt;</v>
      </c>
      <c r="Q102" s="17" t="str">
        <v>&lt;li data-author="Kairoi"&gt;&lt;a href="canciones/kairoi/seguir_amando.html"&gt;Seguir amando&lt;/a&gt;&lt;/li&gt;</v>
      </c>
      <c r="R102" s="17" t="str">
        <v>&lt;li data-author="Emilio Vicente Mateu" data-nold="239"&gt;&lt;a href="canciones/emilio_vicente_mateu/siempre_unidos_mano_a_mano.html"&gt;Siempre unidos, mano a mano&lt;/a&gt;&lt;/li&gt;</v>
      </c>
    </row>
    <row r="103" spans="9:18" x14ac:dyDescent="0.3">
      <c r="I103" s="17" t="str">
        <v>&lt;li data-author="Ain Karem"&gt;&lt;a href="canciones/ain_karem/ven_señor.html"&gt;Ven, Señor&lt;/a&gt;&lt;/li&gt;</v>
      </c>
      <c r="P103" s="17" t="str">
        <v>&lt;li data-author="Ixcís"&gt;&lt;a href="canciones/ixcis/coge_tu_cruz.html"&gt;Coge tu cruz&lt;/a&gt;&lt;/li&gt;</v>
      </c>
      <c r="Q103" s="17" t="str">
        <v>&lt;li data-author="Kairoi"&gt;&lt;a href="canciones/kairoi/y_se_vive_la_vida.html"&gt;Y se vive la vida&lt;/a&gt;&lt;/li&gt;</v>
      </c>
      <c r="R103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4" spans="9:18" x14ac:dyDescent="0.3">
      <c r="I104" s="17" t="str">
        <v>&lt;li data-author="Ain Karem"&gt;&lt;a href="canciones/ain_karem/volemos.html"&gt;Volemos&lt;/a&gt;&lt;/li&gt;</v>
      </c>
      <c r="P104" s="17" t="str">
        <v>&lt;li data-author="Ixcís"&gt;&lt;a href="canciones/ixcis/bienaventurados.html"&gt;Bienaventurados&lt;/a&gt;&lt;/li&gt;</v>
      </c>
      <c r="Q104" s="17" t="str">
        <v>&lt;li data-author="Kairoi"&gt;&lt;a href="canciones/kairoi/jesus_cambianos.html"&gt;Jesús, cámbianos&lt;/a&gt;&lt;/li&gt;</v>
      </c>
      <c r="R104" s="17" t="str">
        <v>&lt;li data-author="Emilio Vicente Mateu" data-nold="260"&gt;&lt;a href="canciones/emilio_vicente_mateu/tiempo_de_espera.html"&gt;Tiempo de espera&lt;/a&gt;&lt;/li&gt;</v>
      </c>
    </row>
    <row r="105" spans="9:18" x14ac:dyDescent="0.3">
      <c r="I105" s="17" t="str">
        <v>&lt;li data-author="Ain Karem"&gt;&lt;a href="canciones/ain_karem/yo_soy.html"&gt;Yo soy&lt;/a&gt;&lt;/li&gt;</v>
      </c>
      <c r="P105" s="17" t="str">
        <v>&lt;li data-author="Ixcís"&gt;&lt;a href="canciones/ixcis/los_pobres.html"&gt;Los pobres&lt;/a&gt;&lt;/li&gt;</v>
      </c>
      <c r="Q105" s="17" t="str">
        <v>&lt;li data-author="Kairoi"&gt;&lt;a href="canciones/kairoi/como_maria.html"&gt;Como María&lt;/a&gt;&lt;/li&gt;</v>
      </c>
      <c r="R105" s="17" t="str">
        <v>&lt;li data-author="Emilio Vicente Mateu" data-nold="282"&gt;&lt;a href="canciones/emilio_vicente_mateu/vendra_la_libertad.html"&gt;Vendrá la libertad&lt;/a&gt;&lt;/li&gt;</v>
      </c>
    </row>
    <row r="106" spans="9:18" x14ac:dyDescent="0.3">
      <c r="I106" s="17" t="str">
        <v>&lt;li data-author="Ain Karem"&gt;&lt;a href="canciones/ain_karem/a_toda_la_tierra_alcanza_su_pregon.html"&gt;A toda la tierra alcanza su pregón&lt;/a&gt;&lt;/li&gt;</v>
      </c>
      <c r="P106" s="17" t="str">
        <v>&lt;li data-author="Ixcís"&gt;&lt;a href="canciones/ixcis/los_mansos_y_humildes.html"&gt;Los mansos y humildes&lt;/a&gt;&lt;/li&gt;</v>
      </c>
      <c r="Q106" s="17" t="str">
        <v>&lt;li data-author="Kairoi"&gt;&lt;a href="canciones/kairoi/nos_marca_el_caminar.html"&gt;Nos marca el caminar&lt;/a&gt;&lt;/li&gt;</v>
      </c>
      <c r="R106" s="17" t="str">
        <v>&lt;li data-author="Fernando Viejo" data-nold="293"&gt;&lt;a href="canciones/fernando_viejo/como_era_pedro.html"&gt;Como era Pedro&lt;/a&gt;&lt;/li&gt;</v>
      </c>
    </row>
    <row r="107" spans="9:18" x14ac:dyDescent="0.3">
      <c r="I107" s="17" t="str">
        <v>&lt;li data-author="Ain Karem"&gt;&lt;a href="canciones/ain_karem/con_amor_eterno.html"&gt;Con amor eterno&lt;/a&gt;&lt;/li&gt;</v>
      </c>
      <c r="P107" s="17" t="str">
        <v>&lt;li data-author="Ixcís"&gt;&lt;a href="canciones/ixcis/los_que_lloran.html"&gt;Los que lloran&lt;/a&gt;&lt;/li&gt;</v>
      </c>
      <c r="Q107" s="17" t="str">
        <v>&lt;li data-author="Kairoi"&gt;&lt;a href="canciones/kairoi/soy_mujer.html"&gt;Soy mujer&lt;/a&gt;&lt;/li&gt;</v>
      </c>
      <c r="R107" s="17" t="str">
        <v>&lt;li data-author="Fernando Viejo" data-nold="64"&gt;&lt;a href="canciones/fernando_viejo/creo_en_dios_y_en_su_palabra.html"&gt;Creo en Dios y en su Palabra&lt;/a&gt;&lt;/li&gt;</v>
      </c>
    </row>
    <row r="108" spans="9:18" x14ac:dyDescent="0.3">
      <c r="I108" s="17" t="str">
        <v>&lt;li data-author="Ain Karem"&gt;&lt;a href="canciones/ain_karem/anunciarte.html"&gt;Anunciarte&lt;/a&gt;&lt;/li&gt;</v>
      </c>
      <c r="P108" s="17" t="str">
        <v>&lt;li data-author="Ixcís"&gt;&lt;a href="canciones/ixcis/los_que_tienen_hambre_y_sed_de_justicia.html"&gt;Los que tienen hambre y sed de justicia&lt;/a&gt;&lt;/li&gt;</v>
      </c>
      <c r="Q108" s="17" t="str">
        <v>&lt;li data-author="Kairoi"&gt;&lt;a href="canciones/kairoi/en_ti_solo_descanso.html"&gt;En ti solo descanso&lt;/a&gt;&lt;/li&gt;</v>
      </c>
      <c r="R108" s="17" t="str">
        <v>&lt;li data-author="Fernando Viejo" data-nold="132"&gt;&lt;a href="canciones/fernando_viejo/hasta_cuando_señor.html"&gt;Hasta cuándo, Señor&lt;/a&gt;&lt;/li&gt;</v>
      </c>
    </row>
    <row r="109" spans="9:18" x14ac:dyDescent="0.3">
      <c r="I109" s="17" t="str">
        <v>&lt;li data-author="Ain Karem"&gt;&lt;a href="canciones/ain_karem/invitanos.html"&gt;Invítanos&lt;/a&gt;&lt;/li&gt;</v>
      </c>
      <c r="P109" s="17" t="str">
        <v>&lt;li data-author="Ixcís"&gt;&lt;a href="canciones/ixcis/los_limpios_de_corazon.html"&gt;Los limpios de corazón&lt;/a&gt;&lt;/li&gt;</v>
      </c>
      <c r="Q109" s="17" t="str">
        <v>&lt;li data-author="Kairoi"&gt;&lt;a href="canciones/kairoi/dios_de_la_vida.html"&gt;Dios de la vida&lt;/a&gt;&lt;/li&gt;</v>
      </c>
      <c r="R109" s="17" t="str">
        <v>&lt;li data-author="Fernando Viejo" data-nold="199"&gt;&lt;a href="canciones/fernando_viejo/padre_nuestro_que_estas_en_la_tierra.html"&gt;Padre nuestro, que estás en la tierra&lt;/a&gt;&lt;/li&gt;</v>
      </c>
    </row>
    <row r="110" spans="9:18" x14ac:dyDescent="0.3">
      <c r="I110" s="17" t="str">
        <v>&lt;li data-author="Ain Karem"&gt;&lt;a href="canciones/ain_karem/hagase.html"&gt;Hágase&lt;/a&gt;&lt;/li&gt;</v>
      </c>
      <c r="P110" s="17" t="str">
        <v>&lt;li data-author="Ixcís"&gt;&lt;a href="canciones/ixcis/los_misericordiosos.html"&gt;Los misericordiosos&lt;/a&gt;&lt;/li&gt;</v>
      </c>
      <c r="Q110" s="17" t="str">
        <v>&lt;li data-author="Kairoi"&gt;&lt;a href="canciones/kairoi/sueña.html"&gt;Sueña&lt;/a&gt;&lt;/li&gt;</v>
      </c>
      <c r="R110" s="17" t="str">
        <v>&lt;li data-author="Fernando Viejo" data-nold="204"&gt;&lt;a href="canciones/fernando_viejo/piedad_señor_piedad.html"&gt;Piedad, Señor, piedad&lt;/a&gt;&lt;/li&gt;</v>
      </c>
    </row>
    <row r="111" spans="9:18" x14ac:dyDescent="0.3">
      <c r="I111" s="17" t="str">
        <v>&lt;li data-author="Ain Karem"&gt;&lt;a href="canciones/ain_karem/creatura_habitada.html"&gt;Creatura habitada&lt;/a&gt;&lt;/li&gt;</v>
      </c>
      <c r="P111" s="17" t="str">
        <v>&lt;li data-author="Ixcís"&gt;&lt;a href="canciones/ixcis/los_constructores_de_paz.html"&gt;Los constructores de paz&lt;/a&gt;&lt;/li&gt;</v>
      </c>
      <c r="Q111" s="17" t="str">
        <v>&lt;li data-author="Kairoi"&gt;&lt;a href="canciones/kairoi/me_estas_llamando.html"&gt;Me estás llamando&lt;/a&gt;&lt;/li&gt;</v>
      </c>
      <c r="R111" s="17" t="str">
        <v>&lt;li data-author="Fernando Viejo" data-nold="223"&gt;&lt;a href="canciones/fernando_viejo/que_detalle_señor.html"&gt;Qué detalle, Señor&lt;/a&gt;&lt;/li&gt;</v>
      </c>
    </row>
    <row r="112" spans="9:18" x14ac:dyDescent="0.3">
      <c r="I112" s="17" t="str">
        <v>&lt;li data-author="Ain Karem"&gt;&lt;a href="canciones/ain_karem/el_hombre_de_gerasa.html"&gt;El hombre de Gerasa&lt;/a&gt;&lt;/li&gt;</v>
      </c>
      <c r="P112" s="17" t="str">
        <v>&lt;li data-author="Ixcís"&gt;&lt;a href="canciones/ixcis/los_perseguidos.html"&gt;Los perseguidos&lt;/a&gt;&lt;/li&gt;</v>
      </c>
      <c r="Q112" s="17" t="str">
        <v>&lt;li data-author="Kairoi"&gt;&lt;a href="canciones/kairoi/tocare_para_ti.html"&gt;Tocaré para ti&lt;/a&gt;&lt;/li&gt;</v>
      </c>
      <c r="R112" s="17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8" x14ac:dyDescent="0.3">
      <c r="I113" s="17" t="str">
        <v>&lt;li data-author="Ain Karem"&gt;&lt;a href="canciones/ain_karem/llueve_tu.html"&gt;Llueve Tú&lt;/a&gt;&lt;/li&gt;</v>
      </c>
      <c r="P113" s="17" t="str">
        <v>&lt;li data-author="Ixcís"&gt;&lt;a href="canciones/ixcis/infinito_abismo.html"&gt;Infinito abismo&lt;/a&gt;&lt;/li&gt;</v>
      </c>
      <c r="Q113" s="17" t="str">
        <v>&lt;li data-author="Kairoi"&gt;&lt;a href="canciones/kairoi/enseñanos_a_orar.html"&gt;Enséñanos a orar&lt;/a&gt;&lt;/li&gt;</v>
      </c>
      <c r="R113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4" spans="9:18" x14ac:dyDescent="0.3">
      <c r="I114" s="17" t="str">
        <v>&lt;li data-author="Ain Karem"&gt;&lt;a href="canciones/ain_karem/benedictus.html"&gt;Benedictus&lt;/a&gt;&lt;/li&gt;</v>
      </c>
      <c r="P114" s="17" t="str">
        <v>&lt;li data-author="Ixcís"&gt;&lt;a href="canciones/ixcis/hacia_ti.html"&gt;Hacia Ti&lt;/a&gt;&lt;/li&gt;</v>
      </c>
      <c r="Q114" s="17" t="str">
        <v>&lt;li data-author="Kairoi"&gt;&lt;a href="canciones/kairoi/tu_señor.html"&gt;Tú, Señor&lt;/a&gt;&lt;/li&gt;</v>
      </c>
      <c r="R114" s="17" t="str">
        <v>&lt;li data-author="Francisco Palazón" data-momento="Santo" data-nnew="G05" data-nold="245"&gt;&lt;a href="canciones/francisco_palazon/santo_(palazon).html"&gt;Santo (Palazón)&lt;/a&gt;&lt;/li&gt;</v>
      </c>
    </row>
    <row r="115" spans="9:18" x14ac:dyDescent="0.3">
      <c r="I115" s="17" t="str">
        <v>&lt;li data-author="Ain Karem"&gt;&lt;a href="canciones/ain_karem/heme_aqui.html"&gt;Heme aquí&lt;/a&gt;&lt;/li&gt;</v>
      </c>
      <c r="P115" s="17" t="str">
        <v>&lt;li data-author="Ixcís"&gt;&lt;a href="canciones/ixcis/ora_en_mi.html"&gt;Ora en mí&lt;/a&gt;&lt;/li&gt;</v>
      </c>
      <c r="Q115" s="17" t="str">
        <v>&lt;li data-author="Kairoi"&gt;&lt;a href="canciones/kairoi/esperando_con_maria.html"&gt;Esperando con María&lt;/a&gt;&lt;/li&gt;</v>
      </c>
      <c r="R115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6" spans="9:18" x14ac:dyDescent="0.3">
      <c r="P116" s="17" t="str">
        <v>&lt;li data-author="Ixcís"&gt;&lt;a href="canciones/ixcis/vuelve.html"&gt;Vuelve&lt;/a&gt;&lt;/li&gt;</v>
      </c>
      <c r="R116" s="17" t="str">
        <v>&lt;li data-author="Francisco Palazón" data-nold="71"&gt;&lt;a href="canciones/francisco_palazon/dad_gracias_al_señor.html"&gt;Dad gracias al Señor&lt;/a&gt;&lt;/li&gt;</v>
      </c>
    </row>
    <row r="117" spans="9:18" x14ac:dyDescent="0.3">
      <c r="P117" s="17" t="str">
        <v>&lt;li data-author="Ixcís"&gt;&lt;a href="canciones/ixcis/espero_en_ti.html"&gt;Espero en ti&lt;/a&gt;&lt;/li&gt;</v>
      </c>
      <c r="R117" s="17" t="str">
        <v>&lt;li data-author="Francisco Palazón" data-nold="93"&gt;&lt;a href="canciones/francisco_palazon/el_auxilio_me_viene_del_señor.html"&gt;El auxilio me viene del Señor&lt;/a&gt;&lt;/li&gt;</v>
      </c>
    </row>
    <row r="118" spans="9:18" x14ac:dyDescent="0.3">
      <c r="P118" s="17" t="str">
        <v>&lt;li data-author="Ixcís"&gt;&lt;a href="canciones/ixcis/extiende_tu_mano.html"&gt;Extiende tu mano&lt;/a&gt;&lt;/li&gt;</v>
      </c>
      <c r="R118" s="17" t="str">
        <v>&lt;li data-author="Francisco Palazón" data-nold="62"&gt;&lt;a href="canciones/francisco_palazon/cantico_de_daniel.html"&gt;Cántico de Daniel&lt;/a&gt;&lt;/li&gt;</v>
      </c>
    </row>
    <row r="119" spans="9:18" x14ac:dyDescent="0.3">
      <c r="P119" s="17" t="str">
        <v>&lt;li data-author="Ixcís"&gt;&lt;a href="canciones/ixcis/ruah.html"&gt;Ruah&lt;/a&gt;&lt;/li&gt;</v>
      </c>
      <c r="R119" s="17" t="str">
        <v>&lt;li data-author="Francisco Palazón" data-nold="27"&gt;&lt;a href="canciones/francisco_palazon/a_ti_levanto_mi_alma.html"&gt;A ti levanto mi alma&lt;/a&gt;&lt;/li&gt;</v>
      </c>
    </row>
    <row r="120" spans="9:18" x14ac:dyDescent="0.3">
      <c r="P120" s="17" t="str">
        <v>&lt;li data-author="Ixcís"&gt;&lt;a href="canciones/ixcis/descansa.html"&gt;Descansa&lt;/a&gt;&lt;/li&gt;</v>
      </c>
      <c r="R120" s="17" t="str">
        <v>&lt;li data-author="Francisco Palazón" data-momento="Antífonas" data-nnew="D12"&gt;&lt;a href="canciones/francisco_palazon/el_caliz_que_bendecimos.html"&gt;El cáliz que bendecimos&lt;/a&gt;&lt;/li&gt;</v>
      </c>
    </row>
    <row r="121" spans="9:18" x14ac:dyDescent="0.3">
      <c r="P121" s="17" t="str">
        <v>&lt;li data-author="Ixcís"&gt;&lt;a href="canciones/ixcis/cuando_vuelva_tu_luz.html"&gt;Cuando vuelva tu luz&lt;/a&gt;&lt;/li&gt;</v>
      </c>
      <c r="R121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2" spans="9:18" x14ac:dyDescent="0.3">
      <c r="P122" s="17" t="str">
        <v>&lt;li data-author="Ixcís"&gt;&lt;a href="canciones/ixcis/entra_en_tu_cuarto.html"&gt;Entra en tu cuarto&lt;/a&gt;&lt;/li&gt;</v>
      </c>
      <c r="R122" s="17" t="str">
        <v>&lt;li data-author="Francisco Palazón" data-nold="18"&gt;&lt;a href="canciones/francisco_palazon/el_señor_tenga_piedad.html"&gt;El Señor tenga piedad&lt;/a&gt;&lt;/li&gt;</v>
      </c>
    </row>
    <row r="123" spans="9:18" x14ac:dyDescent="0.3">
      <c r="P123" s="17" t="str">
        <v>&lt;li data-author="Ixcís"&gt;&lt;a href="canciones/ixcis/transfigurame.html"&gt;Transfigúrame&lt;/a&gt;&lt;/li&gt;</v>
      </c>
      <c r="R123" s="17" t="str">
        <v>&lt;li data-author="Francisco Palazón" data-nold="36"&gt;&lt;a href="canciones/francisco_palazon/caminare_en_presencia_del_señor.html"&gt;Caminaré en presencia del Señor&lt;/a&gt;&lt;/li&gt;</v>
      </c>
    </row>
    <row r="124" spans="9:18" x14ac:dyDescent="0.3">
      <c r="P124" s="17" t="str">
        <v>&lt;li data-author="Ixcís"&gt;&lt;a href="canciones/ixcis/tengo_fe.html"&gt;Tengo fe&lt;/a&gt;&lt;/li&gt;</v>
      </c>
      <c r="R124" s="17" t="str">
        <v>&lt;li data-author="Francisco Palazón" data-nold="103"&gt;&lt;a href="canciones/francisco_palazon/el_señor_es_bueno.html"&gt;El Señor es bueno&lt;/a&gt;&lt;/li&gt;</v>
      </c>
    </row>
    <row r="125" spans="9:18" x14ac:dyDescent="0.3">
      <c r="P125" s="17" t="str">
        <v>&lt;li data-author="Ixcís"&gt;&lt;a href="canciones/ixcis/que_sean_uno.html"&gt;Que sean uno&lt;/a&gt;&lt;/li&gt;</v>
      </c>
      <c r="R125" s="17" t="str">
        <v>&lt;li data-author="Francisco Palazón" data-nold="207"&gt;&lt;a href="canciones/francisco_palazon/protegeme_dios_mio.html"&gt;Protégeme, Dios mío&lt;/a&gt;&lt;/li&gt;</v>
      </c>
    </row>
    <row r="126" spans="9:18" x14ac:dyDescent="0.3">
      <c r="P126" s="17" t="str">
        <v>&lt;li data-author="Ixcís"&gt;&lt;a href="canciones/ixcis/ama_y_haz_lo_que_quieras.html"&gt;Ama y haz lo que quieras&lt;/a&gt;&lt;/li&gt;</v>
      </c>
      <c r="R126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7" spans="9:18" x14ac:dyDescent="0.3">
      <c r="P127" s="17" t="str">
        <v>&lt;li data-author="Ixcís"&gt;&lt;a href="canciones/ixcis/si_no_te_dejo_marchar.html"&gt;Si no te dejo marchar&lt;/a&gt;&lt;/li&gt;</v>
      </c>
      <c r="R127" s="17" t="str">
        <v>&lt;li data-author="Francisco Palazón" data-momento="María" data-nnew="M16" data-nold="42"&gt;&lt;a href="canciones/francisco_palazon/mujer_fuerte.html"&gt;Mujer fuerte&lt;/a&gt;&lt;/li&gt;</v>
      </c>
    </row>
    <row r="128" spans="9:18" x14ac:dyDescent="0.3">
      <c r="P128" s="17" t="str">
        <v>&lt;li data-author="Ixcís"&gt;&lt;a href="canciones/ixcis/sopla_en_mi.html"&gt;Sopla en mí&lt;/a&gt;&lt;/li&gt;</v>
      </c>
      <c r="R128" s="17" t="str">
        <v>&lt;li data-author="Francisco Palazón" data-nold="161"&gt;&lt;a href="canciones/francisco_palazon/madre_de_los_creyentes.html"&gt;Madre de los creyentes&lt;/a&gt;&lt;/li&gt;</v>
      </c>
    </row>
    <row r="129" spans="16:18" x14ac:dyDescent="0.3">
      <c r="P129" s="17" t="str">
        <v>&lt;li data-author="Ixcís"&gt;&lt;a href="canciones/ixcis/peña_mia.html"&gt;Peña mía&lt;/a&gt;&lt;/li&gt;</v>
      </c>
      <c r="R129" s="17" t="str">
        <v>&lt;li data-author="Francisco Palazón" data-momento="María" data-nnew="M19" data-nold="227 y 228"&gt;&lt;a href="canciones/francisco_palazon/reina_del_cielo.html"&gt;Reina del Cielo&lt;/a&gt;&lt;/li&gt;</v>
      </c>
    </row>
    <row r="130" spans="16:18" x14ac:dyDescent="0.3">
      <c r="P130" s="17" t="str">
        <v>&lt;li data-author="Ixcís"&gt;&lt;a href="canciones/ixcis/vuestra_soy.html"&gt;Vuestra soy&lt;/a&gt;&lt;/li&gt;</v>
      </c>
      <c r="R130" s="17" t="str">
        <v>&lt;li data-author="Francisco Palazón" data-nold="91"&gt;&lt;a href="canciones/francisco_palazon/a_quien_se_parece.html"&gt;A quién se parece&lt;/a&gt;&lt;/li&gt;</v>
      </c>
    </row>
    <row r="131" spans="16:18" x14ac:dyDescent="0.3">
      <c r="P131" s="17" t="str">
        <v>&lt;li data-author="Ixcís"&gt;&lt;a href="canciones/ixcis/la_partida.html"&gt;La partida&lt;/a&gt;&lt;/li&gt;</v>
      </c>
      <c r="R131" s="17" t="str">
        <v>&lt;li data-author="Francisco Palazón" data-nold="110"&gt;&lt;a href="canciones/francisco_palazon/el_señor_ha_estado_grande_con_nosotros.html"&gt;El Señor ha estado grande con nosotros&lt;/a&gt;&lt;/li&gt;</v>
      </c>
    </row>
    <row r="132" spans="16:18" x14ac:dyDescent="0.3">
      <c r="P132" s="17" t="str">
        <v>&lt;li data-author="Ixcís"&gt;&lt;a href="canciones/ixcis/por_ti_madrugo.html"&gt;Por ti madrugo&lt;/a&gt;&lt;/li&gt;</v>
      </c>
      <c r="R132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3" spans="16:18" x14ac:dyDescent="0.3">
      <c r="P133" s="17" t="str">
        <v>&lt;li data-author="Ixcís"&gt;&lt;a href="canciones/ixcis/si_te_tengo_a_ti.html"&gt;Si te tengo a ti&lt;/a&gt;&lt;/li&gt;</v>
      </c>
      <c r="R133" s="17" t="str">
        <v>&lt;li data-author="Francisco Palazón" data-nold="232"&gt;&lt;a href="canciones/francisco_palazon/señor_dios_nuestro.html"&gt;Señor, Dios nuestro&lt;/a&gt;&lt;/li&gt;</v>
      </c>
    </row>
    <row r="134" spans="16:18" x14ac:dyDescent="0.3">
      <c r="P134" s="17" t="str">
        <v>&lt;li data-author="Ixcís"&gt;&lt;a href="canciones/ixcis/la_verdad.html"&gt;La verdad&lt;/a&gt;&lt;/li&gt;</v>
      </c>
      <c r="R134" s="17" t="str">
        <v>&lt;li data-author="Francisco Palazón" data-nold="240"&gt;&lt;a href="canciones/francisco_palazon/señor_tu_has_sido_nuestro_refugio.html"&gt;Señor, tú has sido nuestro refugio&lt;/a&gt;&lt;/li&gt;</v>
      </c>
    </row>
    <row r="135" spans="16:18" x14ac:dyDescent="0.3">
      <c r="P135" s="17" t="str">
        <v>&lt;li data-author="Ixcís"&gt;&lt;a href="canciones/ixcis/te_quiero.html"&gt;Te quiero&lt;/a&gt;&lt;/li&gt;</v>
      </c>
      <c r="R135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6" spans="16:18" x14ac:dyDescent="0.3">
      <c r="P136" s="17" t="str">
        <v>&lt;li data-author="Ixcís"&gt;&lt;a href="canciones/ixcis/maria_de_nazaret.html"&gt;María de Nazaret&lt;/a&gt;&lt;/li&gt;</v>
      </c>
      <c r="R136" s="17" t="str">
        <v>&lt;li data-author="Francisco Palazón" data-nold="186"&gt;&lt;a href="canciones/francisco_palazon/oh_dios_tu_mereces_un_himno_en_sion.html"&gt;Oh, Dios, Tú mereces un himno en Sión&lt;/a&gt;&lt;/li&gt;</v>
      </c>
    </row>
    <row r="137" spans="16:18" x14ac:dyDescent="0.3">
      <c r="P137" s="17" t="str">
        <v>&lt;li data-author="Ixcís"&gt;&lt;a href="canciones/ixcis/regalada.html"&gt;Regalada&lt;/a&gt;&lt;/li&gt;</v>
      </c>
      <c r="R137" s="17" t="str">
        <v>&lt;li data-author="Francisco Palazón" data-nold="2"&gt;&lt;a href="canciones/francisco_palazon/aclamad_justos_al_señor.html"&gt;Aclamad, justos, al Señor&lt;/a&gt;&lt;/li&gt;</v>
      </c>
    </row>
    <row r="138" spans="16:18" x14ac:dyDescent="0.3">
      <c r="P138" s="17" t="str">
        <v>&lt;li data-author="Ixcís"&gt;&lt;a href="canciones/ixcis/darnos_del_todo.html"&gt;Darnos del todo&lt;/a&gt;&lt;/li&gt;</v>
      </c>
      <c r="R138" s="17" t="str">
        <v>&lt;li data-author="Francisco Palazón" data-momento="Comunión" data-nnew="K67"&gt;&lt;a href="canciones/francisco_palazon/si_me_falta_el_amor.html"&gt;Si me falta el amor&lt;/a&gt;&lt;/li&gt;</v>
      </c>
    </row>
    <row r="139" spans="16:18" x14ac:dyDescent="0.3">
      <c r="P139" s="17" t="str">
        <v>&lt;li data-author="Ixcís"&gt;&lt;a href="canciones/ixcis/misericordia.html"&gt;Misericordia&lt;/a&gt;&lt;/li&gt;</v>
      </c>
      <c r="R139" s="17" t="str">
        <v>&lt;li data-author="Francisco Palazón" data-momento="Despedida" data-nnew="L08" data-nold="470"&gt;&lt;a href="canciones/francisco_palazon/vaso_nuevo.html"&gt;Vaso nuevo&lt;/a&gt;&lt;/li&gt;</v>
      </c>
    </row>
    <row r="140" spans="16:18" x14ac:dyDescent="0.3">
      <c r="P140" s="17" t="str">
        <v>&lt;li data-author="Ixcís"&gt;&lt;a href="canciones/ixcis/enseñame_a_quereme.html"&gt;Enséñame a quereme&lt;/a&gt;&lt;/li&gt;</v>
      </c>
      <c r="R140" s="17" t="str">
        <v>&lt;li data-author="Francisco Palazón" data-nold="281"&gt;&lt;a href="canciones/francisco_palazon/ven_a_salvar_a_tu_pueblo.html"&gt;Ven a salvar a tu pueblo&lt;/a&gt;&lt;/li&gt;</v>
      </c>
    </row>
    <row r="141" spans="16:18" x14ac:dyDescent="0.3">
      <c r="P141" s="17" t="str">
        <v>&lt;li data-author="Ixcís"&gt;&lt;a href="canciones/ixcis/tu_sabes_quien_soy.html"&gt;Tú sabes quién soy&lt;/a&gt;&lt;/li&gt;</v>
      </c>
      <c r="R141" s="17" t="str">
        <v>&lt;li data-author="Hakuna" data-momento="Entrada" data-nnew="A18"&gt;&lt;a href="canciones/hakuna/enciendeme.html"&gt;Enciéndeme&lt;/a&gt;&lt;/li&gt;</v>
      </c>
    </row>
    <row r="142" spans="16:18" x14ac:dyDescent="0.3">
      <c r="P142" s="17" t="str">
        <v>&lt;li data-author="Ixcís"&gt;&lt;a href="canciones/ixcis/tu_bondad.html"&gt;Tu bondad&lt;/a&gt;&lt;/li&gt;</v>
      </c>
      <c r="R142" s="17" t="str">
        <v>&lt;li data-author="Hakuna" data-momento="Comunión" data-nnew="K72"&gt;&lt;a href="canciones/hakuna/tomad_comed.html"&gt;Tomad, comed&lt;/a&gt;&lt;/li&gt;</v>
      </c>
    </row>
    <row r="143" spans="16:18" x14ac:dyDescent="0.3">
      <c r="P143" s="17" t="str">
        <v>&lt;li data-author="Ixcís"&gt;&lt;a href="canciones/ixcis/levantaos_esta_cerca.html"&gt;Levantaos, está cerca&lt;/a&gt;&lt;/li&gt;</v>
      </c>
      <c r="R143" s="17" t="str">
        <v>&lt;li data-author="Hakuna" data-momento="Comunión" data-nnew="K39"&gt;&lt;a href="canciones/hakuna/huracan.html"&gt;Huracán&lt;/a&gt;&lt;/li&gt;</v>
      </c>
    </row>
    <row r="144" spans="16:18" x14ac:dyDescent="0.3">
      <c r="P144" s="17" t="str">
        <v>&lt;li data-author="Ixcís"&gt;&lt;a href="canciones/ixcis/ven_a_sanarme.html"&gt;Ven a sanarme&lt;/a&gt;&lt;/li&gt;</v>
      </c>
      <c r="R144" s="17" t="str">
        <v>&lt;li data-author="Ixcís" data-momento="Antífonas" data-nnew="D06"&gt;&lt;a href="canciones/ixcis/caminare_hoy_en_tu_presencia.html"&gt;Caminaré hoy en tu presencia&lt;/a&gt;&lt;/li&gt;</v>
      </c>
    </row>
    <row r="145" spans="16:18" x14ac:dyDescent="0.3">
      <c r="P145" s="17" t="str">
        <v>&lt;li data-author="Ixcís"&gt;&lt;a href="canciones/ixcis/el_circulo_del_juicio.html"&gt;El círculo del juicio&lt;/a&gt;&lt;/li&gt;</v>
      </c>
      <c r="R145" s="17" t="str">
        <v>&lt;li data-author="Ixcís" data-momento="Ofertorio" data-nnew="F14"&gt;&lt;a href="canciones/ixcis/sigue_habiendo.html"&gt;Sigue habiendo&lt;/a&gt;&lt;/li&gt;</v>
      </c>
    </row>
    <row r="146" spans="16:18" x14ac:dyDescent="0.3">
      <c r="P146" s="17" t="str">
        <v>&lt;li data-author="Ixcís"&gt;&lt;a href="canciones/ixcis/hijo_de_david.html"&gt;Hijo de David&lt;/a&gt;&lt;/li&gt;</v>
      </c>
      <c r="R146" s="17" t="str">
        <v>&lt;li data-author="Ixcís" data-momento="Antífonas" data-nnew="D24"&gt;&lt;a href="canciones/ixcis/mueveme_mi_dios.html"&gt;Muéveme, mi Dios&lt;/a&gt;&lt;/li&gt;</v>
      </c>
    </row>
    <row r="147" spans="16:18" x14ac:dyDescent="0.3">
      <c r="P147" s="17" t="str">
        <v>&lt;li data-author="Ixcís"&gt;&lt;a href="canciones/ixcis/hambre_y_sed_de_ti.html"&gt;Hambre y sed de ti&lt;/a&gt;&lt;/li&gt;</v>
      </c>
      <c r="R147" s="17" t="str">
        <v>&lt;li data-author="Ixcís" data-momento="Antífonas" data-nnew="D09"&gt;&lt;a href="canciones/ixcis/como_sal_como_luz.html"&gt;Como sal, como luz&lt;/a&gt;&lt;/li&gt;</v>
      </c>
    </row>
    <row r="148" spans="16:18" x14ac:dyDescent="0.3">
      <c r="P148" s="17" t="str">
        <v>&lt;li data-author="Ixcís"&gt;&lt;a href="canciones/ixcis/madre_de_la_humanidad.html"&gt;Madre de la humanidad&lt;/a&gt;&lt;/li&gt;</v>
      </c>
      <c r="R148" s="17" t="str">
        <v>&lt;li data-author="Joaquín Madurga" data-momento="Comunión" data-nnew="K05" data-nold="12"&gt;&lt;a href="canciones/joaquin_madurga/al_ver_jesus.html"&gt;Al ver Jesús&lt;/a&gt;&lt;/li&gt;</v>
      </c>
    </row>
    <row r="149" spans="16:18" x14ac:dyDescent="0.3">
      <c r="P149" s="17" t="str">
        <v>&lt;li data-author="Ixcís"&gt;&lt;a href="canciones/ixcis/transformame.html"&gt;Transfórmame&lt;/a&gt;&lt;/li&gt;</v>
      </c>
      <c r="R149" s="17" t="str">
        <v>&lt;li data-author="Joaquín Madurga" data-momento="Aleluya" data-nnew="E10"&gt;&lt;a href="canciones/joaquin_madurga/aleluya_ha_nacido_el_salvador.html"&gt;Aleluya, ha nacido el salvador&lt;/a&gt;&lt;/li&gt;</v>
      </c>
    </row>
    <row r="150" spans="16:18" x14ac:dyDescent="0.3">
      <c r="P150" s="17" t="str">
        <v>&lt;li data-author="Ixcís"&gt;&lt;a href="canciones/ixcis/quien_curara.html"&gt;Quién curará&lt;/a&gt;&lt;/li&gt;</v>
      </c>
      <c r="R150" s="17" t="str">
        <v>&lt;li data-author="Joaquín Madurga" data-momento="Ofertorio" data-nnew="F02" data-nold="26"&gt;&lt;a href="canciones/joaquin_madurga/andando_por_el_camino.html"&gt;Andando por el camino&lt;/a&gt;&lt;/li&gt;</v>
      </c>
    </row>
    <row r="151" spans="16:18" x14ac:dyDescent="0.3">
      <c r="P151" s="17" t="str">
        <v>&lt;li data-author="Ixcís"&gt;&lt;a href="canciones/ixcis/lazaro_grita.html"&gt;Lázaro grita&lt;/a&gt;&lt;/li&gt;</v>
      </c>
      <c r="R151" s="17" t="str">
        <v>&lt;li data-author="Joaquín Madurga" data-nold="48"&gt;&lt;a href="canciones/joaquin_madurga/comiendo_del_mismo_pan.html"&gt;Comiendo del mismo pan&lt;/a&gt;&lt;/li&gt;</v>
      </c>
    </row>
    <row r="152" spans="16:18" x14ac:dyDescent="0.3">
      <c r="P152" s="17" t="str">
        <v>&lt;li data-author="Ixcís"&gt;&lt;a href="canciones/ixcis/mi_buen_pastor.html"&gt;Mi buen Pastor&lt;/a&gt;&lt;/li&gt;</v>
      </c>
      <c r="R152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3" spans="16:18" x14ac:dyDescent="0.3">
      <c r="P153" s="17" t="str">
        <v>&lt;li data-author="Ixcís"&gt;&lt;a href="canciones/ixcis/la_ley_y_el_sabado.html"&gt;La ley y el sábado&lt;/a&gt;&lt;/li&gt;</v>
      </c>
      <c r="R153" s="17" t="str">
        <v>&lt;li data-author="Joaquín Madurga" data-momento="Entrada" data-nnew="A16"&gt;&lt;a href="canciones/joaquin_madurga/el_señor_resucito.html"&gt;El Señor resucitó&lt;/a&gt;&lt;/li&gt;</v>
      </c>
    </row>
    <row r="154" spans="16:18" x14ac:dyDescent="0.3">
      <c r="P154" s="17" t="str">
        <v>&lt;li data-author="Ixcís"&gt;&lt;a href="canciones/ixcis/el_ayuno_que_yo_quiero.html"&gt;El ayuno que yo quiero&lt;/a&gt;&lt;/li&gt;</v>
      </c>
      <c r="R154" s="17" t="str">
        <v>&lt;li data-author="Joaquín Madurga" data-momento="Entrada" data-nnew="A20" data-nold="122"&gt;&lt;a href="canciones/joaquin_madurga/esta_es_tu_fiesta.html"&gt;Esta es tu fiesta&lt;/a&gt;&lt;/li&gt;</v>
      </c>
    </row>
    <row r="155" spans="16:18" x14ac:dyDescent="0.3">
      <c r="P155" s="17" t="str">
        <v>&lt;li data-author="Ixcís"&gt;&lt;a href="canciones/ixcis/amad_a_vuestros_enemigos.html"&gt;Amad a vuestros enemigos&lt;/a&gt;&lt;/li&gt;</v>
      </c>
      <c r="R155" s="17" t="str">
        <v>&lt;li data-author="Joaquín Madurga" data-momento="Entrada" data-nnew="A35" data-nold="275"&gt;&lt;a href="canciones/joaquin_madurga/unidos_en_la_fiesta.html"&gt;Unidos en la fiesta&lt;/a&gt;&lt;/li&gt;</v>
      </c>
    </row>
    <row r="156" spans="16:18" x14ac:dyDescent="0.3">
      <c r="P156" s="17" t="str">
        <v>&lt;li data-author="Ixcís"&gt;&lt;a href="canciones/ixcis/tu_lluvia_desciende.html"&gt;Tu lluvia desciende&lt;/a&gt;&lt;/li&gt;</v>
      </c>
      <c r="R156" s="17" t="str">
        <v>&lt;li data-author="Joaquín Madurga" data-nold="287"&gt;&lt;a href="canciones/joaquin_madurga/vamos_buscando_la_verdad.html"&gt;Vamos buscando la verdad&lt;/a&gt;&lt;/li&gt;</v>
      </c>
    </row>
    <row r="157" spans="16:18" x14ac:dyDescent="0.3">
      <c r="P157" s="17" t="str">
        <v>&lt;li data-author="Ixcís"&gt;&lt;a href="canciones/ixcis/mirad_los_lirios.html"&gt;Mirad los lirios&lt;/a&gt;&lt;/li&gt;</v>
      </c>
      <c r="R157" s="17" t="str">
        <v>&lt;li data-author="Josep Asunción" data-momento="Comunión" data-nnew="K02"&gt;&lt;a href="canciones/josep_asuncion/adorare_tu_cuerpo_herido.html"&gt;Adoraré tu cuerpo herido&lt;/a&gt;&lt;/li&gt;</v>
      </c>
    </row>
    <row r="158" spans="16:18" x14ac:dyDescent="0.3">
      <c r="P158" s="17" t="str">
        <v>&lt;li data-author="Ixcís"&gt;&lt;a href="canciones/ixcis/por_todos.html"&gt;Por todos&lt;/a&gt;&lt;/li&gt;</v>
      </c>
      <c r="R158" s="17" t="str">
        <v>&lt;li data-author="Josep Asunción" data-momento="Antífonas" data-nnew="D39"&gt;&lt;a href="canciones/josep_asuncion/ven_y_descansate.html"&gt;Ven y descánsate&lt;/a&gt;&lt;/li&gt;</v>
      </c>
    </row>
    <row r="159" spans="16:18" x14ac:dyDescent="0.3">
      <c r="P159" s="17" t="str">
        <v>&lt;li data-author="Ixcís"&gt;&lt;a href="canciones/ixcis/te_seguire.html"&gt;Te seguiré&lt;/a&gt;&lt;/li&gt;</v>
      </c>
      <c r="R159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60" spans="16:18" x14ac:dyDescent="0.3">
      <c r="P160" s="17" t="str">
        <v>&lt;li data-author="Ixcís"&gt;&lt;a href="canciones/ixcis/proclama_mi_alma.html"&gt;Proclama mi alma&lt;/a&gt;&lt;/li&gt;</v>
      </c>
      <c r="R160" s="17" t="str">
        <v>&lt;li data-author="Juan Antonio Espinosa" data-momento="Entrada" data-nnew="A05" data-nold="16"&gt;&lt;a href="canciones/juan_antonio_espinosa/alegre_la_mañana.html"&gt;Alegre la mañana&lt;/a&gt;&lt;/li&gt;</v>
      </c>
    </row>
    <row r="161" spans="16:18" x14ac:dyDescent="0.3">
      <c r="P161" s="17" t="str">
        <v>&lt;li data-author="Ixcís"&gt;&lt;a href="canciones/ixcis/tanto_tiempo.html"&gt;Tanto tiempo&lt;/a&gt;&lt;/li&gt;</v>
      </c>
      <c r="R161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2" spans="16:18" x14ac:dyDescent="0.3">
      <c r="P162" s="17" t="str">
        <v>&lt;li data-author="Ixcís"&gt;&lt;a href="canciones/ixcis/tu_en_mi_yo_en_todos.html"&gt;Tú en mí, yo en todos&lt;/a&gt;&lt;/li&gt;</v>
      </c>
      <c r="R162" s="17" t="str">
        <v>&lt;li data-author="Juan Antonio Espinosa" data-nold="39"&gt;&lt;a href="canciones/juan_antonio_espinosa/caminare_en_presencia_del_señor.html"&gt;Caminaré en presencia del Señor&lt;/a&gt;&lt;/li&gt;</v>
      </c>
    </row>
    <row r="163" spans="16:18" x14ac:dyDescent="0.3">
      <c r="P163" s="17" t="str">
        <v>&lt;li data-author="Ixcís"&gt;&lt;a href="canciones/ixcis/padre_me_ofrezco.html"&gt;Padre, me ofrezco&lt;/a&gt;&lt;/li&gt;</v>
      </c>
      <c r="R163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4" spans="16:18" x14ac:dyDescent="0.3">
      <c r="P164" s="17" t="str">
        <v>&lt;li data-author="Ixcís"&gt;&lt;a href="canciones/ixcis/dios_padre_y_madre.html"&gt;Dios Padre y Madre&lt;/a&gt;&lt;/li&gt;</v>
      </c>
      <c r="R164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5" spans="16:18" x14ac:dyDescent="0.3">
      <c r="P165" s="17" t="str">
        <v>&lt;li data-author="Ixcís"&gt;&lt;a href="canciones/ixcis/dios_del_cielo.html"&gt;Dios del cielo&lt;/a&gt;&lt;/li&gt;</v>
      </c>
      <c r="R165" s="17" t="str">
        <v>&lt;li data-author="Juan Antonio Espinosa" data-momento="Comunión" data-nnew="K23" data-nold="77"&gt;&lt;a href="canciones/juan_antonio_espinosa/dolorosa.html"&gt;Dolorosa&lt;/a&gt;&lt;/li&gt;</v>
      </c>
    </row>
    <row r="166" spans="16:18" x14ac:dyDescent="0.3">
      <c r="P166" s="17" t="str">
        <v>&lt;li data-author="Ixcís"&gt;&lt;a href="canciones/ixcis/santificare_tu_nombre.html"&gt;Santificaré tu nombre&lt;/a&gt;&lt;/li&gt;</v>
      </c>
      <c r="R166" s="17" t="str">
        <v>&lt;li data-author="Juan Antonio Espinosa" data-nold="102"&gt;&lt;a href="canciones/juan_antonio_espinosa/el_señor_es_mi_fuerza.html"&gt;El Señor es mi fuerza&lt;/a&gt;&lt;/li&gt;</v>
      </c>
    </row>
    <row r="167" spans="16:18" x14ac:dyDescent="0.3">
      <c r="P167" s="17" t="str">
        <v>&lt;li data-author="Ixcís"&gt;&lt;a href="canciones/ixcis/parabola_del_reino.html"&gt;Parábola del Reino&lt;/a&gt;&lt;/li&gt;</v>
      </c>
      <c r="R167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8" spans="16:18" x14ac:dyDescent="0.3">
      <c r="P168" s="17" t="str">
        <v>&lt;li data-author="Ixcís"&gt;&lt;a href="canciones/ixcis/hacer_tu_voluntad.html"&gt;Hacer tu voluntad&lt;/a&gt;&lt;/li&gt;</v>
      </c>
      <c r="R168" s="17" t="str">
        <v>&lt;li data-author="Juan Antonio Espinosa" data-nold="108"&gt;&lt;a href="canciones/juan_antonio_espinosa/errante_voy.html"&gt;Errante voy&lt;/a&gt;&lt;/li&gt;</v>
      </c>
    </row>
    <row r="169" spans="16:18" x14ac:dyDescent="0.3">
      <c r="P169" s="17" t="str">
        <v>&lt;li data-author="Ixcís"&gt;&lt;a href="canciones/ixcis/nueva_tierra.html"&gt;Nueva tierra&lt;/a&gt;&lt;/li&gt;</v>
      </c>
      <c r="R169" s="17" t="str">
        <v>&lt;li data-author="Juan Antonio Espinosa" data-nold="117"&gt;&lt;a href="canciones/juan_antonio_espinosa/escucha_nuestros_gritos_en_la_noche.html"&gt;Escucha nuestros gritos en la noche&lt;/a&gt;&lt;/li&gt;</v>
      </c>
    </row>
    <row r="170" spans="16:18" x14ac:dyDescent="0.3">
      <c r="P170" s="17" t="str">
        <v>&lt;li data-author="Ixcís"&gt;&lt;a href="canciones/ixcis/danos_hoy.html"&gt;Danos hoy&lt;/a&gt;&lt;/li&gt;</v>
      </c>
      <c r="R170" s="17" t="str">
        <v>&lt;li data-author="Juan Antonio Espinosa" data-nold="121"&gt;&lt;a href="canciones/juan_antonio_espinosa/este_es_el_dia_del_señor.html"&gt;Este es el día del Señor&lt;/a&gt;&lt;/li&gt;</v>
      </c>
    </row>
    <row r="171" spans="16:18" x14ac:dyDescent="0.3">
      <c r="P171" s="17" t="str">
        <v>&lt;li data-author="Ixcís"&gt;&lt;a href="canciones/ixcis/perdonanos.html"&gt;Perdónanos&lt;/a&gt;&lt;/li&gt;</v>
      </c>
      <c r="R171" s="17" t="str">
        <v>&lt;li data-author="Juan Antonio Espinosa" data-nold="125"&gt;&lt;a href="canciones/juan_antonio_espinosa/feliz_el_hombre.html"&gt;Feliz el hombre&lt;/a&gt;&lt;/li&gt;</v>
      </c>
    </row>
    <row r="172" spans="16:18" x14ac:dyDescent="0.3">
      <c r="P172" s="17" t="str">
        <v>&lt;li data-author="Ixcís"&gt;&lt;a href="canciones/ixcis/no_nos_dejes_caer.html"&gt;No nos dejes caer&lt;/a&gt;&lt;/li&gt;</v>
      </c>
      <c r="R172" s="17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73" spans="16:18" x14ac:dyDescent="0.3">
      <c r="P173" s="17" t="str">
        <v>&lt;li data-author="Ixcís"&gt;&lt;a href="canciones/ixcis/librame.html"&gt;Líbrame&lt;/a&gt;&lt;/li&gt;</v>
      </c>
      <c r="R173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4" spans="16:18" x14ac:dyDescent="0.3">
      <c r="P174" s="17" t="str">
        <v>&lt;li data-author="Ixcís"&gt;&lt;a href="canciones/ixcis/tu_amen.html"&gt;Tu Amén&lt;/a&gt;&lt;/li&gt;</v>
      </c>
      <c r="R174" s="17" t="str">
        <v>&lt;li data-author="Juan Antonio Espinosa" data-nold="174"&gt;&lt;a href="canciones/juan_antonio_espinosa/nacidos_de_la_luz.html"&gt;Nacidos de la luz&lt;/a&gt;&lt;/li&gt;</v>
      </c>
    </row>
    <row r="175" spans="16:18" x14ac:dyDescent="0.3">
      <c r="P175" s="17" t="str">
        <v>&lt;li data-author="Ixcís"&gt;&lt;a href="canciones/ixcis/somos_tu_pueblo.html"&gt;Somos tu pueblo&lt;/a&gt;&lt;/li&gt;</v>
      </c>
      <c r="R175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6" spans="16:18" x14ac:dyDescent="0.3">
      <c r="P176" s="17" t="str">
        <v>&lt;li data-author="Ixcís"&gt;&lt;a href="canciones/ixcis/padrenuestro_ii.html"&gt;Padrenuestro II&lt;/a&gt;&lt;/li&gt;</v>
      </c>
      <c r="R176" s="17" t="str">
        <v>&lt;li data-author="Juan Antonio Espinosa" data-nold="178"&gt;&lt;a href="canciones/juan_antonio_espinosa/no_yo_no_dejo_la_tierra.html"&gt;No, yo no dejo la tierra&lt;/a&gt;&lt;/li&gt;</v>
      </c>
    </row>
    <row r="177" spans="16:18" x14ac:dyDescent="0.3">
      <c r="P177" s="17" t="str">
        <v>&lt;li data-author="Ixcís"&gt;&lt;a href="canciones/ixcis/te_necesito.html"&gt;Te necesito&lt;/a&gt;&lt;/li&gt;</v>
      </c>
      <c r="R177" s="17" t="str">
        <v>&lt;li data-author="Juan Antonio Espinosa" data-nold="212"&gt;&lt;a href="canciones/juan_antonio_espinosa/perdon_señor_perdon.html"&gt;Perdón, Señor, perdón&lt;/a&gt;&lt;/li&gt;</v>
      </c>
    </row>
    <row r="178" spans="16:18" x14ac:dyDescent="0.3">
      <c r="P178" s="17" t="str">
        <v>&lt;li data-author="Ixcís"&gt;&lt;a href="canciones/ixcis/solo_quedas_tu.html"&gt;Sólo quedas Tú&lt;/a&gt;&lt;/li&gt;</v>
      </c>
      <c r="R178" s="17" t="str">
        <v>&lt;li data-author="Juan Antonio Espinosa" data-momento="Despedida" data-nnew="L06" data-nold="203"&gt;&lt;a href="canciones/juan_antonio_espinosa/por_ti_mi_dios.html"&gt;Por ti, mi Dios&lt;/a&gt;&lt;/li&gt;</v>
      </c>
    </row>
    <row r="179" spans="16:18" x14ac:dyDescent="0.3">
      <c r="P179" s="17" t="str">
        <v>&lt;li data-author="Ixcís"&gt;&lt;a href="canciones/ixcis/talihakum.html"&gt;Talihakum&lt;/a&gt;&lt;/li&gt;</v>
      </c>
      <c r="R179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80" spans="16:18" x14ac:dyDescent="0.3">
      <c r="P180" s="17" t="str">
        <v>&lt;li data-author="Ixcís"&gt;&lt;a href="canciones/ixcis/cristianos_de_orilla.html"&gt;Cristianos de orilla&lt;/a&gt;&lt;/li&gt;</v>
      </c>
      <c r="R180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1" spans="16:18" x14ac:dyDescent="0.3">
      <c r="P181" s="17" t="str">
        <v>&lt;li data-author="Ixcís"&gt;&lt;a href="canciones/ixcis/vive_lo_que_cantas.html"&gt;Vive lo que cantas&lt;/a&gt;&lt;/li&gt;</v>
      </c>
      <c r="R181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2" spans="16:18" x14ac:dyDescent="0.3">
      <c r="P182" s="17" t="str">
        <v>&lt;li data-author="Ixcís"&gt;&lt;a href="canciones/ixcis/culpable.html"&gt;Culpable&lt;/a&gt;&lt;/li&gt;</v>
      </c>
      <c r="R182" s="17" t="str">
        <v>&lt;li data-author="Juan Antonio Espinosa" data-nold="243"&gt;&lt;a href="canciones/juan_antonio_espinosa/señor_tu_que_brillas.html"&gt;Señor, tú que brillas&lt;/a&gt;&lt;/li&gt;</v>
      </c>
    </row>
    <row r="183" spans="16:18" x14ac:dyDescent="0.3">
      <c r="P183" s="17" t="str">
        <v>&lt;li data-author="Ixcís"&gt;&lt;a href="canciones/ixcis/me_siento_perdonado.html"&gt;Me siento perdonado&lt;/a&gt;&lt;/li&gt;</v>
      </c>
      <c r="R183" s="17" t="str">
        <v>&lt;li data-author="Juan Antonio Espinosa" data-nold="258"&gt;&lt;a href="canciones/juan_antonio_espinosa/te_damos_gracias_señor.html"&gt;Te damos gracias, Señor&lt;/a&gt;&lt;/li&gt;</v>
      </c>
    </row>
    <row r="184" spans="16:18" x14ac:dyDescent="0.3">
      <c r="P184" s="17" t="str">
        <v>&lt;li data-author="Ixcís"&gt;&lt;a href="canciones/ixcis/yo_te_alabo.html"&gt;Yo te alabo&lt;/a&gt;&lt;/li&gt;</v>
      </c>
      <c r="R184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5" spans="16:18" x14ac:dyDescent="0.3">
      <c r="P185" s="17" t="str">
        <v>&lt;li data-author="Ixcís"&gt;&lt;a href="canciones/ixcis/gracias_amigo_del_alma.html"&gt;Gracias, amigo del alma&lt;/a&gt;&lt;/li&gt;</v>
      </c>
      <c r="R185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6" spans="16:18" x14ac:dyDescent="0.3">
      <c r="P186" s="17" t="str">
        <v>&lt;li data-author="Ixcís"&gt;&lt;a href="canciones/ixcis/adonde_vayas.html"&gt;Adonde vayas&lt;/a&gt;&lt;/li&gt;</v>
      </c>
      <c r="R186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7" spans="16:18" x14ac:dyDescent="0.3">
      <c r="P187" s="17" t="str">
        <v>&lt;li data-author="Ixcís"&gt;&lt;a href="canciones/ixcis/contigo.html"&gt;Contigo&lt;/a&gt;&lt;/li&gt;</v>
      </c>
      <c r="R187" s="17" t="str">
        <v>&lt;li data-author="Juan Antonio Espinosa" data-nold="269"&gt;&lt;a href="canciones/juan_antonio_espinosa/una_ciudad_para_todos.html"&gt;Una ciudad para todos&lt;/a&gt;&lt;/li&gt;</v>
      </c>
    </row>
    <row r="188" spans="16:18" x14ac:dyDescent="0.3">
      <c r="P188" s="17" t="str">
        <v>&lt;li data-author="Ixcís"&gt;&lt;a href="canciones/ixcis/tu_mi_raiz.html"&gt;Tú, mi raíz&lt;/a&gt;&lt;/li&gt;</v>
      </c>
      <c r="R188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9" spans="16:18" x14ac:dyDescent="0.3">
      <c r="P189" s="17" t="str">
        <v>&lt;li data-author="Ixcís"&gt;&lt;a href="canciones/ixcis/cuando_dos_se_aman.html"&gt;Cuando dos se aman&lt;/a&gt;&lt;/li&gt;</v>
      </c>
      <c r="R189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90" spans="16:18" x14ac:dyDescent="0.3">
      <c r="P190" s="17" t="str">
        <v>&lt;li data-author="Ixcís"&gt;&lt;a href="canciones/ixcis/un_poco_de_fe.html"&gt;Un poco de fe&lt;/a&gt;&lt;/li&gt;</v>
      </c>
      <c r="R190" s="17" t="str">
        <v>&lt;li data-author="Juanjo Elezkano" data-momento="Entrada" data-nnew="A01" data-nold="32"&gt;&lt;a href="canciones/juanjo_elezkano/a_la_fiesta_del_señor.html"&gt;A la fiesta del Señor&lt;/a&gt;&lt;/li&gt;</v>
      </c>
    </row>
    <row r="191" spans="16:18" x14ac:dyDescent="0.3">
      <c r="P191" s="17" t="str">
        <v>&lt;li data-author="Ixcís"&gt;&lt;a href="canciones/ixcis/no_me_rendire.html"&gt;No me rendiré&lt;/a&gt;&lt;/li&gt;</v>
      </c>
      <c r="R191" s="17" t="str">
        <v>&lt;li data-author="Juanjo Elezkano" data-momento="Entrada" data-nnew="A11" data-nold="65b"&gt;&lt;a href="canciones/juanjo_elezkano/comeremos_de_la_mesa.html"&gt;Comeremos de la mesa&lt;/a&gt;&lt;/li&gt;</v>
      </c>
    </row>
    <row r="192" spans="16:18" x14ac:dyDescent="0.3">
      <c r="P192" s="17" t="str">
        <v>&lt;li data-author="Ixcís"&gt;&lt;a href="canciones/ixcis/enviame.html"&gt;Envíame&lt;/a&gt;&lt;/li&gt;</v>
      </c>
      <c r="R192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3" spans="18:18" x14ac:dyDescent="0.3">
      <c r="R193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4" spans="18:18" x14ac:dyDescent="0.3">
      <c r="R194" s="17" t="str">
        <v>&lt;li data-author="Kairoi" data-momento="Antífonas" data-nnew="D21"&gt;&lt;a href="canciones/kairoi/la_bondad_y_el_amor_del_señor.html"&gt;La bondad y el amor del Señor&lt;/a&gt;&lt;/li&gt;</v>
      </c>
    </row>
    <row r="195" spans="18:18" x14ac:dyDescent="0.3">
      <c r="R195" s="17" t="str">
        <v>&lt;li data-author="Kairoi" data-momento="Perdón - Agua" data-nnew="B05"&gt;&lt;a href="canciones/kairoi/padre_vuelvo_a_ti.html"&gt;Padre, vuelvo a ti&lt;/a&gt;&lt;/li&gt;</v>
      </c>
    </row>
    <row r="196" spans="18:18" x14ac:dyDescent="0.3">
      <c r="R196" s="17" t="str">
        <v>&lt;li data-author="Kairoi" data-momento="María" data-nnew="M11" data-nold="433"&gt;&lt;a href="canciones/kairoi/maria_la_madre_buena.html"&gt;María, la madre buena&lt;/a&gt;&lt;/li&gt;</v>
      </c>
    </row>
    <row r="197" spans="18:18" x14ac:dyDescent="0.3">
      <c r="R197" s="17" t="str">
        <v>&lt;li data-author="Kairoi" data-momento="Espíritu" data-nnew="N03"&gt;&lt;a href="canciones/kairoi/el_señor_os_dara_su_espiritu_santo.html"&gt;El Señor os dará su Espíritu Santo&lt;/a&gt;&lt;/li&gt;</v>
      </c>
    </row>
    <row r="198" spans="18:18" x14ac:dyDescent="0.3">
      <c r="R198" s="17" t="str">
        <v>&lt;li data-author="Kairoi" data-momento="Aleluya" data-nnew="E02"&gt;&lt;a href="canciones/kairoi/aleluya_(junto_a_ti_jesus).html"&gt;Aleluya (Junto a ti, Jesús)&lt;/a&gt;&lt;/li&gt;</v>
      </c>
    </row>
    <row r="199" spans="18:18" x14ac:dyDescent="0.3">
      <c r="R199" s="17" t="str">
        <v>&lt;li data-author="Kairoi" data-nold="226"&gt;&lt;a href="canciones/kairoi/rezar_no_es_otra_cosa.html"&gt;Rezar no es otra cosa&lt;/a&gt;&lt;/li&gt;</v>
      </c>
    </row>
    <row r="200" spans="18:18" x14ac:dyDescent="0.3">
      <c r="R200" s="17" t="str">
        <v>&lt;li data-author="Kairoi" data-nold="196"&gt;&lt;a href="canciones/kairoi/padre_de_las_misericordias.html"&gt;Padre de las misericordias&lt;/a&gt;&lt;/li&gt;</v>
      </c>
    </row>
    <row r="201" spans="18:18" x14ac:dyDescent="0.3">
      <c r="R201" s="17" t="str">
        <v>&lt;li data-author="Kairoi" data-nold="252"&gt;&lt;a href="canciones/kairoi/te_alabo_señor.html"&gt;Te alabo, Señor&lt;/a&gt;&lt;/li&gt;</v>
      </c>
    </row>
    <row r="202" spans="18:18" x14ac:dyDescent="0.3">
      <c r="R202" s="17" t="str">
        <v>&lt;li data-author="Kairoi" data-momento="Entrada" data-nnew="A19" data-nold="111"&gt;&lt;a href="canciones/kairoi/eres_el_fuego_el_amor.html"&gt;Eres el fuego, el amor&lt;/a&gt;&lt;/li&gt;</v>
      </c>
    </row>
    <row r="203" spans="18:18" x14ac:dyDescent="0.3">
      <c r="R203" s="17" t="str">
        <v>&lt;li data-author="Kairoi" data-momento="Comunión" data-nnew="K12"&gt;&lt;a href="canciones/kairoi/bienaventuranzas_(kairoi).html"&gt;Bienaventuranzas (Kairoi)&lt;/a&gt;&lt;/li&gt;</v>
      </c>
    </row>
    <row r="204" spans="18:18" x14ac:dyDescent="0.3">
      <c r="R204" s="17" t="str">
        <v>&lt;li data-author="Kairoi" data-momento="Entrada" data-nnew="A21"&gt;&lt;a href="canciones/kairoi/jesus_es_señor.html"&gt;Jesús es Señor&lt;/a&gt;&lt;/li&gt;</v>
      </c>
    </row>
    <row r="205" spans="18:18" x14ac:dyDescent="0.3">
      <c r="R205" s="17" t="str">
        <v>&lt;li data-author="Kairoi" data-momento="María" data-nnew="M24" data-nold="474"&gt;&lt;a href="canciones/kairoi/yo_cantare_(magnificat).html"&gt;Yo cantaré (Magnificat)&lt;/a&gt;&lt;/li&gt;</v>
      </c>
    </row>
    <row r="206" spans="18:18" x14ac:dyDescent="0.3">
      <c r="R206" s="17" t="str">
        <v>&lt;li data-author="Kairoi" data-momento="Entrada" data-nnew="A22"&gt;&lt;a href="canciones/kairoi/jesus_esta_entre_nosotros.html"&gt;Jesús está entre nosotros&lt;/a&gt;&lt;/li&gt;</v>
      </c>
    </row>
    <row r="207" spans="18:18" x14ac:dyDescent="0.3">
      <c r="R207" s="17" t="str">
        <v>&lt;li data-author="Kairoi" data-momento="Comunión" data-nnew="K34"&gt;&lt;a href="canciones/kairoi/hablame.html"&gt;Háblame&lt;/a&gt;&lt;/li&gt;</v>
      </c>
    </row>
    <row r="208" spans="18:18" x14ac:dyDescent="0.3">
      <c r="R208" s="17" t="str">
        <v>&lt;li data-author="Kairoi" data-momento="Comunión" data-nnew="K52" data-nold="443"&gt;&lt;a href="canciones/kairoi/oracion_del_pobre.html"&gt;Oración del pobre&lt;/a&gt;&lt;/li&gt;</v>
      </c>
    </row>
    <row r="209" spans="18:18" x14ac:dyDescent="0.3">
      <c r="R209" s="17" t="str">
        <v>&lt;li data-author="Kairoi" data-momento="Gloria" data-nnew="C01"&gt;&lt;a href="canciones/kairoi/gloria_a_dios_(no_se_como_alabarte).html"&gt;Gloria a Dios (No sé cómo alabarte)&lt;/a&gt;&lt;/li&gt;</v>
      </c>
    </row>
    <row r="210" spans="18:18" x14ac:dyDescent="0.3">
      <c r="R210" s="17" t="str">
        <v>&lt;li data-author="Kairoi" data-momento="María" data-nnew="M15" data-nold="436"&gt;&lt;a href="canciones/kairoi/maria_musica_de_dios.html"&gt;María, música de Dios&lt;/a&gt;&lt;/li&gt;</v>
      </c>
    </row>
    <row r="211" spans="18:18" x14ac:dyDescent="0.3">
      <c r="R211" s="17" t="str">
        <v>&lt;li data-author="Kairoi" data-momento="María" data-nnew="M07"&gt;&lt;a href="canciones/kairoi/junto_a_ti_maria.html"&gt;Junto a ti, María&lt;/a&gt;&lt;/li&gt;</v>
      </c>
    </row>
    <row r="212" spans="18:18" x14ac:dyDescent="0.3">
      <c r="R212" s="17" t="str">
        <v>&lt;li data-author="Kairoi" data-momento="Entrada" data-nnew="A15"&gt;&lt;a href="canciones/kairoi/el_señor_nos_ha_reunido.html"&gt;El Señor nos ha reunido&lt;/a&gt;&lt;/li&gt;</v>
      </c>
    </row>
    <row r="213" spans="18:18" x14ac:dyDescent="0.3">
      <c r="R213" s="17" t="str">
        <v>&lt;li data-author="Kairoi" data-momento="Especiales" data-nnew="P04"&gt;&lt;a href="canciones/kairoi/pregon_pascual_(gloria).html"&gt;Pregón Pascual (Gloria)&lt;/a&gt;&lt;/li&gt;</v>
      </c>
    </row>
    <row r="214" spans="18:18" x14ac:dyDescent="0.3">
      <c r="R214" s="17" t="str">
        <v>&lt;li data-author="Kairoi" data-momento="Entrada" data-nnew="A24"&gt;&lt;a href="canciones/kairoi/mirad_jesus_resucita_hoy.html"&gt;Mirad, Jesús resucita hoy&lt;/a&gt;&lt;/li&gt;</v>
      </c>
    </row>
    <row r="215" spans="18:18" x14ac:dyDescent="0.3">
      <c r="R215" s="17" t="str">
        <v>&lt;li data-author="Kairoi" data-momento="Paz" data-nnew="I06" data-nold="201"&gt;&lt;a href="canciones/kairoi/paz_en_la_tierra.html"&gt;Paz en la tierra&lt;/a&gt;&lt;/li&gt;</v>
      </c>
    </row>
    <row r="216" spans="18:18" x14ac:dyDescent="0.3">
      <c r="R216" s="17" t="str">
        <v>&lt;li data-author="Kairoi" data-momento="Gloria" data-nnew="C08"&gt;&lt;a href="canciones/kairoi/todo_mi_ser_(alabo_tu_bondad).html"&gt;Todo mi ser (Alabo tu bondad)&lt;/a&gt;&lt;/li&gt;</v>
      </c>
    </row>
    <row r="217" spans="18:18" x14ac:dyDescent="0.3">
      <c r="R217" s="17" t="str">
        <v>&lt;li data-author="Kairoi" data-momento="Comunión" data-nnew="K24" data-nold="418"&gt;&lt;a href="canciones/kairoi/el_amor_es_nuestro_canto.html"&gt;El amor es nuestro canto&lt;/a&gt;&lt;/li&gt;</v>
      </c>
    </row>
    <row r="218" spans="18:18" x14ac:dyDescent="0.3">
      <c r="R218" s="17" t="str">
        <v>&lt;li data-author="Kairoi" data-momento="Espíritu" data-nnew="N05"&gt;&lt;a href="canciones/kairoi/ven_espiritu_de_dios_(kairoi).html"&gt;Ven, Espíritu de Dios (Kairoi)&lt;/a&gt;&lt;/li&gt;</v>
      </c>
    </row>
    <row r="219" spans="18:18" x14ac:dyDescent="0.3">
      <c r="R219" s="17" t="str">
        <v>&lt;li data-author="Kairoi" data-momento="Comunión" data-nnew="K10" data-nold="409"&gt;&lt;a href="canciones/kairoi/amaos_(como_el_padre_me_amo).html"&gt;Amaos (Como el Padre me amó)&lt;/a&gt;&lt;/li&gt;</v>
      </c>
    </row>
    <row r="220" spans="18:18" x14ac:dyDescent="0.3">
      <c r="R220" s="17" t="str">
        <v>&lt;li data-author="Luis Alfredo Díaz" data-nold="47"&gt;&lt;a href="canciones/luis_alfredo_diaz/compartir.html"&gt;Compartir&lt;/a&gt;&lt;/li&gt;</v>
      </c>
    </row>
    <row r="221" spans="18:18" x14ac:dyDescent="0.3">
      <c r="R221" s="17" t="str">
        <v>&lt;li data-author="Luis Alfredo Díaz" data-momento="Antífonas" data-nnew="D27" data-nold="440"&gt;&lt;a href="canciones/luis_alfredo_diaz/no_adoreis_a_nadie.html"&gt;No adoréis a nadie&lt;/a&gt;&lt;/li&gt;</v>
      </c>
    </row>
    <row r="222" spans="18:18" x14ac:dyDescent="0.3">
      <c r="R222" s="17" t="str">
        <v>&lt;li data-author="Luis Alfredo Díaz" data-momento="Ofertorio" data-nnew="F13" data-nold="450"&gt;&lt;a href="canciones/luis_alfredo_diaz/que_te_puedo_dar.html"&gt;Qué te puedo dar&lt;/a&gt;&lt;/li&gt;</v>
      </c>
    </row>
    <row r="223" spans="18:18" x14ac:dyDescent="0.3">
      <c r="R223" s="17" t="str">
        <v>&lt;li data-author="Luis Alfredo Díaz" data-momento="Comunión" data-nnew="K70" data-nold="463"&gt;&lt;a href="canciones/luis_alfredo_diaz/tan_cerca_de_mi.html"&gt;Tan cerca de mí&lt;/a&gt;&lt;/li&gt;</v>
      </c>
    </row>
    <row r="224" spans="18:18" x14ac:dyDescent="0.3">
      <c r="R224" s="17" t="str">
        <v>&lt;li data-author="Luis Alfredo Díaz" data-momento="Comunión" data-nnew="K79"&gt;&lt;a href="canciones/luis_alfredo_diaz/una_tarde_en_la_playa.html"&gt;Una tarde en la playa&lt;/a&gt;&lt;/li&gt;</v>
      </c>
    </row>
    <row r="225" spans="18:18" x14ac:dyDescent="0.3">
      <c r="R225" s="17" t="str">
        <v>&lt;li data-author="Miguel Manzano" data-momento="Navidad" data-nnew="O01" data-nold="1"&gt;&lt;a href="canciones/miguel_manzano/a_belen_se_va_y_se_viene.html"&gt;A Belén se va y se viene&lt;/a&gt;&lt;/li&gt;</v>
      </c>
    </row>
    <row r="226" spans="18:18" x14ac:dyDescent="0.3">
      <c r="R226" s="17" t="str">
        <v>&lt;li data-author="Miguel Manzano" data-nold="25"&gt;&lt;a href="canciones/miguel_manzano/a_ti_levanto_mis_ojos.html"&gt;A ti levanto mis ojos&lt;/a&gt;&lt;/li&gt;</v>
      </c>
    </row>
    <row r="227" spans="18:18" x14ac:dyDescent="0.3">
      <c r="R227" s="17" t="str">
        <v>&lt;li data-author="Miguel Manzano" data-nold="11"&gt;&lt;a href="canciones/miguel_manzano/aclama_al_señor_tierra_entera.html"&gt;Aclama al Señor, tierra entera&lt;/a&gt;&lt;/li&gt;</v>
      </c>
    </row>
    <row r="228" spans="18:18" x14ac:dyDescent="0.3">
      <c r="R228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9" spans="18:18" x14ac:dyDescent="0.3">
      <c r="R229" s="17" t="str">
        <v>&lt;li data-author="Miguel Manzano" data-nold="33"&gt;&lt;a href="canciones/miguel_manzano/alma_mia_recobra_tu_calma.html"&gt;Alma mía, recobra tu calma&lt;/a&gt;&lt;/li&gt;</v>
      </c>
    </row>
    <row r="230" spans="18:18" x14ac:dyDescent="0.3">
      <c r="R230" s="17" t="str">
        <v>&lt;li data-author="Miguel Manzano" data-momento="Comunión" data-nnew="K16" data-nold="60"&gt;&lt;a href="canciones/miguel_manzano/con_vosotros_esta.html"&gt;Con vosotros está&lt;/a&gt;&lt;/li&gt;</v>
      </c>
    </row>
    <row r="231" spans="18:18" x14ac:dyDescent="0.3">
      <c r="R231" s="17" t="str">
        <v>&lt;li data-author="Miguel Manzano" data-momento="Cordero de Dios" data-nnew="J04"&gt;&lt;a href="canciones/miguel_manzano/cordero_de_dios_(manzano).html"&gt;Cordero de Dios (Manzano)&lt;/a&gt;&lt;/li&gt;</v>
      </c>
    </row>
    <row r="232" spans="18:18" x14ac:dyDescent="0.3">
      <c r="R232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3" spans="18:18" x14ac:dyDescent="0.3">
      <c r="R233" s="17" t="str">
        <v>&lt;li data-author="Miguel Manzano" data-nold="66"&gt;&lt;a href="canciones/miguel_manzano/cuando_vendras_señor.html"&gt;Cuándo vendrás, Señor&lt;/a&gt;&lt;/li&gt;</v>
      </c>
    </row>
    <row r="234" spans="18:18" x14ac:dyDescent="0.3">
      <c r="R234" s="17" t="str">
        <v>&lt;li data-author="Miguel Manzano" data-nold="79"&gt;&lt;a href="canciones/miguel_manzano/desde_lo_hondo.html"&gt;Desde lo hondo&lt;/a&gt;&lt;/li&gt;</v>
      </c>
    </row>
    <row r="235" spans="18:18" x14ac:dyDescent="0.3">
      <c r="R235" s="17" t="str">
        <v>&lt;li data-author="Miguel Manzano" data-nold="90"&gt;&lt;a href="canciones/miguel_manzano/el_pueblo_gime_en_el_dolor.html"&gt;El pueblo gime en el dolor&lt;/a&gt;&lt;/li&gt;</v>
      </c>
    </row>
    <row r="236" spans="18:18" x14ac:dyDescent="0.3">
      <c r="R236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7" spans="18:18" x14ac:dyDescent="0.3">
      <c r="R237" s="17" t="str">
        <v>&lt;li data-author="Miguel Manzano" data-momento="Comunión" data-nnew="K46" data-nold="166"&gt;&lt;a href="canciones/miguel_manzano/mirad_al_suelo.html"&gt;Mirad al suelo&lt;/a&gt;&lt;/li&gt;</v>
      </c>
    </row>
    <row r="238" spans="18:18" x14ac:dyDescent="0.3">
      <c r="R238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9" spans="18:18" x14ac:dyDescent="0.3">
      <c r="R239" s="17" t="str">
        <v>&lt;li data-author="Miguel Manzano" data-momento="Antífonas" data-nnew="D38" data-nold="264"&gt;&lt;a href="canciones/miguel_manzano/tu_reino_es_vida.html"&gt;Tu Reino es vida&lt;/a&gt;&lt;/li&gt;</v>
      </c>
    </row>
    <row r="240" spans="18:18" x14ac:dyDescent="0.3">
      <c r="R240" s="17" t="str">
        <v>&lt;li data-momento="Aleluya" data-nnew="E09"&gt;&lt;a href="canciones/nsb/aleluya_de_adviento.html"&gt;Aleluya de Adviento&lt;/a&gt;&lt;/li&gt;</v>
      </c>
    </row>
    <row r="241" spans="18:18" x14ac:dyDescent="0.3">
      <c r="R241" s="17" t="str">
        <v>&lt;li data-momento="Cordero de Dios" data-nnew="J01"&gt;&lt;a href="canciones/nsb/cordero_de_dios_(algete).html"&gt;Cordero de Dios (Algete)&lt;/a&gt;&lt;/li&gt;</v>
      </c>
    </row>
    <row r="242" spans="18:18" x14ac:dyDescent="0.3">
      <c r="R242" s="17" t="str">
        <v>&lt;li data-momento="Cordero de Dios" data-nnew="J03" data-nold="415"&gt;&lt;a href="canciones/nsb/cordero_de_dios_(boliviano).html"&gt;Cordero de Dios (boliviano)&lt;/a&gt;&lt;/li&gt;</v>
      </c>
    </row>
    <row r="243" spans="18:18" x14ac:dyDescent="0.3">
      <c r="R243" s="17" t="str">
        <v>&lt;li data-momento="María" data-nnew="M03"&gt;&lt;a href="canciones/nsb/dulce_muchacha_humilde_de_palestina.html"&gt;Dulce muchacha humilde de Palestina&lt;/a&gt;&lt;/li&gt;</v>
      </c>
    </row>
    <row r="244" spans="18:18" x14ac:dyDescent="0.3">
      <c r="R244" s="17" t="str">
        <v>&lt;li data-momento="Comunión" data-nnew="K27" data-nold="95"&gt;&lt;a href="canciones/nsb/el_señor_dios_nos_amo.html"&gt;El Señor Dios nos amó&lt;/a&gt;&lt;/li&gt;</v>
      </c>
    </row>
    <row r="245" spans="18:18" x14ac:dyDescent="0.3">
      <c r="R245" s="17" t="str">
        <v>&lt;li data-nold="314"&gt;&lt;a href="canciones/nsb/el_tren_del_evangelio.html"&gt;El tren del Evangelio&lt;/a&gt;&lt;/li&gt;</v>
      </c>
    </row>
    <row r="246" spans="18:18" x14ac:dyDescent="0.3">
      <c r="R246" s="17" t="str">
        <v>&lt;li data-momento="Padrenuestro" data-nnew="H01" data-nold="107"&gt;&lt;a href="canciones/nsb/en_el_mar_he_oido_hoy.html"&gt;En el mar he oído hoy&lt;/a&gt;&lt;/li&gt;</v>
      </c>
    </row>
    <row r="247" spans="18:18" x14ac:dyDescent="0.3">
      <c r="R247" s="17" t="str">
        <v>&lt;li data-momento="Entrada" data-nnew="A17" data-nold="101"&gt;&lt;a href="canciones/nsb/en_el_señor_estamos_congregados.html"&gt;En el Señor estamos congregados&lt;/a&gt;&lt;/li&gt;</v>
      </c>
    </row>
    <row r="248" spans="18:18" x14ac:dyDescent="0.3">
      <c r="R248" s="17" t="str">
        <v>&lt;li data-nold="109"&gt;&lt;a href="canciones/nsb/envia_tu_espiritu_señor.html"&gt;Envía tu Espíritu, Señor&lt;/a&gt;&lt;/li&gt;</v>
      </c>
    </row>
    <row r="249" spans="18:18" x14ac:dyDescent="0.3">
      <c r="R249" s="17" t="str">
        <v>&lt;li data-nold="118"&gt;&lt;a href="canciones/nsb/esta_es_la_noche_de_la_luz.html"&gt;Esta es la noche de la luz&lt;/a&gt;&lt;/li&gt;</v>
      </c>
    </row>
    <row r="250" spans="18:18" x14ac:dyDescent="0.3">
      <c r="R250" s="17" t="str">
        <v>&lt;li data-momento="Gloria" data-nnew="C04" data-nold="303"&gt;&lt;a href="canciones/nsb/gloria_y_alabanza.html"&gt;Gloria y alabanza&lt;/a&gt;&lt;/li&gt;</v>
      </c>
    </row>
    <row r="251" spans="18:18" x14ac:dyDescent="0.3">
      <c r="R251" s="17" t="str">
        <v>&lt;li data-nold="135"&gt;&lt;a href="canciones/nsb/hoy_empieza_una_nueva_era.html"&gt;Hoy empieza una nueva era&lt;/a&gt;&lt;/li&gt;</v>
      </c>
    </row>
    <row r="252" spans="18:18" x14ac:dyDescent="0.3">
      <c r="R252" s="17" t="str">
        <v>&lt;li data-momento="Paz" data-nnew="I02"&gt;&lt;a href="canciones/nsb/la_paz_te_doy.html"&gt;La paz te doy&lt;/a&gt;&lt;/li&gt;</v>
      </c>
    </row>
    <row r="253" spans="18:18" x14ac:dyDescent="0.3">
      <c r="R253" s="17" t="str">
        <v>&lt;li data-momento="María" data-nnew="M08" data-nold="432"&gt;&lt;a href="canciones/nsb/la_virgen_sueña_caminos.html"&gt;La Virgen sueña caminos&lt;/a&gt;&lt;/li&gt;</v>
      </c>
    </row>
    <row r="254" spans="18:18" x14ac:dyDescent="0.3">
      <c r="R254" s="17" t="str">
        <v>&lt;li data-momento="Especiales" data-nnew="P03"&gt;&lt;a href="canciones/nsb/letanias.html"&gt;Letanías&lt;/a&gt;&lt;/li&gt;</v>
      </c>
    </row>
    <row r="255" spans="18:18" x14ac:dyDescent="0.3">
      <c r="R255" s="17" t="str">
        <v>&lt;li data-momento="Paz" data-nnew="I03"&gt;&lt;a href="canciones/nsb/llevad_la_buena_noticia.html"&gt;Llevad la buena noticia&lt;/a&gt;&lt;/li&gt;</v>
      </c>
    </row>
    <row r="256" spans="18:18" x14ac:dyDescent="0.3">
      <c r="R256" s="17" t="str">
        <v>&lt;li data-momento="María" data-nnew="M12" data-nold="434"&gt;&lt;a href="canciones/nsb/maria_madre_nuestra.html"&gt;María, madre nuestra&lt;/a&gt;&lt;/li&gt;</v>
      </c>
    </row>
    <row r="257" spans="18:18" x14ac:dyDescent="0.3">
      <c r="R257" s="17" t="str">
        <v>&lt;li data-momento="Comunión" data-nnew="K49" data-nold="441"&gt;&lt;a href="canciones/nsb/no_me_mueve.html"&gt;No me mueve&lt;/a&gt;&lt;/li&gt;</v>
      </c>
    </row>
    <row r="258" spans="18:18" x14ac:dyDescent="0.3">
      <c r="R258" s="17" t="str">
        <v>&lt;li data-momento="Antífonas" data-nnew="D28"&gt;&lt;a href="canciones/nsb/no_quiero_alejarme_de_ti.html"&gt;No quiero alejarme de ti&lt;/a&gt;&lt;/li&gt;</v>
      </c>
    </row>
    <row r="259" spans="18:18" x14ac:dyDescent="0.3">
      <c r="R259" s="17" t="str">
        <v>&lt;li data-nold="180"&gt;&lt;a href="canciones/nsb/no_vayais_a_la_fiesta.html"&gt;No vayáis a la fiesta&lt;/a&gt;&lt;/li&gt;</v>
      </c>
    </row>
    <row r="260" spans="18:18" x14ac:dyDescent="0.3">
      <c r="R260" s="17" t="str">
        <v>&lt;li data-momento="Perdón - Agua" data-nnew="B04" data-nold="191"&gt;&lt;a href="canciones/nsb/oh_señor_mueve_mi_espiritu.html"&gt;Oh, Señor, mueve mi espíritu&lt;/a&gt;&lt;/li&gt;</v>
      </c>
    </row>
    <row r="261" spans="18:18" x14ac:dyDescent="0.3">
      <c r="R261" s="17" t="str">
        <v>&lt;li data-momento="Padrenuestro" data-nnew="H03" data-nold="444"&gt;&lt;a href="canciones/nsb/padre_nuestro_(mexicano).html"&gt;Padre nuestro (mexicano)&lt;/a&gt;&lt;/li&gt;</v>
      </c>
    </row>
    <row r="262" spans="18:18" x14ac:dyDescent="0.3">
      <c r="R262" s="17" t="str">
        <v>&lt;li data-momento="Comunión" data-nnew="K53" data-nold="445"&gt;&lt;a href="canciones/nsb/para_el_que_sabe.html"&gt;Para el que sabe&lt;/a&gt;&lt;/li&gt;</v>
      </c>
    </row>
    <row r="263" spans="18:18" x14ac:dyDescent="0.3">
      <c r="R263" s="17" t="str">
        <v>&lt;li data-momento="Paz" data-nnew="I07" data-nold="200"&gt;&lt;a href="canciones/nsb/paz_señor_en_el_cielo_y_la_tierra.html"&gt;Paz, Señor, en el cielo y la tierra&lt;/a&gt;&lt;/li&gt;</v>
      </c>
    </row>
    <row r="264" spans="18:18" x14ac:dyDescent="0.3">
      <c r="R264" s="17" t="str">
        <v>&lt;li data-momento="Paz" data-nnew="I08" data-nold="448"&gt;&lt;a href="canciones/nsb/pon_tu_mano.html"&gt;Pon tu mano&lt;/a&gt;&lt;/li&gt;</v>
      </c>
    </row>
    <row r="265" spans="18:18" x14ac:dyDescent="0.3">
      <c r="R265" s="17" t="str">
        <v>&lt;li data-momento="Ofertorio" data-nnew="F12" data-nold="214"&gt;&lt;a href="canciones/nsb/por_los_hombres.html"&gt;Por los hombres&lt;/a&gt;&lt;/li&gt;</v>
      </c>
    </row>
    <row r="266" spans="18:18" x14ac:dyDescent="0.3">
      <c r="R266" s="17" t="str">
        <v>&lt;li data-momento="María" data-nnew="M18"&gt;&lt;a href="canciones/nsb/salve_madre.html"&gt;Salve, Madre&lt;/a&gt;&lt;/li&gt;</v>
      </c>
    </row>
    <row r="267" spans="18:18" x14ac:dyDescent="0.3">
      <c r="R267" s="17" t="str">
        <v>&lt;li data-momento="Santo" data-nnew="G08"&gt;&lt;a href="canciones/nsb/santo_(santo_domingo_de_silos).html"&gt;Santo (Santo Domingo de Silos)&lt;/a&gt;&lt;/li&gt;</v>
      </c>
    </row>
    <row r="268" spans="18:18" x14ac:dyDescent="0.3">
      <c r="R268" s="17" t="str">
        <v>&lt;li data-momento="Santo" data-nnew="G11"&gt;&lt;a href="canciones/nsb/santo_eres_señor_dios_nuestro.html"&gt;Santo eres, Señor, Dios nuestro&lt;/a&gt;&lt;/li&gt;</v>
      </c>
    </row>
    <row r="269" spans="18:18" x14ac:dyDescent="0.3">
      <c r="R269" s="17" t="str">
        <v>&lt;li data-momento="Santo" data-nnew="G12"&gt;&lt;a href="canciones/nsb/santo_es_el_señor.html"&gt;Santo es el Señor&lt;/a&gt;&lt;/li&gt;</v>
      </c>
    </row>
    <row r="270" spans="18:18" x14ac:dyDescent="0.3">
      <c r="R270" s="17" t="str">
        <v>&lt;li data-momento="Santo" data-nnew="G13" data-nold="459"&gt;&lt;a href="canciones/nsb/santo_zaireño.html"&gt;Santo zaireño&lt;/a&gt;&lt;/li&gt;</v>
      </c>
    </row>
    <row r="271" spans="18:18" x14ac:dyDescent="0.3">
      <c r="R271" s="17" t="str">
        <v>&lt;li data-momento="Comunión" data-nnew="K65" data-nold="233"&gt;&lt;a href="canciones/nsb/se_acerca_tu_navidad.html"&gt;Se acerca tu Navidad&lt;/a&gt;&lt;/li&gt;</v>
      </c>
    </row>
    <row r="272" spans="18:18" x14ac:dyDescent="0.3">
      <c r="R272" s="17" t="str">
        <v>&lt;li data-momento="Perdón - Agua" data-nnew="B07"&gt;&lt;a href="canciones/nsb/señor_ten_piedad_de_nosotros.html"&gt;Señor, ten piedad de nosotros&lt;/a&gt;&lt;/li&gt;</v>
      </c>
    </row>
    <row r="273" spans="18:18" x14ac:dyDescent="0.3">
      <c r="R273" s="17" t="str">
        <v>&lt;li data-momento="Paz" data-nnew="I10" data-nold="234"&gt;&lt;a href="canciones/nsb/shalom_haberim.html"&gt;Shalom haberim&lt;/a&gt;&lt;/li&gt;</v>
      </c>
    </row>
    <row r="274" spans="18:18" x14ac:dyDescent="0.3">
      <c r="R274" s="17" t="str">
        <v>&lt;li data-momento="Comunión" data-nnew="K66" data-nold="235"&gt;&lt;a href="canciones/nsb/si_dios_a_su_mesa_nos_quiere_sentar.html"&gt;Si Dios a su mesa nos quiere sentar&lt;/a&gt;&lt;/li&gt;</v>
      </c>
    </row>
    <row r="275" spans="18:18" x14ac:dyDescent="0.3">
      <c r="R275" s="17" t="str">
        <v>&lt;li data-momento="Comunión" data-nnew="K83"&gt;&lt;a href="canciones/nsb/siempre_en_ti.html"&gt;Siempre en ti&lt;/a&gt;&lt;/li&gt;</v>
      </c>
    </row>
    <row r="276" spans="18:18" x14ac:dyDescent="0.3">
      <c r="R276" s="17" t="str">
        <v>&lt;li data-momento="Perdón - Agua" data-nnew="B08"&gt;&lt;a href="canciones/nsb/ten_piedad_de_mi_señor.html"&gt;Ten piedad de mi, Señor&lt;/a&gt;&lt;/li&gt;</v>
      </c>
    </row>
    <row r="277" spans="18:18" x14ac:dyDescent="0.3">
      <c r="R277" s="17" t="str">
        <v>&lt;li data-momento="Comunión" data-nnew="K73" data-nold="255"&gt;&lt;a href="canciones/nsb/tengo_que_gritar.html"&gt;Tengo que gritar&lt;/a&gt;&lt;/li&gt;</v>
      </c>
    </row>
    <row r="278" spans="18:18" x14ac:dyDescent="0.3">
      <c r="R278" s="17" t="str">
        <v>&lt;li data-momento="Ofertorio" data-nnew="F16" data-nold="265"&gt;&lt;a href="canciones/nsb/traemos_a_tu_altar.html"&gt;Traemos a tu altar&lt;/a&gt;&lt;/li&gt;</v>
      </c>
    </row>
    <row r="279" spans="18:18" x14ac:dyDescent="0.3">
      <c r="R279" s="17" t="str">
        <v>&lt;li data-momento="Entrada" data-nnew="A32" data-nold="270"&gt;&lt;a href="canciones/nsb/un_nuevo_sitio_disponed.html"&gt;Un nuevo sitio disponed&lt;/a&gt;&lt;/li&gt;</v>
      </c>
    </row>
    <row r="280" spans="18:18" x14ac:dyDescent="0.3">
      <c r="R280" s="17" t="str">
        <v>&lt;li data-momento="Espíritu" data-nnew="N04"&gt;&lt;a href="canciones/nsb/ven_espiritu_de_dios_(esprit_createur).html"&gt;Ven, Espíritu de Dios (Esprit createur)&lt;/a&gt;&lt;/li&gt;</v>
      </c>
    </row>
    <row r="281" spans="18:18" x14ac:dyDescent="0.3">
      <c r="R281" s="17" t="str">
        <v>&lt;li data-momento="Despedida" data-nnew="L09" data-nold="472"&gt;&lt;a href="canciones/nsb/vive_tu_amor_en_mi.html"&gt;Vive tu amor en mí&lt;/a&gt;&lt;/li&gt;</v>
      </c>
    </row>
    <row r="282" spans="18:18" x14ac:dyDescent="0.3">
      <c r="R282" s="17" t="str">
        <v>&lt;li data-momento="Comunión" data-nnew="K81" data-nold="473"&gt;&lt;a href="canciones/nsb/volar.html"&gt;Volar&lt;/a&gt;&lt;/li&gt;</v>
      </c>
    </row>
    <row r="283" spans="18:18" x14ac:dyDescent="0.3">
      <c r="R283" s="17" t="str">
        <v>&lt;li data-author="A. B. Celada Alonso" data-momento="Especiales" data-nnew="P05"&gt;&lt;a href="canciones/nsb/secuencia_de_pascua.html"&gt;Secuencia de Pascua&lt;/a&gt;&lt;/li&gt;</v>
      </c>
    </row>
    <row r="284" spans="18:18" x14ac:dyDescent="0.3">
      <c r="R284" s="17" t="str">
        <v>&lt;li data-author="Akepsimas" data-nold="182"&gt;&lt;a href="canciones/nsb/nueva_aurora_en_nuestra_noche.html"&gt;Nueva aurora en nuestra noche&lt;/a&gt;&lt;/li&gt;</v>
      </c>
    </row>
    <row r="285" spans="18:18" x14ac:dyDescent="0.3">
      <c r="R285" s="17" t="str">
        <v>&lt;li data-author="Akepsimas" data-nold="242"&gt;&lt;a href="canciones/nsb/si_despierta_el_corazon.html"&gt;Si despierta el corazón&lt;/a&gt;&lt;/li&gt;</v>
      </c>
    </row>
    <row r="286" spans="18:18" x14ac:dyDescent="0.3">
      <c r="R286" s="17" t="str">
        <v>&lt;li data-author="Albert Coppo" data-nold="6"&gt;&lt;a href="canciones/nsb/acompañame_señor_en_la_tribulacion.html"&gt;Acompáñame, Señor, en la tribulación&lt;/a&gt;&lt;/li&gt;</v>
      </c>
    </row>
    <row r="287" spans="18:18" x14ac:dyDescent="0.3">
      <c r="R287" s="17" t="str">
        <v>&lt;li data-author="Alberto Arija" data-momento="Perdón - Agua" data-nnew="B02"&gt;&lt;a href="canciones/nsb/confieso.html"&gt;Confieso&lt;/a&gt;&lt;/li&gt;</v>
      </c>
    </row>
    <row r="288" spans="18:18" x14ac:dyDescent="0.3">
      <c r="R288" s="17" t="str">
        <v>&lt;li data-author="Alberto Taulé" data-nold="29"&gt;&lt;a href="canciones/nsb/antes_de_ser_llevado_a_la_muerte.html"&gt;Antes de ser llevado a la muerte&lt;/a&gt;&lt;/li&gt;</v>
      </c>
    </row>
    <row r="289" spans="18:18" x14ac:dyDescent="0.3">
      <c r="R289" s="17" t="str">
        <v>&lt;li data-author="Alberto Taulé" data-momento="Comunión" data-nnew="K22" data-nold="83"&gt;&lt;a href="canciones/nsb/dios_es_fiel.html"&gt;Dios es fiel&lt;/a&gt;&lt;/li&gt;</v>
      </c>
    </row>
    <row r="290" spans="18:18" x14ac:dyDescent="0.3">
      <c r="R290" s="17" t="str">
        <v>&lt;li data-author="Alberto Taulé" data-momento="Antífonas" data-nnew="D13" data-nold="96"&gt;&lt;a href="canciones/nsb/el_señor_es_mi_luz.html"&gt;El Señor es mi luz&lt;/a&gt;&lt;/li&gt;</v>
      </c>
    </row>
    <row r="291" spans="18:18" x14ac:dyDescent="0.3">
      <c r="R291" s="17" t="str">
        <v>&lt;li data-author="Alberto y Emilia" data-momento="Comunión" data-nnew="K33" data-nold="425"&gt;&lt;a href="canciones/nsb/es_de_locos.html"&gt;Es de locos&lt;/a&gt;&lt;/li&gt;</v>
      </c>
    </row>
    <row r="292" spans="18:18" x14ac:dyDescent="0.3">
      <c r="R292" s="17" t="str">
        <v>&lt;li data-author="Alborada" data-momento="Entrada" data-nnew="A39"&gt;&lt;a href="canciones/nsb/ven_a_celebrar.html"&gt;Ven a celebrar&lt;/a&gt;&lt;/li&gt;</v>
      </c>
    </row>
    <row r="293" spans="18:18" x14ac:dyDescent="0.3">
      <c r="R293" s="17" t="str">
        <v>&lt;li data-author="Alborada" data-momento="Ofertorio" data-nnew="F20" data-nold="476"&gt;&lt;a href="canciones/nsb/yo_soy_la_vida_y_la_verdad.html"&gt;Yo soy la Vida y la Verdad&lt;/a&gt;&lt;/li&gt;</v>
      </c>
    </row>
    <row r="294" spans="18:18" x14ac:dyDescent="0.3">
      <c r="R294" s="17" t="str">
        <v>&lt;li data-author="Alejandro Mejía" data-momento="Cordero de Dios" data-nnew="J05"&gt;&lt;a href="canciones/nsb/cordero_de_dios_(maristas).html"&gt;Cordero de Dios (Maristas)&lt;/a&gt;&lt;/li&gt;</v>
      </c>
    </row>
    <row r="295" spans="18:18" x14ac:dyDescent="0.3">
      <c r="R295" s="17" t="str">
        <v>&lt;li data-author="Alfonso Luna" data-nold="306b"&gt;&lt;a href="canciones/nsb/hoy_señor_me_has_vuelto_a_perdonar.html"&gt;Hoy, Señor, me has vuelto a perdonar&lt;/a&gt;&lt;/li&gt;</v>
      </c>
    </row>
    <row r="296" spans="18:18" x14ac:dyDescent="0.3">
      <c r="R296" s="17" t="str">
        <v>&lt;li data-author="Alicia Mendoza" data-momento="Comunión" data-nnew="K71"&gt;&lt;a href="canciones/nsb/tanto_amo_dios_al_mundo.html"&gt;Tanto amó Dios al mundo&lt;/a&gt;&lt;/li&gt;</v>
      </c>
    </row>
    <row r="297" spans="18:18" x14ac:dyDescent="0.3">
      <c r="R297" s="17" t="str">
        <v>&lt;li data-author="Andrés Barriales" data-momento="Gloria" data-nnew="C06" data-nold="127"&gt;&lt;a href="canciones/nsb/gloria_gloria_aleluya.html"&gt;Gloria, gloria, aleluya&lt;/a&gt;&lt;/li&gt;</v>
      </c>
    </row>
    <row r="298" spans="18:18" x14ac:dyDescent="0.3">
      <c r="R298" s="17" t="str">
        <v>&lt;li data-author="Andrés Barriales" data-momento="Despedida" data-nnew="L03" data-nold="139"&gt;&lt;a href="canciones/nsb/hoy_el_señor_resucito.html"&gt;Hoy el Señor resucitó&lt;/a&gt;&lt;/li&gt;</v>
      </c>
    </row>
    <row r="299" spans="18:18" x14ac:dyDescent="0.3">
      <c r="R299" s="17" t="str">
        <v>&lt;li data-author="Andrés Barriales" data-nold="183"&gt;&lt;a href="canciones/nsb/nosotros_venceremos.html"&gt;Nosotros venceremos&lt;/a&gt;&lt;/li&gt;</v>
      </c>
    </row>
    <row r="300" spans="18:18" x14ac:dyDescent="0.3">
      <c r="R300" s="17" t="str">
        <v>&lt;li data-author="Athenas" data-momento="María" data-nnew="M17"&gt;&lt;a href="canciones/nsb/quiero_caminar_contigo_maria.html"&gt;Quiero caminar contigo, María&lt;/a&gt;&lt;/li&gt;</v>
      </c>
    </row>
    <row r="301" spans="18:18" x14ac:dyDescent="0.3">
      <c r="R301" s="17" t="str">
        <v>&lt;li data-author="Bob Fitts y Gary Sadler" data-momento="Comunión" data-nnew="K29"&gt;&lt;a href="canciones/nsb/el_vendra_y_te_salvara.html"&gt;Él vendrá y te salvará&lt;/a&gt;&lt;/li&gt;</v>
      </c>
    </row>
    <row r="302" spans="18:18" x14ac:dyDescent="0.3">
      <c r="R302" s="17" t="str">
        <v>&lt;li data-author="Cantos S Cateq" data-nold="30"&gt;&lt;a href="canciones/nsb/arriba_nubes_negras.html"&gt;Arriba nubes negras&lt;/a&gt;&lt;/li&gt;</v>
      </c>
    </row>
    <row r="303" spans="18:18" x14ac:dyDescent="0.3">
      <c r="R303" s="17" t="str">
        <v>&lt;li data-author="Cantos S Cateq" data-nold="81"&gt;&lt;a href="canciones/nsb/de_jerusalen_bajaba_a_jerico.html"&gt;De Jerusalén bajaba a Jericó&lt;/a&gt;&lt;/li&gt;</v>
      </c>
    </row>
    <row r="304" spans="18:18" x14ac:dyDescent="0.3">
      <c r="R304" s="17" t="str">
        <v>&lt;li data-author="Comunidad San Pedro" data-momento="Comunión" data-nnew="K07" data-nold="23"&gt;&lt;a href="canciones/nsb/alza_tu_mano_(comunidad).html"&gt;Alza tu mano (Comunidad)&lt;/a&gt;&lt;/li&gt;</v>
      </c>
    </row>
    <row r="305" spans="18:18" x14ac:dyDescent="0.3">
      <c r="R305" s="17" t="str">
        <v>&lt;li data-author="Comunidad San Pedro" data-momento="Navidad" data-nnew="O18" data-nold="171"&gt;&lt;a href="canciones/nsb/vivid_la_navidad.html"&gt;Vivid la Navidad&lt;/a&gt;&lt;/li&gt;</v>
      </c>
    </row>
    <row r="306" spans="18:18" x14ac:dyDescent="0.3">
      <c r="R306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7" spans="18:18" x14ac:dyDescent="0.3">
      <c r="R307" s="17" t="str">
        <v>&lt;li data-author="Coro Niño Jesús (Cádiz)" data-momento="Perdón - Agua" data-nnew="B06" data-nold="460"&gt;&lt;a href="canciones/nsb/señor_ten_piedad.html"&gt;Señor, ten piedad&lt;/a&gt;&lt;/li&gt;</v>
      </c>
    </row>
    <row r="308" spans="18:18" x14ac:dyDescent="0.3">
      <c r="R308" s="17" t="str">
        <v>&lt;li data-author="Coro Parroquial San Miguel" data-momento="Ofertorio" data-nnew="F17" data-nold="467"&gt;&lt;a href="canciones/nsb/un_dia_abri_los_ojos.html"&gt;Un día abrí los ojos&lt;/a&gt;&lt;/li&gt;</v>
      </c>
    </row>
    <row r="309" spans="18:18" x14ac:dyDescent="0.3">
      <c r="R309" s="17" t="str">
        <v>&lt;li data-author="David Julien" data-momento="Comunión" data-nnew="K80" data-nold="286"&gt;&lt;a href="canciones/nsb/victoria_tu_reinaras.html"&gt;Victoria, tú reinarás&lt;/a&gt;&lt;/li&gt;</v>
      </c>
    </row>
    <row r="310" spans="18:18" x14ac:dyDescent="0.3">
      <c r="R310" s="17" t="str">
        <v>&lt;li data-author="Eduardo Meana" data-momento="Comunión" data-nnew="K30" data-nold="424"&gt;&lt;a href="canciones/nsb/en_mi_getsemani.html"&gt;En mi Getsemaní&lt;/a&gt;&lt;/li&gt;</v>
      </c>
    </row>
    <row r="311" spans="18:18" x14ac:dyDescent="0.3">
      <c r="R311" s="17" t="str">
        <v>&lt;li data-author="Eduardo Meana" data-momento="Comunión" data-nnew="K63"&gt;&lt;a href="canciones/nsb/quiero_ser_pan.html"&gt;Quiero ser pan&lt;/a&gt;&lt;/li&gt;</v>
      </c>
    </row>
    <row r="312" spans="18:18" x14ac:dyDescent="0.3">
      <c r="R312" s="17" t="str">
        <v>&lt;li data-author="Eduardo Ortiz" data-momento="Ofertorio" data-nnew="F08"&gt;&lt;a href="canciones/nsb/esto_que_te_doy.html"&gt;Esto que te doy&lt;/a&gt;&lt;/li&gt;</v>
      </c>
    </row>
    <row r="313" spans="18:18" x14ac:dyDescent="0.3">
      <c r="R313" s="17" t="str">
        <v>&lt;li data-author="Elena Ráfales" data-momento="Comunión" data-nnew="K18" data-nold="414"&gt;&lt;a href="canciones/nsb/corazon_inquieto.html"&gt;Corazón inquieto&lt;/a&gt;&lt;/li&gt;</v>
      </c>
    </row>
    <row r="314" spans="18:18" x14ac:dyDescent="0.3">
      <c r="R314" s="17" t="str">
        <v>&lt;li data-author="Enrique García Vélez" data-momento="Comunión" data-nnew="K06" data-nold="407"&gt;&lt;a href="canciones/nsb/alma_misionera.html"&gt;Alma misionera&lt;/a&gt;&lt;/li&gt;</v>
      </c>
    </row>
    <row r="315" spans="18:18" x14ac:dyDescent="0.3">
      <c r="R315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6" spans="18:18" x14ac:dyDescent="0.3">
      <c r="R316" s="17" t="str">
        <v>&lt;li data-author="Francisco de Asís" data-nold="219"&gt;&lt;a href="canciones/nsb/quiero_ser_oh_señor.html"&gt;Quiero ser, oh, Señor&lt;/a&gt;&lt;/li&gt;</v>
      </c>
    </row>
    <row r="317" spans="18:18" x14ac:dyDescent="0.3">
      <c r="R317" s="17" t="str">
        <v>&lt;li data-author="Gen Rosso" data-momento="Comunión" data-nnew="K26"&gt;&lt;a href="canciones/nsb/el_camino_no_lo_haremos_solos.html"&gt;El camino no lo haremos solos&lt;/a&gt;&lt;/li&gt;</v>
      </c>
    </row>
    <row r="318" spans="18:18" x14ac:dyDescent="0.3">
      <c r="R318" s="17" t="str">
        <v>&lt;li data-author="Gen Verde" data-momento="María" data-nnew="M20"&gt;&lt;a href="canciones/nsb/salve_regina.html"&gt;Salve, Regina&lt;/a&gt;&lt;/li&gt;</v>
      </c>
    </row>
    <row r="319" spans="18:18" x14ac:dyDescent="0.3">
      <c r="R319" s="17" t="str">
        <v>&lt;li data-author="Georg Friedrich Händel" data-momento="Santo" data-nnew="G02"&gt;&lt;a href="canciones/nsb/santo_(händel).html"&gt;Santo (Händel)&lt;/a&gt;&lt;/li&gt;</v>
      </c>
    </row>
    <row r="320" spans="18:18" x14ac:dyDescent="0.3">
      <c r="R320" s="17" t="str">
        <v>&lt;li data-author="Gian Franco Pagliardo" data-nold="210"&gt;&lt;a href="canciones/nsb/yo_te_nombro_libertad.html"&gt;Yo te nombro, libertad&lt;/a&gt;&lt;/li&gt;</v>
      </c>
    </row>
    <row r="321" spans="18:18" x14ac:dyDescent="0.3">
      <c r="R321" s="17" t="str">
        <v>&lt;li data-author="Gina Fernández" data-momento="Comunión" data-nnew="K76" data-nold="465"&gt;&lt;a href="canciones/nsb/tu_eres_capaz.html"&gt;Tú eres capaz&lt;/a&gt;&lt;/li&gt;</v>
      </c>
    </row>
    <row r="322" spans="18:18" x14ac:dyDescent="0.3">
      <c r="R322" s="17" t="str">
        <v>&lt;li data-author="Gonzalo González" data-nold="74"&gt;&lt;a href="canciones/nsb/dame_señor_un_corazon_feliz.html"&gt;Dame, Señor, un corazón feliz&lt;/a&gt;&lt;/li&gt;</v>
      </c>
    </row>
    <row r="323" spans="18:18" x14ac:dyDescent="0.3">
      <c r="R323" s="17" t="str">
        <v>&lt;li data-author="Gregorio Fernández" data-nold="46"&gt;&lt;a href="canciones/nsb/cantan_los_angeles_en_belen.html"&gt;Cantan los ángeles en Belén&lt;/a&gt;&lt;/li&gt;</v>
      </c>
    </row>
    <row r="324" spans="18:18" x14ac:dyDescent="0.3">
      <c r="R324" s="17" t="str">
        <v>&lt;li data-author="Gregorio Fernández" data-nold="43"&gt;&lt;a href="canciones/nsb/como_habian_dicho_los_profetas.html"&gt;Como habían dicho los profetas&lt;/a&gt;&lt;/li&gt;</v>
      </c>
    </row>
    <row r="325" spans="18:18" x14ac:dyDescent="0.3">
      <c r="R325" s="17" t="str">
        <v>&lt;li data-author="Gregorio Fernández" data-nold="250"&gt;&lt;a href="canciones/nsb/esto_es_navidad.html"&gt;Esto es Navidad&lt;/a&gt;&lt;/li&gt;</v>
      </c>
    </row>
    <row r="326" spans="18:18" x14ac:dyDescent="0.3">
      <c r="R326" s="17" t="str">
        <v>&lt;li data-author="Gregorio Fernández" data-nold="249"&gt;&lt;a href="canciones/nsb/si_cada_noche_fuera_nochebuena.html"&gt;Si cada noche fuera Nochebuena&lt;/a&gt;&lt;/li&gt;</v>
      </c>
    </row>
    <row r="327" spans="18:18" x14ac:dyDescent="0.3">
      <c r="R327" s="17" t="str">
        <v>&lt;li data-author="Grupo Betsaida" data-momento="María" data-nnew="M14" data-nold="435"&gt;&lt;a href="canciones/nsb/maria_mirame.html"&gt;María, mírame&lt;/a&gt;&lt;/li&gt;</v>
      </c>
    </row>
    <row r="328" spans="18:18" x14ac:dyDescent="0.3">
      <c r="R328" s="17" t="str">
        <v>&lt;li data-author="Grupo Gente Nueva" data-momento="Ofertorio" data-nnew="F01"&gt;&lt;a href="canciones/nsb/alimento_de_amor_(el_loco).html"&gt;Alimento de amor (El loco)&lt;/a&gt;&lt;/li&gt;</v>
      </c>
    </row>
    <row r="329" spans="18:18" x14ac:dyDescent="0.3">
      <c r="R329" s="17" t="str">
        <v>&lt;li data-author="Grupo Loyola Valladolid" data-momento="Antífonas" data-nnew="D41"&gt;&lt;a href="canciones/nsb/ven_si_te_has_caido_levantate.html"&gt;Ven, si te has caído levántate&lt;/a&gt;&lt;/li&gt;</v>
      </c>
    </row>
    <row r="330" spans="18:18" x14ac:dyDescent="0.3">
      <c r="R330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31" spans="18:18" x14ac:dyDescent="0.3">
      <c r="R331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2" spans="18:18" x14ac:dyDescent="0.3">
      <c r="R332" s="17" t="str">
        <v>&lt;li data-author="Jaime Espino" data-momento="Aleluya" data-nnew="E05" data-nold="406"&gt;&lt;a href="canciones/nsb/aleluya_por_esa_gente.html"&gt;Aleluya por esa gente&lt;/a&gt;&lt;/li&gt;</v>
      </c>
    </row>
    <row r="333" spans="18:18" x14ac:dyDescent="0.3">
      <c r="R333" s="17" t="str">
        <v>&lt;li data-author="Jaime Olguín" data-momento="Comunión" data-nnew="K51"&gt;&lt;a href="canciones/nsb/no_temas.html"&gt;No temas&lt;/a&gt;&lt;/li&gt;</v>
      </c>
    </row>
    <row r="334" spans="18:18" x14ac:dyDescent="0.3">
      <c r="R334" s="17" t="str">
        <v>&lt;li data-author="Jaime Olguín" data-momento="Santo" data-nnew="G07"&gt;&lt;a href="canciones/nsb/santo_(olguin).html"&gt;Santo (Olguín)&lt;/a&gt;&lt;/li&gt;</v>
      </c>
    </row>
    <row r="335" spans="18:18" x14ac:dyDescent="0.3">
      <c r="R335" s="17" t="str">
        <v>&lt;li data-author="Javier Gacías" data-momento="Entrada" data-nnew="A13" data-nold="417"&gt;&lt;a href="canciones/nsb/dios_esta_aqui.html"&gt;Dios está aquí&lt;/a&gt;&lt;/li&gt;</v>
      </c>
    </row>
    <row r="336" spans="18:18" x14ac:dyDescent="0.3">
      <c r="R336" s="17" t="str">
        <v>&lt;li data-author="Jesucristo Superstar" data-momento="Ofertorio" data-nnew="F11" data-nold="431"&gt;&lt;a href="canciones/nsb/la_cena_del_señor.html"&gt;La cena del Señor&lt;/a&gt;&lt;/li&gt;</v>
      </c>
    </row>
    <row r="337" spans="18:18" x14ac:dyDescent="0.3">
      <c r="R337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8" spans="18:18" x14ac:dyDescent="0.3">
      <c r="R338" s="17" t="str">
        <v>&lt;li data-author="Joaquín Santos" data-nold="259"&gt;&lt;a href="canciones/nsb/tus_manos_son_palomas_de_la_paz.html"&gt;Tus manos son palomas de la paz&lt;/a&gt;&lt;/li&gt;</v>
      </c>
    </row>
    <row r="339" spans="18:18" x14ac:dyDescent="0.3">
      <c r="R339" s="17" t="str">
        <v>&lt;li data-author="José Antonio Poblete" data-momento="Comunión" data-nnew="K36"&gt;&lt;a href="canciones/nsb/himno_a_san_jose.html"&gt;Himno a San José&lt;/a&gt;&lt;/li&gt;</v>
      </c>
    </row>
    <row r="340" spans="18:18" x14ac:dyDescent="0.3">
      <c r="R340" s="17" t="str">
        <v>&lt;li data-author="José Luis Perales" data-momento="Navidad" data-nnew="O14"&gt;&lt;a href="canciones/nsb/navidad_es_navidad.html"&gt;Navidad, es Navidad&lt;/a&gt;&lt;/li&gt;</v>
      </c>
    </row>
    <row r="341" spans="18:18" x14ac:dyDescent="0.3">
      <c r="R341" s="17" t="str">
        <v>&lt;li data-author="José Luis Perales" data-momento="Navidad" data-nnew="O13"&gt;&lt;a href="canciones/nsb/navidad_navidad.html"&gt;Navidad, Navidad&lt;/a&gt;&lt;/li&gt;</v>
      </c>
    </row>
    <row r="342" spans="18:18" x14ac:dyDescent="0.3">
      <c r="R342" s="17" t="str">
        <v>&lt;li data-author="José María Olaizola" data-momento="Comunión" data-nnew="K55"&gt;&lt;a href="canciones/nsb/principio_y_fundamento.html"&gt;Principio y fundamento&lt;/a&gt;&lt;/li&gt;</v>
      </c>
    </row>
    <row r="343" spans="18:18" x14ac:dyDescent="0.3">
      <c r="R343" s="17" t="str">
        <v>&lt;li data-author="José Pedro Martins" data-momento="Entrada" data-nnew="A06" data-nold="10"&gt;&lt;a href="canciones/nsb/alegremonos_hermanos.html"&gt;Alegrémonos, hermanos&lt;/a&gt;&lt;/li&gt;</v>
      </c>
    </row>
    <row r="344" spans="18:18" x14ac:dyDescent="0.3">
      <c r="R344" s="17" t="str">
        <v>&lt;li data-author="José Pedro Martins" data-momento="Comunión" data-nnew="K43" data-nold="144"&gt;&lt;a href="canciones/nsb/jesus_nuestra_pascua.html"&gt;Jesús, nuestra Pascua&lt;/a&gt;&lt;/li&gt;</v>
      </c>
    </row>
    <row r="345" spans="18:18" x14ac:dyDescent="0.3">
      <c r="R345" s="17" t="str">
        <v>&lt;li data-author="José Pedro Martins" data-momento="Comunión" data-nnew="K45" data-nold="143"&gt;&lt;a href="canciones/nsb/juntos_cantemos_hoy.html"&gt;Juntos cantemos hoy&lt;/a&gt;&lt;/li&gt;</v>
      </c>
    </row>
    <row r="346" spans="18:18" x14ac:dyDescent="0.3">
      <c r="R346" s="17" t="str">
        <v>&lt;li data-author="José Vives" data-momento="Antífonas" data-nnew="D05"&gt;&lt;a href="canciones/nsb/ayudame_a_caminar.html"&gt;Ayúdame a caminar&lt;/a&gt;&lt;/li&gt;</v>
      </c>
    </row>
    <row r="347" spans="18:18" x14ac:dyDescent="0.3">
      <c r="R347" s="17" t="str">
        <v>&lt;li data-author="Juan Erasmo Mochi" data-nold="153"&gt;&lt;a href="canciones/nsb/la_palabra_nos_la_dio_el_señor.html"&gt;La palabra nos la dio el Señor&lt;/a&gt;&lt;/li&gt;</v>
      </c>
    </row>
    <row r="348" spans="18:18" x14ac:dyDescent="0.3">
      <c r="R348" s="17" t="str">
        <v>&lt;li data-author="Juan Jáuregui" data-nold="15"&gt;&lt;a href="canciones/nsb/alabad_al_señor_en_su_templo.html"&gt;Alabad al Señor en su templo&lt;/a&gt;&lt;/li&gt;</v>
      </c>
    </row>
    <row r="349" spans="18:18" x14ac:dyDescent="0.3">
      <c r="R349" s="17" t="str">
        <v>&lt;li data-author="Juan Jáuregui" data-nold="119"&gt;&lt;a href="canciones/nsb/el_señor_es_nuestra_alegria_(este_es_el_dia).html"&gt;El Señor es nuestra alegría (Este es el día)&lt;/a&gt;&lt;/li&gt;</v>
      </c>
    </row>
    <row r="350" spans="18:18" x14ac:dyDescent="0.3">
      <c r="R350" s="17" t="str">
        <v>&lt;li data-author="Juan Jáuregui" data-nold="148"&gt;&lt;a href="canciones/nsb/lampara_es_tu_palabra.html"&gt;Lámpara es tu palabra&lt;/a&gt;&lt;/li&gt;</v>
      </c>
    </row>
    <row r="351" spans="18:18" x14ac:dyDescent="0.3">
      <c r="R351" s="17" t="str">
        <v>&lt;li data-author="Juan Jáuregui" data-momento="Antífonas" data-nnew="D29"&gt;&lt;a href="canciones/nsb/oh_dios_tu_eres_mi_dios_(sed_de_dios).html"&gt;Oh, Dios, tú eres mi Dios (Sed de Dios)&lt;/a&gt;&lt;/li&gt;</v>
      </c>
    </row>
    <row r="352" spans="18:18" x14ac:dyDescent="0.3">
      <c r="R352" s="17" t="str">
        <v>&lt;li data-author="Kiko Argüello" data-momento="Comunión" data-nnew="K64" data-nold="225"&gt;&lt;a href="canciones/nsb/resucito_aleluya.html"&gt;Resucitó, aleluya&lt;/a&gt;&lt;/li&gt;</v>
      </c>
    </row>
    <row r="353" spans="18:18" x14ac:dyDescent="0.3">
      <c r="R353" s="17" t="str">
        <v>&lt;li data-author="Linda Duval" data-momento="Antífonas" data-nnew="D44" data-nold="475"&gt;&lt;a href="canciones/nsb/yo_celebrare.html"&gt;Yo celebraré&lt;/a&gt;&lt;/li&gt;</v>
      </c>
    </row>
    <row r="354" spans="18:18" x14ac:dyDescent="0.3">
      <c r="R354" s="17" t="str">
        <v>&lt;li data-author="Linda Stassen" data-momento="Aleluya" data-nnew="E11" data-nold="413"&gt;&lt;a href="canciones/nsb/canta_aleluya.html"&gt;Canta aleluya&lt;/a&gt;&lt;/li&gt;</v>
      </c>
    </row>
    <row r="355" spans="18:18" x14ac:dyDescent="0.3">
      <c r="R355" s="17" t="str">
        <v>&lt;li data-author="Lluís Llach" data-nold="123"&gt;&lt;a href="canciones/nsb/fe_no_es_aguardar.html"&gt;Fe no es aguardar&lt;/a&gt;&lt;/li&gt;</v>
      </c>
    </row>
    <row r="356" spans="18:18" x14ac:dyDescent="0.3">
      <c r="R356" s="17" t="str">
        <v>&lt;li data-author="Lucien Deiss" data-nold="3"&gt;&lt;a href="canciones/nsb/acuerdate_de_jesucristo.html"&gt;Acuérdate de Jesucristo&lt;/a&gt;&lt;/li&gt;</v>
      </c>
    </row>
    <row r="357" spans="18:18" x14ac:dyDescent="0.3">
      <c r="R357" s="17" t="str">
        <v>&lt;li data-author="Lucien Deiss" data-momento="Despedida" data-nnew="L01" data-nold="22"&gt;&lt;a href="canciones/nsb/anunciaremos_tu_reino_señor.html"&gt;Anunciaremos tu Reino, Señor&lt;/a&gt;&lt;/li&gt;</v>
      </c>
    </row>
    <row r="358" spans="18:18" x14ac:dyDescent="0.3">
      <c r="R358" s="17" t="str">
        <v>&lt;li data-author="Lucien Deiss" data-nold="194"&gt;&lt;a href="canciones/nsb/oh_señor_envia_tu_espiritu.html"&gt;Oh, Señor, envía tu Espíritu&lt;/a&gt;&lt;/li&gt;</v>
      </c>
    </row>
    <row r="359" spans="18:18" x14ac:dyDescent="0.3">
      <c r="R359" s="17" t="str">
        <v>&lt;li data-author="Lucien Deiss" data-nold="268"&gt;&lt;a href="canciones/nsb/un_solo_señor.html"&gt;Un solo Señor&lt;/a&gt;&lt;/li&gt;</v>
      </c>
    </row>
    <row r="360" spans="18:18" x14ac:dyDescent="0.3">
      <c r="R360" s="17" t="str">
        <v>&lt;li data-author="Luis Guitarra" data-momento="Antífonas" data-nnew="D34" data-nold="461"&gt;&lt;a href="canciones/nsb/sois_la_sal.html"&gt;Sois la sal&lt;/a&gt;&lt;/li&gt;</v>
      </c>
    </row>
    <row r="361" spans="18:18" x14ac:dyDescent="0.3">
      <c r="R361" s="17" t="str">
        <v>&lt;li data-author="Maite López" data-momento="Comunión" data-nnew="K09" data-nold="408"&gt;&lt;a href="canciones/nsb/amando_hasta_el_extremo.html"&gt;Amando hasta el extremo&lt;/a&gt;&lt;/li&gt;</v>
      </c>
    </row>
    <row r="362" spans="18:18" x14ac:dyDescent="0.3">
      <c r="R362" s="17" t="str">
        <v>&lt;li data-author="Maranatha" data-momento="Entrada" data-nnew="A30" data-nold="451"&gt;&lt;a href="canciones/nsb/quiero_alabarte.html"&gt;Quiero alabarte&lt;/a&gt;&lt;/li&gt;</v>
      </c>
    </row>
    <row r="363" spans="18:18" x14ac:dyDescent="0.3">
      <c r="R363" s="17" t="str">
        <v>&lt;li data-author="Marcela de María" data-momento="Comunión" data-nnew="K42"&gt;&lt;a href="canciones/nsb/jesus_amigo.html"&gt;Jesús, amigo&lt;/a&gt;&lt;/li&gt;</v>
      </c>
    </row>
    <row r="364" spans="18:18" x14ac:dyDescent="0.3">
      <c r="R364" s="17" t="str">
        <v>&lt;li data-author="Marco López" data-momento="Antífonas" data-nnew="D35"&gt;&lt;a href="canciones/nsb/te_amo_señor.html"&gt;Te amo, Señor&lt;/a&gt;&lt;/li&gt;</v>
      </c>
    </row>
    <row r="365" spans="18:18" x14ac:dyDescent="0.3">
      <c r="R365" s="17" t="str">
        <v>&lt;li data-author="Marcos Frisina" data-momento="Comunión" data-nnew="K62"&gt;&lt;a href="canciones/nsb/quien_nos_separara.html"&gt;Quién nos separará&lt;/a&gt;&lt;/li&gt;</v>
      </c>
    </row>
    <row r="366" spans="18:18" x14ac:dyDescent="0.3">
      <c r="R366" s="17" t="str">
        <v>&lt;li data-author="Mariano Fuertes" data-nold="300"&gt;&lt;a href="canciones/nsb/adios_adios_amigos.html"&gt;Adiós, adiós amigos&lt;/a&gt;&lt;/li&gt;</v>
      </c>
    </row>
    <row r="367" spans="18:18" x14ac:dyDescent="0.3">
      <c r="R367" s="17" t="str">
        <v>&lt;li data-author="Martín Valverde" data-momento="Comunión" data-nnew="K48" data-nold="439"&gt;&lt;a href="canciones/nsb/nadie_te_ama_como_yo.html"&gt;Nadie te ama como Yo&lt;/a&gt;&lt;/li&gt;</v>
      </c>
    </row>
    <row r="368" spans="18:18" x14ac:dyDescent="0.3">
      <c r="R368" s="17" t="str">
        <v>&lt;li data-author="Migueli" data-momento="María" data-nnew="M05" data-nold="428"&gt;&lt;a href="canciones/nsb/hagase.html"&gt;Hágase&lt;/a&gt;&lt;/li&gt;</v>
      </c>
    </row>
    <row r="369" spans="18:18" x14ac:dyDescent="0.3">
      <c r="R369" s="17" t="str">
        <v>&lt;li data-author="Migueli" data-momento="María" data-nnew="M10"&gt;&lt;a href="canciones/nsb/maria_de_nazaret.html"&gt;María de Nazaret&lt;/a&gt;&lt;/li&gt;</v>
      </c>
    </row>
    <row r="370" spans="18:18" x14ac:dyDescent="0.3">
      <c r="R370" s="17" t="str">
        <v>&lt;li data-author="Migueli" data-momento="Paz" data-nnew="I04" data-nold="442"&gt;&lt;a href="canciones/nsb/no_se_canso_de_hacer_el_bien.html"&gt;No se cansó de hacer el bien&lt;/a&gt;&lt;/li&gt;</v>
      </c>
    </row>
    <row r="371" spans="18:18" x14ac:dyDescent="0.3">
      <c r="R371" s="17" t="str">
        <v>&lt;li data-author="Migueli" data-momento="Antífonas" data-nnew="D43"&gt;&lt;a href="canciones/nsb/yendo_contigo.html"&gt;Yendo contigo&lt;/a&gt;&lt;/li&gt;</v>
      </c>
    </row>
    <row r="372" spans="18:18" x14ac:dyDescent="0.3">
      <c r="R372" s="17" t="str">
        <v>&lt;li data-author="Misa nicaragüense" data-nold="61"&gt;&lt;a href="canciones/nsb/creo_señor_firmemente.html"&gt;Creo, Señor, firmemente&lt;/a&gt;&lt;/li&gt;</v>
      </c>
    </row>
    <row r="373" spans="18:18" x14ac:dyDescent="0.3">
      <c r="R373" s="17" t="str">
        <v>&lt;li data-author="Misa nicaragüense" data-nold="176"&gt;&lt;a href="canciones/nsb/no_hay_cosa_mas_bonita_que_mirar.html"&gt;No hay cosa más bonita que mirar&lt;/a&gt;&lt;/li&gt;</v>
      </c>
    </row>
    <row r="374" spans="18:18" x14ac:dyDescent="0.3">
      <c r="R374" s="17" t="str">
        <v>&lt;li data-author="Misa salvadoreña" data-momento="Santo" data-nnew="G10" data-nold="231"&gt;&lt;a href="canciones/nsb/santo_salvadoreño.html"&gt;Santo salvadoreño&lt;/a&gt;&lt;/li&gt;</v>
      </c>
    </row>
    <row r="375" spans="18:18" x14ac:dyDescent="0.3">
      <c r="R375" s="17" t="str">
        <v>&lt;li data-author="Misa salvadoreña" data-momento="Entrada" data-nnew="A38" data-nold="285"&gt;&lt;a href="canciones/nsb/vamos_todos_al_banquete.html"&gt;Vamos todos al banquete&lt;/a&gt;&lt;/li&gt;</v>
      </c>
    </row>
    <row r="376" spans="18:18" x14ac:dyDescent="0.3">
      <c r="R376" s="17" t="str">
        <v>&lt;li data-author="Misioneros de la Esperanza" data-momento="Cordero de Dios" data-nnew="J06"&gt;&lt;a href="canciones/nsb/cordero_de_dios_(mies).html"&gt;Cordero de Dios (MiEs)&lt;/a&gt;&lt;/li&gt;</v>
      </c>
    </row>
    <row r="377" spans="18:18" x14ac:dyDescent="0.3">
      <c r="R377" s="17" t="str">
        <v>&lt;li data-author="Mocedades" data-momento="Santo" data-nnew="G09"&gt;&lt;a href="canciones/nsb/santo_(mocedades).html"&gt;Santo (Mocedades)&lt;/a&gt;&lt;/li&gt;</v>
      </c>
    </row>
    <row r="378" spans="18:18" x14ac:dyDescent="0.3">
      <c r="R378" s="17" t="str">
        <v>&lt;li data-author="Nico Montero" data-momento="Aleluya" data-nnew="E03" data-nold="403"&gt;&lt;a href="canciones/nsb/aleluya_(santiago).html"&gt;Aleluya (Santiago)&lt;/a&gt;&lt;/li&gt;</v>
      </c>
    </row>
    <row r="379" spans="18:18" x14ac:dyDescent="0.3">
      <c r="R379" s="17" t="str">
        <v>&lt;li data-author="Nico Montero" data-momento="Antífonas" data-nnew="D15"&gt;&lt;a href="canciones/nsb/el_señor_es_mi_pastor_(nico_montero).html"&gt;El Señor es mi pastor (Nico Montero)&lt;/a&gt;&lt;/li&gt;</v>
      </c>
    </row>
    <row r="380" spans="18:18" x14ac:dyDescent="0.3">
      <c r="R380" s="17" t="str">
        <v>&lt;li data-author="Oscar Palomares" data-momento="Entrada" data-nnew="A34"&gt;&lt;a href="canciones/nsb/una_voz_clama_en_el_desierto.html"&gt;Una voz clama en el desierto&lt;/a&gt;&lt;/li&gt;</v>
      </c>
    </row>
    <row r="381" spans="18:18" x14ac:dyDescent="0.3">
      <c r="R381" s="17" t="str">
        <v>&lt;li data-author="P Buen Pastor" data-momento="Antífonas" data-nnew="D19" data-nold="124"&gt;&lt;a href="canciones/nsb/gritad_que_dios_es_grande.html"&gt;Gritad que Dios es grande&lt;/a&gt;&lt;/li&gt;</v>
      </c>
    </row>
    <row r="382" spans="18:18" x14ac:dyDescent="0.3">
      <c r="R382" s="17" t="str">
        <v>&lt;li data-author="P Buen Pastor" data-nold="150"&gt;&lt;a href="canciones/nsb/la_noticia_es_amor.html"&gt;La noticia es amor&lt;/a&gt;&lt;/li&gt;</v>
      </c>
    </row>
    <row r="383" spans="18:18" x14ac:dyDescent="0.3">
      <c r="R383" s="17" t="str">
        <v>&lt;li data-author="Pablo Coloma" data-momento="Ofertorio" data-nnew="F10"&gt;&lt;a href="canciones/nsb/juntos_nos_acercamos.html"&gt;Juntos nos acercamos&lt;/a&gt;&lt;/li&gt;</v>
      </c>
    </row>
    <row r="384" spans="18:18" x14ac:dyDescent="0.3">
      <c r="R384" s="17" t="str">
        <v>&lt;li data-author="Padre Ernesto" data-momento="Ofertorio" data-nnew="F04"&gt;&lt;a href="canciones/nsb/aqui_tienes_el_pan.html"&gt;Aquí tienes el Pan&lt;/a&gt;&lt;/li&gt;</v>
      </c>
    </row>
    <row r="385" spans="18:18" x14ac:dyDescent="0.3">
      <c r="R385" s="17" t="str">
        <v>&lt;li data-author="Paloma Falconi" data-momento="Comunión" data-nnew="K35" data-nold="429"&gt;&lt;a href="canciones/nsb/hay_un_corazon_que_late.html"&gt;Hay un corazón que late&lt;/a&gt;&lt;/li&gt;</v>
      </c>
    </row>
    <row r="386" spans="18:18" x14ac:dyDescent="0.3">
      <c r="R386" s="17" t="str">
        <v>&lt;li data-author="Parroquia San Juan de Ávila" data-momento="Comunión" data-nnew="K03"&gt;&lt;a href="canciones/nsb/adorando.html"&gt;Adorando&lt;/a&gt;&lt;/li&gt;</v>
      </c>
    </row>
    <row r="387" spans="18:18" x14ac:dyDescent="0.3">
      <c r="R387" s="17" t="str">
        <v>&lt;li data-author="Pedro Antonio Garza" data-momento="Padrenuestro" data-nnew="H04"&gt;&lt;a href="canciones/nsb/padre_nuestro_zaragozano.html"&gt;Padre nuestro zaragozano&lt;/a&gt;&lt;/li&gt;</v>
      </c>
    </row>
    <row r="388" spans="18:18" x14ac:dyDescent="0.3">
      <c r="R388" s="17" t="str">
        <v>&lt;li data-author="Pedro Núñez" data-momento="Antífonas" data-nnew="D03" data-nold="28"&gt;&lt;a href="canciones/nsb/a_ti_acudo.html"&gt;A ti acudo&lt;/a&gt;&lt;/li&gt;</v>
      </c>
    </row>
    <row r="389" spans="18:18" x14ac:dyDescent="0.3">
      <c r="R389" s="17" t="str">
        <v>&lt;li data-author="Pedro Núñez" data-momento="Antífonas" data-nnew="D07" data-nold="45"&gt;&lt;a href="canciones/nsb/cantad_a_dios.html"&gt;Cantad a Dios&lt;/a&gt;&lt;/li&gt;</v>
      </c>
    </row>
    <row r="390" spans="18:18" x14ac:dyDescent="0.3">
      <c r="R390" s="17" t="str">
        <v>&lt;li data-author="Pedro Núñez" data-nold="162"&gt;&lt;a href="canciones/nsb/maria_fuiste_siempre_pobre_de_yahve.html"&gt;María, fuiste siempre pobre de Yahvé&lt;/a&gt;&lt;/li&gt;</v>
      </c>
    </row>
    <row r="391" spans="18:18" x14ac:dyDescent="0.3">
      <c r="R391" s="17" t="str">
        <v>&lt;li data-author="Pedro Núñez" data-nold="169"&gt;&lt;a href="canciones/nsb/nacera_una_nueva_hermandad.html"&gt;Nacerá una nueva hermandad&lt;/a&gt;&lt;/li&gt;</v>
      </c>
    </row>
    <row r="392" spans="18:18" x14ac:dyDescent="0.3">
      <c r="R392" s="17" t="str">
        <v>&lt;li data-author="Rafael Espinosa" data-momento="Comunión" data-nnew="K75" data-nold="310"&gt;&lt;a href="canciones/nsb/tomado_de_la_mano.html"&gt;Tomado de la mano&lt;/a&gt;&lt;/li&gt;</v>
      </c>
    </row>
    <row r="393" spans="18:18" x14ac:dyDescent="0.3">
      <c r="R393" s="17" t="str">
        <v>&lt;li data-author="Ramón Capilla" data-momento="María" data-nnew="M01" data-nold="31"&gt;&lt;a href="canciones/nsb/a_ti_que_eres_el_signo.html"&gt;A ti que eres el signo&lt;/a&gt;&lt;/li&gt;</v>
      </c>
    </row>
    <row r="394" spans="18:18" x14ac:dyDescent="0.3">
      <c r="R394" s="17" t="str">
        <v>&lt;li data-author="Ramón Capilla" data-nold="54"&gt;&lt;a href="canciones/nsb/como_lo_habia_anunciado.html"&gt;Como lo había anunciado&lt;/a&gt;&lt;/li&gt;</v>
      </c>
    </row>
    <row r="395" spans="18:18" x14ac:dyDescent="0.3">
      <c r="R395" s="17" t="str">
        <v>&lt;li data-author="Ramón Capilla" data-nold="165"&gt;&lt;a href="canciones/nsb/maria_guardabas_todo.html"&gt;María, guardabas todo&lt;/a&gt;&lt;/li&gt;</v>
      </c>
    </row>
    <row r="396" spans="18:18" x14ac:dyDescent="0.3">
      <c r="R396" s="17" t="str">
        <v>&lt;li data-author="RCCE" data-momento="Comunión" data-nnew="K41" data-nold="141"&gt;&lt;a href="canciones/nsb/iluminame_señor.html"&gt;Ilumíname, Señor&lt;/a&gt;&lt;/li&gt;</v>
      </c>
    </row>
    <row r="397" spans="18:18" x14ac:dyDescent="0.3">
      <c r="R397" s="17" t="str">
        <v>&lt;li data-author="RCCE" data-momento="Perdón - Agua" data-nnew="B03" data-nold="168"&gt;&lt;a href="canciones/nsb/mi_dios_esta_vivo.html"&gt;Mi Dios está vivo&lt;/a&gt;&lt;/li&gt;</v>
      </c>
    </row>
    <row r="398" spans="18:18" x14ac:dyDescent="0.3">
      <c r="R398" s="17" t="str">
        <v>&lt;li data-author="Ricardo de la Fuente" data-momento="Despedida" data-nnew="L02" data-nold="427"&gt;&lt;a href="canciones/nsb/gracias_señor.html"&gt;Gracias, Señor&lt;/a&gt;&lt;/li&gt;</v>
      </c>
    </row>
    <row r="399" spans="18:18" x14ac:dyDescent="0.3">
      <c r="R399" s="17" t="str">
        <v>&lt;li data-author="Salomé Arricibita" data-momento="Comunión" data-nnew="K20"&gt;&lt;a href="canciones/nsb/dime_como_ser_pan.html"&gt;Dime cómo ser pan&lt;/a&gt;&lt;/li&gt;</v>
      </c>
    </row>
    <row r="400" spans="18:18" x14ac:dyDescent="0.3">
      <c r="R400" s="17" t="str">
        <v>&lt;li data-author="Sarah Flower Adams" data-momento="Comunión" data-nnew="K14"&gt;&lt;a href="canciones/nsb/cerca_de_ti_señor.html"&gt;Cerca de Ti, Señor&lt;/a&gt;&lt;/li&gt;</v>
      </c>
    </row>
    <row r="401" spans="18:18" x14ac:dyDescent="0.3">
      <c r="R401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2" spans="18:18" x14ac:dyDescent="0.3">
      <c r="R402" s="17" t="str">
        <v>&lt;li data-author="Sor Trini - Hijas de la Caridad" data-momento="Antífonas" data-nnew="D33"&gt;&lt;a href="canciones/nsb/quiero_caminar.html"&gt;Quiero caminar&lt;/a&gt;&lt;/li&gt;</v>
      </c>
    </row>
    <row r="403" spans="18:18" x14ac:dyDescent="0.3">
      <c r="R403" s="17" t="str">
        <v>&lt;li data-author="Stephen Schwartz" data-momento="Entrada" data-nnew="A27" data-nold="449"&gt;&lt;a href="canciones/nsb/preparad_el_camino_al_señor.html"&gt;Preparad el camino al Señor&lt;/a&gt;&lt;/li&gt;</v>
      </c>
    </row>
    <row r="404" spans="18:18" x14ac:dyDescent="0.3">
      <c r="R404" s="17" t="str">
        <v>&lt;li data-author="Suzanne Toolan" data-momento="Comunión" data-nnew="K82" data-nold="477"&gt;&lt;a href="canciones/nsb/yo_soy_el_pan_de_vida.html"&gt;Yo soy el Pan de Vida&lt;/a&gt;&lt;/li&gt;</v>
      </c>
    </row>
    <row r="405" spans="18:18" x14ac:dyDescent="0.3">
      <c r="R405" s="17" t="str">
        <v>&lt;li data-author="The Beatles" data-momento="Santo" data-nnew="G06" data-nold="457"&gt;&lt;a href="canciones/nsb/santo_(the_beatles).html"&gt;Santo (The Beatles)&lt;/a&gt;&lt;/li&gt;</v>
      </c>
    </row>
    <row r="406" spans="18:18" x14ac:dyDescent="0.3">
      <c r="R406" s="17" t="str">
        <v>&lt;li data-author="Tomás Aragüés" data-momento="Cordero de Dios" data-nnew="J02"&gt;&lt;a href="canciones/nsb/cordero_de_dios_(aragües).html"&gt;Cordero de Dios (Aragüés)&lt;/a&gt;&lt;/li&gt;</v>
      </c>
    </row>
    <row r="407" spans="18:18" x14ac:dyDescent="0.3">
      <c r="R407" s="17" t="str">
        <v>&lt;li data-author="Tomás Aragüés" data-nold="146"&gt;&lt;a href="canciones/nsb/junto_a_ti_al_caer_de_la_tarde.html"&gt;Junto a ti al caer de la tarde&lt;/a&gt;&lt;/li&gt;</v>
      </c>
    </row>
    <row r="408" spans="18:18" x14ac:dyDescent="0.3">
      <c r="R408" s="17" t="str">
        <v>&lt;li data-author="TSNC" data-momento="Antífonas" data-nnew="D02"&gt;&lt;a href="canciones/nsb/a_donde_me_quereis_llevar.html"&gt;A dónde me queréis llevar&lt;/a&gt;&lt;/li&gt;</v>
      </c>
    </row>
    <row r="409" spans="18:18" x14ac:dyDescent="0.3">
      <c r="R409" s="17" t="str">
        <v>&lt;li data-author="TSNC" data-momento="Antífonas" data-nnew="D04"&gt;&lt;a href="canciones/nsb/algo_nuevo.html"&gt;Algo nuevo&lt;/a&gt;&lt;/li&gt;</v>
      </c>
    </row>
    <row r="410" spans="18:18" x14ac:dyDescent="0.3">
      <c r="R410" s="17" t="str">
        <v>&lt;li data-author="TSNC" data-momento="Santo" data-nnew="G14"&gt;&lt;a href="canciones/nsb/santo_santo_santo.html"&gt;Santo, Santo, Santo&lt;/a&gt;&lt;/li&gt;</v>
      </c>
    </row>
    <row r="411" spans="18:18" x14ac:dyDescent="0.3">
      <c r="R411" s="17" t="str">
        <v>&lt;li data-author="Pelayo Sánchez" data-momento="Comunión" data-nnew="K01" data-nold="402"&gt;&lt;a href="canciones/pelayo_sanchez/abro_mi_ser.html"&gt;Abro mi ser&lt;/a&gt;&lt;/li&gt;</v>
      </c>
    </row>
    <row r="412" spans="18:18" x14ac:dyDescent="0.3">
      <c r="R412" s="17" t="str">
        <v>&lt;li data-author="Pelayo Sánchez" data-momento="Espíritu" data-nnew="N01" data-nold="411"&gt;&lt;a href="canciones/pelayo_sanchez/bendigamos_al_señor.html"&gt;Bendigamos al Señor&lt;/a&gt;&lt;/li&gt;</v>
      </c>
    </row>
    <row r="413" spans="18:18" x14ac:dyDescent="0.3">
      <c r="R413" s="17" t="str">
        <v>&lt;li data-author="Pelayo Sánchez" data-momento="María" data-nnew="M04"&gt;&lt;a href="canciones/pelayo_sanchez/fuente_de_paz_y_fidelidad.html"&gt;Fuente de paz y fidelidad&lt;/a&gt;&lt;/li&gt;</v>
      </c>
    </row>
    <row r="414" spans="18:18" x14ac:dyDescent="0.3">
      <c r="R414" s="17" t="str">
        <v>&lt;li data-author="Pelayo Sánchez" data-momento="Gloria" data-nnew="C07"&gt;&lt;a href="canciones/pelayo_sanchez/te_damos_gracias_señor.html"&gt;Te damos gracias, Señor&lt;/a&gt;&lt;/li&gt;</v>
      </c>
    </row>
    <row r="415" spans="18:18" x14ac:dyDescent="0.3">
      <c r="R415" s="17" t="str">
        <v>&lt;li data-author="Perpetuo Socorro" data-nold="5"&gt;&lt;a href="canciones/perpetuo_socorro/abrid_de_par_en_par.html"&gt;Abrid de par en par&lt;/a&gt;&lt;/li&gt;</v>
      </c>
    </row>
    <row r="416" spans="18:18" x14ac:dyDescent="0.3">
      <c r="R416" s="17" t="str">
        <v>&lt;li data-author="Perpetuo Socorro" data-nold="7"&gt;&lt;a href="canciones/perpetuo_socorro/amaras_al_señor_tu_dios.html"&gt;Amarás al Señor tu Dios&lt;/a&gt;&lt;/li&gt;</v>
      </c>
    </row>
    <row r="417" spans="18:18" x14ac:dyDescent="0.3">
      <c r="R417" s="17" t="str">
        <v>&lt;li data-author="Perpetuo Socorro" data-momento="Paz" data-nnew="I05" data-nold="195"&gt;&lt;a href="canciones/perpetuo_socorro/padre_unenos.html"&gt;Padre, únenos&lt;/a&gt;&lt;/li&gt;</v>
      </c>
    </row>
    <row r="418" spans="18:18" x14ac:dyDescent="0.3">
      <c r="R418" s="17" t="str">
        <v>&lt;li data-author="Perpetuo Socorro" data-nold="230"&gt;&lt;a href="canciones/perpetuo_socorro/señor_guiame_por_el_sendero.html"&gt;Señor, guíame por el sendero&lt;/a&gt;&lt;/li&gt;</v>
      </c>
    </row>
    <row r="419" spans="18:18" x14ac:dyDescent="0.3">
      <c r="R419" s="17" t="str">
        <v>&lt;li data-author="Perpetuo Socorro" data-nold="263"&gt;&lt;a href="canciones/perpetuo_socorro/todavia_cantamos.html"&gt;Todavía cantamos&lt;/a&gt;&lt;/li&gt;</v>
      </c>
    </row>
    <row r="420" spans="18:18" x14ac:dyDescent="0.3">
      <c r="R420" s="17" t="str">
        <v>&lt;li data-author="Ricardo Cantalapiedra" data-nold="53"&gt;&lt;a href="canciones/ricardo_cantalapiedra/como_le_cantare_al_señor.html"&gt;Cómo le cantaré al Señor&lt;/a&gt;&lt;/li&gt;</v>
      </c>
    </row>
    <row r="421" spans="18:18" x14ac:dyDescent="0.3">
      <c r="R421" s="17" t="str">
        <v>&lt;li data-author="Ricardo Cantalapiedra" data-nold="37"&gt;&lt;a href="canciones/ricardo_cantalapiedra/con_su_muerte_nos_justificara.html"&gt;Con su muerte nos justificará&lt;/a&gt;&lt;/li&gt;</v>
      </c>
    </row>
    <row r="422" spans="18:18" x14ac:dyDescent="0.3">
      <c r="R422" s="17" t="str">
        <v>&lt;li data-author="Ricardo Cantalapiedra" data-nold="78"&gt;&lt;a href="canciones/ricardo_cantalapiedra/donde_hay_amor_alli_esta_dios.html"&gt;Donde hay amor allí está Dios&lt;/a&gt;&lt;/li&gt;</v>
      </c>
    </row>
    <row r="423" spans="18:18" x14ac:dyDescent="0.3">
      <c r="R423" s="17" t="str">
        <v>&lt;li data-author="Ricardo Cantalapiedra" data-nold="76"&gt;&lt;a href="canciones/ricardo_cantalapiedra/donde_tu_dices_ley.html"&gt;Donde tú dices ley&lt;/a&gt;&lt;/li&gt;</v>
      </c>
    </row>
    <row r="424" spans="18:18" x14ac:dyDescent="0.3">
      <c r="R424" s="17" t="str">
        <v>&lt;li data-author="Ricardo Cantalapiedra" data-nold="172"&gt;&lt;a href="canciones/ricardo_cantalapiedra/no_queremos_a_los_grandes_palabreros.html"&gt;No queremos a los grandes palabreros&lt;/a&gt;&lt;/li&gt;</v>
      </c>
    </row>
    <row r="425" spans="18:18" x14ac:dyDescent="0.3">
      <c r="R425" s="17" t="str">
        <v>&lt;li data-author="Ricardo Cantalapiedra" data-nold="188"&gt;&lt;a href="canciones/ricardo_cantalapiedra/oh_dios_por_que_nos_has_abandonado.html"&gt;Oh, Dios, por qué nos has abandonado&lt;/a&gt;&lt;/li&gt;</v>
      </c>
    </row>
    <row r="426" spans="18:18" x14ac:dyDescent="0.3">
      <c r="R426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7" spans="18:18" x14ac:dyDescent="0.3">
      <c r="R427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8" spans="18:18" x14ac:dyDescent="0.3">
      <c r="R428" s="17" t="str">
        <v>&lt;li data-author="Ricardo Cantalapiedra" data-momento="Comunión" data-nnew="K57" data-nold="205"&gt;&lt;a href="canciones/ricardo_cantalapiedra/pueblo_mio.html"&gt;Pueblo mío&lt;/a&gt;&lt;/li&gt;</v>
      </c>
    </row>
    <row r="429" spans="18:18" x14ac:dyDescent="0.3">
      <c r="R429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30" spans="18:18" x14ac:dyDescent="0.3">
      <c r="R430" s="17" t="str">
        <v>&lt;li data-author="Ricardo Cantalapiedra" data-nold="295"&gt;&lt;a href="canciones/ricardo_cantalapiedra/yo_volvere_a_cantar.html"&gt;Yo volveré a cantar&lt;/a&gt;&lt;/li&gt;</v>
      </c>
    </row>
    <row r="431" spans="18:18" x14ac:dyDescent="0.3">
      <c r="R431" s="17" t="str">
        <v>&lt;li data-author="Taizé" data-momento="Comunión" data-nnew="K17" data-nold="65"&gt;&lt;a href="canciones/taize/cristo_ha_resucitado.html"&gt;Cristo ha resucitado&lt;/a&gt;&lt;/li&gt;</v>
      </c>
    </row>
    <row r="432" spans="18:18" x14ac:dyDescent="0.3">
      <c r="R432" s="17" t="str">
        <v>&lt;li data-author="Toño Casado" data-momento="Entrada" data-nnew="A40"&gt;&lt;a href="canciones/toño_casado/ven_a_la_fiesta.html"&gt;Ven a la fiesta&lt;/a&gt;&lt;/li&gt;</v>
      </c>
    </row>
    <row r="433" spans="18:18" x14ac:dyDescent="0.3">
      <c r="R433" s="17" t="str">
        <v>&lt;li data-author="Toño Casado" data-momento="Gloria" data-nnew="C05"&gt;&lt;a href="canciones/toño_casado/gloria_gloria_a_dios.html"&gt;Gloria, gloria a Dios&lt;/a&gt;&lt;/li&gt;</v>
      </c>
    </row>
    <row r="434" spans="18:18" x14ac:dyDescent="0.3">
      <c r="R434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5" spans="18:18" x14ac:dyDescent="0.3">
      <c r="R435" s="17" t="str">
        <v>&lt;li data-author="Toño Casado" data-momento="Ofertorio" data-nnew="F09"&gt;&lt;a href="canciones/toño_casado/junto_al_vino_y_al_pan.html"&gt;Junto al vino y al pan&lt;/a&gt;&lt;/li&gt;</v>
      </c>
    </row>
    <row r="436" spans="18:18" x14ac:dyDescent="0.3">
      <c r="R436" s="17" t="str">
        <v>&lt;li data-author="Toño Casado" data-momento="Santo" data-nnew="G03"&gt;&lt;a href="canciones/toño_casado/santo_(estan_llenos_de_tu_amor).html"&gt;Santo (Están llenos de tu amor)&lt;/a&gt;&lt;/li&gt;</v>
      </c>
    </row>
    <row r="437" spans="18:18" x14ac:dyDescent="0.3">
      <c r="R437" s="17" t="str">
        <v>&lt;li data-author="Toño Casado" data-momento="Paz" data-nnew="I01"&gt;&lt;a href="canciones/toño_casado/da_la_paz_al_mundo.html"&gt;Da la paz al mundo&lt;/a&gt;&lt;/li&gt;</v>
      </c>
    </row>
    <row r="438" spans="18:18" x14ac:dyDescent="0.3">
      <c r="R438" s="17" t="str">
        <v>&lt;li data-author="Toño Casado" data-momento="Padrenuestro" data-nnew="H05"&gt;&lt;a href="canciones/toño_casado/padre_nuestro_padre_nuestro.html"&gt;Padre nuestro, padre nuestro&lt;/a&gt;&lt;/li&gt;</v>
      </c>
    </row>
    <row r="439" spans="18:18" x14ac:dyDescent="0.3">
      <c r="R439" s="17" t="str">
        <v>&lt;li data-author="Toño Casado" data-momento="Comunión" data-nnew="K44"&gt;&lt;a href="canciones/toño_casado/jesus_ven_tu.html"&gt;Jesús, ven tú&lt;/a&gt;&lt;/li&gt;</v>
      </c>
    </row>
    <row r="440" spans="18:18" x14ac:dyDescent="0.3">
      <c r="R440" s="17" t="str">
        <v>&lt;li data-author="Toño Casado" data-momento="María" data-nnew="M13"&gt;&lt;a href="canciones/toño_casado/maria_maria.html"&gt;María, María&lt;/a&gt;&lt;/li&gt;</v>
      </c>
    </row>
    <row r="441" spans="18:18" x14ac:dyDescent="0.3">
      <c r="R441" s="17" t="str">
        <v>&lt;li data-author="Toño Casado" data-momento="Entrada" data-nnew="A08"&gt;&lt;a href="canciones/toño_casado/bienvenidos.html"&gt;Bienvenidos&lt;/a&gt;&lt;/li&gt;</v>
      </c>
    </row>
    <row r="442" spans="18:18" x14ac:dyDescent="0.3">
      <c r="R442" s="17" t="str">
        <v>&lt;li data-author="Toño Casado" data-momento="Ofertorio" data-nnew="F15"&gt;&lt;a href="canciones/toño_casado/te_ofrecemos.html"&gt;Te ofrecemos&lt;/a&gt;&lt;/li&gt;</v>
      </c>
    </row>
    <row r="443" spans="18:18" x14ac:dyDescent="0.3">
      <c r="R443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4" spans="18:18" x14ac:dyDescent="0.3">
      <c r="R444" s="17" t="str">
        <v>&lt;li data-author="Toño Casado" data-momento="María" data-nnew="M02"&gt;&lt;a href="canciones/toño_casado/ave_maria.html"&gt;Ave María&lt;/a&gt;&lt;/li&gt;</v>
      </c>
    </row>
    <row r="445" spans="18:18" x14ac:dyDescent="0.3">
      <c r="R445" s="17" t="str">
        <v>&lt;li data-author="Toño Casado" data-momento="Comunión" data-nnew="K11"&gt;&lt;a href="canciones/toño_casado/bienaventuranzas_(33_el_musical).html"&gt;Bienaventuranzas (33 El Musical)&lt;/a&gt;&lt;/li&gt;</v>
      </c>
    </row>
    <row r="446" spans="18:18" x14ac:dyDescent="0.3">
      <c r="R44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7" spans="18:18" x14ac:dyDescent="0.3">
      <c r="R447" s="17" t="str">
        <v>&lt;li data-author="Toño Casado" data-momento="María" data-nnew="M22"&gt;&lt;a href="canciones/toño_casado/siempre_estuviste_aqui_(almudena).html"&gt;Siempre estuviste aquí (Almudena)&lt;/a&gt;&lt;/li&gt;</v>
      </c>
    </row>
    <row r="448" spans="18:18" x14ac:dyDescent="0.3">
      <c r="R448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P3" sqref="P3"/>
    </sheetView>
  </sheetViews>
  <sheetFormatPr baseColWidth="10" defaultRowHeight="14.4" x14ac:dyDescent="0.3"/>
  <sheetData>
    <row r="1" spans="1:36" x14ac:dyDescent="0.3">
      <c r="C1" s="16">
        <f>SUM(D1:AI1)-Resumen!$Q$6-3</f>
        <v>1271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102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31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171</v>
      </c>
      <c r="AB1" s="17">
        <f t="shared" si="0"/>
        <v>40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2940</v>
      </c>
      <c r="B2" s="30">
        <v>0</v>
      </c>
      <c r="C2" s="23" t="s">
        <v>2938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2941</v>
      </c>
      <c r="B3" s="30">
        <v>0</v>
      </c>
      <c r="C3" s="16"/>
      <c r="D3" s="17" t="str" cm="1">
        <f t="array" ref="D3:D117">IF($B$2=1,
_xlfn.CHOOSECOLS(_xlfn._xlws.FILTER(CantoralDB[],CantoralDB[Carpeta]=D2),IF($B$3=1,22,2)),
_xlfn.CHOOSECOLS(_xlfn._xlws.FILTER(CantoralDB[],(CantoralDB[Carpeta]=D2)*(CantoralDB[html]="OK")),IF($B$3=1,22,2)))</f>
        <v>Yo soy el que vive</v>
      </c>
      <c r="E3" s="17" t="str" cm="1">
        <f t="array" ref="E3:E5">IF($B$2=1,
_xlfn.CHOOSECOLS(_xlfn._xlws.FILTER(CantoralDB[],CantoralDB[Carpeta]=E2),IF($B$3=1,22,2)),
_xlfn.CHOOSECOLS(_xlfn._xlws.FILTER(CantoralDB[],(CantoralDB[Carpeta]=E2)*(CantoralDB[html]="OK")),IF($B$3=1,22,2)))</f>
        <v>Abbá, Padre</v>
      </c>
      <c r="F3" s="17" t="str" cm="1">
        <f t="array" ref="F3:F7">IF($B$2=1,
_xlfn.CHOOSECOLS(_xlfn._xlws.FILTER(CantoralDB[],CantoralDB[Carpeta]=F2),IF($B$3=1,22,2)),
_xlfn.CHOOSECOLS(_xlfn._xlws.FILTER(CantoralDB[],(CantoralDB[Carpeta]=F2)*(CantoralDB[html]="OK")),IF($B$3=1,22,2)))</f>
        <v>Como Jonás</v>
      </c>
      <c r="G3" s="17" t="str" cm="1">
        <f t="array" ref="G3:G9">IF($B$2=1,
_xlfn.CHOOSECOLS(_xlfn._xlws.FILTER(CantoralDB[],CantoralDB[Carpeta]=G2),IF($B$3=1,22,2)),
_xlfn.CHOOSECOLS(_xlfn._xlws.FILTER(CantoralDB[],(CantoralDB[Carpeta]=G2)*(CantoralDB[html]="OK")),IF($B$3=1,22,2)))</f>
        <v>De la Virgen ha nacido el Niño</v>
      </c>
      <c r="H3" s="17" t="str" cm="1">
        <f t="array" ref="H3:H40">IF($B$2=1,
_xlfn.CHOOSECOLS(_xlfn._xlws.FILTER(CantoralDB[],CantoralDB[Carpeta]=H2),IF($B$3=1,22,2)),
_xlfn.CHOOSECOLS(_xlfn._xlws.FILTER(CantoralDB[],(CantoralDB[Carpeta]=H2)*(CantoralDB[html]="OK")),IF($B$3=1,22,2)))</f>
        <v>Sé que voy contigo</v>
      </c>
      <c r="I3" s="17" t="str" cm="1">
        <f t="array" ref="I3:I39">IF($B$2=1,
_xlfn.CHOOSECOLS(_xlfn._xlws.FILTER(CantoralDB[],CantoralDB[Carpeta]=I2),IF($B$3=1,22,2)),
_xlfn.CHOOSECOLS(_xlfn._xlws.FILTER(CantoralDB[],(CantoralDB[Carpeta]=I2)*(CantoralDB[html]="OK")),IF($B$3=1,22,2)))</f>
        <v>Abre tu tienda al Señor</v>
      </c>
      <c r="J3" s="17" t="str" cm="1">
        <f t="array" ref="J3:J35">IF($B$2=1,
_xlfn.CHOOSECOLS(_xlfn._xlws.FILTER(CantoralDB[],CantoralDB[Carpeta]=J2),IF($B$3=1,22,2)),
_xlfn.CHOOSECOLS(_xlfn._xlws.FILTER(CantoralDB[],(CantoralDB[Carpeta]=J2)*(CantoralDB[html]="OK")),IF($B$3=1,22,2)))</f>
        <v>Enséñame, Señor, tus caminos</v>
      </c>
      <c r="K3" s="17" t="str" cm="1">
        <f t="array" ref="K3:K11">IF($B$2=1,
_xlfn.CHOOSECOLS(_xlfn._xlws.FILTER(CantoralDB[],CantoralDB[Carpeta]=K2),IF($B$3=1,22,2)),
_xlfn.CHOOSECOLS(_xlfn._xlws.FILTER(CantoralDB[],(CantoralDB[Carpeta]=K2)*(CantoralDB[html]="OK")),IF($B$3=1,22,2)))</f>
        <v>Amar es darse</v>
      </c>
      <c r="L3" s="17" t="str" cm="1">
        <f t="array" ref="L3:L8">IF($B$2=1,
_xlfn.CHOOSECOLS(_xlfn._xlws.FILTER(CantoralDB[],CantoralDB[Carpeta]=L2),IF($B$3=1,22,2)),
_xlfn.CHOOSECOLS(_xlfn._xlws.FILTER(CantoralDB[],(CantoralDB[Carpeta]=L2)*(CantoralDB[html]="OK")),IF($B$3=1,22,2)))</f>
        <v>Como era Pedro</v>
      </c>
      <c r="M3" s="17" t="str" cm="1">
        <f t="array" ref="M3:M104">IF($B$2=1,
_xlfn.CHOOSECOLS(_xlfn._xlws.FILTER(CantoralDB[],CantoralDB[Carpeta]=M2),IF($B$3=1,22,2)),
_xlfn.CHOOSECOLS(_xlfn._xlws.FILTER(CantoralDB[],(CantoralDB[Carpeta]=M2)*(CantoralDB[html]="OK")),IF($B$3=1,22,2)))</f>
        <v>Alrededor de tu mesa</v>
      </c>
      <c r="N3" s="17" t="str" cm="1">
        <f t="array" ref="N3:N96">IF($B$2=1,
_xlfn.CHOOSECOLS(_xlfn._xlws.FILTER(CantoralDB[],CantoralDB[Carpeta]=N2),IF($B$3=1,22,2)),
_xlfn.CHOOSECOLS(_xlfn._xlws.FILTER(CantoralDB[],(CantoralDB[Carpeta]=N2)*(CantoralDB[html]="OK")),IF($B$3=1,22,2)))</f>
        <v>Olor a tostadas</v>
      </c>
      <c r="O3" s="17" t="str" cm="1">
        <f t="array" ref="O3:O4">IF($B$2=1,
_xlfn.CHOOSECOLS(_xlfn._xlws.FILTER(CantoralDB[],CantoralDB[Carpeta]=O2),IF($B$3=1,22,2)),
_xlfn.CHOOSECOLS(_xlfn._xlws.FILTER(CantoralDB[],(CantoralDB[Carpeta]=O2)*(CantoralDB[html]="OK")),IF($B$3=1,22,2)))</f>
        <v>El Señor es mi pastor</v>
      </c>
      <c r="P3" s="17" t="str" cm="1">
        <f t="array" ref="P3:P196">IF($B$2=1,
_xlfn.CHOOSECOLS(_xlfn._xlws.FILTER(CantoralDB[],CantoralDB[Carpeta]=P2),IF($B$3=1,22,2)),
_xlfn.CHOOSECOLS(_xlfn._xlws.FILTER(CantoralDB[],(CantoralDB[Carpeta]=P2)*(CantoralDB[html]="OK")),IF($B$3=1,22,2)))</f>
        <v>Entra en mi noche</v>
      </c>
      <c r="Q3" s="17" t="str" cm="1">
        <f t="array" ref="Q3:Q11">IF($B$2=1,
_xlfn.CHOOSECOLS(_xlfn._xlws.FILTER(CantoralDB[],CantoralDB[Carpeta]=Q2),IF($B$3=1,22,2)),
_xlfn.CHOOSECOLS(_xlfn._xlws.FILTER(CantoralDB[],(CantoralDB[Carpeta]=Q2)*(CantoralDB[html]="OK")),IF($B$3=1,22,2)))</f>
        <v>Al ver Jesús</v>
      </c>
      <c r="R3" s="17" t="str" cm="1">
        <f t="array" ref="R3:R4">IF($B$2=1,
_xlfn.CHOOSECOLS(_xlfn._xlws.FILTER(CantoralDB[],CantoralDB[Carpeta]=R2),IF($B$3=1,22,2)),
_xlfn.CHOOSECOLS(_xlfn._xlws.FILTER(CantoralDB[],(CantoralDB[Carpeta]=R2)*(CantoralDB[html]="OK")),IF($B$3=1,22,2)))</f>
        <v>Adoraré tu cuerpo herido</v>
      </c>
      <c r="S3" s="17" t="str" cm="1">
        <f t="array" ref="S3:S33">IF($B$2=1,
_xlfn.CHOOSECOLS(_xlfn._xlws.FILTER(CantoralDB[],CantoralDB[Carpeta]=S2),IF($B$3=1,22,2)),
_xlfn.CHOOSECOLS(_xlfn._xlws.FILTER(CantoralDB[],(CantoralDB[Carpeta]=S2)*(CantoralDB[html]="OK")),IF($B$3=1,22,2)))</f>
        <v>A Dios den gracias los pueblos</v>
      </c>
      <c r="T3" s="17" t="str" cm="1">
        <f t="array" ref="T3:T7">IF($B$2=1,
_xlfn.CHOOSECOLS(_xlfn._xlws.FILTER(CantoralDB[],CantoralDB[Carpeta]=T2),IF($B$3=1,22,2)),
_xlfn.CHOOSECOLS(_xlfn._xlws.FILTER(CantoralDB[],(CantoralDB[Carpeta]=T2)*(CantoralDB[html]="OK")),IF($B$3=1,22,2)))</f>
        <v>A la fiesta del Señor</v>
      </c>
      <c r="U3" s="17" t="str" cm="1">
        <f t="array" ref="U3:U146">IF($B$2=1,
_xlfn.CHOOSECOLS(_xlfn._xlws.FILTER(CantoralDB[],CantoralDB[Carpeta]=U2),IF($B$3=1,22,2)),
_xlfn.CHOOSECOLS(_xlfn._xlws.FILTER(CantoralDB[],(CantoralDB[Carpeta]=U2)*(CantoralDB[html]="OK")),IF($B$3=1,22,2)))</f>
        <v>La bondad y el amor del Señor</v>
      </c>
      <c r="V3" s="17" t="str" cm="1">
        <f t="array" ref="V3:V4">IF($B$2=1,
_xlfn.CHOOSECOLS(_xlfn._xlws.FILTER(CantoralDB[],CantoralDB[Carpeta]=V2),IF($B$3=1,22,2)),
_xlfn.CHOOSECOLS(_xlfn._xlws.FILTER(CantoralDB[],(CantoralDB[Carpeta]=V2)*(CantoralDB[html]="OK")),IF($B$3=1,22,2)))</f>
        <v>Caminaremos</v>
      </c>
      <c r="W3" s="17" t="str" cm="1">
        <f t="array" ref="W3:W8">IF($B$2=1,
_xlfn.CHOOSECOLS(_xlfn._xlws.FILTER(CantoralDB[],CantoralDB[Carpeta]=W2),IF($B$3=1,22,2)),
_xlfn.CHOOSECOLS(_xlfn._xlws.FILTER(CantoralDB[],(CantoralDB[Carpeta]=W2)*(CantoralDB[html]="OK")),IF($B$3=1,22,2)))</f>
        <v>Compartir</v>
      </c>
      <c r="X3" s="17" t="str" cm="1">
        <f t="array" ref="X3:X4">IF($B$2=1,
_xlfn.CHOOSECOLS(_xlfn._xlws.FILTER(CantoralDB[],CantoralDB[Carpeta]=X2),IF($B$3=1,22,2)),
_xlfn.CHOOSECOLS(_xlfn._xlws.FILTER(CantoralDB[],(CantoralDB[Carpeta]=X2)*(CantoralDB[html]="OK")),IF($B$3=1,22,2)))</f>
        <v>Heme aquí</v>
      </c>
      <c r="Y3" s="17" t="e" cm="1" vm="1">
        <f t="array" ref="Y3">IF($B$2=1,
_xlfn.CHOOSECOLS(_xlfn._xlws.FILTER(CantoralDB[],CantoralDB[Carpeta]=Y2),IF($B$3=1,22,2)),
_xlfn.CHOOSECOLS(_xlfn._xlws.FILTER(CantoralDB[],(CantoralDB[Carpeta]=Y2)*(CantoralDB[html]="OK")),IF($B$3=1,22,2)))</f>
        <v>#VALUE!</v>
      </c>
      <c r="Z3" s="17" t="str" cm="1">
        <f t="array" ref="Z3:Z17">IF($B$2=1,
_xlfn.CHOOSECOLS(_xlfn._xlws.FILTER(CantoralDB[],CantoralDB[Carpeta]=Z2),IF($B$3=1,22,2)),
_xlfn.CHOOSECOLS(_xlfn._xlws.FILTER(CantoralDB[],(CantoralDB[Carpeta]=Z2)*(CantoralDB[html]="OK")),IF($B$3=1,22,2)))</f>
        <v>A Belén se va y se viene</v>
      </c>
      <c r="AA3" s="17" t="str" cm="1">
        <f t="array" ref="AA3:AA173">IF($B$2=1,
_xlfn.CHOOSECOLS(_xlfn._xlws.FILTER(CantoralDB[],CantoralDB[Carpeta]=AA2),IF($B$3=1,22,2)),
_xlfn.CHOOSECOLS(_xlfn._xlws.FILTER(CantoralDB[],(CantoralDB[Carpeta]=AA2)*(CantoralDB[html]="OK")),IF($B$3=1,22,2)))</f>
        <v>Aleluya de Adviento</v>
      </c>
      <c r="AB3" s="17" t="str" cm="1">
        <f t="array" ref="AB3:AB42">IF($B$2=1,
_xlfn.CHOOSECOLS(_xlfn._xlws.FILTER(CantoralDB[],CantoralDB[Carpeta]=AB2),IF($B$3=1,22,2)),
_xlfn.CHOOSECOLS(_xlfn._xlws.FILTER(CantoralDB[],(CantoralDB[Carpeta]=AB2)*(CantoralDB[html]="OK")),IF($B$3=1,22,2)))</f>
        <v>Alma de Cristo</v>
      </c>
      <c r="AC3" s="17" t="str" cm="1">
        <f t="array" ref="AC3:AC6">IF($B$2=1,
_xlfn.CHOOSECOLS(_xlfn._xlws.FILTER(CantoralDB[],CantoralDB[Carpeta]=AC2),IF($B$3=1,22,2)),
_xlfn.CHOOSECOLS(_xlfn._xlws.FILTER(CantoralDB[],(CantoralDB[Carpeta]=AC2)*(CantoralDB[html]="OK")),IF($B$3=1,22,2)))</f>
        <v>Abro mi ser</v>
      </c>
      <c r="AD3" s="17" t="str" cm="1">
        <f t="array" ref="AD3:AD7">IF($B$2=1,
_xlfn.CHOOSECOLS(_xlfn._xlws.FILTER(CantoralDB[],CantoralDB[Carpeta]=AD2),IF($B$3=1,22,2)),
_xlfn.CHOOSECOLS(_xlfn._xlws.FILTER(CantoralDB[],(CantoralDB[Carpeta]=AD2)*(CantoralDB[html]="OK")),IF($B$3=1,22,2)))</f>
        <v>Abrid de par en par</v>
      </c>
      <c r="AE3" s="17" t="str" cm="1">
        <f t="array" ref="AE3:AE13">IF($B$2=1,
_xlfn.CHOOSECOLS(_xlfn._xlws.FILTER(CantoralDB[],CantoralDB[Carpeta]=AE2),IF($B$3=1,22,2)),
_xlfn.CHOOSECOLS(_xlfn._xlws.FILTER(CantoralDB[],(CantoralDB[Carpeta]=AE2)*(CantoralDB[html]="OK")),IF($B$3=1,22,2)))</f>
        <v>Cómo le cantaré al Señor</v>
      </c>
      <c r="AF3" s="17" t="e" cm="1" vm="1">
        <f t="array" ref="AF3">IF($B$2=1,
_xlfn.CHOOSECOLS(_xlfn._xlws.FILTER(CantoralDB[],CantoralDB[Carpeta]=AF2),IF($B$3=1,22,2)),
_xlfn.CHOOSECOLS(_xlfn._xlws.FILTER(CantoralDB[],(CantoralDB[Carpeta]=AF2)*(CantoralDB[html]="OK")),IF($B$3=1,22,2)))</f>
        <v>#VALUE!</v>
      </c>
      <c r="AG3" s="17" t="str" cm="1">
        <f t="array" ref="AG3:AG52">IF($B$2=1,
_xlfn.CHOOSECOLS(_xlfn._xlws.FILTER(CantoralDB[],CantoralDB[Carpeta]=AG2),IF($B$3=1,22,2)),
_xlfn.CHOOSECOLS(_xlfn._xlws.FILTER(CantoralDB[],(CantoralDB[Carpeta]=AG2)*(CantoralDB[html]="OK")),IF($B$3=1,22,2)))</f>
        <v>Adéntrate</v>
      </c>
      <c r="AH3" s="17" t="str" cm="1">
        <f t="array" ref="AH3:AH166">IF($B$2=1,
_xlfn.CHOOSECOLS(_xlfn._xlws.FILTER(CantoralDB[],CantoralDB[Carpeta]=AH2),IF($B$3=1,22,2)),
_xlfn.CHOOSECOLS(_xlfn._xlws.FILTER(CantoralDB[],(CantoralDB[Carpeta]=AH2)*(CantoralDB[html]="OK")),IF($B$3=1,22,2)))</f>
        <v>Cristo ha resucitado</v>
      </c>
      <c r="AI3" s="17" t="str" cm="1">
        <f t="array" ref="AI3:AI46">IF($B$2=1,
_xlfn.CHOOSECOLS(_xlfn._xlws.FILTER(CantoralDB[],CantoralDB[Carpeta]=AI2),IF($B$3=1,22,2)),
_xlfn.CHOOSECOLS(_xlfn._xlws.FILTER(CantoralDB[],(CantoralDB[Carpeta]=AI2)*(CantoralDB[html]="OK")),IF($B$3=1,22,2)))</f>
        <v>Ven a la fiesta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Ojalá escuchemos hoy su voz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A quién iremos, Señor</v>
      </c>
      <c r="AI4" t="str">
        <v>Señor, ten piedad I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Haz, Señor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 Señor alabe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Arriésgate</v>
      </c>
      <c r="J6" t="str">
        <v>A quién temeré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Alabado sea el Señor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Cerca está el Señor</v>
      </c>
      <c r="J7" t="str">
        <v>Al atardecer de la vida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Alégrate y goza en el Señor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Compartir junto al Señor</v>
      </c>
      <c r="J8" t="str">
        <v>Alelu-aleluya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Alégrense el Cielo y la Tierra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Con nosotros está el Señor</v>
      </c>
      <c r="J9" t="str">
        <v>Aleluya, creo en Ti,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Aleluya 11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Creo en Jesús</v>
      </c>
      <c r="J10" t="str">
        <v>Caminando voy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Aleluya 17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Cristo te necesita para amar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Aleluya 22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fue sincero</v>
      </c>
      <c r="J12" t="str">
        <v>Cuando rezamos, cuando cantamos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Aleluya 7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Dios es amor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Aleluya 94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Cristo por nosotros</v>
      </c>
      <c r="J14" t="str">
        <v>El niño Dios ha nacido en Belén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Aleluya 96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Cristo se entregó por nosotros</v>
      </c>
      <c r="J15" t="str">
        <v>En el trabajo de cada día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Aleluya 97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Cuántos años han de pasar</v>
      </c>
      <c r="J16" t="str">
        <v>Eres mi riqueza</v>
      </c>
      <c r="M16" t="str">
        <v>Señor, escucha mi oración</v>
      </c>
      <c r="N16" t="str">
        <v>Mi amado</v>
      </c>
      <c r="P16" t="str">
        <v>Ven a mí</v>
      </c>
      <c r="S16" t="str">
        <v>Hoy, Señor, te damos gracias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Bendecid al Señor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Dios nos convoca</v>
      </c>
      <c r="J17" t="str">
        <v>Esperando, esperando</v>
      </c>
      <c r="M17" t="str">
        <v>Es bueno dar gracias al Señor</v>
      </c>
      <c r="N17" t="str">
        <v>La fila</v>
      </c>
      <c r="P17" t="str">
        <v>Morir</v>
      </c>
      <c r="S17" t="str">
        <v>Madre de todos los hombres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Bendito el que viene (canon)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Dios te salve, María</v>
      </c>
      <c r="J18" t="str">
        <v>Iglesia soy</v>
      </c>
      <c r="M18" t="str">
        <v>El cielo proclama la gloria de Dios</v>
      </c>
      <c r="N18" t="str">
        <v>Loco</v>
      </c>
      <c r="P18" t="str">
        <v>Mi vida es Cristo</v>
      </c>
      <c r="S18" t="str">
        <v>Nacidos de la luz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Cantaré al Señor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Dios te salve, María, llena eres de gracia</v>
      </c>
      <c r="J19" t="str">
        <v>Juntos como hermanos</v>
      </c>
      <c r="M19" t="str">
        <v>Dad gracias al Señor</v>
      </c>
      <c r="N19" t="str">
        <v>No te vas</v>
      </c>
      <c r="P19" t="str">
        <v>Sólo el amor</v>
      </c>
      <c r="S19" t="str">
        <v>No podemos caminar (Hambre de Dios)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Come este pan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Escucha tú la Palabra de Dios</v>
      </c>
      <c r="J20" t="str">
        <v>La misa es una fiesta muy alegre</v>
      </c>
      <c r="M20" t="str">
        <v>Llena está la tierra de tus criaturas</v>
      </c>
      <c r="N20" t="str">
        <v>Nada</v>
      </c>
      <c r="P20" t="str">
        <v>Como María</v>
      </c>
      <c r="S20" t="str">
        <v>No, yo no dejo la tierra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Cristo es Espíritu y Dios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Este pan y vino</v>
      </c>
      <c r="J21" t="str">
        <v>La misa no termina aquí en la iglesia</v>
      </c>
      <c r="M21" t="str">
        <v>El auxilio me viene del Señor</v>
      </c>
      <c r="N21" t="str">
        <v>Trueno</v>
      </c>
      <c r="P21" t="str">
        <v>Todos uno</v>
      </c>
      <c r="S21" t="str">
        <v>Perdón, Señor, perdón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Cristo está vivo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Gracias, Señor, por tu Palabra</v>
      </c>
      <c r="J22" t="str">
        <v>Nadie hay tan grande como tú</v>
      </c>
      <c r="M22" t="str">
        <v>Quién puede entrar en tu templo</v>
      </c>
      <c r="N22" t="str">
        <v>El Rey de la Gloria</v>
      </c>
      <c r="P22" t="str">
        <v>Nada</v>
      </c>
      <c r="S22" t="str">
        <v>Por ti, mi Dios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Cristo ha resucitado (canon)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Hosanna, hosanna, hosanna</v>
      </c>
      <c r="J23" t="str">
        <v>Peregrino (Éxodo y liberación)</v>
      </c>
      <c r="M23" t="str">
        <v>Alabad, siervos de Dios</v>
      </c>
      <c r="N23" t="str">
        <v>Al estar en la presencia</v>
      </c>
      <c r="P23" t="str">
        <v>Donde esté yo</v>
      </c>
      <c r="S23" t="str">
        <v>Qué ves en la noche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Cristo Jesús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Hoy me siento peregrino</v>
      </c>
      <c r="J24" t="str">
        <v>Pescador de hombres</v>
      </c>
      <c r="M24" t="str">
        <v>Que en nuestros días reine la paz</v>
      </c>
      <c r="N24" t="str">
        <v>Enciéndeme</v>
      </c>
      <c r="P24" t="str">
        <v>Fíate</v>
      </c>
      <c r="S24" t="str">
        <v>Quédate con nosotros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Danos la paz del corazón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Hoy vuelvo de lejos</v>
      </c>
      <c r="J25" t="str">
        <v>Sois la semilla</v>
      </c>
      <c r="M25" t="str">
        <v>Contra ti solo pequé</v>
      </c>
      <c r="N25" t="str">
        <v>Tomad, comed</v>
      </c>
      <c r="P25" t="str">
        <v>Tú eres mi fuerza</v>
      </c>
      <c r="S25" t="str">
        <v>Santa María del Camino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Danos la paz, oh, Señor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Las puertas de la nueva ciudad</v>
      </c>
      <c r="J26" t="str">
        <v>Todos unidos</v>
      </c>
      <c r="M26" t="str">
        <v>Cantaré eternamente (II)</v>
      </c>
      <c r="N26" t="str">
        <v>Deseo</v>
      </c>
      <c r="P26" t="str">
        <v>Al otro lado del mar</v>
      </c>
      <c r="S26" t="str">
        <v>Señor, tú que brillas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Danos la paz,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Levántate, pueblo mío</v>
      </c>
      <c r="J27" t="str">
        <v>Tú nos dijiste que la muerte</v>
      </c>
      <c r="M27" t="str">
        <v>Acuérdate, Señor</v>
      </c>
      <c r="N27" t="str">
        <v>Bien amado Señor</v>
      </c>
      <c r="P27" t="str">
        <v>Y mientras</v>
      </c>
      <c r="S27" t="str">
        <v>Te damos gracias, Señor</v>
      </c>
      <c r="U27" t="str">
        <v>Escucha, María</v>
      </c>
      <c r="AA27" t="str">
        <v>Pon tu mano</v>
      </c>
      <c r="AB27" t="str">
        <v>Aleluya (Cohen)</v>
      </c>
      <c r="AG27" t="str">
        <v>Te seguiré llamando</v>
      </c>
      <c r="AH27" t="str">
        <v>Danos, Señor, la paz (canon)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Llegó la noche</v>
      </c>
      <c r="J28" t="str">
        <v>Tú, que siempre nos perdonas</v>
      </c>
      <c r="M28" t="str">
        <v>Pidamos al Señor</v>
      </c>
      <c r="N28" t="str">
        <v>Qué bien se está cuando se está bien</v>
      </c>
      <c r="P28" t="str">
        <v>Renovaos</v>
      </c>
      <c r="S28" t="str">
        <v>Tú eres el Dios que nos salva</v>
      </c>
      <c r="U28" t="str">
        <v>Rezar no es otra cosa</v>
      </c>
      <c r="AA28" t="str">
        <v>Por los hombres</v>
      </c>
      <c r="AB28" t="str">
        <v>Entra en el corazón de Dios</v>
      </c>
      <c r="AG28" t="str">
        <v>No volverá vacía</v>
      </c>
      <c r="AH28" t="str">
        <v>Deja ahora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Nochebuena, nochebuena</v>
      </c>
      <c r="J29" t="str">
        <v>Un niño se te acercó</v>
      </c>
      <c r="M29" t="str">
        <v>Tu Palabra, Señor, es gozo</v>
      </c>
      <c r="N29" t="str">
        <v>Libertad</v>
      </c>
      <c r="P29" t="str">
        <v>Agujas del reloj</v>
      </c>
      <c r="S29" t="str">
        <v>Tu Palabra me da vida</v>
      </c>
      <c r="U29" t="str">
        <v>Jesús te ama</v>
      </c>
      <c r="AA29" t="str">
        <v>Salve, Madre</v>
      </c>
      <c r="AB29" t="str">
        <v>Dijiste sí</v>
      </c>
      <c r="AG29" t="str">
        <v>Grietas</v>
      </c>
      <c r="AH29" t="str">
        <v>Dentro llevas la fuente de vida</v>
      </c>
      <c r="AI29" t="str">
        <v>Siempre estuviste aquí (Almudena)</v>
      </c>
    </row>
    <row r="30" spans="4:35" x14ac:dyDescent="0.3">
      <c r="D30" t="str">
        <v>Aleluya</v>
      </c>
      <c r="H30" t="str">
        <v>Agua, lávame</v>
      </c>
      <c r="I30" t="str">
        <v>Oh, mi Dios, crea en mí</v>
      </c>
      <c r="J30" t="str">
        <v>Una espiga dorada</v>
      </c>
      <c r="M30" t="str">
        <v>Vuelve hacia nosotros</v>
      </c>
      <c r="N30" t="str">
        <v>Tan cerca</v>
      </c>
      <c r="P30" t="str">
        <v>Dejarme hacer</v>
      </c>
      <c r="S30" t="str">
        <v>Un pueblo que camina por el mundo</v>
      </c>
      <c r="U30" t="str">
        <v>Cántico de las criaturas</v>
      </c>
      <c r="AA30" t="str">
        <v>Santo (Santo Domingo de Silos)</v>
      </c>
      <c r="AB30" t="str">
        <v>Petrus (In illo uno unum)</v>
      </c>
      <c r="AG30" t="str">
        <v>En parábolas</v>
      </c>
      <c r="AH30" t="str">
        <v>Dichosos los pobres</v>
      </c>
      <c r="AI30" t="str">
        <v>Viviremos firmes en la fe</v>
      </c>
    </row>
    <row r="31" spans="4:35" x14ac:dyDescent="0.3">
      <c r="D31" t="str">
        <v>Tú eres mi bien</v>
      </c>
      <c r="H31" t="str">
        <v>Aleluya cantará</v>
      </c>
      <c r="I31" t="str">
        <v>Oí tu voz</v>
      </c>
      <c r="J31" t="str">
        <v>Una nueva vida</v>
      </c>
      <c r="M31" t="str">
        <v>El alzar de mis manos</v>
      </c>
      <c r="N31" t="str">
        <v>Hoy te dejo</v>
      </c>
      <c r="P31" t="str">
        <v>La razón</v>
      </c>
      <c r="S31" t="str">
        <v>Una ciudad para todos</v>
      </c>
      <c r="U31" t="str">
        <v>Ya no te queda tiempo</v>
      </c>
      <c r="AA31" t="str">
        <v>Santo eres, Señor, Dios nuestro</v>
      </c>
      <c r="AB31" t="str">
        <v>Ungidos</v>
      </c>
      <c r="AG31" t="str">
        <v>Óyeme</v>
      </c>
      <c r="AH31" t="str">
        <v>Dios de la vida</v>
      </c>
      <c r="AI31" t="str">
        <v>Vía Crucis Introducción</v>
      </c>
    </row>
    <row r="32" spans="4:35" x14ac:dyDescent="0.3">
      <c r="D32" t="str">
        <v>Desde abajo</v>
      </c>
      <c r="H32" t="str">
        <v>El calor de tu palabra</v>
      </c>
      <c r="I32" t="str">
        <v>Padre nuestro (Erdozáin)</v>
      </c>
      <c r="J32" t="str">
        <v>Vienen con alegría</v>
      </c>
      <c r="M32" t="str">
        <v>Cántico de Daniel</v>
      </c>
      <c r="N32" t="str">
        <v>Pasión de Dios</v>
      </c>
      <c r="P32" t="str">
        <v>Acércate</v>
      </c>
      <c r="S32" t="str">
        <v>Unidos a todos los pueblos</v>
      </c>
      <c r="U32" t="str">
        <v>Padre de las misericordias</v>
      </c>
      <c r="AA32" t="str">
        <v>Santo es el Señor</v>
      </c>
      <c r="AB32" t="str">
        <v>Alégrate</v>
      </c>
      <c r="AG32" t="str">
        <v>Bosque</v>
      </c>
      <c r="AH32" t="str">
        <v>Dios es ternura</v>
      </c>
      <c r="AI32" t="str">
        <v>Via Crucis I Jesús cautivo</v>
      </c>
    </row>
    <row r="33" spans="4:35" x14ac:dyDescent="0.3">
      <c r="D33" t="str">
        <v>Como la cierva</v>
      </c>
      <c r="H33" t="str">
        <v>En mi debilidad</v>
      </c>
      <c r="I33" t="str">
        <v>Purifícame, Señor</v>
      </c>
      <c r="J33" t="str">
        <v>Yo confío en ti, Señor</v>
      </c>
      <c r="M33" t="str">
        <v>A ti levanto mi alma</v>
      </c>
      <c r="N33" t="str">
        <v>Bendita sea tu pureza</v>
      </c>
      <c r="P33" t="str">
        <v>Por qué</v>
      </c>
      <c r="S33" t="str">
        <v>Vamos cantando al Señor</v>
      </c>
      <c r="U33" t="str">
        <v>Te alabo, Señor</v>
      </c>
      <c r="AA33" t="str">
        <v>Santo zaireño</v>
      </c>
      <c r="AB33" t="str">
        <v>Cristo, heme aquí</v>
      </c>
      <c r="AG33" t="str">
        <v>Nuestro lugar</v>
      </c>
      <c r="AH33" t="str">
        <v>Dios te salve</v>
      </c>
      <c r="AI33" t="str">
        <v>Via Crucis II Jesús carga con la Cruz</v>
      </c>
    </row>
    <row r="34" spans="4:35" x14ac:dyDescent="0.3">
      <c r="D34" t="str">
        <v>Sólo Tú</v>
      </c>
      <c r="H34" t="str">
        <v>Envíame</v>
      </c>
      <c r="I34" t="str">
        <v>Se acerca el reino de Dios</v>
      </c>
      <c r="J34" t="str">
        <v>Yo pensaba que el hombre era grande</v>
      </c>
      <c r="M34" t="str">
        <v>El Señor de los ejércitos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Alza la mirada</v>
      </c>
      <c r="AG34" t="str">
        <v>A tu medida</v>
      </c>
      <c r="AH34" t="str">
        <v>Dios, muéstrame tu senda</v>
      </c>
      <c r="AI34" t="str">
        <v>Via Crucis III Jesús cae por primera vez</v>
      </c>
    </row>
    <row r="35" spans="4:35" x14ac:dyDescent="0.3">
      <c r="D35" t="str">
        <v>Sed felices</v>
      </c>
      <c r="H35" t="str">
        <v>Hoy, Señor, te daré</v>
      </c>
      <c r="I35" t="str">
        <v>Tened encendida la lámpara</v>
      </c>
      <c r="J35" t="str">
        <v>Yo tengo un amigo que me ama</v>
      </c>
      <c r="M35" t="str">
        <v>El cáliz que bendecimos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Aleluya, yo creo en tu amor</v>
      </c>
      <c r="AG35" t="str">
        <v>Mayor que todo</v>
      </c>
      <c r="AH35" t="str">
        <v>Dios, que nos ama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Vamos a preparar</v>
      </c>
      <c r="M36" t="str">
        <v>El Señor es mi pastor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Pregón Pascual (neocatecumenal)</v>
      </c>
      <c r="AG36" t="str">
        <v>Seas</v>
      </c>
      <c r="AH36" t="str">
        <v>Donde hay amor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Ven, Espíritu Santo</v>
      </c>
      <c r="M37" t="str">
        <v>El Señor tenga piedad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Te doy mi corazón</v>
      </c>
      <c r="AG37" t="str">
        <v>Brasas</v>
      </c>
      <c r="AH37" t="str">
        <v>El Reino de Dios</v>
      </c>
      <c r="AI37" t="str">
        <v>Via Crucis VI La Verónica</v>
      </c>
    </row>
    <row r="38" spans="4:35" x14ac:dyDescent="0.3">
      <c r="D38" t="str">
        <v>Señor de la sabiduría</v>
      </c>
      <c r="H38" t="str">
        <v>Nada nos separará</v>
      </c>
      <c r="I38" t="str">
        <v>Ven, Salvador</v>
      </c>
      <c r="M38" t="str">
        <v>Caminaré en presencia del Señor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Haz de tu casa un Nazaret</v>
      </c>
      <c r="AG38" t="str">
        <v>Si tú quieres</v>
      </c>
      <c r="AH38" t="str">
        <v>El Señor es mi fortaleza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Que sea mi vida la sal</v>
      </c>
      <c r="I39" t="str">
        <v>Yo estaré con vosotros</v>
      </c>
      <c r="M39" t="str">
        <v>El Señor es bueno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Estás aquí, Jesús</v>
      </c>
      <c r="AG39" t="str">
        <v>Dónde</v>
      </c>
      <c r="AH39" t="str">
        <v>El Señor es quien restaura</v>
      </c>
      <c r="AI39" t="str">
        <v>Via Crucis VIII Jesús consuela a las mujeres</v>
      </c>
    </row>
    <row r="40" spans="4:35" x14ac:dyDescent="0.3">
      <c r="D40" t="str">
        <v>El amor</v>
      </c>
      <c r="H40" t="str">
        <v>Ven, no apartes de mí los ojos</v>
      </c>
      <c r="M40" t="str">
        <v>Protégeme, Dios mío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Abbá, Padre (escúchame)</v>
      </c>
      <c r="AG40" t="str">
        <v>Escúchame</v>
      </c>
      <c r="AH40" t="str">
        <v>El Señor, que viene en mi ayuda</v>
      </c>
      <c r="AI40" t="str">
        <v>Via Crucis IX Jesús cae por tercera vez</v>
      </c>
    </row>
    <row r="41" spans="4:35" x14ac:dyDescent="0.3">
      <c r="D41" t="str">
        <v>María de Nazaret</v>
      </c>
      <c r="M41" t="str">
        <v>Himno a Nuestra Señora de la Almudena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Salve, Regina</v>
      </c>
      <c r="AG41" t="str">
        <v>A la puerta</v>
      </c>
      <c r="AH41" t="str">
        <v>En nuestra oscuridad</v>
      </c>
      <c r="AI41" t="str">
        <v>Via Crucis X Jesús es despojado</v>
      </c>
    </row>
    <row r="42" spans="4:35" x14ac:dyDescent="0.3">
      <c r="D42" t="str">
        <v>Miradle</v>
      </c>
      <c r="M42" t="str">
        <v>Mujer fuerte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Más de ti, menos de mí</v>
      </c>
      <c r="AG42" t="str">
        <v>En quién si no</v>
      </c>
      <c r="AH42" t="str">
        <v>Espíritu de Dios vivo</v>
      </c>
      <c r="AI42" t="str">
        <v>Via Crucis XI Jesús es clavado en la Cruz</v>
      </c>
    </row>
    <row r="43" spans="4:35" x14ac:dyDescent="0.3">
      <c r="D43" t="str">
        <v>Venid conmigo</v>
      </c>
      <c r="M43" t="str">
        <v>Madre de los creyentes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G43" t="str">
        <v>Silencio</v>
      </c>
      <c r="AH43" t="str">
        <v>Este es el día del Señor (Taizé)</v>
      </c>
      <c r="AI43" t="str">
        <v>Via Crucis XII Jesús muere en la Cruz</v>
      </c>
    </row>
    <row r="44" spans="4:35" x14ac:dyDescent="0.3">
      <c r="D44" t="str">
        <v>Dios fiel</v>
      </c>
      <c r="M44" t="str">
        <v>A ti suspiramos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Feliz quien se abandona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Reina del Cielo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Jesús, acuérdate de mí</v>
      </c>
      <c r="AI45" t="str">
        <v>Via Crucis XIV El cuerpo de Jesús</v>
      </c>
    </row>
    <row r="46" spans="4:35" x14ac:dyDescent="0.3">
      <c r="D46" t="str">
        <v>Confianza</v>
      </c>
      <c r="M46" t="str">
        <v>Magnificat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Jesús, mi vida</v>
      </c>
      <c r="AI46" t="str">
        <v>Via Crucis XV La fuerza de la Cruz</v>
      </c>
    </row>
    <row r="47" spans="4:35" x14ac:dyDescent="0.3">
      <c r="D47" t="str">
        <v>Pan compartido</v>
      </c>
      <c r="M47" t="str">
        <v>Morada de la luz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Júbilo en el cielo (canon)</v>
      </c>
    </row>
    <row r="48" spans="4:35" x14ac:dyDescent="0.3">
      <c r="D48" t="str">
        <v>Gloria Trinitario</v>
      </c>
      <c r="M48" t="str">
        <v>Madre del Redentor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La ayuda vendrá</v>
      </c>
    </row>
    <row r="49" spans="4:34" x14ac:dyDescent="0.3">
      <c r="D49" t="str">
        <v>A Ti</v>
      </c>
      <c r="M49" t="str">
        <v>Ángelus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La misericordia del Señor</v>
      </c>
    </row>
    <row r="50" spans="4:34" x14ac:dyDescent="0.3">
      <c r="D50" t="str">
        <v>Tú lo sabes</v>
      </c>
      <c r="M50" t="str">
        <v>Madre nuestra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Levanto mi alma</v>
      </c>
    </row>
    <row r="51" spans="4:34" x14ac:dyDescent="0.3">
      <c r="D51" t="str">
        <v>Caná</v>
      </c>
      <c r="M51" t="str">
        <v>Ave María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Llénanos, Señor, de tu paz</v>
      </c>
    </row>
    <row r="52" spans="4:34" x14ac:dyDescent="0.3">
      <c r="D52" t="str">
        <v>Ánimo, soy yo</v>
      </c>
      <c r="M52" t="str">
        <v>Unidos por la fe y el amor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Magnificat (canon)</v>
      </c>
    </row>
    <row r="53" spans="4:34" x14ac:dyDescent="0.3">
      <c r="D53" t="str">
        <v>Santo</v>
      </c>
      <c r="M53" t="str">
        <v>Ten piedad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Mas tú sabes que senda es para mí</v>
      </c>
    </row>
    <row r="54" spans="4:34" x14ac:dyDescent="0.3">
      <c r="D54" t="str">
        <v>La mujer del perfume</v>
      </c>
      <c r="M54" t="str">
        <v>Gloria (misa coral en Re)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Mi corazón te anhela</v>
      </c>
    </row>
    <row r="55" spans="4:34" x14ac:dyDescent="0.3">
      <c r="D55" t="str">
        <v>Para estar contigo</v>
      </c>
      <c r="M55" t="str">
        <v>Aleluya (misa coral en Re)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Oh, Dios consolador</v>
      </c>
    </row>
    <row r="56" spans="4:34" x14ac:dyDescent="0.3">
      <c r="D56" t="str">
        <v>Samaritano</v>
      </c>
      <c r="M56" t="str">
        <v>Santo (misa coral en Re)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Oh, Dios, tú, Dios mío (canon)</v>
      </c>
    </row>
    <row r="57" spans="4:34" x14ac:dyDescent="0.3">
      <c r="D57" t="str">
        <v>No hay fronteras</v>
      </c>
      <c r="M57" t="str">
        <v>Padre nuestro (misa coral en Re)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Oh, Padre, entre tus manos</v>
      </c>
    </row>
    <row r="58" spans="4:34" x14ac:dyDescent="0.3">
      <c r="D58" t="str">
        <v>Descálzate</v>
      </c>
      <c r="M58" t="str">
        <v>Cordero de Dios (misa coral en Re)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Para mí ser feliz</v>
      </c>
    </row>
    <row r="59" spans="4:34" x14ac:dyDescent="0.3">
      <c r="D59" t="str">
        <v>La vid verdadera</v>
      </c>
      <c r="M59" t="str">
        <v>Dales, Señor, el descanso eterno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Permaneced conmigo</v>
      </c>
    </row>
    <row r="60" spans="4:34" x14ac:dyDescent="0.3">
      <c r="D60" t="str">
        <v>Ven, Espíritu de Dios</v>
      </c>
      <c r="M60" t="str">
        <v>Dale, Señor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Por tu Cruz</v>
      </c>
    </row>
    <row r="61" spans="4:34" x14ac:dyDescent="0.3">
      <c r="D61" t="str">
        <v>Realidad</v>
      </c>
      <c r="M61" t="str">
        <v>Dichosos los que mueren en el Señor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Protégeme, Dios</v>
      </c>
    </row>
    <row r="62" spans="4:34" x14ac:dyDescent="0.3">
      <c r="D62" t="str">
        <v>Boga mar adentro</v>
      </c>
      <c r="M62" t="str">
        <v>Kyrie eleison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Que alabe al Señor</v>
      </c>
    </row>
    <row r="63" spans="4:34" x14ac:dyDescent="0.3">
      <c r="D63" t="str">
        <v>No tengas miedo</v>
      </c>
      <c r="M63" t="str">
        <v>Te ofrecemos, Señor, sacrificios y oblaciones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Qué bueno es confiar en ti</v>
      </c>
    </row>
    <row r="64" spans="4:34" x14ac:dyDescent="0.3">
      <c r="D64" t="str">
        <v>Magnificat</v>
      </c>
      <c r="M64" t="str">
        <v>Santo (Réquiem)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Que todo el mundo alabe</v>
      </c>
    </row>
    <row r="65" spans="4:34" x14ac:dyDescent="0.3">
      <c r="D65" t="str">
        <v>Ardo en celo</v>
      </c>
      <c r="M65" t="str">
        <v>Cordero de Dios (Réquiem)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Que venga a ti</v>
      </c>
    </row>
    <row r="66" spans="4:34" x14ac:dyDescent="0.3">
      <c r="D66" t="str">
        <v>El amor no dice basta</v>
      </c>
      <c r="M66" t="str">
        <v>Este es el Pan que nos da Jesús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Sé sal que sala</v>
      </c>
    </row>
    <row r="67" spans="4:34" x14ac:dyDescent="0.3">
      <c r="D67" t="str">
        <v>Rut y Noemí</v>
      </c>
      <c r="M67" t="str">
        <v>Al Paraíso te lleven los ángeles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Te adoramos</v>
      </c>
    </row>
    <row r="68" spans="4:34" x14ac:dyDescent="0.3">
      <c r="D68" t="str">
        <v>Ven, Espíritu</v>
      </c>
      <c r="M68" t="str">
        <v>Eres Madre dolorosa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Ten piedad, Señor 1</v>
      </c>
    </row>
    <row r="69" spans="4:34" x14ac:dyDescent="0.3">
      <c r="D69" t="str">
        <v>María Magdalena</v>
      </c>
      <c r="M69" t="str">
        <v>Para que escuchase el viento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Ten piedad, Señor 20</v>
      </c>
    </row>
    <row r="70" spans="4:34" x14ac:dyDescent="0.3">
      <c r="D70" t="str">
        <v>De todo corazón</v>
      </c>
      <c r="M70" t="str">
        <v>Camino a Jericó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Ten piedad, Señor 6</v>
      </c>
    </row>
    <row r="71" spans="4:34" x14ac:dyDescent="0.3">
      <c r="D71" t="str">
        <v>Canto de Ana</v>
      </c>
      <c r="M71" t="str">
        <v>Trigo y cizaña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Ten piedad, Señor 8</v>
      </c>
    </row>
    <row r="72" spans="4:34" x14ac:dyDescent="0.3">
      <c r="D72" t="str">
        <v>Seguirte</v>
      </c>
      <c r="M72" t="str">
        <v>Administradores del amor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Tengo sed de ti</v>
      </c>
    </row>
    <row r="73" spans="4:34" x14ac:dyDescent="0.3">
      <c r="D73" t="str">
        <v>Pueblo Suyo</v>
      </c>
      <c r="M73" t="str">
        <v>La oveja negra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M74" t="str">
        <v>Noche y día en altamar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Tu palabra alumbra</v>
      </c>
    </row>
    <row r="75" spans="4:34" x14ac:dyDescent="0.3">
      <c r="D75" t="str">
        <v>Si le dais posada</v>
      </c>
      <c r="M75" t="str">
        <v>A quién se parece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Tu santa cruz</v>
      </c>
    </row>
    <row r="76" spans="4:34" x14ac:dyDescent="0.3">
      <c r="D76" t="str">
        <v>Es mi hermano</v>
      </c>
      <c r="M76" t="str">
        <v>Un hombre, una tierra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Tú, Cristo, oh, Jesucristo</v>
      </c>
    </row>
    <row r="77" spans="4:34" x14ac:dyDescent="0.3">
      <c r="D77" t="str">
        <v>Jesús</v>
      </c>
      <c r="M77" t="str">
        <v>De par en par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Tú, luz del mundo</v>
      </c>
    </row>
    <row r="78" spans="4:34" x14ac:dyDescent="0.3">
      <c r="D78" t="str">
        <v>El Reino de Dios</v>
      </c>
      <c r="M78" t="str">
        <v>El hijo pródigo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Un canto nuevo</v>
      </c>
    </row>
    <row r="79" spans="4:34" x14ac:dyDescent="0.3">
      <c r="D79" t="str">
        <v>Recibid mi Espíritu</v>
      </c>
      <c r="M79" t="str">
        <v>En la plaza de un pueblo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Ven, Espíritu (canon)</v>
      </c>
    </row>
    <row r="80" spans="4:34" x14ac:dyDescent="0.3">
      <c r="D80" t="str">
        <v>Confía</v>
      </c>
      <c r="M80" t="str">
        <v>Fariseo y publicano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Ven, Espíritu de Dios</v>
      </c>
    </row>
    <row r="81" spans="4:34" x14ac:dyDescent="0.3">
      <c r="D81" t="str">
        <v>Como Tú</v>
      </c>
      <c r="M81" t="str">
        <v>De cosas sencillas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Yo ya sé qué veré</v>
      </c>
    </row>
    <row r="82" spans="4:34" x14ac:dyDescent="0.3">
      <c r="D82" t="str">
        <v>Pequeño Israel</v>
      </c>
      <c r="M82" t="str">
        <v>Y ciegos son los hombres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M83" t="str">
        <v>En la viña del Señor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M84" t="str">
        <v>Invitación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M85" t="str">
        <v>Dos señores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M86" t="str">
        <v>Buen pastor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M87" t="str">
        <v>El pobre Lázaro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M88" t="str">
        <v>Después de la medianoche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M89" t="str">
        <v>El Señor ha estado grande con nosotros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Reunidos en el nombre del Señor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Tuyo es el reino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Bendice, alma mía, al Señor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Alégrate y goza, Jerusalén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Te doy gracias, Señor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Aleluya, aleluya, aleluya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Alabad al Señor por su inmensa grandeza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Señor, Dios nuestro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Señor, tú has sido nuestro refugio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Cantaré eternamente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Oh, Dios, Tú mereces un himno en Sión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Aclamad, justos, al Señor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Si me falta el amor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Vaso nuevo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Ven a salvar a tu pueblo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Resucitó, 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Yo celebraré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Canta aleluya</v>
      </c>
      <c r="AH117" t="str">
        <v>Surrexit Dominus vere (canon)</v>
      </c>
    </row>
    <row r="118" spans="4:34" x14ac:dyDescent="0.3">
      <c r="P118" t="str">
        <v>Hacia Ti</v>
      </c>
      <c r="U118" t="str">
        <v>Acógeme, Dios</v>
      </c>
      <c r="AA118" t="str">
        <v>Fe no es aguardar</v>
      </c>
      <c r="AH118" t="str">
        <v>Christe Salvator</v>
      </c>
    </row>
    <row r="119" spans="4:34" x14ac:dyDescent="0.3">
      <c r="P119" t="str">
        <v>Ora en mí</v>
      </c>
      <c r="U119" t="str">
        <v>María, madre del dolor</v>
      </c>
      <c r="AA119" t="str">
        <v>Acuérdate de Jesucristo</v>
      </c>
      <c r="AH119" t="str">
        <v>Benedictus qui venit (canon)</v>
      </c>
    </row>
    <row r="120" spans="4:34" x14ac:dyDescent="0.3">
      <c r="P120" t="str">
        <v>Vuelve</v>
      </c>
      <c r="U120" t="str">
        <v>El Señor nos ha reunido</v>
      </c>
      <c r="AA120" t="str">
        <v>Anunciaremos tu Reino, Señor</v>
      </c>
      <c r="AH120" t="str">
        <v>Nunc dimittis</v>
      </c>
    </row>
    <row r="121" spans="4:34" x14ac:dyDescent="0.3">
      <c r="P121" t="str">
        <v>Espero en ti</v>
      </c>
      <c r="U121" t="str">
        <v>Llama de vida</v>
      </c>
      <c r="AA121" t="str">
        <v>Oh, Señor, envía tu Espíritu</v>
      </c>
      <c r="AH121" t="str">
        <v>Ad te Jesu Christe</v>
      </c>
    </row>
    <row r="122" spans="4:34" x14ac:dyDescent="0.3">
      <c r="P122" t="str">
        <v>Extiende tu mano</v>
      </c>
      <c r="U122" t="str">
        <v>Venga tu reino</v>
      </c>
      <c r="AA122" t="str">
        <v>Un solo Señor</v>
      </c>
      <c r="AH122" t="str">
        <v>Il Signore ti ristora</v>
      </c>
    </row>
    <row r="123" spans="4:34" x14ac:dyDescent="0.3">
      <c r="P123" t="str">
        <v>Ruah</v>
      </c>
      <c r="U123" t="str">
        <v>Pregón Pascual (Gloria)</v>
      </c>
      <c r="AA123" t="str">
        <v>Sois la sal</v>
      </c>
      <c r="AH123" t="str">
        <v>Alleluia 22</v>
      </c>
    </row>
    <row r="124" spans="4:34" x14ac:dyDescent="0.3">
      <c r="P124" t="str">
        <v>Descansa</v>
      </c>
      <c r="U124" t="str">
        <v>Mirad, Jesús resucita hoy</v>
      </c>
      <c r="AA124" t="str">
        <v>Amando hasta el extremo</v>
      </c>
      <c r="AH124" t="str">
        <v>Iedere nacht verlang ik</v>
      </c>
    </row>
    <row r="125" spans="4:34" x14ac:dyDescent="0.3">
      <c r="P125" t="str">
        <v>Cuando vuelva tu luz</v>
      </c>
      <c r="U125" t="str">
        <v>Somos testigos</v>
      </c>
      <c r="AA125" t="str">
        <v>Quiero alabarte</v>
      </c>
      <c r="AH125" t="str">
        <v>Aber du weisst den Weg für mich</v>
      </c>
    </row>
    <row r="126" spans="4:34" x14ac:dyDescent="0.3">
      <c r="P126" t="str">
        <v>Entra en tu cuarto</v>
      </c>
      <c r="U126" t="str">
        <v>Tu camino y tu verdad</v>
      </c>
      <c r="AA126" t="str">
        <v>Jesús, amigo</v>
      </c>
      <c r="AH126" t="str">
        <v>Eat this bread</v>
      </c>
    </row>
    <row r="127" spans="4:34" x14ac:dyDescent="0.3">
      <c r="P127" t="str">
        <v>Transfigúrame</v>
      </c>
      <c r="U127" t="str">
        <v>Seguir amando</v>
      </c>
      <c r="AA127" t="str">
        <v>Te amo, Señor</v>
      </c>
      <c r="AH127" t="str">
        <v>Jesus Christ, bread of life</v>
      </c>
    </row>
    <row r="128" spans="4:34" x14ac:dyDescent="0.3">
      <c r="P128" t="str">
        <v>Tengo fe</v>
      </c>
      <c r="U128" t="str">
        <v>Y se vive la vida</v>
      </c>
      <c r="AA128" t="str">
        <v>Quién nos separará</v>
      </c>
      <c r="AH128" t="str">
        <v>Esprit consolateur</v>
      </c>
    </row>
    <row r="129" spans="16:34" x14ac:dyDescent="0.3">
      <c r="P129" t="str">
        <v>Que sean uno</v>
      </c>
      <c r="U129" t="str">
        <v>Jesús, cámbianos</v>
      </c>
      <c r="AA129" t="str">
        <v>Adiós, adiós amigos</v>
      </c>
      <c r="AH129" t="str">
        <v>Let all who are thirsty come</v>
      </c>
    </row>
    <row r="130" spans="16:34" x14ac:dyDescent="0.3">
      <c r="P130" t="str">
        <v>Ama y haz lo que quieras</v>
      </c>
      <c r="U130" t="str">
        <v>Como María</v>
      </c>
      <c r="AA130" t="str">
        <v>Nadie te ama como Yo</v>
      </c>
      <c r="AH130" t="str">
        <v>Alleluia 17</v>
      </c>
    </row>
    <row r="131" spans="16:34" x14ac:dyDescent="0.3">
      <c r="P131" t="str">
        <v>Si no te dejo marchar</v>
      </c>
      <c r="U131" t="str">
        <v>Nos marca el caminar</v>
      </c>
      <c r="AA131" t="str">
        <v>Hágase</v>
      </c>
      <c r="AH131" t="str">
        <v>Jésus, ma joie</v>
      </c>
    </row>
    <row r="132" spans="16:34" x14ac:dyDescent="0.3">
      <c r="P132" t="str">
        <v>Sopla en mí</v>
      </c>
      <c r="U132" t="str">
        <v>Soy mujer</v>
      </c>
      <c r="AA132" t="str">
        <v>María de Nazaret</v>
      </c>
      <c r="AH132" t="str">
        <v>Kyrie 6</v>
      </c>
    </row>
    <row r="133" spans="16:34" x14ac:dyDescent="0.3">
      <c r="P133" t="str">
        <v>Peña mía</v>
      </c>
      <c r="U133" t="str">
        <v>En ti solo descanso</v>
      </c>
      <c r="AA133" t="str">
        <v>No se cansó de hacer el bien</v>
      </c>
      <c r="AH133" t="str">
        <v>Nada te turbe</v>
      </c>
    </row>
    <row r="134" spans="16:34" x14ac:dyDescent="0.3">
      <c r="P134" t="str">
        <v>Vuestra soy</v>
      </c>
      <c r="U134" t="str">
        <v>Dios de la vida</v>
      </c>
      <c r="AA134" t="str">
        <v>Yendo contigo</v>
      </c>
      <c r="AH134" t="str">
        <v>Dona la pace</v>
      </c>
    </row>
    <row r="135" spans="16:34" x14ac:dyDescent="0.3">
      <c r="P135" t="str">
        <v>La partida</v>
      </c>
      <c r="U135" t="str">
        <v>Sueña</v>
      </c>
      <c r="AA135" t="str">
        <v>Creo, Señor, firmemente</v>
      </c>
      <c r="AH135" t="str">
        <v>Bleibet hier</v>
      </c>
    </row>
    <row r="136" spans="16:34" x14ac:dyDescent="0.3">
      <c r="P136" t="str">
        <v>Por ti madrugo</v>
      </c>
      <c r="U136" t="str">
        <v>Paz en la tierra</v>
      </c>
      <c r="AA136" t="str">
        <v>No hay cosa más bonita que mirar</v>
      </c>
      <c r="AH136" t="str">
        <v>Surrexit Christus</v>
      </c>
    </row>
    <row r="137" spans="16:34" x14ac:dyDescent="0.3">
      <c r="P137" t="str">
        <v>Si te tengo a ti</v>
      </c>
      <c r="U137" t="str">
        <v>Me estás llamando</v>
      </c>
      <c r="AA137" t="str">
        <v>Santo salvadoreño</v>
      </c>
      <c r="AH137" t="str">
        <v>O Christe Domine Jesu</v>
      </c>
    </row>
    <row r="138" spans="16:34" x14ac:dyDescent="0.3">
      <c r="P138" t="str">
        <v>La verdad</v>
      </c>
      <c r="U138" t="str">
        <v>Todo mi ser (Alabo tu bondad)</v>
      </c>
      <c r="AA138" t="str">
        <v>Vamos todos al banquete</v>
      </c>
      <c r="AH138" t="str">
        <v>Alleluia 7</v>
      </c>
    </row>
    <row r="139" spans="16:34" x14ac:dyDescent="0.3">
      <c r="P139" t="str">
        <v>Te quiero</v>
      </c>
      <c r="U139" t="str">
        <v>Tocaré para ti</v>
      </c>
      <c r="AA139" t="str">
        <v>Cordero de Dios (MiEs)</v>
      </c>
      <c r="AH139" t="str">
        <v>Dona nobis pacem</v>
      </c>
    </row>
    <row r="140" spans="16:34" x14ac:dyDescent="0.3">
      <c r="P140" t="str">
        <v>María de Nazaret</v>
      </c>
      <c r="U140" t="str">
        <v>El amor es nuestro canto</v>
      </c>
      <c r="AA140" t="str">
        <v>Santo (Mocedades)</v>
      </c>
      <c r="AH140" t="str">
        <v>Psallite Deo</v>
      </c>
    </row>
    <row r="141" spans="16:34" x14ac:dyDescent="0.3">
      <c r="P141" t="str">
        <v>Regalada</v>
      </c>
      <c r="U141" t="str">
        <v>Enséñanos a orar</v>
      </c>
      <c r="AA141" t="str">
        <v>Aleluya (Santiago)</v>
      </c>
      <c r="AH141" t="str">
        <v>Dieu ne peut que donner</v>
      </c>
    </row>
    <row r="142" spans="16:34" x14ac:dyDescent="0.3">
      <c r="P142" t="str">
        <v>Darnos del todo</v>
      </c>
      <c r="U142" t="str">
        <v>Tú, Señor</v>
      </c>
      <c r="AA142" t="str">
        <v>El Señor es mi pastor (Nico Montero)</v>
      </c>
      <c r="AH142" t="str">
        <v>Da pacem cordium (canon)</v>
      </c>
    </row>
    <row r="143" spans="16:34" x14ac:dyDescent="0.3">
      <c r="P143" t="str">
        <v>Misericordia</v>
      </c>
      <c r="U143" t="str">
        <v>Esperando con María</v>
      </c>
      <c r="AA143" t="str">
        <v>Una voz clama en el desierto</v>
      </c>
      <c r="AH143" t="str">
        <v>Tui amoris</v>
      </c>
    </row>
    <row r="144" spans="16:34" x14ac:dyDescent="0.3">
      <c r="P144" t="str">
        <v>Enséñame a quereme</v>
      </c>
      <c r="U144" t="str">
        <v>Ven, Espíritu de Dios (Kairoi)</v>
      </c>
      <c r="AA144" t="str">
        <v>Gritad que Dios es grande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La noticia es amor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Juntos nos acercamos</v>
      </c>
      <c r="AH146" t="str">
        <v>Crucem tuam</v>
      </c>
    </row>
    <row r="147" spans="16:34" x14ac:dyDescent="0.3">
      <c r="P147" t="str">
        <v>Levantaos, está cerca</v>
      </c>
      <c r="AA147" t="str">
        <v>Aquí tienes el Pan</v>
      </c>
      <c r="AH147" t="str">
        <v>Spiritus Jesu Christi</v>
      </c>
    </row>
    <row r="148" spans="16:34" x14ac:dyDescent="0.3">
      <c r="P148" t="str">
        <v>Ven a sanarme</v>
      </c>
      <c r="AA148" t="str">
        <v>Hay un corazón que late</v>
      </c>
      <c r="AH148" t="str">
        <v>Jubilate coeli (canon)</v>
      </c>
    </row>
    <row r="149" spans="16:34" x14ac:dyDescent="0.3">
      <c r="P149" t="str">
        <v>El círculo del juicio</v>
      </c>
      <c r="AA149" t="str">
        <v>Adorando</v>
      </c>
      <c r="AH149" t="str">
        <v>El alma que anda en amor</v>
      </c>
    </row>
    <row r="150" spans="16:34" x14ac:dyDescent="0.3">
      <c r="P150" t="str">
        <v>Hijo de David</v>
      </c>
      <c r="AA150" t="str">
        <v>Padre nuestro zaragozano</v>
      </c>
      <c r="AH150" t="str">
        <v>The kingdom of God</v>
      </c>
    </row>
    <row r="151" spans="16:34" x14ac:dyDescent="0.3">
      <c r="P151" t="str">
        <v>Hambre y sed de ti</v>
      </c>
      <c r="AA151" t="str">
        <v>A ti acudo</v>
      </c>
      <c r="AH151" t="str">
        <v>Bóg jest miłością</v>
      </c>
    </row>
    <row r="152" spans="16:34" x14ac:dyDescent="0.3">
      <c r="P152" t="str">
        <v>Madre de la humanidad</v>
      </c>
      <c r="AA152" t="str">
        <v>Cantad a Dios</v>
      </c>
      <c r="AH152" t="str">
        <v>Bogoroditse Dievo 1</v>
      </c>
    </row>
    <row r="153" spans="16:34" x14ac:dyDescent="0.3">
      <c r="P153" t="str">
        <v>Transfórmame</v>
      </c>
      <c r="AA153" t="str">
        <v>María, fuiste siempre pobre de Yahvé</v>
      </c>
      <c r="AH153" t="str">
        <v>Beati voi poveri</v>
      </c>
    </row>
    <row r="154" spans="16:34" x14ac:dyDescent="0.3">
      <c r="P154" t="str">
        <v>Quién curará</v>
      </c>
      <c r="AA154" t="str">
        <v>Nacerá una nueva hermandad</v>
      </c>
      <c r="AH154" t="str">
        <v>In manus tuas</v>
      </c>
    </row>
    <row r="155" spans="16:34" x14ac:dyDescent="0.3">
      <c r="P155" t="str">
        <v>Lázaro grita</v>
      </c>
      <c r="AA155" t="str">
        <v>Tomado de la mano</v>
      </c>
      <c r="AH155" t="str">
        <v>Jubilate Deo omnis terra</v>
      </c>
    </row>
    <row r="156" spans="16:34" x14ac:dyDescent="0.3">
      <c r="P156" t="str">
        <v>Mi buen Pastor</v>
      </c>
      <c r="AA156" t="str">
        <v>A ti que eres el signo</v>
      </c>
      <c r="AH156" t="str">
        <v>In resurrectione tua</v>
      </c>
    </row>
    <row r="157" spans="16:34" x14ac:dyDescent="0.3">
      <c r="P157" t="str">
        <v>La ley y el sábado</v>
      </c>
      <c r="AA157" t="str">
        <v>Como lo había anunciado</v>
      </c>
      <c r="AH157" t="str">
        <v>Tu sei sorgente viva</v>
      </c>
    </row>
    <row r="158" spans="16:34" x14ac:dyDescent="0.3">
      <c r="P158" t="str">
        <v>El ayuno que yo quiero</v>
      </c>
      <c r="AA158" t="str">
        <v>María, guardabas todo</v>
      </c>
      <c r="AH158" t="str">
        <v>L’ajuda em vindrà</v>
      </c>
    </row>
    <row r="159" spans="16:34" x14ac:dyDescent="0.3">
      <c r="P159" t="str">
        <v>Amad a vuestros enemigos</v>
      </c>
      <c r="AA159" t="str">
        <v>Ilumíname, Señor</v>
      </c>
      <c r="AH159" t="str">
        <v>Alleluia 96</v>
      </c>
    </row>
    <row r="160" spans="16:34" x14ac:dyDescent="0.3">
      <c r="P160" t="str">
        <v>Tu lluvia desciende</v>
      </c>
      <c r="AA160" t="str">
        <v>Mi Dios está vivo</v>
      </c>
      <c r="AH160" t="str">
        <v>Wysławiajcie Pana</v>
      </c>
    </row>
    <row r="161" spans="16:34" x14ac:dyDescent="0.3">
      <c r="P161" t="str">
        <v>Mirad los lirios</v>
      </c>
      <c r="AA161" t="str">
        <v>Gracias, Señor</v>
      </c>
      <c r="AH161" t="str">
        <v>Alleluia 94</v>
      </c>
    </row>
    <row r="162" spans="16:34" x14ac:dyDescent="0.3">
      <c r="P162" t="str">
        <v>Por todos</v>
      </c>
      <c r="AA162" t="str">
        <v>Dime cómo ser pan</v>
      </c>
      <c r="AH162" t="str">
        <v>Alleluia 97</v>
      </c>
    </row>
    <row r="163" spans="16:34" x14ac:dyDescent="0.3">
      <c r="P163" t="str">
        <v>Te seguiré</v>
      </c>
      <c r="AA163" t="str">
        <v>Cerca de Ti, Señor</v>
      </c>
      <c r="AH163" t="str">
        <v>Kyrie 1</v>
      </c>
    </row>
    <row r="164" spans="16:34" x14ac:dyDescent="0.3">
      <c r="P164" t="str">
        <v>Proclama mi alma</v>
      </c>
      <c r="AA164" t="str">
        <v>Padre nuestro, tú que estás</v>
      </c>
      <c r="AH164" t="str">
        <v>Kyrie 8</v>
      </c>
    </row>
    <row r="165" spans="16:34" x14ac:dyDescent="0.3">
      <c r="P165" t="str">
        <v>Tanto tiempo</v>
      </c>
      <c r="AA165" t="str">
        <v>Quiero caminar</v>
      </c>
      <c r="AH165" t="str">
        <v>Para mim, ser feliz</v>
      </c>
    </row>
    <row r="166" spans="16:34" x14ac:dyDescent="0.3">
      <c r="P166" t="str">
        <v>Tú en mí, yo en todos</v>
      </c>
      <c r="AA166" t="str">
        <v>Preparad el camino al Señor</v>
      </c>
      <c r="AH166" t="str">
        <v>Tu palabra, Señor</v>
      </c>
    </row>
    <row r="167" spans="16:34" x14ac:dyDescent="0.3">
      <c r="P167" t="str">
        <v>Padre, me ofrezco</v>
      </c>
      <c r="AA167" t="str">
        <v>Yo soy el Pan de Vida</v>
      </c>
    </row>
    <row r="168" spans="16:34" x14ac:dyDescent="0.3">
      <c r="P168" t="str">
        <v>Dios Padre y Madre</v>
      </c>
      <c r="AA168" t="str">
        <v>Santo (The Beatles)</v>
      </c>
    </row>
    <row r="169" spans="16:34" x14ac:dyDescent="0.3">
      <c r="P169" t="str">
        <v>Dios del cielo</v>
      </c>
      <c r="AA169" t="str">
        <v>Cordero de Dios (Aragüés)</v>
      </c>
    </row>
    <row r="170" spans="16:34" x14ac:dyDescent="0.3">
      <c r="P170" t="str">
        <v>Santificaré tu nombre</v>
      </c>
      <c r="AA170" t="str">
        <v>Junto a ti al caer de la tarde</v>
      </c>
    </row>
    <row r="171" spans="16:34" x14ac:dyDescent="0.3">
      <c r="P171" t="str">
        <v>Parábola del Reino</v>
      </c>
      <c r="AA171" t="str">
        <v>A dónde me queréis llevar</v>
      </c>
    </row>
    <row r="172" spans="16:34" x14ac:dyDescent="0.3">
      <c r="P172" t="str">
        <v>Hacer tu voluntad</v>
      </c>
      <c r="AA172" t="str">
        <v>Algo nuevo</v>
      </c>
    </row>
    <row r="173" spans="16:34" x14ac:dyDescent="0.3">
      <c r="P173" t="str">
        <v>Nueva tierra</v>
      </c>
      <c r="AA173" t="str">
        <v>Santo, Santo, Santo</v>
      </c>
    </row>
    <row r="174" spans="16:34" x14ac:dyDescent="0.3">
      <c r="P174" t="str">
        <v>Danos hoy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2140</v>
      </c>
      <c r="D1" t="s">
        <v>1928</v>
      </c>
      <c r="E1" t="s">
        <v>2128</v>
      </c>
      <c r="F1" t="s">
        <v>2119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2132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2134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2131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2129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2133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2135</v>
      </c>
      <c r="E7" t="s">
        <v>2129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2129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2129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2129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2129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2130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2129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2130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2130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2130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2130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2129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2130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2130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2130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2130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2129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2130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2130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2129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2130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2129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2223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2130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2130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2398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2130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2394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2130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2387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2130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2935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2130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2129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2495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2130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2026-09-07T16:24:53Z</dcterms:modified>
</cp:coreProperties>
</file>